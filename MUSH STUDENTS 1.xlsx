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PC\Contacts\HHHH\my-mushagashe\"/>
    </mc:Choice>
  </mc:AlternateContent>
  <bookViews>
    <workbookView xWindow="0" yWindow="0" windowWidth="23040" windowHeight="8400" activeTab="1"/>
  </bookViews>
  <sheets>
    <sheet name="STUDENT LEDGER" sheetId="4" r:id="rId1"/>
    <sheet name="Sheet2" sheetId="6" r:id="rId2"/>
    <sheet name="Sheet1" sheetId="5" r:id="rId3"/>
  </sheets>
  <definedNames>
    <definedName name="OLE_LINK1" localSheetId="1">Sheet2!$A$6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37" i="4" l="1"/>
  <c r="R638" i="4"/>
  <c r="R639" i="4"/>
  <c r="R640" i="4"/>
  <c r="AB639" i="4"/>
  <c r="Y637" i="4"/>
  <c r="Y638" i="4"/>
  <c r="Y639" i="4"/>
  <c r="V639" i="4"/>
  <c r="BR637" i="4"/>
  <c r="BR638" i="4"/>
  <c r="BR640" i="4"/>
  <c r="BR641" i="4"/>
  <c r="BR642" i="4"/>
  <c r="BR643" i="4"/>
  <c r="BR644" i="4"/>
  <c r="BR645" i="4"/>
  <c r="BR646" i="4"/>
  <c r="BR647" i="4"/>
  <c r="BR648" i="4"/>
  <c r="BS637" i="4"/>
  <c r="BS638" i="4"/>
  <c r="BS640" i="4"/>
  <c r="BS641" i="4"/>
  <c r="BS642" i="4"/>
  <c r="BS643" i="4"/>
  <c r="BS644" i="4"/>
  <c r="BS645" i="4"/>
  <c r="BS646" i="4"/>
  <c r="BS647" i="4"/>
  <c r="BS648" i="4"/>
  <c r="V638" i="4"/>
  <c r="V637" i="4"/>
  <c r="Q639" i="4"/>
  <c r="S639" i="4" s="1"/>
  <c r="Q638" i="4"/>
  <c r="S638" i="4" s="1"/>
  <c r="Q637" i="4"/>
  <c r="S641" i="4"/>
  <c r="S637" i="4"/>
  <c r="BR639" i="4" l="1"/>
  <c r="BS639" i="4" s="1"/>
  <c r="R196" i="4"/>
  <c r="BT649" i="4"/>
  <c r="BR8" i="4"/>
  <c r="BP70" i="4"/>
  <c r="BL9" i="4"/>
  <c r="BL10" i="4"/>
  <c r="BL11" i="4"/>
  <c r="BL12" i="4"/>
  <c r="BL13" i="4"/>
  <c r="BL14" i="4"/>
  <c r="BL15" i="4"/>
  <c r="BL16" i="4"/>
  <c r="BL17" i="4"/>
  <c r="BL18" i="4"/>
  <c r="BL19" i="4"/>
  <c r="BL20" i="4"/>
  <c r="BL21" i="4"/>
  <c r="BL22" i="4"/>
  <c r="BL23" i="4"/>
  <c r="BL24" i="4"/>
  <c r="BL25" i="4"/>
  <c r="BL26" i="4"/>
  <c r="BL27" i="4"/>
  <c r="BL28" i="4"/>
  <c r="BL29" i="4"/>
  <c r="BL30" i="4"/>
  <c r="BL31" i="4"/>
  <c r="BL32" i="4"/>
  <c r="BL33" i="4"/>
  <c r="BL34" i="4"/>
  <c r="BL35" i="4"/>
  <c r="BL36" i="4"/>
  <c r="BL37" i="4"/>
  <c r="BL38" i="4"/>
  <c r="BL39" i="4"/>
  <c r="BL40" i="4"/>
  <c r="BL41" i="4"/>
  <c r="BL42" i="4"/>
  <c r="BL43" i="4"/>
  <c r="BL44" i="4"/>
  <c r="BL45" i="4"/>
  <c r="BL46" i="4"/>
  <c r="BL47" i="4"/>
  <c r="BL48" i="4"/>
  <c r="BL49" i="4"/>
  <c r="BL50" i="4"/>
  <c r="BL51" i="4"/>
  <c r="BL52" i="4"/>
  <c r="BL53" i="4"/>
  <c r="BL54" i="4"/>
  <c r="BL55" i="4"/>
  <c r="BL56" i="4"/>
  <c r="BL57" i="4"/>
  <c r="BL58" i="4"/>
  <c r="BL59" i="4"/>
  <c r="BL60" i="4"/>
  <c r="BL61" i="4"/>
  <c r="BL62" i="4"/>
  <c r="BL63" i="4"/>
  <c r="BL64" i="4"/>
  <c r="BL65" i="4"/>
  <c r="BL66" i="4"/>
  <c r="BL67" i="4"/>
  <c r="BL68" i="4"/>
  <c r="BL69" i="4"/>
  <c r="BL70" i="4"/>
  <c r="BL71" i="4"/>
  <c r="BL72" i="4"/>
  <c r="BL73" i="4"/>
  <c r="BL74" i="4"/>
  <c r="BL75" i="4"/>
  <c r="BL76" i="4"/>
  <c r="BL77" i="4"/>
  <c r="BL78" i="4"/>
  <c r="BL79" i="4"/>
  <c r="BL80" i="4"/>
  <c r="BL81" i="4"/>
  <c r="BL82" i="4"/>
  <c r="BL83" i="4"/>
  <c r="BL84" i="4"/>
  <c r="BL85" i="4"/>
  <c r="BL86" i="4"/>
  <c r="BL87" i="4"/>
  <c r="BL88" i="4"/>
  <c r="BL89" i="4"/>
  <c r="BL90" i="4"/>
  <c r="BL91" i="4"/>
  <c r="BL92" i="4"/>
  <c r="BL93" i="4"/>
  <c r="BL94" i="4"/>
  <c r="BL95" i="4"/>
  <c r="BL96" i="4"/>
  <c r="BL97" i="4"/>
  <c r="BL98" i="4"/>
  <c r="BL99" i="4"/>
  <c r="BL100" i="4"/>
  <c r="BL101" i="4"/>
  <c r="BL102" i="4"/>
  <c r="BL103" i="4"/>
  <c r="BL104" i="4"/>
  <c r="BL105" i="4"/>
  <c r="BL106" i="4"/>
  <c r="BL107" i="4"/>
  <c r="BL108" i="4"/>
  <c r="BL109" i="4"/>
  <c r="BL110" i="4"/>
  <c r="BL111" i="4"/>
  <c r="BL112" i="4"/>
  <c r="BL113" i="4"/>
  <c r="BL114" i="4"/>
  <c r="BL115" i="4"/>
  <c r="BL116" i="4"/>
  <c r="BL117" i="4"/>
  <c r="BL118" i="4"/>
  <c r="BL119" i="4"/>
  <c r="BL120" i="4"/>
  <c r="BL121" i="4"/>
  <c r="BL122" i="4"/>
  <c r="BL123" i="4"/>
  <c r="BL124" i="4"/>
  <c r="BL125" i="4"/>
  <c r="BL126" i="4"/>
  <c r="BL127" i="4"/>
  <c r="BL128" i="4"/>
  <c r="BL129" i="4"/>
  <c r="BL130" i="4"/>
  <c r="BL131" i="4"/>
  <c r="BL132" i="4"/>
  <c r="BL133" i="4"/>
  <c r="BL134" i="4"/>
  <c r="BL135" i="4"/>
  <c r="BL136" i="4"/>
  <c r="BL137" i="4"/>
  <c r="BL138" i="4"/>
  <c r="BL139" i="4"/>
  <c r="BL140" i="4"/>
  <c r="BL141" i="4"/>
  <c r="BL142" i="4"/>
  <c r="BL143" i="4"/>
  <c r="BL144" i="4"/>
  <c r="BL145" i="4"/>
  <c r="BL146" i="4"/>
  <c r="BL147" i="4"/>
  <c r="BL148" i="4"/>
  <c r="BL149" i="4"/>
  <c r="BL150" i="4"/>
  <c r="BL151" i="4"/>
  <c r="BL152" i="4"/>
  <c r="BL153" i="4"/>
  <c r="BL154" i="4"/>
  <c r="BL155" i="4"/>
  <c r="BL156" i="4"/>
  <c r="BL157" i="4"/>
  <c r="BL158" i="4"/>
  <c r="BL159" i="4"/>
  <c r="BL160" i="4"/>
  <c r="BL161" i="4"/>
  <c r="BL162" i="4"/>
  <c r="BL163" i="4"/>
  <c r="BL164" i="4"/>
  <c r="BL165" i="4"/>
  <c r="BL166" i="4"/>
  <c r="BL167" i="4"/>
  <c r="BL168" i="4"/>
  <c r="BL169" i="4"/>
  <c r="BL170" i="4"/>
  <c r="BL171" i="4"/>
  <c r="BL172" i="4"/>
  <c r="BL173" i="4"/>
  <c r="BL174" i="4"/>
  <c r="BL175" i="4"/>
  <c r="BL176" i="4"/>
  <c r="BL177" i="4"/>
  <c r="BL178" i="4"/>
  <c r="BL179" i="4"/>
  <c r="BL180" i="4"/>
  <c r="BL181" i="4"/>
  <c r="BL182" i="4"/>
  <c r="BL183" i="4"/>
  <c r="BL184" i="4"/>
  <c r="BL185" i="4"/>
  <c r="BL186" i="4"/>
  <c r="BL187" i="4"/>
  <c r="BL188" i="4"/>
  <c r="BL189" i="4"/>
  <c r="BL190" i="4"/>
  <c r="BL191" i="4"/>
  <c r="BL192" i="4"/>
  <c r="BL193" i="4"/>
  <c r="BL194" i="4"/>
  <c r="BL195" i="4"/>
  <c r="BL196" i="4"/>
  <c r="BL197" i="4"/>
  <c r="BL198" i="4"/>
  <c r="BL199" i="4"/>
  <c r="BL200" i="4"/>
  <c r="BL201" i="4"/>
  <c r="BL202" i="4"/>
  <c r="BL203" i="4"/>
  <c r="BL204" i="4"/>
  <c r="BL205" i="4"/>
  <c r="BL206" i="4"/>
  <c r="BL207" i="4"/>
  <c r="BL208" i="4"/>
  <c r="BL209" i="4"/>
  <c r="BL210" i="4"/>
  <c r="BL211" i="4"/>
  <c r="BL212" i="4"/>
  <c r="BL213" i="4"/>
  <c r="BL214" i="4"/>
  <c r="BL215" i="4"/>
  <c r="BL216" i="4"/>
  <c r="BL217" i="4"/>
  <c r="BL218" i="4"/>
  <c r="BL219" i="4"/>
  <c r="BL220" i="4"/>
  <c r="BL221" i="4"/>
  <c r="BL222" i="4"/>
  <c r="BL223" i="4"/>
  <c r="BL224" i="4"/>
  <c r="BL225" i="4"/>
  <c r="BL226" i="4"/>
  <c r="BL227" i="4"/>
  <c r="BL228" i="4"/>
  <c r="BL229" i="4"/>
  <c r="BL230" i="4"/>
  <c r="BL231" i="4"/>
  <c r="BL232" i="4"/>
  <c r="BL233" i="4"/>
  <c r="BL234" i="4"/>
  <c r="BL235" i="4"/>
  <c r="BL236" i="4"/>
  <c r="BL237" i="4"/>
  <c r="BL238" i="4"/>
  <c r="BL239" i="4"/>
  <c r="BL240" i="4"/>
  <c r="BL241" i="4"/>
  <c r="BL242" i="4"/>
  <c r="BL243" i="4"/>
  <c r="BL244" i="4"/>
  <c r="BL245" i="4"/>
  <c r="BL246" i="4"/>
  <c r="BL247" i="4"/>
  <c r="BL248" i="4"/>
  <c r="BL249" i="4"/>
  <c r="BL250" i="4"/>
  <c r="BL251" i="4"/>
  <c r="BL252" i="4"/>
  <c r="BL253" i="4"/>
  <c r="BL254" i="4"/>
  <c r="BL255" i="4"/>
  <c r="BL256" i="4"/>
  <c r="BL257" i="4"/>
  <c r="BL258" i="4"/>
  <c r="BL259" i="4"/>
  <c r="BL260" i="4"/>
  <c r="BL261" i="4"/>
  <c r="BL262" i="4"/>
  <c r="BL263" i="4"/>
  <c r="BL264" i="4"/>
  <c r="BL265" i="4"/>
  <c r="BL266" i="4"/>
  <c r="BL267" i="4"/>
  <c r="BL268" i="4"/>
  <c r="BL269" i="4"/>
  <c r="BL270" i="4"/>
  <c r="BL271" i="4"/>
  <c r="BL272" i="4"/>
  <c r="BL273" i="4"/>
  <c r="BL274" i="4"/>
  <c r="BL275" i="4"/>
  <c r="BL276" i="4"/>
  <c r="BL277" i="4"/>
  <c r="BL278" i="4"/>
  <c r="BL279" i="4"/>
  <c r="BL280" i="4"/>
  <c r="BL281" i="4"/>
  <c r="BL282" i="4"/>
  <c r="BL283" i="4"/>
  <c r="BL284" i="4"/>
  <c r="BL285" i="4"/>
  <c r="BL286" i="4"/>
  <c r="BL287" i="4"/>
  <c r="BL288" i="4"/>
  <c r="BL289" i="4"/>
  <c r="BL290" i="4"/>
  <c r="BL291" i="4"/>
  <c r="BL292" i="4"/>
  <c r="BL293" i="4"/>
  <c r="BL294" i="4"/>
  <c r="BL295" i="4"/>
  <c r="BL296" i="4"/>
  <c r="BL297" i="4"/>
  <c r="BL298" i="4"/>
  <c r="BL299" i="4"/>
  <c r="BL300" i="4"/>
  <c r="BL301" i="4"/>
  <c r="BL302" i="4"/>
  <c r="BL303" i="4"/>
  <c r="BL304" i="4"/>
  <c r="BL305" i="4"/>
  <c r="BL306" i="4"/>
  <c r="BL307" i="4"/>
  <c r="BL308" i="4"/>
  <c r="BL309" i="4"/>
  <c r="BL310" i="4"/>
  <c r="BL311" i="4"/>
  <c r="BL312" i="4"/>
  <c r="BL313" i="4"/>
  <c r="BL314" i="4"/>
  <c r="BL315" i="4"/>
  <c r="BL316" i="4"/>
  <c r="BL317" i="4"/>
  <c r="BL318" i="4"/>
  <c r="BL319" i="4"/>
  <c r="BL320" i="4"/>
  <c r="BL321" i="4"/>
  <c r="BL322" i="4"/>
  <c r="BL323" i="4"/>
  <c r="BL324" i="4"/>
  <c r="BL325" i="4"/>
  <c r="BL326" i="4"/>
  <c r="BL327" i="4"/>
  <c r="BL328" i="4"/>
  <c r="BL329" i="4"/>
  <c r="BL330" i="4"/>
  <c r="BL331" i="4"/>
  <c r="BL332" i="4"/>
  <c r="BL333" i="4"/>
  <c r="BL334" i="4"/>
  <c r="BL335" i="4"/>
  <c r="BL336" i="4"/>
  <c r="BL337" i="4"/>
  <c r="BL338" i="4"/>
  <c r="BL339" i="4"/>
  <c r="BL340" i="4"/>
  <c r="BL341" i="4"/>
  <c r="BL342" i="4"/>
  <c r="BL343" i="4"/>
  <c r="BL344" i="4"/>
  <c r="BL345" i="4"/>
  <c r="BL346" i="4"/>
  <c r="BL347" i="4"/>
  <c r="BL348" i="4"/>
  <c r="BL349" i="4"/>
  <c r="BL350" i="4"/>
  <c r="BL351" i="4"/>
  <c r="BL352" i="4"/>
  <c r="BL353" i="4"/>
  <c r="BL354" i="4"/>
  <c r="BL355" i="4"/>
  <c r="BL356" i="4"/>
  <c r="BL357" i="4"/>
  <c r="BL358" i="4"/>
  <c r="BL359" i="4"/>
  <c r="BL360" i="4"/>
  <c r="BL361" i="4"/>
  <c r="BL362" i="4"/>
  <c r="BL363" i="4"/>
  <c r="BL364" i="4"/>
  <c r="BL365" i="4"/>
  <c r="BL366" i="4"/>
  <c r="BL367" i="4"/>
  <c r="BL368" i="4"/>
  <c r="BL369" i="4"/>
  <c r="BL370" i="4"/>
  <c r="BL371" i="4"/>
  <c r="BL372" i="4"/>
  <c r="BL373" i="4"/>
  <c r="BL374" i="4"/>
  <c r="BL375" i="4"/>
  <c r="BL376" i="4"/>
  <c r="BL377" i="4"/>
  <c r="BL378" i="4"/>
  <c r="BL379" i="4"/>
  <c r="BL380" i="4"/>
  <c r="BL381" i="4"/>
  <c r="BL382" i="4"/>
  <c r="BL383" i="4"/>
  <c r="BL384" i="4"/>
  <c r="BL385" i="4"/>
  <c r="BL386" i="4"/>
  <c r="BL387" i="4"/>
  <c r="BL388" i="4"/>
  <c r="BL389" i="4"/>
  <c r="BL390" i="4"/>
  <c r="BL391" i="4"/>
  <c r="BL392" i="4"/>
  <c r="BL393" i="4"/>
  <c r="BL394" i="4"/>
  <c r="BL395" i="4"/>
  <c r="BL396" i="4"/>
  <c r="BL397" i="4"/>
  <c r="BL398" i="4"/>
  <c r="BL399" i="4"/>
  <c r="BL400" i="4"/>
  <c r="BL401" i="4"/>
  <c r="BL402" i="4"/>
  <c r="BL403" i="4"/>
  <c r="BL404" i="4"/>
  <c r="BL405" i="4"/>
  <c r="BL406" i="4"/>
  <c r="BL407" i="4"/>
  <c r="BL408" i="4"/>
  <c r="BL409" i="4"/>
  <c r="BL410" i="4"/>
  <c r="BL411" i="4"/>
  <c r="BL412" i="4"/>
  <c r="BL413" i="4"/>
  <c r="BL414" i="4"/>
  <c r="BL415" i="4"/>
  <c r="BL416" i="4"/>
  <c r="BL417" i="4"/>
  <c r="BL418" i="4"/>
  <c r="BL419" i="4"/>
  <c r="BL420" i="4"/>
  <c r="BL421" i="4"/>
  <c r="BL422" i="4"/>
  <c r="BL423" i="4"/>
  <c r="BL424" i="4"/>
  <c r="BL425" i="4"/>
  <c r="BL426" i="4"/>
  <c r="BL427" i="4"/>
  <c r="BL428" i="4"/>
  <c r="BL429" i="4"/>
  <c r="BL430" i="4"/>
  <c r="BL431" i="4"/>
  <c r="BL432" i="4"/>
  <c r="BL433" i="4"/>
  <c r="BL434" i="4"/>
  <c r="BL435" i="4"/>
  <c r="BL436" i="4"/>
  <c r="BL437" i="4"/>
  <c r="BL438" i="4"/>
  <c r="BL439" i="4"/>
  <c r="BL440" i="4"/>
  <c r="BL441" i="4"/>
  <c r="BL442" i="4"/>
  <c r="BL443" i="4"/>
  <c r="BL444" i="4"/>
  <c r="BL445" i="4"/>
  <c r="BL446" i="4"/>
  <c r="BL447" i="4"/>
  <c r="BL448" i="4"/>
  <c r="BL449" i="4"/>
  <c r="BL450" i="4"/>
  <c r="BL451" i="4"/>
  <c r="BL452" i="4"/>
  <c r="BL453" i="4"/>
  <c r="BL454" i="4"/>
  <c r="BL455" i="4"/>
  <c r="BL456" i="4"/>
  <c r="BL457" i="4"/>
  <c r="BL458" i="4"/>
  <c r="BL459" i="4"/>
  <c r="BL460" i="4"/>
  <c r="BL461" i="4"/>
  <c r="BL462" i="4"/>
  <c r="BL463" i="4"/>
  <c r="BL464" i="4"/>
  <c r="BL465" i="4"/>
  <c r="BL466" i="4"/>
  <c r="BL467" i="4"/>
  <c r="BL468" i="4"/>
  <c r="BL469" i="4"/>
  <c r="BL470" i="4"/>
  <c r="BL471" i="4"/>
  <c r="BL472" i="4"/>
  <c r="BL473" i="4"/>
  <c r="BL474" i="4"/>
  <c r="BL475" i="4"/>
  <c r="BL476" i="4"/>
  <c r="BL477" i="4"/>
  <c r="BL478" i="4"/>
  <c r="BL479" i="4"/>
  <c r="BL480" i="4"/>
  <c r="BL481" i="4"/>
  <c r="BL482" i="4"/>
  <c r="BL483" i="4"/>
  <c r="BL484" i="4"/>
  <c r="BL485" i="4"/>
  <c r="BL486" i="4"/>
  <c r="BL487" i="4"/>
  <c r="BL488" i="4"/>
  <c r="BL489" i="4"/>
  <c r="BL490" i="4"/>
  <c r="BL491" i="4"/>
  <c r="BL492" i="4"/>
  <c r="BL493" i="4"/>
  <c r="BL494" i="4"/>
  <c r="BL495" i="4"/>
  <c r="BL496" i="4"/>
  <c r="BL497" i="4"/>
  <c r="BL498" i="4"/>
  <c r="BL499" i="4"/>
  <c r="BL500" i="4"/>
  <c r="BL501" i="4"/>
  <c r="BL502" i="4"/>
  <c r="BL503" i="4"/>
  <c r="BL504" i="4"/>
  <c r="BL505" i="4"/>
  <c r="BL506" i="4"/>
  <c r="BL507" i="4"/>
  <c r="BL508" i="4"/>
  <c r="BL509" i="4"/>
  <c r="BL510" i="4"/>
  <c r="BL511" i="4"/>
  <c r="BL512" i="4"/>
  <c r="BL513" i="4"/>
  <c r="BL514" i="4"/>
  <c r="BL515" i="4"/>
  <c r="BL516" i="4"/>
  <c r="BL517" i="4"/>
  <c r="BL518" i="4"/>
  <c r="BL519" i="4"/>
  <c r="BL520" i="4"/>
  <c r="BL521" i="4"/>
  <c r="BL522" i="4"/>
  <c r="BL523" i="4"/>
  <c r="BL524" i="4"/>
  <c r="BL525" i="4"/>
  <c r="BL526" i="4"/>
  <c r="BL527" i="4"/>
  <c r="BL528" i="4"/>
  <c r="BL529" i="4"/>
  <c r="BL530" i="4"/>
  <c r="BL531" i="4"/>
  <c r="BL532" i="4"/>
  <c r="BL533" i="4"/>
  <c r="BL534" i="4"/>
  <c r="BL535" i="4"/>
  <c r="BL536" i="4"/>
  <c r="BL537" i="4"/>
  <c r="BL538" i="4"/>
  <c r="BL539" i="4"/>
  <c r="BL540" i="4"/>
  <c r="BL541" i="4"/>
  <c r="BL542" i="4"/>
  <c r="BL543" i="4"/>
  <c r="BL544" i="4"/>
  <c r="BL545" i="4"/>
  <c r="BL546" i="4"/>
  <c r="BL547" i="4"/>
  <c r="BL548" i="4"/>
  <c r="BL549" i="4"/>
  <c r="BL550" i="4"/>
  <c r="BL551" i="4"/>
  <c r="BL552" i="4"/>
  <c r="BL553" i="4"/>
  <c r="BL554" i="4"/>
  <c r="BL555" i="4"/>
  <c r="BL556" i="4"/>
  <c r="BL557" i="4"/>
  <c r="BL558" i="4"/>
  <c r="BL559" i="4"/>
  <c r="BL560" i="4"/>
  <c r="BL561" i="4"/>
  <c r="BL562" i="4"/>
  <c r="BL563" i="4"/>
  <c r="BL564" i="4"/>
  <c r="BL565" i="4"/>
  <c r="BL566" i="4"/>
  <c r="BL567" i="4"/>
  <c r="BL568" i="4"/>
  <c r="BL569" i="4"/>
  <c r="BL570" i="4"/>
  <c r="BL571" i="4"/>
  <c r="BL572" i="4"/>
  <c r="BL573" i="4"/>
  <c r="BL574" i="4"/>
  <c r="BL575" i="4"/>
  <c r="BL576" i="4"/>
  <c r="BL577" i="4"/>
  <c r="BL578" i="4"/>
  <c r="BL579" i="4"/>
  <c r="BL580" i="4"/>
  <c r="BL581" i="4"/>
  <c r="BL582" i="4"/>
  <c r="BL583" i="4"/>
  <c r="BL584" i="4"/>
  <c r="BL585" i="4"/>
  <c r="BL586" i="4"/>
  <c r="BL587" i="4"/>
  <c r="BL588" i="4"/>
  <c r="BL589" i="4"/>
  <c r="BL590" i="4"/>
  <c r="BL591" i="4"/>
  <c r="BL592" i="4"/>
  <c r="BL593" i="4"/>
  <c r="BL594" i="4"/>
  <c r="BL595" i="4"/>
  <c r="BL596" i="4"/>
  <c r="BL597" i="4"/>
  <c r="BL598" i="4"/>
  <c r="BL599" i="4"/>
  <c r="BL600" i="4"/>
  <c r="BL601" i="4"/>
  <c r="BL602" i="4"/>
  <c r="BL603" i="4"/>
  <c r="BL604" i="4"/>
  <c r="BL605" i="4"/>
  <c r="BL606" i="4"/>
  <c r="BL607" i="4"/>
  <c r="BL608" i="4"/>
  <c r="BL609" i="4"/>
  <c r="BL610" i="4"/>
  <c r="BL611" i="4"/>
  <c r="BL612" i="4"/>
  <c r="BL613" i="4"/>
  <c r="BL614" i="4"/>
  <c r="BL615" i="4"/>
  <c r="BL616" i="4"/>
  <c r="BL617" i="4"/>
  <c r="BL618" i="4"/>
  <c r="BL619" i="4"/>
  <c r="BL620" i="4"/>
  <c r="BL621" i="4"/>
  <c r="BL622" i="4"/>
  <c r="BL623" i="4"/>
  <c r="BL624" i="4"/>
  <c r="BL625" i="4"/>
  <c r="BL626" i="4"/>
  <c r="BL627" i="4"/>
  <c r="BL628" i="4"/>
  <c r="BL629" i="4"/>
  <c r="BL630" i="4"/>
  <c r="BL631" i="4"/>
  <c r="BL632" i="4"/>
  <c r="BL633" i="4"/>
  <c r="BL634" i="4"/>
  <c r="BL635" i="4"/>
  <c r="BL636" i="4"/>
  <c r="BL649" i="4"/>
  <c r="BL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H34" i="4"/>
  <c r="BH35" i="4"/>
  <c r="BH36" i="4"/>
  <c r="BH37" i="4"/>
  <c r="BH38" i="4"/>
  <c r="BH39" i="4"/>
  <c r="BH40" i="4"/>
  <c r="BH41" i="4"/>
  <c r="BH42" i="4"/>
  <c r="BH43" i="4"/>
  <c r="BH44" i="4"/>
  <c r="BH45" i="4"/>
  <c r="BH46" i="4"/>
  <c r="BH47" i="4"/>
  <c r="BH48" i="4"/>
  <c r="BH49" i="4"/>
  <c r="BH50" i="4"/>
  <c r="BH51" i="4"/>
  <c r="BH52" i="4"/>
  <c r="BH53" i="4"/>
  <c r="BH54" i="4"/>
  <c r="BH55" i="4"/>
  <c r="BH56" i="4"/>
  <c r="BH57" i="4"/>
  <c r="BH58" i="4"/>
  <c r="BH59" i="4"/>
  <c r="BH60" i="4"/>
  <c r="BH61" i="4"/>
  <c r="BH62" i="4"/>
  <c r="BH63" i="4"/>
  <c r="BH64" i="4"/>
  <c r="BH65" i="4"/>
  <c r="BH66" i="4"/>
  <c r="BH67" i="4"/>
  <c r="BH68" i="4"/>
  <c r="BH69" i="4"/>
  <c r="BH70" i="4"/>
  <c r="BH71" i="4"/>
  <c r="BH72" i="4"/>
  <c r="BH73" i="4"/>
  <c r="BH74" i="4"/>
  <c r="BH75" i="4"/>
  <c r="BH76" i="4"/>
  <c r="BH77" i="4"/>
  <c r="BH78" i="4"/>
  <c r="BH79" i="4"/>
  <c r="BH80" i="4"/>
  <c r="BH81" i="4"/>
  <c r="BH82" i="4"/>
  <c r="BH83" i="4"/>
  <c r="BH84" i="4"/>
  <c r="BH85" i="4"/>
  <c r="BH86" i="4"/>
  <c r="BH87" i="4"/>
  <c r="BH88" i="4"/>
  <c r="BH89" i="4"/>
  <c r="BH90" i="4"/>
  <c r="BH91" i="4"/>
  <c r="BH92" i="4"/>
  <c r="BH93" i="4"/>
  <c r="BH94" i="4"/>
  <c r="BH95" i="4"/>
  <c r="BH96" i="4"/>
  <c r="BH97" i="4"/>
  <c r="BH98" i="4"/>
  <c r="BH99" i="4"/>
  <c r="BH100" i="4"/>
  <c r="BH101" i="4"/>
  <c r="BH102" i="4"/>
  <c r="BH103" i="4"/>
  <c r="BH104" i="4"/>
  <c r="BH105" i="4"/>
  <c r="BH106" i="4"/>
  <c r="BH107" i="4"/>
  <c r="BH108" i="4"/>
  <c r="BH109" i="4"/>
  <c r="BH110" i="4"/>
  <c r="BH111" i="4"/>
  <c r="BH112" i="4"/>
  <c r="BH113" i="4"/>
  <c r="BH114" i="4"/>
  <c r="BH115" i="4"/>
  <c r="BH116" i="4"/>
  <c r="BH117" i="4"/>
  <c r="BH118" i="4"/>
  <c r="BH119" i="4"/>
  <c r="BH120" i="4"/>
  <c r="BH121" i="4"/>
  <c r="BH122" i="4"/>
  <c r="BH123" i="4"/>
  <c r="BH124" i="4"/>
  <c r="BH125" i="4"/>
  <c r="BH126" i="4"/>
  <c r="BH127" i="4"/>
  <c r="BH128" i="4"/>
  <c r="BH129" i="4"/>
  <c r="BH130" i="4"/>
  <c r="BH131" i="4"/>
  <c r="BH132" i="4"/>
  <c r="BH133" i="4"/>
  <c r="BH134" i="4"/>
  <c r="BH135" i="4"/>
  <c r="BH136" i="4"/>
  <c r="BH137" i="4"/>
  <c r="BH138" i="4"/>
  <c r="BH139" i="4"/>
  <c r="BH140" i="4"/>
  <c r="BH141" i="4"/>
  <c r="BH142" i="4"/>
  <c r="BH143" i="4"/>
  <c r="BH144" i="4"/>
  <c r="BH145" i="4"/>
  <c r="BH146" i="4"/>
  <c r="BH147" i="4"/>
  <c r="BH148" i="4"/>
  <c r="BH149" i="4"/>
  <c r="BH150" i="4"/>
  <c r="BH151" i="4"/>
  <c r="BH152" i="4"/>
  <c r="BH153" i="4"/>
  <c r="BH154" i="4"/>
  <c r="BH155" i="4"/>
  <c r="BH156" i="4"/>
  <c r="BH157" i="4"/>
  <c r="BH158" i="4"/>
  <c r="BH159" i="4"/>
  <c r="BH160" i="4"/>
  <c r="BH161" i="4"/>
  <c r="BH162" i="4"/>
  <c r="BH163" i="4"/>
  <c r="BH164" i="4"/>
  <c r="BH165" i="4"/>
  <c r="BH166" i="4"/>
  <c r="BH167" i="4"/>
  <c r="BH168" i="4"/>
  <c r="BH169" i="4"/>
  <c r="BH170" i="4"/>
  <c r="BH171" i="4"/>
  <c r="BH172" i="4"/>
  <c r="BH173" i="4"/>
  <c r="BH174" i="4"/>
  <c r="BH175" i="4"/>
  <c r="BH176" i="4"/>
  <c r="BH177" i="4"/>
  <c r="BH178" i="4"/>
  <c r="BH179" i="4"/>
  <c r="BH180" i="4"/>
  <c r="BH181" i="4"/>
  <c r="BH182" i="4"/>
  <c r="BH183" i="4"/>
  <c r="BH184" i="4"/>
  <c r="BH185" i="4"/>
  <c r="BH186" i="4"/>
  <c r="BH187" i="4"/>
  <c r="BH188" i="4"/>
  <c r="BH189" i="4"/>
  <c r="BH190" i="4"/>
  <c r="BH191" i="4"/>
  <c r="BH192" i="4"/>
  <c r="BH193" i="4"/>
  <c r="BH194" i="4"/>
  <c r="BH195" i="4"/>
  <c r="BH196" i="4"/>
  <c r="BH197" i="4"/>
  <c r="BH198" i="4"/>
  <c r="BH199" i="4"/>
  <c r="BH200" i="4"/>
  <c r="BH201" i="4"/>
  <c r="BH202" i="4"/>
  <c r="BH203" i="4"/>
  <c r="BH204" i="4"/>
  <c r="BH205" i="4"/>
  <c r="BH206" i="4"/>
  <c r="BH207" i="4"/>
  <c r="BH208" i="4"/>
  <c r="BH209" i="4"/>
  <c r="BH210" i="4"/>
  <c r="BH211" i="4"/>
  <c r="BH212" i="4"/>
  <c r="BH213" i="4"/>
  <c r="BH214" i="4"/>
  <c r="BH215" i="4"/>
  <c r="BH216" i="4"/>
  <c r="BH217" i="4"/>
  <c r="BH218" i="4"/>
  <c r="BH219" i="4"/>
  <c r="BH220" i="4"/>
  <c r="BH221" i="4"/>
  <c r="BH222" i="4"/>
  <c r="BH223" i="4"/>
  <c r="BH224" i="4"/>
  <c r="BH225" i="4"/>
  <c r="BH226" i="4"/>
  <c r="BH227" i="4"/>
  <c r="BH228" i="4"/>
  <c r="BH229" i="4"/>
  <c r="BH230" i="4"/>
  <c r="BH231" i="4"/>
  <c r="BH232" i="4"/>
  <c r="BH233" i="4"/>
  <c r="BH234" i="4"/>
  <c r="BH235" i="4"/>
  <c r="BH236" i="4"/>
  <c r="BH237" i="4"/>
  <c r="BH238" i="4"/>
  <c r="BH239" i="4"/>
  <c r="BH240" i="4"/>
  <c r="BH241" i="4"/>
  <c r="BH242" i="4"/>
  <c r="BH243" i="4"/>
  <c r="BH244" i="4"/>
  <c r="BH245" i="4"/>
  <c r="BH246" i="4"/>
  <c r="BH247" i="4"/>
  <c r="BH248" i="4"/>
  <c r="BH249" i="4"/>
  <c r="BH250" i="4"/>
  <c r="BH251" i="4"/>
  <c r="BH252" i="4"/>
  <c r="BH253" i="4"/>
  <c r="BH254" i="4"/>
  <c r="BH255" i="4"/>
  <c r="BH256" i="4"/>
  <c r="BH257" i="4"/>
  <c r="BH258" i="4"/>
  <c r="BH259" i="4"/>
  <c r="BH260" i="4"/>
  <c r="BH261" i="4"/>
  <c r="BH262" i="4"/>
  <c r="BH263" i="4"/>
  <c r="BH264" i="4"/>
  <c r="BH265" i="4"/>
  <c r="BH266" i="4"/>
  <c r="BH267" i="4"/>
  <c r="BH268" i="4"/>
  <c r="BH269" i="4"/>
  <c r="BH270" i="4"/>
  <c r="BH271" i="4"/>
  <c r="BH272" i="4"/>
  <c r="BH273" i="4"/>
  <c r="BH274" i="4"/>
  <c r="BH275" i="4"/>
  <c r="BH276" i="4"/>
  <c r="BH277" i="4"/>
  <c r="BH278" i="4"/>
  <c r="BH279" i="4"/>
  <c r="BH280" i="4"/>
  <c r="BH281" i="4"/>
  <c r="BH282" i="4"/>
  <c r="BH283" i="4"/>
  <c r="BH284" i="4"/>
  <c r="BH285" i="4"/>
  <c r="BH286" i="4"/>
  <c r="BH287" i="4"/>
  <c r="BH288" i="4"/>
  <c r="BH289" i="4"/>
  <c r="BH290" i="4"/>
  <c r="BH291" i="4"/>
  <c r="BH292" i="4"/>
  <c r="BH293" i="4"/>
  <c r="BH294" i="4"/>
  <c r="BH295" i="4"/>
  <c r="BH296" i="4"/>
  <c r="BH297" i="4"/>
  <c r="BH298" i="4"/>
  <c r="BH299" i="4"/>
  <c r="BH300" i="4"/>
  <c r="BH301" i="4"/>
  <c r="BH302" i="4"/>
  <c r="BH303" i="4"/>
  <c r="BH304" i="4"/>
  <c r="BH305" i="4"/>
  <c r="BH306" i="4"/>
  <c r="BH307" i="4"/>
  <c r="BH308" i="4"/>
  <c r="BH309" i="4"/>
  <c r="BH310" i="4"/>
  <c r="BH311" i="4"/>
  <c r="BH312" i="4"/>
  <c r="BH313" i="4"/>
  <c r="BH314" i="4"/>
  <c r="BH315" i="4"/>
  <c r="BH316" i="4"/>
  <c r="BH317" i="4"/>
  <c r="BH318" i="4"/>
  <c r="BH319" i="4"/>
  <c r="BH320" i="4"/>
  <c r="BH321" i="4"/>
  <c r="BH322" i="4"/>
  <c r="BH323" i="4"/>
  <c r="BH324" i="4"/>
  <c r="BH325" i="4"/>
  <c r="BH326" i="4"/>
  <c r="BH327" i="4"/>
  <c r="BH328" i="4"/>
  <c r="BH329" i="4"/>
  <c r="BH330" i="4"/>
  <c r="BH331" i="4"/>
  <c r="BH332" i="4"/>
  <c r="BH333" i="4"/>
  <c r="BH334" i="4"/>
  <c r="BH335" i="4"/>
  <c r="BH336" i="4"/>
  <c r="BH337" i="4"/>
  <c r="BH338" i="4"/>
  <c r="BH339" i="4"/>
  <c r="BH340" i="4"/>
  <c r="BH341" i="4"/>
  <c r="BH342" i="4"/>
  <c r="BH343" i="4"/>
  <c r="BH344" i="4"/>
  <c r="BH345" i="4"/>
  <c r="BH346" i="4"/>
  <c r="BH347" i="4"/>
  <c r="BH348" i="4"/>
  <c r="BH349" i="4"/>
  <c r="BH350" i="4"/>
  <c r="BH351" i="4"/>
  <c r="BH352" i="4"/>
  <c r="BH353" i="4"/>
  <c r="BH354" i="4"/>
  <c r="BH355" i="4"/>
  <c r="BH356" i="4"/>
  <c r="BH357" i="4"/>
  <c r="BH358" i="4"/>
  <c r="BH359" i="4"/>
  <c r="BH360" i="4"/>
  <c r="BH361" i="4"/>
  <c r="BH362" i="4"/>
  <c r="BH363" i="4"/>
  <c r="BH364" i="4"/>
  <c r="BH365" i="4"/>
  <c r="BH366" i="4"/>
  <c r="BH367" i="4"/>
  <c r="BH368" i="4"/>
  <c r="BH369" i="4"/>
  <c r="BH370" i="4"/>
  <c r="BH371" i="4"/>
  <c r="BH372" i="4"/>
  <c r="BH373" i="4"/>
  <c r="BH374" i="4"/>
  <c r="BH375" i="4"/>
  <c r="BH376" i="4"/>
  <c r="BH377" i="4"/>
  <c r="BH378" i="4"/>
  <c r="BH379" i="4"/>
  <c r="BH380" i="4"/>
  <c r="BH381" i="4"/>
  <c r="BH382" i="4"/>
  <c r="BH383" i="4"/>
  <c r="BH384" i="4"/>
  <c r="BH385" i="4"/>
  <c r="BH386" i="4"/>
  <c r="BH387" i="4"/>
  <c r="BH388" i="4"/>
  <c r="BH389" i="4"/>
  <c r="BH390" i="4"/>
  <c r="BH391" i="4"/>
  <c r="BH392" i="4"/>
  <c r="BH393" i="4"/>
  <c r="BH394" i="4"/>
  <c r="BH395" i="4"/>
  <c r="BH396" i="4"/>
  <c r="BH397" i="4"/>
  <c r="BH398" i="4"/>
  <c r="BH399" i="4"/>
  <c r="BH400" i="4"/>
  <c r="BH401" i="4"/>
  <c r="BH402" i="4"/>
  <c r="BH403" i="4"/>
  <c r="BH404" i="4"/>
  <c r="BH405" i="4"/>
  <c r="BH406" i="4"/>
  <c r="BH407" i="4"/>
  <c r="BH408" i="4"/>
  <c r="BH409" i="4"/>
  <c r="BH410" i="4"/>
  <c r="BH411" i="4"/>
  <c r="BH412" i="4"/>
  <c r="BH413" i="4"/>
  <c r="BH414" i="4"/>
  <c r="BH415" i="4"/>
  <c r="BH416" i="4"/>
  <c r="BH417" i="4"/>
  <c r="BH418" i="4"/>
  <c r="BH419" i="4"/>
  <c r="BH420" i="4"/>
  <c r="BH421" i="4"/>
  <c r="BH422" i="4"/>
  <c r="BH423" i="4"/>
  <c r="BH424" i="4"/>
  <c r="BH425" i="4"/>
  <c r="BH426" i="4"/>
  <c r="BH427" i="4"/>
  <c r="BH428" i="4"/>
  <c r="BH429" i="4"/>
  <c r="BH430" i="4"/>
  <c r="BH431" i="4"/>
  <c r="BH432" i="4"/>
  <c r="BH433" i="4"/>
  <c r="BH434" i="4"/>
  <c r="BH435" i="4"/>
  <c r="BH436" i="4"/>
  <c r="BH437" i="4"/>
  <c r="BH438" i="4"/>
  <c r="BH439" i="4"/>
  <c r="BH440" i="4"/>
  <c r="BH441" i="4"/>
  <c r="BH442" i="4"/>
  <c r="BH443" i="4"/>
  <c r="BH444" i="4"/>
  <c r="BH445" i="4"/>
  <c r="BH446" i="4"/>
  <c r="BH447" i="4"/>
  <c r="BH448" i="4"/>
  <c r="BH449" i="4"/>
  <c r="BH450" i="4"/>
  <c r="BH451" i="4"/>
  <c r="BH452" i="4"/>
  <c r="BH453" i="4"/>
  <c r="BH454" i="4"/>
  <c r="BH455" i="4"/>
  <c r="BH456" i="4"/>
  <c r="BH457" i="4"/>
  <c r="BH458" i="4"/>
  <c r="BH459" i="4"/>
  <c r="BH460" i="4"/>
  <c r="BH461" i="4"/>
  <c r="BH462" i="4"/>
  <c r="BH463" i="4"/>
  <c r="BH464" i="4"/>
  <c r="BH465" i="4"/>
  <c r="BH466" i="4"/>
  <c r="BH467" i="4"/>
  <c r="BH468" i="4"/>
  <c r="BH469" i="4"/>
  <c r="BH470" i="4"/>
  <c r="BH471" i="4"/>
  <c r="BH472" i="4"/>
  <c r="BH473" i="4"/>
  <c r="BH474" i="4"/>
  <c r="BH475" i="4"/>
  <c r="BH476" i="4"/>
  <c r="BH477" i="4"/>
  <c r="BH478" i="4"/>
  <c r="BH479" i="4"/>
  <c r="BH480" i="4"/>
  <c r="BH481" i="4"/>
  <c r="BH482" i="4"/>
  <c r="BH483" i="4"/>
  <c r="BH484" i="4"/>
  <c r="BH485" i="4"/>
  <c r="BH486" i="4"/>
  <c r="BH487" i="4"/>
  <c r="BH488" i="4"/>
  <c r="BH489" i="4"/>
  <c r="BH490" i="4"/>
  <c r="BH491" i="4"/>
  <c r="BH492" i="4"/>
  <c r="BH493" i="4"/>
  <c r="BH494" i="4"/>
  <c r="BH495" i="4"/>
  <c r="BH496" i="4"/>
  <c r="BH497" i="4"/>
  <c r="BH498" i="4"/>
  <c r="BH499" i="4"/>
  <c r="BH500" i="4"/>
  <c r="BH501" i="4"/>
  <c r="BH502" i="4"/>
  <c r="BH503" i="4"/>
  <c r="BH504" i="4"/>
  <c r="BH505" i="4"/>
  <c r="BH506" i="4"/>
  <c r="BH507" i="4"/>
  <c r="BH508" i="4"/>
  <c r="BH509" i="4"/>
  <c r="BH510" i="4"/>
  <c r="BH511" i="4"/>
  <c r="BH512" i="4"/>
  <c r="BH513" i="4"/>
  <c r="BH514" i="4"/>
  <c r="BH515" i="4"/>
  <c r="BH516" i="4"/>
  <c r="BH517" i="4"/>
  <c r="BH518" i="4"/>
  <c r="BH519" i="4"/>
  <c r="BH520" i="4"/>
  <c r="BH521" i="4"/>
  <c r="BH522" i="4"/>
  <c r="BH523" i="4"/>
  <c r="BH524" i="4"/>
  <c r="BH525" i="4"/>
  <c r="BH526" i="4"/>
  <c r="BH527" i="4"/>
  <c r="BH528" i="4"/>
  <c r="BH529" i="4"/>
  <c r="BH530" i="4"/>
  <c r="BH531" i="4"/>
  <c r="BH532" i="4"/>
  <c r="BH533" i="4"/>
  <c r="BH534" i="4"/>
  <c r="BH535" i="4"/>
  <c r="BH536" i="4"/>
  <c r="BH537" i="4"/>
  <c r="BH538" i="4"/>
  <c r="BH539" i="4"/>
  <c r="BH540" i="4"/>
  <c r="BH541" i="4"/>
  <c r="BH542" i="4"/>
  <c r="BH543" i="4"/>
  <c r="BH544" i="4"/>
  <c r="BH545" i="4"/>
  <c r="BH546" i="4"/>
  <c r="BH547" i="4"/>
  <c r="BH548" i="4"/>
  <c r="BH549" i="4"/>
  <c r="BH550" i="4"/>
  <c r="BH551" i="4"/>
  <c r="BH552" i="4"/>
  <c r="BH553" i="4"/>
  <c r="BH554" i="4"/>
  <c r="BH555" i="4"/>
  <c r="BH556" i="4"/>
  <c r="BH557" i="4"/>
  <c r="BH558" i="4"/>
  <c r="BH559" i="4"/>
  <c r="BH560" i="4"/>
  <c r="BH561" i="4"/>
  <c r="BH562" i="4"/>
  <c r="BH563" i="4"/>
  <c r="BH564" i="4"/>
  <c r="BH565" i="4"/>
  <c r="BH566" i="4"/>
  <c r="BH567" i="4"/>
  <c r="BH568" i="4"/>
  <c r="BH569" i="4"/>
  <c r="BH570" i="4"/>
  <c r="BH571" i="4"/>
  <c r="BH572" i="4"/>
  <c r="BH573" i="4"/>
  <c r="BH574" i="4"/>
  <c r="BH575" i="4"/>
  <c r="BH576" i="4"/>
  <c r="BH577" i="4"/>
  <c r="BH578" i="4"/>
  <c r="BH579" i="4"/>
  <c r="BH580" i="4"/>
  <c r="BH581" i="4"/>
  <c r="BH582" i="4"/>
  <c r="BH583" i="4"/>
  <c r="BH584" i="4"/>
  <c r="BH585" i="4"/>
  <c r="BH586" i="4"/>
  <c r="BH587" i="4"/>
  <c r="BH588" i="4"/>
  <c r="BH589" i="4"/>
  <c r="BH590" i="4"/>
  <c r="BH591" i="4"/>
  <c r="BH592" i="4"/>
  <c r="BH593" i="4"/>
  <c r="BH594" i="4"/>
  <c r="BH595" i="4"/>
  <c r="BH596" i="4"/>
  <c r="BH597" i="4"/>
  <c r="BH598" i="4"/>
  <c r="BH599" i="4"/>
  <c r="BH600" i="4"/>
  <c r="BH601" i="4"/>
  <c r="BH602" i="4"/>
  <c r="BH603" i="4"/>
  <c r="BH604" i="4"/>
  <c r="BH605" i="4"/>
  <c r="BH606" i="4"/>
  <c r="BH607" i="4"/>
  <c r="BH608" i="4"/>
  <c r="BH609" i="4"/>
  <c r="BH610" i="4"/>
  <c r="BH611" i="4"/>
  <c r="BH612" i="4"/>
  <c r="BH613" i="4"/>
  <c r="BH614" i="4"/>
  <c r="BH615" i="4"/>
  <c r="BH616" i="4"/>
  <c r="BH617" i="4"/>
  <c r="BH618" i="4"/>
  <c r="BH619" i="4"/>
  <c r="BH620" i="4"/>
  <c r="BH621" i="4"/>
  <c r="BH622" i="4"/>
  <c r="BH623" i="4"/>
  <c r="BH624" i="4"/>
  <c r="BH625" i="4"/>
  <c r="BH626" i="4"/>
  <c r="BH627" i="4"/>
  <c r="BH628" i="4"/>
  <c r="BH629" i="4"/>
  <c r="BH630" i="4"/>
  <c r="BH631" i="4"/>
  <c r="BH632" i="4"/>
  <c r="BH633" i="4"/>
  <c r="BH634" i="4"/>
  <c r="BH635" i="4"/>
  <c r="BH636" i="4"/>
  <c r="BH8" i="4"/>
  <c r="BD9" i="4"/>
  <c r="BD10" i="4"/>
  <c r="BD11" i="4"/>
  <c r="BD12" i="4"/>
  <c r="BD13" i="4"/>
  <c r="BD14" i="4"/>
  <c r="BD15" i="4"/>
  <c r="BD16" i="4"/>
  <c r="BD17" i="4"/>
  <c r="BD18" i="4"/>
  <c r="BD19" i="4"/>
  <c r="BD20" i="4"/>
  <c r="BD21" i="4"/>
  <c r="BD22" i="4"/>
  <c r="BD23" i="4"/>
  <c r="BD24" i="4"/>
  <c r="BD25" i="4"/>
  <c r="BD26" i="4"/>
  <c r="BD27" i="4"/>
  <c r="BD28" i="4"/>
  <c r="BD29" i="4"/>
  <c r="BD30" i="4"/>
  <c r="BD31" i="4"/>
  <c r="BD32" i="4"/>
  <c r="BD33" i="4"/>
  <c r="BD34" i="4"/>
  <c r="BD35" i="4"/>
  <c r="BD36" i="4"/>
  <c r="BD37" i="4"/>
  <c r="BD38" i="4"/>
  <c r="BD39" i="4"/>
  <c r="BD40" i="4"/>
  <c r="BD41" i="4"/>
  <c r="BD42" i="4"/>
  <c r="BD43" i="4"/>
  <c r="BD44" i="4"/>
  <c r="BD45" i="4"/>
  <c r="BD46" i="4"/>
  <c r="BD47" i="4"/>
  <c r="BD48" i="4"/>
  <c r="BD49" i="4"/>
  <c r="BD50" i="4"/>
  <c r="BD51" i="4"/>
  <c r="BD52" i="4"/>
  <c r="BD53" i="4"/>
  <c r="BD54" i="4"/>
  <c r="BD55" i="4"/>
  <c r="BD56" i="4"/>
  <c r="BD57" i="4"/>
  <c r="BD58" i="4"/>
  <c r="BD59" i="4"/>
  <c r="BD60" i="4"/>
  <c r="BD61" i="4"/>
  <c r="BD62" i="4"/>
  <c r="BD63" i="4"/>
  <c r="BD64" i="4"/>
  <c r="BD65" i="4"/>
  <c r="BD66" i="4"/>
  <c r="BD67" i="4"/>
  <c r="BD68" i="4"/>
  <c r="BD69" i="4"/>
  <c r="BD70" i="4"/>
  <c r="BD71" i="4"/>
  <c r="BD72" i="4"/>
  <c r="BD73" i="4"/>
  <c r="BD74" i="4"/>
  <c r="BD75" i="4"/>
  <c r="BD76" i="4"/>
  <c r="BD77" i="4"/>
  <c r="BD78" i="4"/>
  <c r="BD79" i="4"/>
  <c r="BD80" i="4"/>
  <c r="BD81" i="4"/>
  <c r="BD82" i="4"/>
  <c r="BD83" i="4"/>
  <c r="BD84" i="4"/>
  <c r="BD85" i="4"/>
  <c r="BD86" i="4"/>
  <c r="BD87" i="4"/>
  <c r="BD88" i="4"/>
  <c r="BD89" i="4"/>
  <c r="BD90" i="4"/>
  <c r="BD91" i="4"/>
  <c r="BD92" i="4"/>
  <c r="BD93" i="4"/>
  <c r="BD94" i="4"/>
  <c r="BD95" i="4"/>
  <c r="BD96" i="4"/>
  <c r="BD97" i="4"/>
  <c r="BD98" i="4"/>
  <c r="BD99" i="4"/>
  <c r="BD100" i="4"/>
  <c r="BD101" i="4"/>
  <c r="BD102" i="4"/>
  <c r="BD103" i="4"/>
  <c r="BD104" i="4"/>
  <c r="BD105" i="4"/>
  <c r="BD106" i="4"/>
  <c r="BD107" i="4"/>
  <c r="BD108" i="4"/>
  <c r="BD109" i="4"/>
  <c r="BD110" i="4"/>
  <c r="BD111" i="4"/>
  <c r="BD112" i="4"/>
  <c r="BD113" i="4"/>
  <c r="BD114" i="4"/>
  <c r="BD115" i="4"/>
  <c r="BD116" i="4"/>
  <c r="BD117" i="4"/>
  <c r="BD118" i="4"/>
  <c r="BD119" i="4"/>
  <c r="BD120" i="4"/>
  <c r="BD121" i="4"/>
  <c r="BD122" i="4"/>
  <c r="BD123" i="4"/>
  <c r="BD124" i="4"/>
  <c r="BD125" i="4"/>
  <c r="BD126" i="4"/>
  <c r="BD127" i="4"/>
  <c r="BD128" i="4"/>
  <c r="BD129" i="4"/>
  <c r="BD130" i="4"/>
  <c r="BD131" i="4"/>
  <c r="BD132" i="4"/>
  <c r="BD133" i="4"/>
  <c r="BD134" i="4"/>
  <c r="BD135" i="4"/>
  <c r="BD136" i="4"/>
  <c r="BD137" i="4"/>
  <c r="BD138" i="4"/>
  <c r="BD139" i="4"/>
  <c r="BD140" i="4"/>
  <c r="BD141" i="4"/>
  <c r="BD142" i="4"/>
  <c r="BD143" i="4"/>
  <c r="BD144" i="4"/>
  <c r="BD145" i="4"/>
  <c r="BD146" i="4"/>
  <c r="BD147" i="4"/>
  <c r="BD148" i="4"/>
  <c r="BD149" i="4"/>
  <c r="BD150" i="4"/>
  <c r="BD151" i="4"/>
  <c r="BD152" i="4"/>
  <c r="BD153" i="4"/>
  <c r="BD154" i="4"/>
  <c r="BD155" i="4"/>
  <c r="BD156" i="4"/>
  <c r="BD157" i="4"/>
  <c r="BD158" i="4"/>
  <c r="BD159" i="4"/>
  <c r="BD160" i="4"/>
  <c r="BD161" i="4"/>
  <c r="BD162" i="4"/>
  <c r="BD163" i="4"/>
  <c r="BD164" i="4"/>
  <c r="BD165" i="4"/>
  <c r="BD166" i="4"/>
  <c r="BD167" i="4"/>
  <c r="BD168" i="4"/>
  <c r="BD169" i="4"/>
  <c r="BD170" i="4"/>
  <c r="BD171" i="4"/>
  <c r="BD172" i="4"/>
  <c r="BD173" i="4"/>
  <c r="BD174" i="4"/>
  <c r="BD175" i="4"/>
  <c r="BD176" i="4"/>
  <c r="BD177" i="4"/>
  <c r="BD178" i="4"/>
  <c r="BD179" i="4"/>
  <c r="BD180" i="4"/>
  <c r="BD181" i="4"/>
  <c r="BD182" i="4"/>
  <c r="BD183" i="4"/>
  <c r="BD184" i="4"/>
  <c r="BD185" i="4"/>
  <c r="BD186" i="4"/>
  <c r="BD187" i="4"/>
  <c r="BD188" i="4"/>
  <c r="BD189" i="4"/>
  <c r="BD190" i="4"/>
  <c r="BD191" i="4"/>
  <c r="BD192" i="4"/>
  <c r="BD193" i="4"/>
  <c r="BD194" i="4"/>
  <c r="BD195" i="4"/>
  <c r="BD196" i="4"/>
  <c r="BD197" i="4"/>
  <c r="BD198" i="4"/>
  <c r="BD199" i="4"/>
  <c r="BD200" i="4"/>
  <c r="BD201" i="4"/>
  <c r="BD202" i="4"/>
  <c r="BD203" i="4"/>
  <c r="BD204" i="4"/>
  <c r="BD205" i="4"/>
  <c r="BD206" i="4"/>
  <c r="BD207" i="4"/>
  <c r="BD208" i="4"/>
  <c r="BD209" i="4"/>
  <c r="BD210" i="4"/>
  <c r="BD211" i="4"/>
  <c r="BD212" i="4"/>
  <c r="BD213" i="4"/>
  <c r="BD214" i="4"/>
  <c r="BD215" i="4"/>
  <c r="BD216" i="4"/>
  <c r="BD217" i="4"/>
  <c r="BD218" i="4"/>
  <c r="BD219" i="4"/>
  <c r="BD220" i="4"/>
  <c r="BD221" i="4"/>
  <c r="BD222" i="4"/>
  <c r="BD223" i="4"/>
  <c r="BD224" i="4"/>
  <c r="BD225" i="4"/>
  <c r="BD226" i="4"/>
  <c r="BD227" i="4"/>
  <c r="BD228" i="4"/>
  <c r="BD229" i="4"/>
  <c r="BD230" i="4"/>
  <c r="BD231" i="4"/>
  <c r="BD232" i="4"/>
  <c r="BD233" i="4"/>
  <c r="BD234" i="4"/>
  <c r="BD235" i="4"/>
  <c r="BD236" i="4"/>
  <c r="BD237" i="4"/>
  <c r="BD238" i="4"/>
  <c r="BD239" i="4"/>
  <c r="BD240" i="4"/>
  <c r="BD241" i="4"/>
  <c r="BD242" i="4"/>
  <c r="BD243" i="4"/>
  <c r="BD244" i="4"/>
  <c r="BD245" i="4"/>
  <c r="BD246" i="4"/>
  <c r="BD247" i="4"/>
  <c r="BD248" i="4"/>
  <c r="BD249" i="4"/>
  <c r="BD250" i="4"/>
  <c r="BD251" i="4"/>
  <c r="BD252" i="4"/>
  <c r="BD253" i="4"/>
  <c r="BD254" i="4"/>
  <c r="BD255" i="4"/>
  <c r="BD256" i="4"/>
  <c r="BD257" i="4"/>
  <c r="BD258" i="4"/>
  <c r="BD259" i="4"/>
  <c r="BD260" i="4"/>
  <c r="BD261" i="4"/>
  <c r="BD262" i="4"/>
  <c r="BD263" i="4"/>
  <c r="BD264" i="4"/>
  <c r="BD265" i="4"/>
  <c r="BD266" i="4"/>
  <c r="BD267" i="4"/>
  <c r="BD268" i="4"/>
  <c r="BD269" i="4"/>
  <c r="BD270" i="4"/>
  <c r="BD271" i="4"/>
  <c r="BD272" i="4"/>
  <c r="BD273" i="4"/>
  <c r="BD274" i="4"/>
  <c r="BD275" i="4"/>
  <c r="BD276" i="4"/>
  <c r="BD277" i="4"/>
  <c r="BD278" i="4"/>
  <c r="BD279" i="4"/>
  <c r="BD280" i="4"/>
  <c r="BD281" i="4"/>
  <c r="BD282" i="4"/>
  <c r="BD283" i="4"/>
  <c r="BD284" i="4"/>
  <c r="BD285" i="4"/>
  <c r="BD286" i="4"/>
  <c r="BD287" i="4"/>
  <c r="BD288" i="4"/>
  <c r="BD289" i="4"/>
  <c r="BD290" i="4"/>
  <c r="BD291" i="4"/>
  <c r="BD292" i="4"/>
  <c r="BD293" i="4"/>
  <c r="BD294" i="4"/>
  <c r="BD295" i="4"/>
  <c r="BD296" i="4"/>
  <c r="BD297" i="4"/>
  <c r="BD298" i="4"/>
  <c r="BD299" i="4"/>
  <c r="BD300" i="4"/>
  <c r="BD301" i="4"/>
  <c r="BD302" i="4"/>
  <c r="BD303" i="4"/>
  <c r="BD304" i="4"/>
  <c r="BD305" i="4"/>
  <c r="BD306" i="4"/>
  <c r="BD307" i="4"/>
  <c r="BD308" i="4"/>
  <c r="BD309" i="4"/>
  <c r="BD310" i="4"/>
  <c r="BD311" i="4"/>
  <c r="BD312" i="4"/>
  <c r="BD313" i="4"/>
  <c r="BD314" i="4"/>
  <c r="BD315" i="4"/>
  <c r="BD316" i="4"/>
  <c r="BD317" i="4"/>
  <c r="BD318" i="4"/>
  <c r="BD319" i="4"/>
  <c r="BD320" i="4"/>
  <c r="BD321" i="4"/>
  <c r="BD322" i="4"/>
  <c r="BD323" i="4"/>
  <c r="BD324" i="4"/>
  <c r="BD325" i="4"/>
  <c r="BD326" i="4"/>
  <c r="BD327" i="4"/>
  <c r="BD328" i="4"/>
  <c r="BD329" i="4"/>
  <c r="BD330" i="4"/>
  <c r="BD331" i="4"/>
  <c r="BD332" i="4"/>
  <c r="BD333" i="4"/>
  <c r="BD334" i="4"/>
  <c r="BD335" i="4"/>
  <c r="BD336" i="4"/>
  <c r="BD337" i="4"/>
  <c r="BD338" i="4"/>
  <c r="BD339" i="4"/>
  <c r="BD340" i="4"/>
  <c r="BD341" i="4"/>
  <c r="BD342" i="4"/>
  <c r="BD343" i="4"/>
  <c r="BD344" i="4"/>
  <c r="BD345" i="4"/>
  <c r="BD346" i="4"/>
  <c r="BD347" i="4"/>
  <c r="BD348" i="4"/>
  <c r="BD349" i="4"/>
  <c r="BD350" i="4"/>
  <c r="BD351" i="4"/>
  <c r="BD352" i="4"/>
  <c r="BD353" i="4"/>
  <c r="BD354" i="4"/>
  <c r="BD355" i="4"/>
  <c r="BD356" i="4"/>
  <c r="BD357" i="4"/>
  <c r="BD358" i="4"/>
  <c r="BD359" i="4"/>
  <c r="BD360" i="4"/>
  <c r="BD361" i="4"/>
  <c r="BD362" i="4"/>
  <c r="BD363" i="4"/>
  <c r="BD364" i="4"/>
  <c r="BD365" i="4"/>
  <c r="BD366" i="4"/>
  <c r="BD367" i="4"/>
  <c r="BD368" i="4"/>
  <c r="BD369" i="4"/>
  <c r="BD370" i="4"/>
  <c r="BD371" i="4"/>
  <c r="BD372" i="4"/>
  <c r="BD373" i="4"/>
  <c r="BD374" i="4"/>
  <c r="BD375" i="4"/>
  <c r="BD376" i="4"/>
  <c r="BD377" i="4"/>
  <c r="BD378" i="4"/>
  <c r="BD379" i="4"/>
  <c r="BD380" i="4"/>
  <c r="BD381" i="4"/>
  <c r="BD382" i="4"/>
  <c r="BD383" i="4"/>
  <c r="BD384" i="4"/>
  <c r="BD385" i="4"/>
  <c r="BD386" i="4"/>
  <c r="BD387" i="4"/>
  <c r="BD388" i="4"/>
  <c r="BD389" i="4"/>
  <c r="BD390" i="4"/>
  <c r="BD391" i="4"/>
  <c r="BD392" i="4"/>
  <c r="BD393" i="4"/>
  <c r="BD394" i="4"/>
  <c r="BD395" i="4"/>
  <c r="BD396" i="4"/>
  <c r="BD397" i="4"/>
  <c r="BD398" i="4"/>
  <c r="BD399" i="4"/>
  <c r="BD400" i="4"/>
  <c r="BD401" i="4"/>
  <c r="BD402" i="4"/>
  <c r="BD403" i="4"/>
  <c r="BD404" i="4"/>
  <c r="BD405" i="4"/>
  <c r="BD406" i="4"/>
  <c r="BD407" i="4"/>
  <c r="BD408" i="4"/>
  <c r="BD409" i="4"/>
  <c r="BD410" i="4"/>
  <c r="BD411" i="4"/>
  <c r="BD412" i="4"/>
  <c r="BD413" i="4"/>
  <c r="BD414" i="4"/>
  <c r="BD415" i="4"/>
  <c r="BD416" i="4"/>
  <c r="BD417" i="4"/>
  <c r="BD418" i="4"/>
  <c r="BD419" i="4"/>
  <c r="BD420" i="4"/>
  <c r="BD421" i="4"/>
  <c r="BD422" i="4"/>
  <c r="BD423" i="4"/>
  <c r="BD424" i="4"/>
  <c r="BD425" i="4"/>
  <c r="BD426" i="4"/>
  <c r="BD427" i="4"/>
  <c r="BD428" i="4"/>
  <c r="BD429" i="4"/>
  <c r="BD430" i="4"/>
  <c r="BD431" i="4"/>
  <c r="BD432" i="4"/>
  <c r="BD433" i="4"/>
  <c r="BD434" i="4"/>
  <c r="BD435" i="4"/>
  <c r="BD436" i="4"/>
  <c r="BD437" i="4"/>
  <c r="BD438" i="4"/>
  <c r="BD439" i="4"/>
  <c r="BD440" i="4"/>
  <c r="BD441" i="4"/>
  <c r="BD442" i="4"/>
  <c r="BD443" i="4"/>
  <c r="BD444" i="4"/>
  <c r="BD445" i="4"/>
  <c r="BD446" i="4"/>
  <c r="BD447" i="4"/>
  <c r="BD448" i="4"/>
  <c r="BD449" i="4"/>
  <c r="BD450" i="4"/>
  <c r="BD451" i="4"/>
  <c r="BD452" i="4"/>
  <c r="BD453" i="4"/>
  <c r="BD454" i="4"/>
  <c r="BD455" i="4"/>
  <c r="BD456" i="4"/>
  <c r="BD457" i="4"/>
  <c r="BD458" i="4"/>
  <c r="BD459" i="4"/>
  <c r="BD460" i="4"/>
  <c r="BD461" i="4"/>
  <c r="BD462" i="4"/>
  <c r="BD463" i="4"/>
  <c r="BD464" i="4"/>
  <c r="BD465" i="4"/>
  <c r="BD466" i="4"/>
  <c r="BD467" i="4"/>
  <c r="BD468" i="4"/>
  <c r="BD469" i="4"/>
  <c r="BD470" i="4"/>
  <c r="BD471" i="4"/>
  <c r="BD472" i="4"/>
  <c r="BD473" i="4"/>
  <c r="BD474" i="4"/>
  <c r="BD475" i="4"/>
  <c r="BD476" i="4"/>
  <c r="BD477" i="4"/>
  <c r="BD478" i="4"/>
  <c r="BD479" i="4"/>
  <c r="BD480" i="4"/>
  <c r="BD481" i="4"/>
  <c r="BD482" i="4"/>
  <c r="BD483" i="4"/>
  <c r="BD484" i="4"/>
  <c r="BD485" i="4"/>
  <c r="BD486" i="4"/>
  <c r="BD487" i="4"/>
  <c r="BD488" i="4"/>
  <c r="BD489" i="4"/>
  <c r="BD490" i="4"/>
  <c r="BD491" i="4"/>
  <c r="BD492" i="4"/>
  <c r="BD493" i="4"/>
  <c r="BD494" i="4"/>
  <c r="BD495" i="4"/>
  <c r="BD496" i="4"/>
  <c r="BD497" i="4"/>
  <c r="BD498" i="4"/>
  <c r="BD499" i="4"/>
  <c r="BD500" i="4"/>
  <c r="BD501" i="4"/>
  <c r="BD502" i="4"/>
  <c r="BD503" i="4"/>
  <c r="BD504" i="4"/>
  <c r="BD505" i="4"/>
  <c r="BD506" i="4"/>
  <c r="BD507" i="4"/>
  <c r="BD508" i="4"/>
  <c r="BD509" i="4"/>
  <c r="BD510" i="4"/>
  <c r="BD511" i="4"/>
  <c r="BD512" i="4"/>
  <c r="BD513" i="4"/>
  <c r="BD514" i="4"/>
  <c r="BD515" i="4"/>
  <c r="BD516" i="4"/>
  <c r="BD517" i="4"/>
  <c r="BD518" i="4"/>
  <c r="BD519" i="4"/>
  <c r="BD520" i="4"/>
  <c r="BD521" i="4"/>
  <c r="BD522" i="4"/>
  <c r="BD523" i="4"/>
  <c r="BD524" i="4"/>
  <c r="BD525" i="4"/>
  <c r="BD526" i="4"/>
  <c r="BD527" i="4"/>
  <c r="BD528" i="4"/>
  <c r="BD529" i="4"/>
  <c r="BD530" i="4"/>
  <c r="BD531" i="4"/>
  <c r="BD532" i="4"/>
  <c r="BD533" i="4"/>
  <c r="BD534" i="4"/>
  <c r="BD535" i="4"/>
  <c r="BD536" i="4"/>
  <c r="BD537" i="4"/>
  <c r="BD538" i="4"/>
  <c r="BD539" i="4"/>
  <c r="BD540" i="4"/>
  <c r="BD541" i="4"/>
  <c r="BD542" i="4"/>
  <c r="BD543" i="4"/>
  <c r="BD544" i="4"/>
  <c r="BD545" i="4"/>
  <c r="BD546" i="4"/>
  <c r="BD547" i="4"/>
  <c r="BD548" i="4"/>
  <c r="BD549" i="4"/>
  <c r="BD550" i="4"/>
  <c r="BD551" i="4"/>
  <c r="BD552" i="4"/>
  <c r="BD553" i="4"/>
  <c r="BD554" i="4"/>
  <c r="BD555" i="4"/>
  <c r="BD556" i="4"/>
  <c r="BD557" i="4"/>
  <c r="BD558" i="4"/>
  <c r="BD559" i="4"/>
  <c r="BD560" i="4"/>
  <c r="BD561" i="4"/>
  <c r="BD562" i="4"/>
  <c r="BD563" i="4"/>
  <c r="BD564" i="4"/>
  <c r="BD565" i="4"/>
  <c r="BD566" i="4"/>
  <c r="BD567" i="4"/>
  <c r="BD568" i="4"/>
  <c r="BD569" i="4"/>
  <c r="BD570" i="4"/>
  <c r="BD571" i="4"/>
  <c r="BD572" i="4"/>
  <c r="BD573" i="4"/>
  <c r="BD574" i="4"/>
  <c r="BD575" i="4"/>
  <c r="BD576" i="4"/>
  <c r="BD577" i="4"/>
  <c r="BD578" i="4"/>
  <c r="BD579" i="4"/>
  <c r="BD580" i="4"/>
  <c r="BD581" i="4"/>
  <c r="BD582" i="4"/>
  <c r="BD583" i="4"/>
  <c r="BD584" i="4"/>
  <c r="BD585" i="4"/>
  <c r="BD586" i="4"/>
  <c r="BD587" i="4"/>
  <c r="BD588" i="4"/>
  <c r="BD589" i="4"/>
  <c r="BD590" i="4"/>
  <c r="BD591" i="4"/>
  <c r="BD592" i="4"/>
  <c r="BD593" i="4"/>
  <c r="BD594" i="4"/>
  <c r="BD595" i="4"/>
  <c r="BD596" i="4"/>
  <c r="BD597" i="4"/>
  <c r="BD598" i="4"/>
  <c r="BD599" i="4"/>
  <c r="BD600" i="4"/>
  <c r="BD601" i="4"/>
  <c r="BD602" i="4"/>
  <c r="BD603" i="4"/>
  <c r="BD604" i="4"/>
  <c r="BD605" i="4"/>
  <c r="BD606" i="4"/>
  <c r="BD607" i="4"/>
  <c r="BD608" i="4"/>
  <c r="BD609" i="4"/>
  <c r="BD610" i="4"/>
  <c r="BD611" i="4"/>
  <c r="BD612" i="4"/>
  <c r="BD613" i="4"/>
  <c r="BD614" i="4"/>
  <c r="BD615" i="4"/>
  <c r="BD616" i="4"/>
  <c r="BD617" i="4"/>
  <c r="BD618" i="4"/>
  <c r="BD619" i="4"/>
  <c r="BD620" i="4"/>
  <c r="BD621" i="4"/>
  <c r="BD622" i="4"/>
  <c r="BD623" i="4"/>
  <c r="BD624" i="4"/>
  <c r="BD625" i="4"/>
  <c r="BD626" i="4"/>
  <c r="BD627" i="4"/>
  <c r="BD628" i="4"/>
  <c r="BD629" i="4"/>
  <c r="BD630" i="4"/>
  <c r="BD631" i="4"/>
  <c r="BD632" i="4"/>
  <c r="BD633" i="4"/>
  <c r="BD634" i="4"/>
  <c r="BD635" i="4"/>
  <c r="BD636" i="4"/>
  <c r="BD8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Z165" i="4"/>
  <c r="AZ166" i="4"/>
  <c r="AZ167" i="4"/>
  <c r="AZ168" i="4"/>
  <c r="AZ169" i="4"/>
  <c r="AZ170" i="4"/>
  <c r="AZ171" i="4"/>
  <c r="AZ172" i="4"/>
  <c r="AZ173" i="4"/>
  <c r="AZ174" i="4"/>
  <c r="AZ175" i="4"/>
  <c r="AZ176" i="4"/>
  <c r="AZ177" i="4"/>
  <c r="AZ178" i="4"/>
  <c r="AZ179" i="4"/>
  <c r="AZ180" i="4"/>
  <c r="AZ181" i="4"/>
  <c r="AZ182" i="4"/>
  <c r="AZ183" i="4"/>
  <c r="AZ184" i="4"/>
  <c r="AZ185" i="4"/>
  <c r="AZ186" i="4"/>
  <c r="AZ187" i="4"/>
  <c r="AZ188" i="4"/>
  <c r="AZ189" i="4"/>
  <c r="AZ190" i="4"/>
  <c r="AZ191" i="4"/>
  <c r="AZ192" i="4"/>
  <c r="AZ193" i="4"/>
  <c r="AZ194" i="4"/>
  <c r="AZ195" i="4"/>
  <c r="AZ196" i="4"/>
  <c r="AZ197" i="4"/>
  <c r="AZ198" i="4"/>
  <c r="AZ199" i="4"/>
  <c r="AZ200" i="4"/>
  <c r="AZ201" i="4"/>
  <c r="AZ202" i="4"/>
  <c r="AZ203" i="4"/>
  <c r="AZ204" i="4"/>
  <c r="AZ205" i="4"/>
  <c r="AZ206" i="4"/>
  <c r="AZ207" i="4"/>
  <c r="AZ208" i="4"/>
  <c r="AZ209" i="4"/>
  <c r="AZ210" i="4"/>
  <c r="AZ211" i="4"/>
  <c r="AZ212" i="4"/>
  <c r="AZ213" i="4"/>
  <c r="AZ214" i="4"/>
  <c r="AZ215" i="4"/>
  <c r="AZ216" i="4"/>
  <c r="AZ217" i="4"/>
  <c r="AZ218" i="4"/>
  <c r="AZ219" i="4"/>
  <c r="AZ220" i="4"/>
  <c r="AZ221" i="4"/>
  <c r="AZ222" i="4"/>
  <c r="AZ223" i="4"/>
  <c r="AZ224" i="4"/>
  <c r="AZ225" i="4"/>
  <c r="AZ226" i="4"/>
  <c r="AZ227" i="4"/>
  <c r="AZ228" i="4"/>
  <c r="AZ229" i="4"/>
  <c r="AZ230" i="4"/>
  <c r="AZ231" i="4"/>
  <c r="AZ232" i="4"/>
  <c r="AZ233" i="4"/>
  <c r="AZ234" i="4"/>
  <c r="AZ235" i="4"/>
  <c r="AZ236" i="4"/>
  <c r="AZ237" i="4"/>
  <c r="AZ238" i="4"/>
  <c r="AZ239" i="4"/>
  <c r="AZ240" i="4"/>
  <c r="AZ241" i="4"/>
  <c r="AZ242" i="4"/>
  <c r="AZ243" i="4"/>
  <c r="AZ244" i="4"/>
  <c r="AZ245" i="4"/>
  <c r="AZ246" i="4"/>
  <c r="AZ247" i="4"/>
  <c r="AZ248" i="4"/>
  <c r="AZ249" i="4"/>
  <c r="AZ250" i="4"/>
  <c r="AZ251" i="4"/>
  <c r="AZ252" i="4"/>
  <c r="AZ253" i="4"/>
  <c r="AZ254" i="4"/>
  <c r="AZ255" i="4"/>
  <c r="AZ256" i="4"/>
  <c r="AZ257" i="4"/>
  <c r="AZ258" i="4"/>
  <c r="AZ259" i="4"/>
  <c r="AZ260" i="4"/>
  <c r="AZ261" i="4"/>
  <c r="AZ262" i="4"/>
  <c r="AZ263" i="4"/>
  <c r="AZ264" i="4"/>
  <c r="AZ265" i="4"/>
  <c r="AZ266" i="4"/>
  <c r="AZ267" i="4"/>
  <c r="AZ268" i="4"/>
  <c r="AZ269" i="4"/>
  <c r="AZ270" i="4"/>
  <c r="AZ271" i="4"/>
  <c r="AZ272" i="4"/>
  <c r="AZ273" i="4"/>
  <c r="AZ274" i="4"/>
  <c r="AZ275" i="4"/>
  <c r="AZ276" i="4"/>
  <c r="AZ277" i="4"/>
  <c r="AZ278" i="4"/>
  <c r="AZ279" i="4"/>
  <c r="AZ280" i="4"/>
  <c r="AZ281" i="4"/>
  <c r="AZ282" i="4"/>
  <c r="AZ283" i="4"/>
  <c r="AZ284" i="4"/>
  <c r="AZ285" i="4"/>
  <c r="AZ286" i="4"/>
  <c r="AZ287" i="4"/>
  <c r="AZ288" i="4"/>
  <c r="AZ289" i="4"/>
  <c r="AZ290" i="4"/>
  <c r="AZ291" i="4"/>
  <c r="AZ292" i="4"/>
  <c r="AZ293" i="4"/>
  <c r="AZ294" i="4"/>
  <c r="AZ295" i="4"/>
  <c r="AZ296" i="4"/>
  <c r="AZ297" i="4"/>
  <c r="AZ298" i="4"/>
  <c r="AZ299" i="4"/>
  <c r="AZ300" i="4"/>
  <c r="AZ301" i="4"/>
  <c r="AZ302" i="4"/>
  <c r="AZ303" i="4"/>
  <c r="AZ304" i="4"/>
  <c r="AZ305" i="4"/>
  <c r="AZ306" i="4"/>
  <c r="AZ307" i="4"/>
  <c r="AZ308" i="4"/>
  <c r="AZ309" i="4"/>
  <c r="AZ310" i="4"/>
  <c r="AZ311" i="4"/>
  <c r="AZ312" i="4"/>
  <c r="AZ313" i="4"/>
  <c r="AZ314" i="4"/>
  <c r="AZ315" i="4"/>
  <c r="AZ316" i="4"/>
  <c r="AZ317" i="4"/>
  <c r="AZ318" i="4"/>
  <c r="AZ319" i="4"/>
  <c r="AZ320" i="4"/>
  <c r="AZ321" i="4"/>
  <c r="AZ322" i="4"/>
  <c r="AZ323" i="4"/>
  <c r="AZ324" i="4"/>
  <c r="AZ325" i="4"/>
  <c r="AZ326" i="4"/>
  <c r="AZ327" i="4"/>
  <c r="AZ328" i="4"/>
  <c r="AZ329" i="4"/>
  <c r="AZ330" i="4"/>
  <c r="AZ331" i="4"/>
  <c r="AZ332" i="4"/>
  <c r="AZ333" i="4"/>
  <c r="AZ334" i="4"/>
  <c r="AZ335" i="4"/>
  <c r="AZ336" i="4"/>
  <c r="AZ337" i="4"/>
  <c r="AZ338" i="4"/>
  <c r="AZ339" i="4"/>
  <c r="AZ340" i="4"/>
  <c r="AZ341" i="4"/>
  <c r="AZ342" i="4"/>
  <c r="AZ343" i="4"/>
  <c r="AZ344" i="4"/>
  <c r="AZ345" i="4"/>
  <c r="AZ346" i="4"/>
  <c r="AZ347" i="4"/>
  <c r="AZ348" i="4"/>
  <c r="AZ349" i="4"/>
  <c r="AZ350" i="4"/>
  <c r="AZ351" i="4"/>
  <c r="AZ352" i="4"/>
  <c r="AZ353" i="4"/>
  <c r="AZ354" i="4"/>
  <c r="AZ355" i="4"/>
  <c r="AZ356" i="4"/>
  <c r="AZ357" i="4"/>
  <c r="AZ358" i="4"/>
  <c r="AZ359" i="4"/>
  <c r="AZ360" i="4"/>
  <c r="AZ361" i="4"/>
  <c r="AZ362" i="4"/>
  <c r="AZ363" i="4"/>
  <c r="AZ364" i="4"/>
  <c r="AZ365" i="4"/>
  <c r="AZ366" i="4"/>
  <c r="AZ367" i="4"/>
  <c r="AZ368" i="4"/>
  <c r="AZ369" i="4"/>
  <c r="AZ370" i="4"/>
  <c r="AZ371" i="4"/>
  <c r="AZ372" i="4"/>
  <c r="AZ373" i="4"/>
  <c r="AZ374" i="4"/>
  <c r="AZ375" i="4"/>
  <c r="AZ376" i="4"/>
  <c r="AZ377" i="4"/>
  <c r="AZ378" i="4"/>
  <c r="AZ379" i="4"/>
  <c r="AZ380" i="4"/>
  <c r="AZ381" i="4"/>
  <c r="AZ382" i="4"/>
  <c r="AZ383" i="4"/>
  <c r="AZ384" i="4"/>
  <c r="AZ385" i="4"/>
  <c r="AZ386" i="4"/>
  <c r="AZ387" i="4"/>
  <c r="AZ388" i="4"/>
  <c r="AZ389" i="4"/>
  <c r="AZ390" i="4"/>
  <c r="AZ391" i="4"/>
  <c r="AZ392" i="4"/>
  <c r="AZ393" i="4"/>
  <c r="AZ394" i="4"/>
  <c r="AZ395" i="4"/>
  <c r="AZ396" i="4"/>
  <c r="AZ397" i="4"/>
  <c r="AZ398" i="4"/>
  <c r="AZ399" i="4"/>
  <c r="AZ400" i="4"/>
  <c r="AZ401" i="4"/>
  <c r="AZ402" i="4"/>
  <c r="AZ403" i="4"/>
  <c r="AZ404" i="4"/>
  <c r="AZ405" i="4"/>
  <c r="AZ406" i="4"/>
  <c r="AZ407" i="4"/>
  <c r="AZ408" i="4"/>
  <c r="AZ409" i="4"/>
  <c r="AZ410" i="4"/>
  <c r="AZ411" i="4"/>
  <c r="AZ412" i="4"/>
  <c r="AZ413" i="4"/>
  <c r="AZ414" i="4"/>
  <c r="AZ415" i="4"/>
  <c r="AZ416" i="4"/>
  <c r="AZ417" i="4"/>
  <c r="AZ418" i="4"/>
  <c r="AZ419" i="4"/>
  <c r="AZ420" i="4"/>
  <c r="AZ421" i="4"/>
  <c r="AZ422" i="4"/>
  <c r="AZ423" i="4"/>
  <c r="AZ424" i="4"/>
  <c r="AZ425" i="4"/>
  <c r="AZ426" i="4"/>
  <c r="AZ427" i="4"/>
  <c r="AZ428" i="4"/>
  <c r="AZ429" i="4"/>
  <c r="AZ430" i="4"/>
  <c r="AZ431" i="4"/>
  <c r="AZ432" i="4"/>
  <c r="AZ433" i="4"/>
  <c r="AZ434" i="4"/>
  <c r="AZ435" i="4"/>
  <c r="AZ436" i="4"/>
  <c r="AZ437" i="4"/>
  <c r="AZ438" i="4"/>
  <c r="AZ439" i="4"/>
  <c r="AZ440" i="4"/>
  <c r="AZ441" i="4"/>
  <c r="AZ442" i="4"/>
  <c r="AZ443" i="4"/>
  <c r="AZ444" i="4"/>
  <c r="AZ445" i="4"/>
  <c r="AZ446" i="4"/>
  <c r="AZ447" i="4"/>
  <c r="AZ448" i="4"/>
  <c r="AZ449" i="4"/>
  <c r="AZ450" i="4"/>
  <c r="AZ451" i="4"/>
  <c r="AZ452" i="4"/>
  <c r="AZ453" i="4"/>
  <c r="AZ454" i="4"/>
  <c r="AZ455" i="4"/>
  <c r="AZ456" i="4"/>
  <c r="AZ457" i="4"/>
  <c r="AZ458" i="4"/>
  <c r="AZ459" i="4"/>
  <c r="AZ460" i="4"/>
  <c r="AZ461" i="4"/>
  <c r="AZ462" i="4"/>
  <c r="AZ463" i="4"/>
  <c r="AZ464" i="4"/>
  <c r="AZ465" i="4"/>
  <c r="AZ466" i="4"/>
  <c r="AZ467" i="4"/>
  <c r="AZ468" i="4"/>
  <c r="AZ469" i="4"/>
  <c r="AZ470" i="4"/>
  <c r="AZ471" i="4"/>
  <c r="AZ472" i="4"/>
  <c r="AZ473" i="4"/>
  <c r="AZ474" i="4"/>
  <c r="AZ475" i="4"/>
  <c r="AZ476" i="4"/>
  <c r="AZ477" i="4"/>
  <c r="AZ478" i="4"/>
  <c r="AZ479" i="4"/>
  <c r="AZ480" i="4"/>
  <c r="AZ481" i="4"/>
  <c r="AZ482" i="4"/>
  <c r="AZ483" i="4"/>
  <c r="AZ484" i="4"/>
  <c r="AZ485" i="4"/>
  <c r="AZ486" i="4"/>
  <c r="AZ487" i="4"/>
  <c r="AZ488" i="4"/>
  <c r="AZ489" i="4"/>
  <c r="AZ490" i="4"/>
  <c r="AZ491" i="4"/>
  <c r="AZ492" i="4"/>
  <c r="AZ493" i="4"/>
  <c r="AZ494" i="4"/>
  <c r="AZ495" i="4"/>
  <c r="AZ496" i="4"/>
  <c r="AZ497" i="4"/>
  <c r="AZ498" i="4"/>
  <c r="AZ499" i="4"/>
  <c r="AZ500" i="4"/>
  <c r="AZ501" i="4"/>
  <c r="AZ502" i="4"/>
  <c r="AZ503" i="4"/>
  <c r="AZ504" i="4"/>
  <c r="AZ505" i="4"/>
  <c r="AZ506" i="4"/>
  <c r="AZ507" i="4"/>
  <c r="AZ508" i="4"/>
  <c r="AZ509" i="4"/>
  <c r="AZ510" i="4"/>
  <c r="AZ511" i="4"/>
  <c r="AZ512" i="4"/>
  <c r="AZ513" i="4"/>
  <c r="AZ514" i="4"/>
  <c r="AZ515" i="4"/>
  <c r="AZ516" i="4"/>
  <c r="AZ517" i="4"/>
  <c r="AZ518" i="4"/>
  <c r="AZ519" i="4"/>
  <c r="AZ520" i="4"/>
  <c r="AZ521" i="4"/>
  <c r="AZ522" i="4"/>
  <c r="AZ523" i="4"/>
  <c r="AZ524" i="4"/>
  <c r="AZ525" i="4"/>
  <c r="AZ526" i="4"/>
  <c r="AZ527" i="4"/>
  <c r="AZ528" i="4"/>
  <c r="AZ529" i="4"/>
  <c r="AZ530" i="4"/>
  <c r="AZ531" i="4"/>
  <c r="AZ532" i="4"/>
  <c r="AZ533" i="4"/>
  <c r="AZ534" i="4"/>
  <c r="AZ535" i="4"/>
  <c r="AZ536" i="4"/>
  <c r="AZ537" i="4"/>
  <c r="AZ538" i="4"/>
  <c r="AZ539" i="4"/>
  <c r="AZ540" i="4"/>
  <c r="AZ541" i="4"/>
  <c r="AZ542" i="4"/>
  <c r="AZ543" i="4"/>
  <c r="AZ544" i="4"/>
  <c r="AZ545" i="4"/>
  <c r="AZ546" i="4"/>
  <c r="AZ547" i="4"/>
  <c r="AZ548" i="4"/>
  <c r="AZ549" i="4"/>
  <c r="AZ550" i="4"/>
  <c r="AZ551" i="4"/>
  <c r="AZ552" i="4"/>
  <c r="AZ553" i="4"/>
  <c r="AZ554" i="4"/>
  <c r="AZ555" i="4"/>
  <c r="AZ556" i="4"/>
  <c r="AZ557" i="4"/>
  <c r="AZ558" i="4"/>
  <c r="AZ559" i="4"/>
  <c r="AZ560" i="4"/>
  <c r="AZ561" i="4"/>
  <c r="AZ562" i="4"/>
  <c r="AZ563" i="4"/>
  <c r="AZ564" i="4"/>
  <c r="AZ565" i="4"/>
  <c r="AZ566" i="4"/>
  <c r="AZ567" i="4"/>
  <c r="AZ568" i="4"/>
  <c r="AZ569" i="4"/>
  <c r="AZ570" i="4"/>
  <c r="AZ571" i="4"/>
  <c r="AZ572" i="4"/>
  <c r="AZ573" i="4"/>
  <c r="AZ574" i="4"/>
  <c r="AZ575" i="4"/>
  <c r="AZ576" i="4"/>
  <c r="AZ577" i="4"/>
  <c r="AZ578" i="4"/>
  <c r="AZ579" i="4"/>
  <c r="AZ580" i="4"/>
  <c r="AZ581" i="4"/>
  <c r="AZ582" i="4"/>
  <c r="AZ583" i="4"/>
  <c r="AZ584" i="4"/>
  <c r="AZ585" i="4"/>
  <c r="AZ586" i="4"/>
  <c r="AZ587" i="4"/>
  <c r="AZ588" i="4"/>
  <c r="AZ589" i="4"/>
  <c r="AZ590" i="4"/>
  <c r="AZ591" i="4"/>
  <c r="AZ592" i="4"/>
  <c r="AZ593" i="4"/>
  <c r="AZ594" i="4"/>
  <c r="AZ595" i="4"/>
  <c r="AZ596" i="4"/>
  <c r="AZ597" i="4"/>
  <c r="AZ598" i="4"/>
  <c r="AZ599" i="4"/>
  <c r="AZ600" i="4"/>
  <c r="AZ601" i="4"/>
  <c r="AZ602" i="4"/>
  <c r="AZ603" i="4"/>
  <c r="AZ604" i="4"/>
  <c r="AZ605" i="4"/>
  <c r="AZ606" i="4"/>
  <c r="AZ607" i="4"/>
  <c r="AZ608" i="4"/>
  <c r="AZ609" i="4"/>
  <c r="AZ610" i="4"/>
  <c r="AZ611" i="4"/>
  <c r="AZ612" i="4"/>
  <c r="AZ613" i="4"/>
  <c r="AZ614" i="4"/>
  <c r="AZ615" i="4"/>
  <c r="AZ616" i="4"/>
  <c r="AZ617" i="4"/>
  <c r="AZ618" i="4"/>
  <c r="AZ619" i="4"/>
  <c r="AZ620" i="4"/>
  <c r="AZ621" i="4"/>
  <c r="AZ622" i="4"/>
  <c r="AZ623" i="4"/>
  <c r="AZ624" i="4"/>
  <c r="AZ625" i="4"/>
  <c r="AZ626" i="4"/>
  <c r="AZ627" i="4"/>
  <c r="AZ628" i="4"/>
  <c r="AZ629" i="4"/>
  <c r="AZ630" i="4"/>
  <c r="AZ631" i="4"/>
  <c r="AZ632" i="4"/>
  <c r="AZ633" i="4"/>
  <c r="AZ634" i="4"/>
  <c r="AZ635" i="4"/>
  <c r="AZ57" i="4"/>
  <c r="AV238" i="4"/>
  <c r="AV239" i="4"/>
  <c r="AV240" i="4"/>
  <c r="AV241" i="4"/>
  <c r="AV242" i="4"/>
  <c r="AV243" i="4"/>
  <c r="AV244" i="4"/>
  <c r="AV245" i="4"/>
  <c r="AV246" i="4"/>
  <c r="AV247" i="4"/>
  <c r="AV248" i="4"/>
  <c r="AV249" i="4"/>
  <c r="AV250" i="4"/>
  <c r="AV251" i="4"/>
  <c r="AV252" i="4"/>
  <c r="AV253" i="4"/>
  <c r="AV254" i="4"/>
  <c r="AV255" i="4"/>
  <c r="AV256" i="4"/>
  <c r="AV257" i="4"/>
  <c r="AV258" i="4"/>
  <c r="AV259" i="4"/>
  <c r="AV260" i="4"/>
  <c r="AV261" i="4"/>
  <c r="AV262" i="4"/>
  <c r="AV263" i="4"/>
  <c r="AV264" i="4"/>
  <c r="AV265" i="4"/>
  <c r="AV266" i="4"/>
  <c r="AV267" i="4"/>
  <c r="AV268" i="4"/>
  <c r="AV269" i="4"/>
  <c r="AV270" i="4"/>
  <c r="AV271" i="4"/>
  <c r="AV272" i="4"/>
  <c r="AV273" i="4"/>
  <c r="AV274" i="4"/>
  <c r="AV275" i="4"/>
  <c r="AV276" i="4"/>
  <c r="AV277" i="4"/>
  <c r="AV278" i="4"/>
  <c r="AV279" i="4"/>
  <c r="AV280" i="4"/>
  <c r="AV281" i="4"/>
  <c r="AV282" i="4"/>
  <c r="AV283" i="4"/>
  <c r="AV284" i="4"/>
  <c r="AV285" i="4"/>
  <c r="AV286" i="4"/>
  <c r="AV287" i="4"/>
  <c r="AV288" i="4"/>
  <c r="AV289" i="4"/>
  <c r="AV290" i="4"/>
  <c r="AV291" i="4"/>
  <c r="AV292" i="4"/>
  <c r="AV293" i="4"/>
  <c r="AV294" i="4"/>
  <c r="AV295" i="4"/>
  <c r="AV296" i="4"/>
  <c r="AV297" i="4"/>
  <c r="AV298" i="4"/>
  <c r="AV299" i="4"/>
  <c r="AV300" i="4"/>
  <c r="AV301" i="4"/>
  <c r="AV302" i="4"/>
  <c r="AV303" i="4"/>
  <c r="AV304" i="4"/>
  <c r="AV305" i="4"/>
  <c r="AV306" i="4"/>
  <c r="AV307" i="4"/>
  <c r="AV308" i="4"/>
  <c r="AV309" i="4"/>
  <c r="AV310" i="4"/>
  <c r="AV311" i="4"/>
  <c r="AV312" i="4"/>
  <c r="AV313" i="4"/>
  <c r="AV314" i="4"/>
  <c r="AV315" i="4"/>
  <c r="AV316" i="4"/>
  <c r="AV317" i="4"/>
  <c r="AV318" i="4"/>
  <c r="AV319" i="4"/>
  <c r="AV320" i="4"/>
  <c r="AV321" i="4"/>
  <c r="AV322" i="4"/>
  <c r="AV323" i="4"/>
  <c r="AV324" i="4"/>
  <c r="AV325" i="4"/>
  <c r="AV237" i="4"/>
  <c r="AV218" i="4"/>
  <c r="AV211" i="4"/>
  <c r="AV144" i="4"/>
  <c r="AV103" i="4"/>
  <c r="AV95" i="4"/>
  <c r="AV70" i="4"/>
  <c r="AV68" i="4"/>
  <c r="AV53" i="4"/>
  <c r="AN356" i="4"/>
  <c r="AN357" i="4"/>
  <c r="AN358" i="4"/>
  <c r="AN359" i="4"/>
  <c r="AN360" i="4"/>
  <c r="AN361" i="4"/>
  <c r="AN362" i="4"/>
  <c r="AN363" i="4"/>
  <c r="AN364" i="4"/>
  <c r="AN365" i="4"/>
  <c r="AN366" i="4"/>
  <c r="AN367" i="4"/>
  <c r="AN368" i="4"/>
  <c r="AN369" i="4"/>
  <c r="AN370" i="4"/>
  <c r="AN355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13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270" i="4"/>
  <c r="AN263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08" i="4"/>
  <c r="AN205" i="4"/>
  <c r="AN201" i="4"/>
  <c r="AN192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68" i="4"/>
  <c r="AN53" i="4"/>
  <c r="AN45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8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J367" i="4"/>
  <c r="AJ368" i="4"/>
  <c r="AJ369" i="4"/>
  <c r="AJ370" i="4"/>
  <c r="AJ371" i="4"/>
  <c r="AJ372" i="4"/>
  <c r="AJ373" i="4"/>
  <c r="AJ374" i="4"/>
  <c r="AJ375" i="4"/>
  <c r="AJ376" i="4"/>
  <c r="AJ377" i="4"/>
  <c r="AJ378" i="4"/>
  <c r="AJ379" i="4"/>
  <c r="AJ380" i="4"/>
  <c r="AJ381" i="4"/>
  <c r="AJ382" i="4"/>
  <c r="AJ383" i="4"/>
  <c r="AJ384" i="4"/>
  <c r="AJ385" i="4"/>
  <c r="AJ386" i="4"/>
  <c r="AJ387" i="4"/>
  <c r="AJ388" i="4"/>
  <c r="AJ389" i="4"/>
  <c r="AJ390" i="4"/>
  <c r="AJ391" i="4"/>
  <c r="AJ392" i="4"/>
  <c r="AJ393" i="4"/>
  <c r="AJ394" i="4"/>
  <c r="AJ395" i="4"/>
  <c r="AJ396" i="4"/>
  <c r="AJ397" i="4"/>
  <c r="AJ398" i="4"/>
  <c r="AJ399" i="4"/>
  <c r="AJ400" i="4"/>
  <c r="AJ401" i="4"/>
  <c r="AJ402" i="4"/>
  <c r="AJ403" i="4"/>
  <c r="AJ404" i="4"/>
  <c r="AJ405" i="4"/>
  <c r="AJ406" i="4"/>
  <c r="AJ407" i="4"/>
  <c r="AJ408" i="4"/>
  <c r="AJ409" i="4"/>
  <c r="AJ410" i="4"/>
  <c r="AJ411" i="4"/>
  <c r="AJ412" i="4"/>
  <c r="AJ413" i="4"/>
  <c r="AJ414" i="4"/>
  <c r="AJ415" i="4"/>
  <c r="AJ416" i="4"/>
  <c r="AJ417" i="4"/>
  <c r="AJ418" i="4"/>
  <c r="AJ419" i="4"/>
  <c r="AJ420" i="4"/>
  <c r="AJ421" i="4"/>
  <c r="AJ422" i="4"/>
  <c r="AJ423" i="4"/>
  <c r="AJ424" i="4"/>
  <c r="AJ425" i="4"/>
  <c r="AJ426" i="4"/>
  <c r="AJ427" i="4"/>
  <c r="AJ428" i="4"/>
  <c r="AJ429" i="4"/>
  <c r="AJ430" i="4"/>
  <c r="AJ431" i="4"/>
  <c r="AJ432" i="4"/>
  <c r="AJ433" i="4"/>
  <c r="AJ434" i="4"/>
  <c r="AJ435" i="4"/>
  <c r="AJ436" i="4"/>
  <c r="AJ437" i="4"/>
  <c r="AJ438" i="4"/>
  <c r="AJ439" i="4"/>
  <c r="AJ440" i="4"/>
  <c r="AJ441" i="4"/>
  <c r="AJ442" i="4"/>
  <c r="AJ443" i="4"/>
  <c r="AJ444" i="4"/>
  <c r="AJ445" i="4"/>
  <c r="AJ446" i="4"/>
  <c r="AJ447" i="4"/>
  <c r="AJ448" i="4"/>
  <c r="AJ449" i="4"/>
  <c r="AJ450" i="4"/>
  <c r="AJ451" i="4"/>
  <c r="AJ452" i="4"/>
  <c r="AJ453" i="4"/>
  <c r="AJ327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276" i="4"/>
  <c r="AJ273" i="4"/>
  <c r="AJ271" i="4"/>
  <c r="AJ270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53" i="4"/>
  <c r="AJ246" i="4"/>
  <c r="AJ238" i="4"/>
  <c r="AJ239" i="4"/>
  <c r="AJ240" i="4"/>
  <c r="AJ241" i="4"/>
  <c r="AJ242" i="4"/>
  <c r="AJ237" i="4"/>
  <c r="AJ233" i="4"/>
  <c r="AJ230" i="4"/>
  <c r="AJ229" i="4"/>
  <c r="AJ221" i="4"/>
  <c r="AJ222" i="4"/>
  <c r="AJ223" i="4"/>
  <c r="AJ224" i="4"/>
  <c r="AJ225" i="4"/>
  <c r="AJ220" i="4"/>
  <c r="AJ218" i="4"/>
  <c r="AJ214" i="4"/>
  <c r="AJ211" i="4"/>
  <c r="AJ208" i="4"/>
  <c r="AJ202" i="4"/>
  <c r="AJ203" i="4"/>
  <c r="AJ204" i="4"/>
  <c r="AJ205" i="4"/>
  <c r="AJ201" i="4"/>
  <c r="AJ196" i="4"/>
  <c r="AJ194" i="4"/>
  <c r="AJ192" i="4"/>
  <c r="AJ187" i="4"/>
  <c r="AJ182" i="4"/>
  <c r="AJ181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24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09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72" i="4"/>
  <c r="AJ65" i="4"/>
  <c r="AJ66" i="4"/>
  <c r="AJ67" i="4"/>
  <c r="AJ68" i="4"/>
  <c r="AJ69" i="4"/>
  <c r="AJ70" i="4"/>
  <c r="AJ64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42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8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35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407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388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29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281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26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181" i="4"/>
  <c r="AB179" i="4"/>
  <c r="AB534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F541" i="4"/>
  <c r="AF542" i="4"/>
  <c r="AF543" i="4"/>
  <c r="AF544" i="4"/>
  <c r="AF545" i="4"/>
  <c r="AF546" i="4"/>
  <c r="AF547" i="4"/>
  <c r="AF548" i="4"/>
  <c r="AF549" i="4"/>
  <c r="AF550" i="4"/>
  <c r="AF551" i="4"/>
  <c r="AF552" i="4"/>
  <c r="AF553" i="4"/>
  <c r="AF554" i="4"/>
  <c r="AF555" i="4"/>
  <c r="AF556" i="4"/>
  <c r="AF557" i="4"/>
  <c r="AF558" i="4"/>
  <c r="AF559" i="4"/>
  <c r="AF560" i="4"/>
  <c r="AF561" i="4"/>
  <c r="AF562" i="4"/>
  <c r="AF563" i="4"/>
  <c r="AF564" i="4"/>
  <c r="AF565" i="4"/>
  <c r="AF566" i="4"/>
  <c r="AF567" i="4"/>
  <c r="AF568" i="4"/>
  <c r="AF569" i="4"/>
  <c r="AF570" i="4"/>
  <c r="AF571" i="4"/>
  <c r="AF572" i="4"/>
  <c r="AF573" i="4"/>
  <c r="AF574" i="4"/>
  <c r="AF575" i="4"/>
  <c r="AF576" i="4"/>
  <c r="AF577" i="4"/>
  <c r="AF578" i="4"/>
  <c r="AF579" i="4"/>
  <c r="AF580" i="4"/>
  <c r="AF581" i="4"/>
  <c r="AF582" i="4"/>
  <c r="AF583" i="4"/>
  <c r="AF584" i="4"/>
  <c r="AF585" i="4"/>
  <c r="AF586" i="4"/>
  <c r="AF587" i="4"/>
  <c r="AF588" i="4"/>
  <c r="AF589" i="4"/>
  <c r="AF590" i="4"/>
  <c r="AF591" i="4"/>
  <c r="AF592" i="4"/>
  <c r="AF593" i="4"/>
  <c r="AF594" i="4"/>
  <c r="AF595" i="4"/>
  <c r="AF596" i="4"/>
  <c r="AF597" i="4"/>
  <c r="AF598" i="4"/>
  <c r="AF599" i="4"/>
  <c r="AF600" i="4"/>
  <c r="AF601" i="4"/>
  <c r="AF602" i="4"/>
  <c r="AF603" i="4"/>
  <c r="AF604" i="4"/>
  <c r="AF605" i="4"/>
  <c r="AF606" i="4"/>
  <c r="AF607" i="4"/>
  <c r="AF608" i="4"/>
  <c r="AF609" i="4"/>
  <c r="AF610" i="4"/>
  <c r="AF611" i="4"/>
  <c r="AF612" i="4"/>
  <c r="AF613" i="4"/>
  <c r="AF614" i="4"/>
  <c r="AF615" i="4"/>
  <c r="AF616" i="4"/>
  <c r="AF617" i="4"/>
  <c r="AF618" i="4"/>
  <c r="AF619" i="4"/>
  <c r="AF620" i="4"/>
  <c r="AF621" i="4"/>
  <c r="AF622" i="4"/>
  <c r="AF623" i="4"/>
  <c r="AF624" i="4"/>
  <c r="AF625" i="4"/>
  <c r="AF626" i="4"/>
  <c r="AF627" i="4"/>
  <c r="AF628" i="4"/>
  <c r="AF629" i="4"/>
  <c r="AF630" i="4"/>
  <c r="AF631" i="4"/>
  <c r="AF632" i="4"/>
  <c r="AF633" i="4"/>
  <c r="AF634" i="4"/>
  <c r="AF635" i="4"/>
  <c r="AF636" i="4"/>
  <c r="AF356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282" i="4"/>
  <c r="AF281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60" i="4"/>
  <c r="AF208" i="4"/>
  <c r="AF209" i="4"/>
  <c r="AF210" i="4"/>
  <c r="AF211" i="4"/>
  <c r="AF212" i="4"/>
  <c r="AF213" i="4"/>
  <c r="AF214" i="4"/>
  <c r="AF215" i="4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07" i="4"/>
  <c r="AF204" i="4"/>
  <c r="AF205" i="4"/>
  <c r="AF203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177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46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08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8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42" i="4"/>
  <c r="AF35" i="4"/>
  <c r="AF36" i="4"/>
  <c r="AF37" i="4"/>
  <c r="AF38" i="4"/>
  <c r="AF39" i="4"/>
  <c r="AF40" i="4"/>
  <c r="AF34" i="4"/>
  <c r="AF27" i="4"/>
  <c r="AF28" i="4"/>
  <c r="AF29" i="4"/>
  <c r="AF30" i="4"/>
  <c r="AF31" i="4"/>
  <c r="AF32" i="4"/>
  <c r="AF26" i="4"/>
  <c r="AF24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08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61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45" i="4"/>
  <c r="AB44" i="4"/>
  <c r="AB35" i="4"/>
  <c r="AB36" i="4"/>
  <c r="AB37" i="4"/>
  <c r="AB38" i="4"/>
  <c r="AB39" i="4"/>
  <c r="AB40" i="4"/>
  <c r="AB41" i="4"/>
  <c r="AB42" i="4"/>
  <c r="AB34" i="4"/>
  <c r="AB25" i="4"/>
  <c r="AB26" i="4"/>
  <c r="AB27" i="4"/>
  <c r="AB28" i="4"/>
  <c r="AB29" i="4"/>
  <c r="AB30" i="4"/>
  <c r="AB31" i="4"/>
  <c r="AB32" i="4"/>
  <c r="AB24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8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535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407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221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07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181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06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8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V572" i="4"/>
  <c r="V573" i="4"/>
  <c r="V574" i="4"/>
  <c r="V575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08" i="4"/>
  <c r="V50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457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180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23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24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8" i="4"/>
  <c r="AV2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8" i="4"/>
  <c r="S8" i="4" s="1"/>
  <c r="BS8" i="4" s="1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8" i="4"/>
  <c r="R8" i="4"/>
  <c r="R9" i="4"/>
  <c r="R10" i="4"/>
  <c r="S616" i="4" l="1"/>
  <c r="S580" i="4"/>
  <c r="S568" i="4"/>
  <c r="S556" i="4"/>
  <c r="S544" i="4"/>
  <c r="S532" i="4"/>
  <c r="S520" i="4"/>
  <c r="S508" i="4"/>
  <c r="S496" i="4"/>
  <c r="S484" i="4"/>
  <c r="S472" i="4"/>
  <c r="S460" i="4"/>
  <c r="S448" i="4"/>
  <c r="S436" i="4"/>
  <c r="S424" i="4"/>
  <c r="S412" i="4"/>
  <c r="S400" i="4"/>
  <c r="S376" i="4"/>
  <c r="S352" i="4"/>
  <c r="S328" i="4"/>
  <c r="S304" i="4"/>
  <c r="S292" i="4"/>
  <c r="S280" i="4"/>
  <c r="S268" i="4"/>
  <c r="S256" i="4"/>
  <c r="S244" i="4"/>
  <c r="S232" i="4"/>
  <c r="S220" i="4"/>
  <c r="S208" i="4"/>
  <c r="S196" i="4"/>
  <c r="S184" i="4"/>
  <c r="S172" i="4"/>
  <c r="S160" i="4"/>
  <c r="S148" i="4"/>
  <c r="S136" i="4"/>
  <c r="S124" i="4"/>
  <c r="S112" i="4"/>
  <c r="S100" i="4"/>
  <c r="S88" i="4"/>
  <c r="S76" i="4"/>
  <c r="S64" i="4"/>
  <c r="S52" i="4"/>
  <c r="S40" i="4"/>
  <c r="S28" i="4"/>
  <c r="S16" i="4"/>
  <c r="S621" i="4"/>
  <c r="S561" i="4"/>
  <c r="S525" i="4"/>
  <c r="S489" i="4"/>
  <c r="S477" i="4"/>
  <c r="S429" i="4"/>
  <c r="S393" i="4"/>
  <c r="S381" i="4"/>
  <c r="S297" i="4"/>
  <c r="S225" i="4"/>
  <c r="S213" i="4"/>
  <c r="S628" i="4"/>
  <c r="S316" i="4"/>
  <c r="S592" i="4"/>
  <c r="S364" i="4"/>
  <c r="S134" i="4"/>
  <c r="BS134" i="4" s="1"/>
  <c r="S415" i="4"/>
  <c r="S604" i="4"/>
  <c r="S388" i="4"/>
  <c r="S407" i="4"/>
  <c r="S119" i="4"/>
  <c r="S454" i="4"/>
  <c r="S587" i="4"/>
  <c r="S395" i="4"/>
  <c r="S623" i="4"/>
  <c r="S575" i="4"/>
  <c r="BS575" i="4" s="1"/>
  <c r="S527" i="4"/>
  <c r="S215" i="4"/>
  <c r="S83" i="4"/>
  <c r="S586" i="4"/>
  <c r="S526" i="4"/>
  <c r="S478" i="4"/>
  <c r="S418" i="4"/>
  <c r="S358" i="4"/>
  <c r="S310" i="4"/>
  <c r="S250" i="4"/>
  <c r="S190" i="4"/>
  <c r="S154" i="4"/>
  <c r="S70" i="4"/>
  <c r="S34" i="4"/>
  <c r="S615" i="4"/>
  <c r="S579" i="4"/>
  <c r="S543" i="4"/>
  <c r="S507" i="4"/>
  <c r="S471" i="4"/>
  <c r="S435" i="4"/>
  <c r="S399" i="4"/>
  <c r="S375" i="4"/>
  <c r="S351" i="4"/>
  <c r="S315" i="4"/>
  <c r="S279" i="4"/>
  <c r="S243" i="4"/>
  <c r="S207" i="4"/>
  <c r="S171" i="4"/>
  <c r="S135" i="4"/>
  <c r="S123" i="4"/>
  <c r="S87" i="4"/>
  <c r="S75" i="4"/>
  <c r="S63" i="4"/>
  <c r="S27" i="4"/>
  <c r="S15" i="4"/>
  <c r="S476" i="4"/>
  <c r="S452" i="4"/>
  <c r="S392" i="4"/>
  <c r="S380" i="4"/>
  <c r="S212" i="4"/>
  <c r="S176" i="4"/>
  <c r="S68" i="4"/>
  <c r="S56" i="4"/>
  <c r="BS56" i="4" s="1"/>
  <c r="S602" i="4"/>
  <c r="S590" i="4"/>
  <c r="S542" i="4"/>
  <c r="S494" i="4"/>
  <c r="S362" i="4"/>
  <c r="S254" i="4"/>
  <c r="S230" i="4"/>
  <c r="S194" i="4"/>
  <c r="S182" i="4"/>
  <c r="S98" i="4"/>
  <c r="S86" i="4"/>
  <c r="S38" i="4"/>
  <c r="S539" i="4"/>
  <c r="S287" i="4"/>
  <c r="S634" i="4"/>
  <c r="S610" i="4"/>
  <c r="S574" i="4"/>
  <c r="S550" i="4"/>
  <c r="S514" i="4"/>
  <c r="S442" i="4"/>
  <c r="S406" i="4"/>
  <c r="S382" i="4"/>
  <c r="S322" i="4"/>
  <c r="S274" i="4"/>
  <c r="S238" i="4"/>
  <c r="S178" i="4"/>
  <c r="S142" i="4"/>
  <c r="S94" i="4"/>
  <c r="S58" i="4"/>
  <c r="S10" i="4"/>
  <c r="S591" i="4"/>
  <c r="S555" i="4"/>
  <c r="S519" i="4"/>
  <c r="S495" i="4"/>
  <c r="S459" i="4"/>
  <c r="S423" i="4"/>
  <c r="S387" i="4"/>
  <c r="S303" i="4"/>
  <c r="S267" i="4"/>
  <c r="S219" i="4"/>
  <c r="S183" i="4"/>
  <c r="S147" i="4"/>
  <c r="S99" i="4"/>
  <c r="S39" i="4"/>
  <c r="S457" i="4"/>
  <c r="S85" i="4"/>
  <c r="S37" i="4"/>
  <c r="S25" i="4"/>
  <c r="BR635" i="4"/>
  <c r="S635" i="4"/>
  <c r="S491" i="4"/>
  <c r="S299" i="4"/>
  <c r="S227" i="4"/>
  <c r="S71" i="4"/>
  <c r="S23" i="4"/>
  <c r="S622" i="4"/>
  <c r="S562" i="4"/>
  <c r="S538" i="4"/>
  <c r="S502" i="4"/>
  <c r="S466" i="4"/>
  <c r="S430" i="4"/>
  <c r="S394" i="4"/>
  <c r="S370" i="4"/>
  <c r="S334" i="4"/>
  <c r="S286" i="4"/>
  <c r="S262" i="4"/>
  <c r="S130" i="4"/>
  <c r="S106" i="4"/>
  <c r="S82" i="4"/>
  <c r="BS82" i="4" s="1"/>
  <c r="S46" i="4"/>
  <c r="S627" i="4"/>
  <c r="S603" i="4"/>
  <c r="S567" i="4"/>
  <c r="S531" i="4"/>
  <c r="S483" i="4"/>
  <c r="S447" i="4"/>
  <c r="S411" i="4"/>
  <c r="S363" i="4"/>
  <c r="S327" i="4"/>
  <c r="S291" i="4"/>
  <c r="S255" i="4"/>
  <c r="S231" i="4"/>
  <c r="BS231" i="4" s="1"/>
  <c r="S195" i="4"/>
  <c r="S159" i="4"/>
  <c r="S111" i="4"/>
  <c r="S51" i="4"/>
  <c r="S332" i="4"/>
  <c r="S300" i="4"/>
  <c r="S513" i="4"/>
  <c r="BR134" i="4"/>
  <c r="S167" i="4"/>
  <c r="BR108" i="4"/>
  <c r="BR260" i="4"/>
  <c r="BR200" i="4"/>
  <c r="BR188" i="4"/>
  <c r="S273" i="4"/>
  <c r="S573" i="4"/>
  <c r="S164" i="4"/>
  <c r="S116" i="4"/>
  <c r="BS116" i="4" s="1"/>
  <c r="S20" i="4"/>
  <c r="S566" i="4"/>
  <c r="S518" i="4"/>
  <c r="S482" i="4"/>
  <c r="S458" i="4"/>
  <c r="S446" i="4"/>
  <c r="S434" i="4"/>
  <c r="S410" i="4"/>
  <c r="S386" i="4"/>
  <c r="S374" i="4"/>
  <c r="S326" i="4"/>
  <c r="S314" i="4"/>
  <c r="S302" i="4"/>
  <c r="S290" i="4"/>
  <c r="S278" i="4"/>
  <c r="S266" i="4"/>
  <c r="S242" i="4"/>
  <c r="S218" i="4"/>
  <c r="S158" i="4"/>
  <c r="BS158" i="4" s="1"/>
  <c r="S146" i="4"/>
  <c r="S122" i="4"/>
  <c r="S110" i="4"/>
  <c r="S62" i="4"/>
  <c r="S50" i="4"/>
  <c r="S14" i="4"/>
  <c r="S631" i="4"/>
  <c r="S607" i="4"/>
  <c r="S595" i="4"/>
  <c r="S583" i="4"/>
  <c r="S559" i="4"/>
  <c r="S547" i="4"/>
  <c r="S535" i="4"/>
  <c r="S523" i="4"/>
  <c r="S511" i="4"/>
  <c r="S487" i="4"/>
  <c r="S451" i="4"/>
  <c r="S439" i="4"/>
  <c r="S391" i="4"/>
  <c r="S379" i="4"/>
  <c r="S367" i="4"/>
  <c r="S355" i="4"/>
  <c r="S331" i="4"/>
  <c r="S319" i="4"/>
  <c r="S295" i="4"/>
  <c r="S283" i="4"/>
  <c r="S271" i="4"/>
  <c r="S259" i="4"/>
  <c r="S247" i="4"/>
  <c r="S235" i="4"/>
  <c r="S211" i="4"/>
  <c r="S199" i="4"/>
  <c r="S187" i="4"/>
  <c r="S175" i="4"/>
  <c r="S163" i="4"/>
  <c r="S151" i="4"/>
  <c r="S127" i="4"/>
  <c r="S115" i="4"/>
  <c r="S103" i="4"/>
  <c r="S79" i="4"/>
  <c r="S67" i="4"/>
  <c r="S55" i="4"/>
  <c r="S43" i="4"/>
  <c r="S31" i="4"/>
  <c r="S19" i="4"/>
  <c r="S132" i="4"/>
  <c r="BR93" i="4"/>
  <c r="BR69" i="4"/>
  <c r="BR45" i="4"/>
  <c r="BR408" i="4"/>
  <c r="BR13" i="4"/>
  <c r="BR109" i="4"/>
  <c r="S614" i="4"/>
  <c r="S578" i="4"/>
  <c r="S530" i="4"/>
  <c r="S589" i="4"/>
  <c r="S529" i="4"/>
  <c r="S493" i="4"/>
  <c r="S433" i="4"/>
  <c r="S409" i="4"/>
  <c r="S361" i="4"/>
  <c r="S313" i="4"/>
  <c r="S301" i="4"/>
  <c r="S277" i="4"/>
  <c r="S241" i="4"/>
  <c r="S229" i="4"/>
  <c r="S193" i="4"/>
  <c r="S181" i="4"/>
  <c r="S133" i="4"/>
  <c r="S630" i="4"/>
  <c r="S618" i="4"/>
  <c r="S606" i="4"/>
  <c r="S594" i="4"/>
  <c r="S582" i="4"/>
  <c r="S570" i="4"/>
  <c r="S558" i="4"/>
  <c r="S546" i="4"/>
  <c r="S534" i="4"/>
  <c r="S522" i="4"/>
  <c r="S510" i="4"/>
  <c r="S498" i="4"/>
  <c r="S486" i="4"/>
  <c r="S474" i="4"/>
  <c r="S462" i="4"/>
  <c r="S450" i="4"/>
  <c r="S438" i="4"/>
  <c r="S426" i="4"/>
  <c r="S414" i="4"/>
  <c r="S402" i="4"/>
  <c r="S390" i="4"/>
  <c r="S378" i="4"/>
  <c r="S366" i="4"/>
  <c r="S354" i="4"/>
  <c r="S330" i="4"/>
  <c r="S318" i="4"/>
  <c r="S306" i="4"/>
  <c r="S294" i="4"/>
  <c r="S282" i="4"/>
  <c r="S270" i="4"/>
  <c r="S258" i="4"/>
  <c r="S246" i="4"/>
  <c r="S234" i="4"/>
  <c r="S222" i="4"/>
  <c r="S210" i="4"/>
  <c r="S198" i="4"/>
  <c r="S186" i="4"/>
  <c r="S174" i="4"/>
  <c r="S162" i="4"/>
  <c r="S150" i="4"/>
  <c r="S138" i="4"/>
  <c r="S126" i="4"/>
  <c r="S114" i="4"/>
  <c r="S102" i="4"/>
  <c r="S90" i="4"/>
  <c r="S78" i="4"/>
  <c r="S66" i="4"/>
  <c r="S54" i="4"/>
  <c r="S42" i="4"/>
  <c r="S30" i="4"/>
  <c r="S18" i="4"/>
  <c r="BR170" i="4"/>
  <c r="BR158" i="4"/>
  <c r="BR333" i="4"/>
  <c r="BR407" i="4"/>
  <c r="BR395" i="4"/>
  <c r="BR383" i="4"/>
  <c r="BR565" i="4"/>
  <c r="BR553" i="4"/>
  <c r="BR541" i="4"/>
  <c r="BR589" i="4"/>
  <c r="S626" i="4"/>
  <c r="S396" i="4"/>
  <c r="S240" i="4"/>
  <c r="S120" i="4"/>
  <c r="S84" i="4"/>
  <c r="S72" i="4"/>
  <c r="S629" i="4"/>
  <c r="S617" i="4"/>
  <c r="S605" i="4"/>
  <c r="S593" i="4"/>
  <c r="S581" i="4"/>
  <c r="S569" i="4"/>
  <c r="S557" i="4"/>
  <c r="S545" i="4"/>
  <c r="S533" i="4"/>
  <c r="S521" i="4"/>
  <c r="S509" i="4"/>
  <c r="S497" i="4"/>
  <c r="S485" i="4"/>
  <c r="S473" i="4"/>
  <c r="S461" i="4"/>
  <c r="S449" i="4"/>
  <c r="S437" i="4"/>
  <c r="S425" i="4"/>
  <c r="S413" i="4"/>
  <c r="S401" i="4"/>
  <c r="S389" i="4"/>
  <c r="S377" i="4"/>
  <c r="S365" i="4"/>
  <c r="S353" i="4"/>
  <c r="S329" i="4"/>
  <c r="S317" i="4"/>
  <c r="S305" i="4"/>
  <c r="S293" i="4"/>
  <c r="S281" i="4"/>
  <c r="S269" i="4"/>
  <c r="S257" i="4"/>
  <c r="S245" i="4"/>
  <c r="S233" i="4"/>
  <c r="S221" i="4"/>
  <c r="S209" i="4"/>
  <c r="S197" i="4"/>
  <c r="S185" i="4"/>
  <c r="S173" i="4"/>
  <c r="S161" i="4"/>
  <c r="S149" i="4"/>
  <c r="S137" i="4"/>
  <c r="S125" i="4"/>
  <c r="S113" i="4"/>
  <c r="S101" i="4"/>
  <c r="S89" i="4"/>
  <c r="S77" i="4"/>
  <c r="S65" i="4"/>
  <c r="S53" i="4"/>
  <c r="S41" i="4"/>
  <c r="S29" i="4"/>
  <c r="S17" i="4"/>
  <c r="BR107" i="4"/>
  <c r="BR295" i="4"/>
  <c r="BR283" i="4"/>
  <c r="BR271" i="4"/>
  <c r="BR259" i="4"/>
  <c r="BR575" i="4"/>
  <c r="S636" i="4"/>
  <c r="S588" i="4"/>
  <c r="S576" i="4"/>
  <c r="S540" i="4"/>
  <c r="S408" i="4"/>
  <c r="S360" i="4"/>
  <c r="S228" i="4"/>
  <c r="S180" i="4"/>
  <c r="S36" i="4"/>
  <c r="S24" i="4"/>
  <c r="BR140" i="4"/>
  <c r="BR128" i="4"/>
  <c r="BR91" i="4"/>
  <c r="BR79" i="4"/>
  <c r="BR67" i="4"/>
  <c r="BR55" i="4"/>
  <c r="BS55" i="4" s="1"/>
  <c r="BR43" i="4"/>
  <c r="BR31" i="4"/>
  <c r="BR137" i="4"/>
  <c r="BR125" i="4"/>
  <c r="BR169" i="4"/>
  <c r="BR157" i="4"/>
  <c r="BR145" i="4"/>
  <c r="BR291" i="4"/>
  <c r="BR279" i="4"/>
  <c r="BR267" i="4"/>
  <c r="BR255" i="4"/>
  <c r="BR243" i="4"/>
  <c r="BS243" i="4" s="1"/>
  <c r="BR231" i="4"/>
  <c r="BR219" i="4"/>
  <c r="BR207" i="4"/>
  <c r="BS207" i="4" s="1"/>
  <c r="BR195" i="4"/>
  <c r="BR183" i="4"/>
  <c r="BR368" i="4"/>
  <c r="BR356" i="4"/>
  <c r="BR332" i="4"/>
  <c r="BR320" i="4"/>
  <c r="BR308" i="4"/>
  <c r="BR454" i="4"/>
  <c r="BR442" i="4"/>
  <c r="BR430" i="4"/>
  <c r="BR418" i="4"/>
  <c r="BR406" i="4"/>
  <c r="BS406" i="4" s="1"/>
  <c r="BR394" i="4"/>
  <c r="BR382" i="4"/>
  <c r="BR370" i="4"/>
  <c r="BR496" i="4"/>
  <c r="BR484" i="4"/>
  <c r="BR472" i="4"/>
  <c r="BR460" i="4"/>
  <c r="BR564" i="4"/>
  <c r="BR552" i="4"/>
  <c r="BR540" i="4"/>
  <c r="BR528" i="4"/>
  <c r="BR516" i="4"/>
  <c r="BR600" i="4"/>
  <c r="BR588" i="4"/>
  <c r="BR60" i="4"/>
  <c r="BR36" i="4"/>
  <c r="BR24" i="4"/>
  <c r="BR167" i="4"/>
  <c r="BR529" i="4"/>
  <c r="BR517" i="4"/>
  <c r="BR579" i="4"/>
  <c r="BR555" i="4"/>
  <c r="BR543" i="4"/>
  <c r="BS543" i="4" s="1"/>
  <c r="BR604" i="4"/>
  <c r="BR556" i="4"/>
  <c r="BR403" i="4"/>
  <c r="BR577" i="4"/>
  <c r="BR82" i="4"/>
  <c r="BR625" i="4"/>
  <c r="BR613" i="4"/>
  <c r="BR265" i="4"/>
  <c r="BR253" i="4"/>
  <c r="BR229" i="4"/>
  <c r="BR133" i="4"/>
  <c r="BR58" i="4"/>
  <c r="BR90" i="4"/>
  <c r="BR78" i="4"/>
  <c r="BR66" i="4"/>
  <c r="BR168" i="4"/>
  <c r="BR156" i="4"/>
  <c r="BR144" i="4"/>
  <c r="BR290" i="4"/>
  <c r="BR278" i="4"/>
  <c r="BR266" i="4"/>
  <c r="BR254" i="4"/>
  <c r="BR242" i="4"/>
  <c r="BR230" i="4"/>
  <c r="BS230" i="4" s="1"/>
  <c r="BR218" i="4"/>
  <c r="BR206" i="4"/>
  <c r="BR355" i="4"/>
  <c r="BR331" i="4"/>
  <c r="BR319" i="4"/>
  <c r="BR307" i="4"/>
  <c r="BR405" i="4"/>
  <c r="BR393" i="4"/>
  <c r="BS393" i="4" s="1"/>
  <c r="BR381" i="4"/>
  <c r="BR495" i="4"/>
  <c r="BR483" i="4"/>
  <c r="BR471" i="4"/>
  <c r="BR459" i="4"/>
  <c r="BR563" i="4"/>
  <c r="BR551" i="4"/>
  <c r="BR539" i="4"/>
  <c r="BR527" i="4"/>
  <c r="BR515" i="4"/>
  <c r="BR599" i="4"/>
  <c r="BR587" i="4"/>
  <c r="BR371" i="4"/>
  <c r="BR323" i="4"/>
  <c r="BR311" i="4"/>
  <c r="BR603" i="4"/>
  <c r="BS603" i="4" s="1"/>
  <c r="BR150" i="4"/>
  <c r="BR624" i="4"/>
  <c r="BR615" i="4"/>
  <c r="S600" i="4"/>
  <c r="S552" i="4"/>
  <c r="S312" i="4"/>
  <c r="S288" i="4"/>
  <c r="S276" i="4"/>
  <c r="S264" i="4"/>
  <c r="S252" i="4"/>
  <c r="S216" i="4"/>
  <c r="S204" i="4"/>
  <c r="S168" i="4"/>
  <c r="S108" i="4"/>
  <c r="S60" i="4"/>
  <c r="BS60" i="4" s="1"/>
  <c r="S12" i="4"/>
  <c r="BR309" i="4"/>
  <c r="S170" i="4"/>
  <c r="S601" i="4"/>
  <c r="S565" i="4"/>
  <c r="S445" i="4"/>
  <c r="S253" i="4"/>
  <c r="S205" i="4"/>
  <c r="S145" i="4"/>
  <c r="S73" i="4"/>
  <c r="S96" i="4"/>
  <c r="S599" i="4"/>
  <c r="S563" i="4"/>
  <c r="S551" i="4"/>
  <c r="S503" i="4"/>
  <c r="S479" i="4"/>
  <c r="S467" i="4"/>
  <c r="S419" i="4"/>
  <c r="S383" i="4"/>
  <c r="S371" i="4"/>
  <c r="S335" i="4"/>
  <c r="S323" i="4"/>
  <c r="S275" i="4"/>
  <c r="S263" i="4"/>
  <c r="S251" i="4"/>
  <c r="S239" i="4"/>
  <c r="S203" i="4"/>
  <c r="S191" i="4"/>
  <c r="S155" i="4"/>
  <c r="S143" i="4"/>
  <c r="S107" i="4"/>
  <c r="S95" i="4"/>
  <c r="S59" i="4"/>
  <c r="S47" i="4"/>
  <c r="S11" i="4"/>
  <c r="BR21" i="4"/>
  <c r="BR9" i="4"/>
  <c r="BR451" i="4"/>
  <c r="BR439" i="4"/>
  <c r="BR427" i="4"/>
  <c r="BR415" i="4"/>
  <c r="BR379" i="4"/>
  <c r="BR116" i="4"/>
  <c r="BR138" i="4"/>
  <c r="BR126" i="4"/>
  <c r="BS126" i="4" s="1"/>
  <c r="BR455" i="4"/>
  <c r="S554" i="4"/>
  <c r="S74" i="4"/>
  <c r="BR115" i="4"/>
  <c r="S44" i="4"/>
  <c r="S613" i="4"/>
  <c r="S553" i="4"/>
  <c r="S505" i="4"/>
  <c r="S397" i="4"/>
  <c r="S289" i="4"/>
  <c r="S121" i="4"/>
  <c r="BR102" i="4"/>
  <c r="S612" i="4"/>
  <c r="S564" i="4"/>
  <c r="S336" i="4"/>
  <c r="BR20" i="4"/>
  <c r="BR99" i="4"/>
  <c r="BS99" i="4" s="1"/>
  <c r="BR87" i="4"/>
  <c r="BR75" i="4"/>
  <c r="BR63" i="4"/>
  <c r="BR51" i="4"/>
  <c r="BR39" i="4"/>
  <c r="BS39" i="4" s="1"/>
  <c r="BR27" i="4"/>
  <c r="BR215" i="4"/>
  <c r="BR191" i="4"/>
  <c r="BR450" i="4"/>
  <c r="BR438" i="4"/>
  <c r="BR426" i="4"/>
  <c r="BR414" i="4"/>
  <c r="BR378" i="4"/>
  <c r="BR560" i="4"/>
  <c r="BR548" i="4"/>
  <c r="BR536" i="4"/>
  <c r="BR596" i="4"/>
  <c r="BR584" i="4"/>
  <c r="BR104" i="4"/>
  <c r="BR92" i="4"/>
  <c r="BR80" i="4"/>
  <c r="BR68" i="4"/>
  <c r="BR56" i="4"/>
  <c r="BR44" i="4"/>
  <c r="BR32" i="4"/>
  <c r="BR404" i="4"/>
  <c r="BR636" i="4"/>
  <c r="S422" i="4"/>
  <c r="S26" i="4"/>
  <c r="BR103" i="4"/>
  <c r="S92" i="4"/>
  <c r="S481" i="4"/>
  <c r="S373" i="4"/>
  <c r="S325" i="4"/>
  <c r="S217" i="4"/>
  <c r="S169" i="4"/>
  <c r="S109" i="4"/>
  <c r="BS109" i="4" s="1"/>
  <c r="S516" i="4"/>
  <c r="S384" i="4"/>
  <c r="S156" i="4"/>
  <c r="S597" i="4"/>
  <c r="S549" i="4"/>
  <c r="S537" i="4"/>
  <c r="S465" i="4"/>
  <c r="S417" i="4"/>
  <c r="S405" i="4"/>
  <c r="S369" i="4"/>
  <c r="S357" i="4"/>
  <c r="S321" i="4"/>
  <c r="S309" i="4"/>
  <c r="S261" i="4"/>
  <c r="S249" i="4"/>
  <c r="S237" i="4"/>
  <c r="S201" i="4"/>
  <c r="BR19" i="4"/>
  <c r="BR98" i="4"/>
  <c r="BS98" i="4" s="1"/>
  <c r="BR86" i="4"/>
  <c r="BS86" i="4" s="1"/>
  <c r="BR74" i="4"/>
  <c r="BR62" i="4"/>
  <c r="BR50" i="4"/>
  <c r="BR26" i="4"/>
  <c r="BR176" i="4"/>
  <c r="BS176" i="4" s="1"/>
  <c r="BR164" i="4"/>
  <c r="BR152" i="4"/>
  <c r="BR503" i="4"/>
  <c r="BR491" i="4"/>
  <c r="BR479" i="4"/>
  <c r="BR467" i="4"/>
  <c r="BR535" i="4"/>
  <c r="BR523" i="4"/>
  <c r="BR511" i="4"/>
  <c r="BR611" i="4"/>
  <c r="BR431" i="4"/>
  <c r="BR146" i="4"/>
  <c r="BS146" i="4" s="1"/>
  <c r="BR632" i="4"/>
  <c r="BR620" i="4"/>
  <c r="BR357" i="4"/>
  <c r="BR321" i="4"/>
  <c r="BR443" i="4"/>
  <c r="BR419" i="4"/>
  <c r="S506" i="4"/>
  <c r="S398" i="4"/>
  <c r="S206" i="4"/>
  <c r="BR12" i="4"/>
  <c r="S625" i="4"/>
  <c r="S577" i="4"/>
  <c r="S517" i="4"/>
  <c r="S421" i="4"/>
  <c r="S265" i="4"/>
  <c r="S97" i="4"/>
  <c r="S49" i="4"/>
  <c r="BR114" i="4"/>
  <c r="BS114" i="4" s="1"/>
  <c r="S609" i="4"/>
  <c r="S500" i="4"/>
  <c r="S488" i="4"/>
  <c r="S464" i="4"/>
  <c r="S440" i="4"/>
  <c r="S404" i="4"/>
  <c r="S368" i="4"/>
  <c r="S356" i="4"/>
  <c r="S308" i="4"/>
  <c r="S296" i="4"/>
  <c r="S224" i="4"/>
  <c r="S200" i="4"/>
  <c r="S188" i="4"/>
  <c r="S140" i="4"/>
  <c r="S128" i="4"/>
  <c r="S80" i="4"/>
  <c r="S32" i="4"/>
  <c r="BR49" i="4"/>
  <c r="BR37" i="4"/>
  <c r="BR25" i="4"/>
  <c r="BR225" i="4"/>
  <c r="BR213" i="4"/>
  <c r="BR201" i="4"/>
  <c r="BR189" i="4"/>
  <c r="BR326" i="4"/>
  <c r="BR314" i="4"/>
  <c r="BR302" i="4"/>
  <c r="BR570" i="4"/>
  <c r="BR558" i="4"/>
  <c r="BR546" i="4"/>
  <c r="BR534" i="4"/>
  <c r="BR522" i="4"/>
  <c r="BR510" i="4"/>
  <c r="BR594" i="4"/>
  <c r="BR582" i="4"/>
  <c r="BR154" i="4"/>
  <c r="BR106" i="4"/>
  <c r="BS106" i="4" s="1"/>
  <c r="BR194" i="4"/>
  <c r="BS194" i="4" s="1"/>
  <c r="BR151" i="4"/>
  <c r="BR261" i="4"/>
  <c r="BR187" i="4"/>
  <c r="BS187" i="4" s="1"/>
  <c r="BR118" i="4"/>
  <c r="BR94" i="4"/>
  <c r="BR70" i="4"/>
  <c r="BR46" i="4"/>
  <c r="BS46" i="4" s="1"/>
  <c r="BR172" i="4"/>
  <c r="BR322" i="4"/>
  <c r="BR54" i="4"/>
  <c r="BR441" i="4"/>
  <c r="S633" i="4"/>
  <c r="S585" i="4"/>
  <c r="S501" i="4"/>
  <c r="S441" i="4"/>
  <c r="S333" i="4"/>
  <c r="BS333" i="4" s="1"/>
  <c r="S285" i="4"/>
  <c r="S189" i="4"/>
  <c r="S177" i="4"/>
  <c r="S165" i="4"/>
  <c r="S153" i="4"/>
  <c r="S141" i="4"/>
  <c r="S129" i="4"/>
  <c r="S117" i="4"/>
  <c r="S105" i="4"/>
  <c r="S93" i="4"/>
  <c r="S81" i="4"/>
  <c r="S69" i="4"/>
  <c r="S57" i="4"/>
  <c r="S45" i="4"/>
  <c r="S33" i="4"/>
  <c r="S21" i="4"/>
  <c r="S9" i="4"/>
  <c r="BR18" i="4"/>
  <c r="BR121" i="4"/>
  <c r="BR97" i="4"/>
  <c r="BR85" i="4"/>
  <c r="BR73" i="4"/>
  <c r="BR61" i="4"/>
  <c r="BR131" i="4"/>
  <c r="BR175" i="4"/>
  <c r="BR163" i="4"/>
  <c r="BR297" i="4"/>
  <c r="BR285" i="4"/>
  <c r="BR273" i="4"/>
  <c r="BR249" i="4"/>
  <c r="BR237" i="4"/>
  <c r="BR124" i="4"/>
  <c r="BR429" i="4"/>
  <c r="S632" i="4"/>
  <c r="S620" i="4"/>
  <c r="S608" i="4"/>
  <c r="S596" i="4"/>
  <c r="S584" i="4"/>
  <c r="S572" i="4"/>
  <c r="S560" i="4"/>
  <c r="S548" i="4"/>
  <c r="S536" i="4"/>
  <c r="S524" i="4"/>
  <c r="S512" i="4"/>
  <c r="S428" i="4"/>
  <c r="S416" i="4"/>
  <c r="S320" i="4"/>
  <c r="S284" i="4"/>
  <c r="S272" i="4"/>
  <c r="S260" i="4"/>
  <c r="S248" i="4"/>
  <c r="S236" i="4"/>
  <c r="S152" i="4"/>
  <c r="BS152" i="4" s="1"/>
  <c r="S104" i="4"/>
  <c r="BR84" i="4"/>
  <c r="BR367" i="4"/>
  <c r="S453" i="4"/>
  <c r="S619" i="4"/>
  <c r="S571" i="4"/>
  <c r="S499" i="4"/>
  <c r="S475" i="4"/>
  <c r="S463" i="4"/>
  <c r="S427" i="4"/>
  <c r="S403" i="4"/>
  <c r="S307" i="4"/>
  <c r="S223" i="4"/>
  <c r="S139" i="4"/>
  <c r="S91" i="4"/>
  <c r="BR16" i="4"/>
  <c r="BR119" i="4"/>
  <c r="BR95" i="4"/>
  <c r="BR83" i="4"/>
  <c r="BS83" i="4" s="1"/>
  <c r="BR71" i="4"/>
  <c r="BR59" i="4"/>
  <c r="BR47" i="4"/>
  <c r="BR35" i="4"/>
  <c r="BR141" i="4"/>
  <c r="BR129" i="4"/>
  <c r="BR173" i="4"/>
  <c r="BR161" i="4"/>
  <c r="BR149" i="4"/>
  <c r="BR247" i="4"/>
  <c r="BR235" i="4"/>
  <c r="BR223" i="4"/>
  <c r="BR211" i="4"/>
  <c r="BR199" i="4"/>
  <c r="BR360" i="4"/>
  <c r="BR336" i="4"/>
  <c r="BR324" i="4"/>
  <c r="BR312" i="4"/>
  <c r="BR300" i="4"/>
  <c r="BR446" i="4"/>
  <c r="BR434" i="4"/>
  <c r="BR422" i="4"/>
  <c r="BR410" i="4"/>
  <c r="BR398" i="4"/>
  <c r="BR386" i="4"/>
  <c r="BR374" i="4"/>
  <c r="BR500" i="4"/>
  <c r="BR488" i="4"/>
  <c r="BR476" i="4"/>
  <c r="BR464" i="4"/>
  <c r="BR568" i="4"/>
  <c r="BR544" i="4"/>
  <c r="BR532" i="4"/>
  <c r="BR520" i="4"/>
  <c r="BR592" i="4"/>
  <c r="BR580" i="4"/>
  <c r="BR136" i="4"/>
  <c r="BR453" i="4"/>
  <c r="BR417" i="4"/>
  <c r="BR22" i="4"/>
  <c r="BR10" i="4"/>
  <c r="BR205" i="4"/>
  <c r="BR193" i="4"/>
  <c r="BR34" i="4"/>
  <c r="BR628" i="4"/>
  <c r="BS628" i="4" s="1"/>
  <c r="BR184" i="4"/>
  <c r="S541" i="4"/>
  <c r="S469" i="4"/>
  <c r="S385" i="4"/>
  <c r="S337" i="4"/>
  <c r="S157" i="4"/>
  <c r="S61" i="4"/>
  <c r="S13" i="4"/>
  <c r="BS13" i="4" s="1"/>
  <c r="BR182" i="4"/>
  <c r="BS182" i="4" s="1"/>
  <c r="S624" i="4"/>
  <c r="S528" i="4"/>
  <c r="S504" i="4"/>
  <c r="S492" i="4"/>
  <c r="S480" i="4"/>
  <c r="S468" i="4"/>
  <c r="S456" i="4"/>
  <c r="S444" i="4"/>
  <c r="S432" i="4"/>
  <c r="S420" i="4"/>
  <c r="S372" i="4"/>
  <c r="S324" i="4"/>
  <c r="S192" i="4"/>
  <c r="S144" i="4"/>
  <c r="S48" i="4"/>
  <c r="BR112" i="4"/>
  <c r="BR100" i="4"/>
  <c r="BR88" i="4"/>
  <c r="BS88" i="4" s="1"/>
  <c r="BR76" i="4"/>
  <c r="BS76" i="4" s="1"/>
  <c r="BR64" i="4"/>
  <c r="BS64" i="4" s="1"/>
  <c r="BR52" i="4"/>
  <c r="BR40" i="4"/>
  <c r="BR28" i="4"/>
  <c r="BR178" i="4"/>
  <c r="BR166" i="4"/>
  <c r="BR142" i="4"/>
  <c r="BR288" i="4"/>
  <c r="BR276" i="4"/>
  <c r="BR264" i="4"/>
  <c r="BR252" i="4"/>
  <c r="BR240" i="4"/>
  <c r="BR228" i="4"/>
  <c r="BR216" i="4"/>
  <c r="BR204" i="4"/>
  <c r="BR192" i="4"/>
  <c r="BR493" i="4"/>
  <c r="BR11" i="4"/>
  <c r="BS11" i="4" s="1"/>
  <c r="BR42" i="4"/>
  <c r="S515" i="4"/>
  <c r="S455" i="4"/>
  <c r="S443" i="4"/>
  <c r="S431" i="4"/>
  <c r="S359" i="4"/>
  <c r="S311" i="4"/>
  <c r="S179" i="4"/>
  <c r="S131" i="4"/>
  <c r="S35" i="4"/>
  <c r="BS35" i="4" s="1"/>
  <c r="BR111" i="4"/>
  <c r="BR177" i="4"/>
  <c r="BR165" i="4"/>
  <c r="BR153" i="4"/>
  <c r="BR180" i="4"/>
  <c r="BR287" i="4"/>
  <c r="BR275" i="4"/>
  <c r="BR263" i="4"/>
  <c r="BR251" i="4"/>
  <c r="BR239" i="4"/>
  <c r="BR227" i="4"/>
  <c r="BS227" i="4" s="1"/>
  <c r="BR203" i="4"/>
  <c r="BR364" i="4"/>
  <c r="BR352" i="4"/>
  <c r="BR328" i="4"/>
  <c r="BR316" i="4"/>
  <c r="BR304" i="4"/>
  <c r="BR492" i="4"/>
  <c r="BR23" i="4"/>
  <c r="BS23" i="4" s="1"/>
  <c r="BR30" i="4"/>
  <c r="BR457" i="4"/>
  <c r="S611" i="4"/>
  <c r="S598" i="4"/>
  <c r="S490" i="4"/>
  <c r="S298" i="4"/>
  <c r="S166" i="4"/>
  <c r="S118" i="4"/>
  <c r="S22" i="4"/>
  <c r="BR122" i="4"/>
  <c r="BR110" i="4"/>
  <c r="BR38" i="4"/>
  <c r="BR132" i="4"/>
  <c r="BR298" i="4"/>
  <c r="BR286" i="4"/>
  <c r="BR274" i="4"/>
  <c r="BR262" i="4"/>
  <c r="BS262" i="4" s="1"/>
  <c r="BR250" i="4"/>
  <c r="BR238" i="4"/>
  <c r="BR226" i="4"/>
  <c r="BR214" i="4"/>
  <c r="BR202" i="4"/>
  <c r="BR190" i="4"/>
  <c r="S470" i="4"/>
  <c r="BR14" i="4"/>
  <c r="BR117" i="4"/>
  <c r="BR105" i="4"/>
  <c r="BR81" i="4"/>
  <c r="BR57" i="4"/>
  <c r="BR33" i="4"/>
  <c r="BR139" i="4"/>
  <c r="BR127" i="4"/>
  <c r="BR171" i="4"/>
  <c r="BS171" i="4" s="1"/>
  <c r="BR159" i="4"/>
  <c r="BR147" i="4"/>
  <c r="BR293" i="4"/>
  <c r="BR281" i="4"/>
  <c r="BR269" i="4"/>
  <c r="BR257" i="4"/>
  <c r="BR245" i="4"/>
  <c r="BR233" i="4"/>
  <c r="BS233" i="4" s="1"/>
  <c r="BR221" i="4"/>
  <c r="BR209" i="4"/>
  <c r="BR197" i="4"/>
  <c r="BR185" i="4"/>
  <c r="BR358" i="4"/>
  <c r="BR334" i="4"/>
  <c r="BR310" i="4"/>
  <c r="BR456" i="4"/>
  <c r="BR444" i="4"/>
  <c r="BR432" i="4"/>
  <c r="BR420" i="4"/>
  <c r="BR396" i="4"/>
  <c r="BR384" i="4"/>
  <c r="BR372" i="4"/>
  <c r="BR498" i="4"/>
  <c r="BR486" i="4"/>
  <c r="BR474" i="4"/>
  <c r="BR462" i="4"/>
  <c r="BR566" i="4"/>
  <c r="BR554" i="4"/>
  <c r="BR542" i="4"/>
  <c r="BR530" i="4"/>
  <c r="BR518" i="4"/>
  <c r="BR573" i="4"/>
  <c r="BR590" i="4"/>
  <c r="BS590" i="4" s="1"/>
  <c r="BR578" i="4"/>
  <c r="BR519" i="4"/>
  <c r="S226" i="4"/>
  <c r="S214" i="4"/>
  <c r="S202" i="4"/>
  <c r="BR101" i="4"/>
  <c r="BR89" i="4"/>
  <c r="BS89" i="4" s="1"/>
  <c r="BR77" i="4"/>
  <c r="BS77" i="4" s="1"/>
  <c r="BR65" i="4"/>
  <c r="BR53" i="4"/>
  <c r="BR41" i="4"/>
  <c r="BR29" i="4"/>
  <c r="BR135" i="4"/>
  <c r="BR179" i="4"/>
  <c r="BR155" i="4"/>
  <c r="BR289" i="4"/>
  <c r="BR277" i="4"/>
  <c r="BR241" i="4"/>
  <c r="BR217" i="4"/>
  <c r="BR354" i="4"/>
  <c r="BR416" i="4"/>
  <c r="BR392" i="4"/>
  <c r="BR380" i="4"/>
  <c r="BR365" i="4"/>
  <c r="BR353" i="4"/>
  <c r="BR329" i="4"/>
  <c r="BR317" i="4"/>
  <c r="BR305" i="4"/>
  <c r="BR391" i="4"/>
  <c r="BR505" i="4"/>
  <c r="BR481" i="4"/>
  <c r="BR469" i="4"/>
  <c r="BR507" i="4"/>
  <c r="BR561" i="4"/>
  <c r="BR549" i="4"/>
  <c r="BR537" i="4"/>
  <c r="BR525" i="4"/>
  <c r="BR513" i="4"/>
  <c r="BR597" i="4"/>
  <c r="BR585" i="4"/>
  <c r="BR369" i="4"/>
  <c r="BR576" i="4"/>
  <c r="BR601" i="4"/>
  <c r="BR622" i="4"/>
  <c r="BR402" i="4"/>
  <c r="BR390" i="4"/>
  <c r="BR504" i="4"/>
  <c r="BR480" i="4"/>
  <c r="BR468" i="4"/>
  <c r="BR508" i="4"/>
  <c r="BR524" i="4"/>
  <c r="BR512" i="4"/>
  <c r="BR612" i="4"/>
  <c r="BR633" i="4"/>
  <c r="BR621" i="4"/>
  <c r="BR363" i="4"/>
  <c r="BS363" i="4" s="1"/>
  <c r="BR351" i="4"/>
  <c r="BR327" i="4"/>
  <c r="BR315" i="4"/>
  <c r="BR303" i="4"/>
  <c r="BR449" i="4"/>
  <c r="BR437" i="4"/>
  <c r="BR425" i="4"/>
  <c r="BR413" i="4"/>
  <c r="BR401" i="4"/>
  <c r="BR389" i="4"/>
  <c r="BR377" i="4"/>
  <c r="BR571" i="4"/>
  <c r="BR559" i="4"/>
  <c r="BR547" i="4"/>
  <c r="BR595" i="4"/>
  <c r="BS595" i="4" s="1"/>
  <c r="BR583" i="4"/>
  <c r="BR440" i="4"/>
  <c r="BR428" i="4"/>
  <c r="BR362" i="4"/>
  <c r="BR350" i="4"/>
  <c r="BR448" i="4"/>
  <c r="BR436" i="4"/>
  <c r="BR424" i="4"/>
  <c r="BS424" i="4" s="1"/>
  <c r="BR412" i="4"/>
  <c r="BS412" i="4" s="1"/>
  <c r="BR400" i="4"/>
  <c r="BR388" i="4"/>
  <c r="BR376" i="4"/>
  <c r="BR502" i="4"/>
  <c r="BR490" i="4"/>
  <c r="BR478" i="4"/>
  <c r="BR466" i="4"/>
  <c r="BR113" i="4"/>
  <c r="BR181" i="4"/>
  <c r="BR610" i="4"/>
  <c r="BR17" i="4"/>
  <c r="BR120" i="4"/>
  <c r="BS120" i="4" s="1"/>
  <c r="BR96" i="4"/>
  <c r="BR72" i="4"/>
  <c r="BR48" i="4"/>
  <c r="BR123" i="4"/>
  <c r="BR130" i="4"/>
  <c r="BS130" i="4" s="1"/>
  <c r="BR174" i="4"/>
  <c r="BR162" i="4"/>
  <c r="BR296" i="4"/>
  <c r="BR284" i="4"/>
  <c r="BR272" i="4"/>
  <c r="BR248" i="4"/>
  <c r="BR236" i="4"/>
  <c r="BR224" i="4"/>
  <c r="BR212" i="4"/>
  <c r="BR361" i="4"/>
  <c r="BR337" i="4"/>
  <c r="BR325" i="4"/>
  <c r="BR313" i="4"/>
  <c r="BR301" i="4"/>
  <c r="BR447" i="4"/>
  <c r="BR435" i="4"/>
  <c r="BR423" i="4"/>
  <c r="BR411" i="4"/>
  <c r="BR399" i="4"/>
  <c r="BR387" i="4"/>
  <c r="BR375" i="4"/>
  <c r="BR501" i="4"/>
  <c r="BR489" i="4"/>
  <c r="BR477" i="4"/>
  <c r="BR465" i="4"/>
  <c r="BR569" i="4"/>
  <c r="BR557" i="4"/>
  <c r="BR545" i="4"/>
  <c r="BR533" i="4"/>
  <c r="BR521" i="4"/>
  <c r="BR509" i="4"/>
  <c r="BS509" i="4" s="1"/>
  <c r="BR593" i="4"/>
  <c r="BR581" i="4"/>
  <c r="BR15" i="4"/>
  <c r="BR160" i="4"/>
  <c r="BR148" i="4"/>
  <c r="BS148" i="4" s="1"/>
  <c r="BR186" i="4"/>
  <c r="BR359" i="4"/>
  <c r="BR335" i="4"/>
  <c r="BR299" i="4"/>
  <c r="BS299" i="4" s="1"/>
  <c r="BR445" i="4"/>
  <c r="BR567" i="4"/>
  <c r="BR531" i="4"/>
  <c r="BR591" i="4"/>
  <c r="BR616" i="4"/>
  <c r="BR606" i="4"/>
  <c r="BR627" i="4"/>
  <c r="BR623" i="4"/>
  <c r="BR631" i="4"/>
  <c r="BR619" i="4"/>
  <c r="BR143" i="4"/>
  <c r="BR366" i="4"/>
  <c r="BR330" i="4"/>
  <c r="BR318" i="4"/>
  <c r="BR306" i="4"/>
  <c r="BR452" i="4"/>
  <c r="BR506" i="4"/>
  <c r="BR494" i="4"/>
  <c r="BR482" i="4"/>
  <c r="BR470" i="4"/>
  <c r="BR458" i="4"/>
  <c r="BR562" i="4"/>
  <c r="BR550" i="4"/>
  <c r="BS550" i="4" s="1"/>
  <c r="BR538" i="4"/>
  <c r="BR526" i="4"/>
  <c r="BS526" i="4" s="1"/>
  <c r="BR514" i="4"/>
  <c r="BR598" i="4"/>
  <c r="BR586" i="4"/>
  <c r="BR602" i="4"/>
  <c r="BR609" i="4"/>
  <c r="BR630" i="4"/>
  <c r="BR618" i="4"/>
  <c r="BR634" i="4"/>
  <c r="BR608" i="4"/>
  <c r="BR629" i="4"/>
  <c r="BR617" i="4"/>
  <c r="BR294" i="4"/>
  <c r="BR282" i="4"/>
  <c r="BS282" i="4" s="1"/>
  <c r="BR270" i="4"/>
  <c r="BR258" i="4"/>
  <c r="BR246" i="4"/>
  <c r="BR234" i="4"/>
  <c r="BR222" i="4"/>
  <c r="BR210" i="4"/>
  <c r="BR198" i="4"/>
  <c r="BR433" i="4"/>
  <c r="BR421" i="4"/>
  <c r="BR409" i="4"/>
  <c r="BR397" i="4"/>
  <c r="BR385" i="4"/>
  <c r="BR373" i="4"/>
  <c r="BR499" i="4"/>
  <c r="BR487" i="4"/>
  <c r="BR475" i="4"/>
  <c r="BR463" i="4"/>
  <c r="BR574" i="4"/>
  <c r="BR607" i="4"/>
  <c r="BR292" i="4"/>
  <c r="BR280" i="4"/>
  <c r="BR268" i="4"/>
  <c r="BR256" i="4"/>
  <c r="BS256" i="4" s="1"/>
  <c r="BR244" i="4"/>
  <c r="BS244" i="4" s="1"/>
  <c r="BR232" i="4"/>
  <c r="BR220" i="4"/>
  <c r="BS220" i="4" s="1"/>
  <c r="BR208" i="4"/>
  <c r="BR196" i="4"/>
  <c r="BR497" i="4"/>
  <c r="BR485" i="4"/>
  <c r="BR473" i="4"/>
  <c r="BR461" i="4"/>
  <c r="BR572" i="4"/>
  <c r="BR605" i="4"/>
  <c r="BR626" i="4"/>
  <c r="BR614" i="4"/>
  <c r="R188" i="4"/>
  <c r="BS172" i="4" l="1"/>
  <c r="BS258" i="4"/>
  <c r="BS286" i="4"/>
  <c r="BS103" i="4"/>
  <c r="BS138" i="4"/>
  <c r="BS184" i="4"/>
  <c r="BS119" i="4"/>
  <c r="BS50" i="4"/>
  <c r="BS259" i="4"/>
  <c r="BS147" i="4"/>
  <c r="BS159" i="4"/>
  <c r="BS62" i="4"/>
  <c r="BS20" i="4"/>
  <c r="BS268" i="4"/>
  <c r="BS277" i="4"/>
  <c r="BS335" i="4"/>
  <c r="BS301" i="4"/>
  <c r="BS84" i="4"/>
  <c r="BS237" i="4"/>
  <c r="BS314" i="4"/>
  <c r="BS160" i="4"/>
  <c r="BS221" i="4"/>
  <c r="BS249" i="4"/>
  <c r="S649" i="4"/>
  <c r="BS238" i="4"/>
  <c r="BS75" i="4"/>
  <c r="BS495" i="4"/>
  <c r="BS31" i="4"/>
  <c r="BS218" i="4"/>
  <c r="BS38" i="4"/>
  <c r="BS322" i="4"/>
  <c r="BS63" i="4"/>
  <c r="BS163" i="4"/>
  <c r="BS196" i="4"/>
  <c r="BS609" i="4"/>
  <c r="BS508" i="4"/>
  <c r="BS208" i="4"/>
  <c r="BS246" i="4"/>
  <c r="BS602" i="4"/>
  <c r="BS123" i="4"/>
  <c r="BS155" i="4"/>
  <c r="BS71" i="4"/>
  <c r="BS297" i="4"/>
  <c r="BS169" i="4"/>
  <c r="BS87" i="4"/>
  <c r="BS229" i="4"/>
  <c r="BS617" i="4"/>
  <c r="BS507" i="4"/>
  <c r="BS291" i="4"/>
  <c r="BS274" i="4"/>
  <c r="BS85" i="4"/>
  <c r="BS65" i="4"/>
  <c r="BS461" i="4"/>
  <c r="BS181" i="4"/>
  <c r="BS28" i="4"/>
  <c r="BS223" i="4"/>
  <c r="BS225" i="4"/>
  <c r="BS271" i="4"/>
  <c r="BS387" i="4"/>
  <c r="BS288" i="4"/>
  <c r="BS350" i="4"/>
  <c r="BS131" i="4"/>
  <c r="BS40" i="4"/>
  <c r="BS336" i="4"/>
  <c r="BS104" i="4"/>
  <c r="BS168" i="4"/>
  <c r="BS459" i="4"/>
  <c r="BS328" i="4"/>
  <c r="BS391" i="4"/>
  <c r="BS310" i="4"/>
  <c r="BS457" i="4"/>
  <c r="BS52" i="4"/>
  <c r="BS145" i="4"/>
  <c r="BS195" i="4"/>
  <c r="BS295" i="4"/>
  <c r="BS136" i="4"/>
  <c r="BS252" i="4"/>
  <c r="BS540" i="4"/>
  <c r="BS525" i="4"/>
  <c r="BS304" i="4"/>
  <c r="BS287" i="4"/>
  <c r="BS100" i="4"/>
  <c r="BS592" i="4"/>
  <c r="BS582" i="4"/>
  <c r="BS255" i="4"/>
  <c r="BS266" i="4"/>
  <c r="BS232" i="4"/>
  <c r="BS270" i="4"/>
  <c r="BS591" i="4"/>
  <c r="BS212" i="4"/>
  <c r="BS72" i="4"/>
  <c r="BS388" i="4"/>
  <c r="BS327" i="4"/>
  <c r="BS353" i="4"/>
  <c r="BS135" i="4"/>
  <c r="BS197" i="4"/>
  <c r="BS316" i="4"/>
  <c r="BS180" i="4"/>
  <c r="BS276" i="4"/>
  <c r="BS112" i="4"/>
  <c r="BS520" i="4"/>
  <c r="BS235" i="4"/>
  <c r="BS213" i="4"/>
  <c r="BS19" i="4"/>
  <c r="BS68" i="4"/>
  <c r="BS503" i="4"/>
  <c r="BS170" i="4"/>
  <c r="BS290" i="4"/>
  <c r="BS167" i="4"/>
  <c r="BS267" i="4"/>
  <c r="BS79" i="4"/>
  <c r="BS90" i="4"/>
  <c r="BS43" i="4"/>
  <c r="BS294" i="4"/>
  <c r="BS561" i="4"/>
  <c r="BS380" i="4"/>
  <c r="BS250" i="4"/>
  <c r="BS16" i="4"/>
  <c r="BS25" i="4"/>
  <c r="BS12" i="4"/>
  <c r="BS36" i="4"/>
  <c r="BS53" i="4"/>
  <c r="BS352" i="4"/>
  <c r="BS300" i="4"/>
  <c r="BS161" i="4"/>
  <c r="BS102" i="4"/>
  <c r="BS263" i="4"/>
  <c r="BS280" i="4"/>
  <c r="BS245" i="4"/>
  <c r="BS111" i="4"/>
  <c r="BS178" i="4"/>
  <c r="BS205" i="4"/>
  <c r="BS124" i="4"/>
  <c r="BS27" i="4"/>
  <c r="BS292" i="4"/>
  <c r="BS143" i="4"/>
  <c r="BS117" i="4"/>
  <c r="BS289" i="4"/>
  <c r="BS323" i="4"/>
  <c r="BS634" i="4"/>
  <c r="BS217" i="4"/>
  <c r="BS51" i="4"/>
  <c r="BS183" i="4"/>
  <c r="BS254" i="4"/>
  <c r="BS125" i="4"/>
  <c r="BS332" i="4"/>
  <c r="BS257" i="4"/>
  <c r="BS319" i="4"/>
  <c r="BS574" i="4"/>
  <c r="BS162" i="4"/>
  <c r="BS303" i="4"/>
  <c r="BS69" i="4"/>
  <c r="BS308" i="4"/>
  <c r="BS491" i="4"/>
  <c r="BS58" i="4"/>
  <c r="BS228" i="4"/>
  <c r="BS413" i="4"/>
  <c r="BS306" i="4"/>
  <c r="BS330" i="4"/>
  <c r="BS567" i="4"/>
  <c r="BS351" i="4"/>
  <c r="BS41" i="4"/>
  <c r="BS573" i="4"/>
  <c r="BS42" i="4"/>
  <c r="BS142" i="4"/>
  <c r="BS34" i="4"/>
  <c r="BS149" i="4"/>
  <c r="BS632" i="4"/>
  <c r="BS522" i="4"/>
  <c r="BS26" i="4"/>
  <c r="BS219" i="4"/>
  <c r="BS318" i="4"/>
  <c r="BS193" i="4"/>
  <c r="BS91" i="4"/>
  <c r="BS37" i="4"/>
  <c r="BS368" i="4"/>
  <c r="BS215" i="4"/>
  <c r="BS150" i="4"/>
  <c r="BS115" i="4"/>
  <c r="BS164" i="4"/>
  <c r="BS599" i="4"/>
  <c r="BS54" i="4"/>
  <c r="BS174" i="4"/>
  <c r="BS334" i="4"/>
  <c r="BS30" i="4"/>
  <c r="BS251" i="4"/>
  <c r="BS96" i="4"/>
  <c r="BS108" i="4"/>
  <c r="BS17" i="4"/>
  <c r="BS66" i="4"/>
  <c r="BS190" i="4"/>
  <c r="BS70" i="4"/>
  <c r="BS154" i="4"/>
  <c r="BS29" i="4"/>
  <c r="BS173" i="4"/>
  <c r="BS78" i="4"/>
  <c r="BS203" i="4"/>
  <c r="BS113" i="4"/>
  <c r="BS269" i="4"/>
  <c r="BS122" i="4"/>
  <c r="BS94" i="4"/>
  <c r="BS59" i="4"/>
  <c r="BS378" i="4"/>
  <c r="BS278" i="4"/>
  <c r="BS15" i="4"/>
  <c r="BS315" i="4"/>
  <c r="BS185" i="4"/>
  <c r="BS45" i="4"/>
  <c r="BS49" i="4"/>
  <c r="BS151" i="4"/>
  <c r="BS279" i="4"/>
  <c r="BS494" i="4"/>
  <c r="BS127" i="4"/>
  <c r="BS321" i="4"/>
  <c r="BS67" i="4"/>
  <c r="BS302" i="4"/>
  <c r="BS354" i="4"/>
  <c r="BS95" i="4"/>
  <c r="BS175" i="4"/>
  <c r="BS188" i="4"/>
  <c r="BS133" i="4"/>
  <c r="BS137" i="4"/>
  <c r="BS209" i="4"/>
  <c r="BS247" i="4"/>
  <c r="BS320" i="4"/>
  <c r="BS200" i="4"/>
  <c r="BS405" i="4"/>
  <c r="BS121" i="4"/>
  <c r="BS97" i="4"/>
  <c r="BS210" i="4"/>
  <c r="BS241" i="4"/>
  <c r="BS101" i="4"/>
  <c r="BS281" i="4"/>
  <c r="BS14" i="4"/>
  <c r="BS132" i="4"/>
  <c r="BS239" i="4"/>
  <c r="BS179" i="4"/>
  <c r="BS216" i="4"/>
  <c r="BS157" i="4"/>
  <c r="BS18" i="4"/>
  <c r="BS156" i="4"/>
  <c r="BS107" i="4"/>
  <c r="BS253" i="4"/>
  <c r="BS576" i="4"/>
  <c r="BS204" i="4"/>
  <c r="BS313" i="4"/>
  <c r="BS493" i="4"/>
  <c r="BS458" i="4"/>
  <c r="BS296" i="4"/>
  <c r="BS222" i="4"/>
  <c r="BS186" i="4"/>
  <c r="BS273" i="4"/>
  <c r="BS234" i="4"/>
  <c r="BS317" i="4"/>
  <c r="BS110" i="4"/>
  <c r="BS240" i="4"/>
  <c r="BS385" i="4"/>
  <c r="BS199" i="4"/>
  <c r="BS21" i="4"/>
  <c r="BS80" i="4"/>
  <c r="BS309" i="4"/>
  <c r="BS554" i="4"/>
  <c r="BS242" i="4"/>
  <c r="BS93" i="4"/>
  <c r="BS331" i="4"/>
  <c r="BS433" i="4"/>
  <c r="BS198" i="4"/>
  <c r="BS305" i="4"/>
  <c r="BS293" i="4"/>
  <c r="BS583" i="4"/>
  <c r="BS329" i="4"/>
  <c r="BS275" i="4"/>
  <c r="BS211" i="4"/>
  <c r="BS260" i="4"/>
  <c r="BS128" i="4"/>
  <c r="BS206" i="4"/>
  <c r="BS73" i="4"/>
  <c r="BS490" i="4"/>
  <c r="BS312" i="4"/>
  <c r="BS265" i="4"/>
  <c r="BS92" i="4"/>
  <c r="BS307" i="4"/>
  <c r="BS201" i="4"/>
  <c r="BS61" i="4"/>
  <c r="BS517" i="4"/>
  <c r="BS311" i="4"/>
  <c r="BS47" i="4"/>
  <c r="BS236" i="4"/>
  <c r="BS153" i="4"/>
  <c r="BS32" i="4"/>
  <c r="BS191" i="4"/>
  <c r="BS479" i="4"/>
  <c r="BS248" i="4"/>
  <c r="BS165" i="4"/>
  <c r="BS325" i="4"/>
  <c r="BS226" i="4"/>
  <c r="BS44" i="4"/>
  <c r="BR649" i="4"/>
  <c r="BS475" i="4"/>
  <c r="BS22" i="4"/>
  <c r="BS264" i="4"/>
  <c r="BS189" i="4"/>
  <c r="BS140" i="4"/>
  <c r="BS24" i="4"/>
  <c r="BS74" i="4"/>
  <c r="BS224" i="4"/>
  <c r="BS549" i="4"/>
  <c r="BS261" i="4"/>
  <c r="BS202" i="4"/>
  <c r="BS129" i="4"/>
  <c r="BS214" i="4"/>
  <c r="BS141" i="4"/>
  <c r="BS118" i="4"/>
  <c r="BS33" i="4"/>
  <c r="BS177" i="4"/>
  <c r="BS10" i="4"/>
  <c r="BS9" i="4"/>
  <c r="BS166" i="4"/>
  <c r="BS272" i="4"/>
  <c r="BS298" i="4"/>
  <c r="BS571" i="4"/>
  <c r="BS284" i="4"/>
  <c r="BS57" i="4"/>
  <c r="BS285" i="4"/>
  <c r="BS48" i="4"/>
  <c r="BS504" i="4"/>
  <c r="BS81" i="4"/>
  <c r="BS337" i="4"/>
  <c r="BS598" i="4"/>
  <c r="BS192" i="4"/>
  <c r="BS501" i="4"/>
  <c r="BS324" i="4"/>
  <c r="BS139" i="4"/>
  <c r="BS105" i="4"/>
  <c r="R147" i="4"/>
  <c r="R146" i="4"/>
  <c r="R145" i="4"/>
  <c r="R144" i="4"/>
  <c r="R143" i="4"/>
  <c r="R142" i="4"/>
  <c r="R141" i="4"/>
  <c r="R140" i="4"/>
  <c r="R139" i="4"/>
  <c r="R138" i="4"/>
  <c r="R137" i="4"/>
  <c r="R119" i="4"/>
  <c r="BS649" i="4" l="1"/>
  <c r="R118" i="4"/>
  <c r="R117" i="4"/>
  <c r="R116" i="4"/>
  <c r="R115" i="4"/>
  <c r="R114" i="4"/>
  <c r="R113" i="4"/>
  <c r="R112" i="4"/>
  <c r="R111" i="4"/>
  <c r="R11" i="4" l="1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9" i="4"/>
  <c r="R190" i="4"/>
  <c r="R191" i="4"/>
  <c r="R192" i="4"/>
  <c r="R193" i="4"/>
  <c r="R194" i="4"/>
  <c r="R195" i="4"/>
</calcChain>
</file>

<file path=xl/sharedStrings.xml><?xml version="1.0" encoding="utf-8"?>
<sst xmlns="http://schemas.openxmlformats.org/spreadsheetml/2006/main" count="3756" uniqueCount="1765">
  <si>
    <t>DATE</t>
  </si>
  <si>
    <t>NAME OF STUDENT</t>
  </si>
  <si>
    <t>COURSE</t>
  </si>
  <si>
    <t>OPENING BALANCE</t>
  </si>
  <si>
    <t>INV #</t>
  </si>
  <si>
    <t>TERM1 FEES</t>
  </si>
  <si>
    <t>INV#</t>
  </si>
  <si>
    <t>TERM 2 FEES</t>
  </si>
  <si>
    <t>TERM3 FEES</t>
  </si>
  <si>
    <t>TOTAL</t>
  </si>
  <si>
    <t>RECEIPT #</t>
  </si>
  <si>
    <t>PAYMENT</t>
  </si>
  <si>
    <t>OWING</t>
  </si>
  <si>
    <t>PREPAYMENT</t>
  </si>
  <si>
    <t>MASVINGO PROVINCE</t>
  </si>
  <si>
    <t>MUSHAGASHE VTC</t>
  </si>
  <si>
    <t>DELIGHT</t>
  </si>
  <si>
    <t>NYASHA</t>
  </si>
  <si>
    <t>CHIZA</t>
  </si>
  <si>
    <t>TINOTENDA</t>
  </si>
  <si>
    <t>LISA</t>
  </si>
  <si>
    <t>SHALOM</t>
  </si>
  <si>
    <t>PATIENCE</t>
  </si>
  <si>
    <t>GOZHO</t>
  </si>
  <si>
    <t>ASHLEY</t>
  </si>
  <si>
    <t>TANAKA</t>
  </si>
  <si>
    <t>CHARITY</t>
  </si>
  <si>
    <t>SURNAME</t>
  </si>
  <si>
    <t>CHIFAMBA</t>
  </si>
  <si>
    <t>FARAI</t>
  </si>
  <si>
    <t>CAROLINE</t>
  </si>
  <si>
    <t>STUDENT LEDGERS 2025</t>
  </si>
  <si>
    <t>TOURISM</t>
  </si>
  <si>
    <t>MATINHIRA</t>
  </si>
  <si>
    <t>VENGESAI</t>
  </si>
  <si>
    <t>ZUZE</t>
  </si>
  <si>
    <t>SHANTEL</t>
  </si>
  <si>
    <t>CHRISTIEN</t>
  </si>
  <si>
    <t>GOKI</t>
  </si>
  <si>
    <t>OLIVER</t>
  </si>
  <si>
    <t>MATERO</t>
  </si>
  <si>
    <t>FELISTAS</t>
  </si>
  <si>
    <t>MUTERO</t>
  </si>
  <si>
    <t>FUMA</t>
  </si>
  <si>
    <t>TADIWANASHE</t>
  </si>
  <si>
    <t>SAUNYAMA</t>
  </si>
  <si>
    <t>CHEVURE</t>
  </si>
  <si>
    <t>CHIEDZA</t>
  </si>
  <si>
    <t>RATE</t>
  </si>
  <si>
    <t>ZIG</t>
  </si>
  <si>
    <t>SHAYLINE</t>
  </si>
  <si>
    <t>MUKAMURI</t>
  </si>
  <si>
    <t>MODESTER</t>
  </si>
  <si>
    <t>ELLEN</t>
  </si>
  <si>
    <t>MADYA</t>
  </si>
  <si>
    <t>HILLARY</t>
  </si>
  <si>
    <t>CHINOUNYE</t>
  </si>
  <si>
    <t>NDEMO</t>
  </si>
  <si>
    <t>ALIVA</t>
  </si>
  <si>
    <t>MUDUMA</t>
  </si>
  <si>
    <t>MADAWO</t>
  </si>
  <si>
    <t>GRACE</t>
  </si>
  <si>
    <t>MUNYANYIWA</t>
  </si>
  <si>
    <t>ABIGAIL</t>
  </si>
  <si>
    <t>MUTEMA</t>
  </si>
  <si>
    <t>SANDE</t>
  </si>
  <si>
    <t>EUNICE</t>
  </si>
  <si>
    <t>MELLISA</t>
  </si>
  <si>
    <t>MAHASO</t>
  </si>
  <si>
    <t>MUGUTI</t>
  </si>
  <si>
    <t>MADZINGO</t>
  </si>
  <si>
    <t>WAYNE</t>
  </si>
  <si>
    <t>TRACY</t>
  </si>
  <si>
    <t>CHAUKE</t>
  </si>
  <si>
    <t>ANNAH</t>
  </si>
  <si>
    <t>MATOGO</t>
  </si>
  <si>
    <t>CHABVESERI</t>
  </si>
  <si>
    <t>FRISCENCE</t>
  </si>
  <si>
    <t>LETICIA</t>
  </si>
  <si>
    <t>GWANGWANI</t>
  </si>
  <si>
    <t>HUNGWE</t>
  </si>
  <si>
    <t>GLADMORE</t>
  </si>
  <si>
    <t>DAVIDZO</t>
  </si>
  <si>
    <t>CHIGWENGWENENE</t>
  </si>
  <si>
    <t>MITCHEL</t>
  </si>
  <si>
    <t>PANGIDZWA</t>
  </si>
  <si>
    <t>CHERA</t>
  </si>
  <si>
    <t>TENDAI</t>
  </si>
  <si>
    <t>WITCHO</t>
  </si>
  <si>
    <t>JENNIFER</t>
  </si>
  <si>
    <t>MUSENA</t>
  </si>
  <si>
    <t>SHARON</t>
  </si>
  <si>
    <t>CHENAI</t>
  </si>
  <si>
    <t>MAXWEBO</t>
  </si>
  <si>
    <t>CHARLOTE</t>
  </si>
  <si>
    <t>MUSEVA</t>
  </si>
  <si>
    <t>DHUVAI</t>
  </si>
  <si>
    <t>RUMBIDZAI</t>
  </si>
  <si>
    <t>FADZAI</t>
  </si>
  <si>
    <t>MACHARA</t>
  </si>
  <si>
    <t>MUSAKANDA</t>
  </si>
  <si>
    <t>MUSHAYA</t>
  </si>
  <si>
    <t>DEBORA</t>
  </si>
  <si>
    <t>RECEIPT</t>
  </si>
  <si>
    <t xml:space="preserve"> </t>
  </si>
  <si>
    <t>MOTORMECH</t>
  </si>
  <si>
    <t>MAZANI</t>
  </si>
  <si>
    <t>PROMISE</t>
  </si>
  <si>
    <t>MAPUTSA</t>
  </si>
  <si>
    <t>AMBROSE</t>
  </si>
  <si>
    <t>MADI</t>
  </si>
  <si>
    <t>CANISIAS</t>
  </si>
  <si>
    <t>MADHENDE</t>
  </si>
  <si>
    <t>WALTER</t>
  </si>
  <si>
    <t>MACHINGURA</t>
  </si>
  <si>
    <t>RONALD</t>
  </si>
  <si>
    <t>RUNGANO</t>
  </si>
  <si>
    <t>TOGA</t>
  </si>
  <si>
    <t>ZINYORO</t>
  </si>
  <si>
    <t>SILAS</t>
  </si>
  <si>
    <t>NJOVO</t>
  </si>
  <si>
    <t>ANOLD</t>
  </si>
  <si>
    <t>PATRICK</t>
  </si>
  <si>
    <t>MATEWA</t>
  </si>
  <si>
    <t>ENEST</t>
  </si>
  <si>
    <t xml:space="preserve">JENGETA </t>
  </si>
  <si>
    <t>BHEURA</t>
  </si>
  <si>
    <t>MIKE</t>
  </si>
  <si>
    <t>NJOVORINGO</t>
  </si>
  <si>
    <t>GLADMAN</t>
  </si>
  <si>
    <t>NDORO</t>
  </si>
  <si>
    <t>EMMANUEL</t>
  </si>
  <si>
    <t>MUGABE</t>
  </si>
  <si>
    <t>CHARLES</t>
  </si>
  <si>
    <t xml:space="preserve">NHONDOVA </t>
  </si>
  <si>
    <t>NGWENYA</t>
  </si>
  <si>
    <t>FORWARD</t>
  </si>
  <si>
    <t xml:space="preserve">MUPFIGO </t>
  </si>
  <si>
    <t>TINASHE</t>
  </si>
  <si>
    <t>MUTOVO</t>
  </si>
  <si>
    <t>ANOTIDA</t>
  </si>
  <si>
    <t>MAPONDE</t>
  </si>
  <si>
    <t>LEON</t>
  </si>
  <si>
    <t>GOCHERO</t>
  </si>
  <si>
    <t>SAMSON</t>
  </si>
  <si>
    <t>MADZINGAUSHE</t>
  </si>
  <si>
    <t>TAKUDZWA</t>
  </si>
  <si>
    <t>MUTUKWA</t>
  </si>
  <si>
    <t>TATENDA</t>
  </si>
  <si>
    <t>NYAMATSAMBA</t>
  </si>
  <si>
    <t>ENOCH</t>
  </si>
  <si>
    <t>CHARA</t>
  </si>
  <si>
    <t>MAFUKA</t>
  </si>
  <si>
    <t>CALVIN</t>
  </si>
  <si>
    <t>MUCHINE</t>
  </si>
  <si>
    <t>TOROWERA</t>
  </si>
  <si>
    <t>MUKANYA</t>
  </si>
  <si>
    <t>MUNYARADZI</t>
  </si>
  <si>
    <t>MADIWA</t>
  </si>
  <si>
    <t>MARSHAL</t>
  </si>
  <si>
    <t>MARARIKE</t>
  </si>
  <si>
    <t>DZIDZAI</t>
  </si>
  <si>
    <t>MAZARIRE</t>
  </si>
  <si>
    <t>SEAN</t>
  </si>
  <si>
    <t>MUDZINGWA</t>
  </si>
  <si>
    <t>BILLY</t>
  </si>
  <si>
    <t>NHEMA</t>
  </si>
  <si>
    <t>TAFADZWA</t>
  </si>
  <si>
    <t>GWESU</t>
  </si>
  <si>
    <t>COLLEN</t>
  </si>
  <si>
    <t>PHIRI</t>
  </si>
  <si>
    <t>NYENGERA</t>
  </si>
  <si>
    <t>EDWIN</t>
  </si>
  <si>
    <t>ADMIRE</t>
  </si>
  <si>
    <t>CHIDEMBO</t>
  </si>
  <si>
    <t>MUSEKIWA</t>
  </si>
  <si>
    <t>SUCCED</t>
  </si>
  <si>
    <t>CHINGOMBE</t>
  </si>
  <si>
    <t>ROAN</t>
  </si>
  <si>
    <t>MATEWE</t>
  </si>
  <si>
    <t>MUFARO</t>
  </si>
  <si>
    <t>GWATIDZO</t>
  </si>
  <si>
    <t>ANESU</t>
  </si>
  <si>
    <t>MLAMBO</t>
  </si>
  <si>
    <t>NYAMANA</t>
  </si>
  <si>
    <t>BLESSING</t>
  </si>
  <si>
    <t>NYONI</t>
  </si>
  <si>
    <t>RHODRICK</t>
  </si>
  <si>
    <t xml:space="preserve">MUZENDA </t>
  </si>
  <si>
    <t>TAREMEREDZWA</t>
  </si>
  <si>
    <t>DAVID</t>
  </si>
  <si>
    <t>MUREDZI</t>
  </si>
  <si>
    <t>FABIAN</t>
  </si>
  <si>
    <t>MASIIWA</t>
  </si>
  <si>
    <t>SHOKO</t>
  </si>
  <si>
    <t>FANUEL</t>
  </si>
  <si>
    <t>JOROMIO</t>
  </si>
  <si>
    <t>TARIRO</t>
  </si>
  <si>
    <t>MAPETERE</t>
  </si>
  <si>
    <t>BELIEVE</t>
  </si>
  <si>
    <t>MAGADZIRE</t>
  </si>
  <si>
    <t>ELECTRICAL</t>
  </si>
  <si>
    <t>FARAINASHE</t>
  </si>
  <si>
    <t>RUTENDO</t>
  </si>
  <si>
    <t>SIZIBA</t>
  </si>
  <si>
    <t>DECISIVE</t>
  </si>
  <si>
    <t>MATEMA</t>
  </si>
  <si>
    <t>CHIPWANYA</t>
  </si>
  <si>
    <t>CHIPIKIRI</t>
  </si>
  <si>
    <t>MASHUMBA</t>
  </si>
  <si>
    <t>SHADRECK</t>
  </si>
  <si>
    <t>CHAPURA</t>
  </si>
  <si>
    <t>MACHOKOTO</t>
  </si>
  <si>
    <t>TAWANDA</t>
  </si>
  <si>
    <t>ZISHIRI</t>
  </si>
  <si>
    <t>TAPIWA</t>
  </si>
  <si>
    <t>KINGSTON</t>
  </si>
  <si>
    <t>MUSHATI</t>
  </si>
  <si>
    <t>LINET</t>
  </si>
  <si>
    <t>RATIDZAI</t>
  </si>
  <si>
    <t>MPOFU</t>
  </si>
  <si>
    <t>BLESSED</t>
  </si>
  <si>
    <t>ZINYIMO</t>
  </si>
  <si>
    <t>HAPPISON</t>
  </si>
  <si>
    <t>CHIGUDU</t>
  </si>
  <si>
    <t>KWARAMBA</t>
  </si>
  <si>
    <t>KAMUTEDZA</t>
  </si>
  <si>
    <t>ELISHA</t>
  </si>
  <si>
    <t>FASHU</t>
  </si>
  <si>
    <t>ELIAS</t>
  </si>
  <si>
    <t>ZHARA</t>
  </si>
  <si>
    <t>ACHIEVE</t>
  </si>
  <si>
    <t>MUSIMWA</t>
  </si>
  <si>
    <t>HLAURANI</t>
  </si>
  <si>
    <t>NEVER</t>
  </si>
  <si>
    <t>MDUDUZI</t>
  </si>
  <si>
    <t>MANDLENKOSI</t>
  </si>
  <si>
    <t>CHINOMBE</t>
  </si>
  <si>
    <t>OWEN</t>
  </si>
  <si>
    <t>CHIKWIKWI</t>
  </si>
  <si>
    <t>BEAULAR</t>
  </si>
  <si>
    <t>TUMBUDZAI</t>
  </si>
  <si>
    <t>MEJURY</t>
  </si>
  <si>
    <t>TONONGERA</t>
  </si>
  <si>
    <t>MEMORY</t>
  </si>
  <si>
    <t>MANGEZI</t>
  </si>
  <si>
    <t>RINGISAI</t>
  </si>
  <si>
    <t>LETWIN</t>
  </si>
  <si>
    <t>MUKANGANWI</t>
  </si>
  <si>
    <t>BRIGHT</t>
  </si>
  <si>
    <t>MUREWA</t>
  </si>
  <si>
    <t>ALLAN</t>
  </si>
  <si>
    <t>TUNGAMIRAI</t>
  </si>
  <si>
    <t>ELTON</t>
  </si>
  <si>
    <t>MARAHO</t>
  </si>
  <si>
    <t>ARTISHER</t>
  </si>
  <si>
    <t>MARAIRE</t>
  </si>
  <si>
    <t>JULIUS</t>
  </si>
  <si>
    <t>MASENDEKE</t>
  </si>
  <si>
    <t>ZVEGONA</t>
  </si>
  <si>
    <t>MAGOMBEDZE</t>
  </si>
  <si>
    <t>MUSHURE</t>
  </si>
  <si>
    <t>MAHWANGWA</t>
  </si>
  <si>
    <t>ANDREW</t>
  </si>
  <si>
    <t>MABHEGEDHE</t>
  </si>
  <si>
    <t>MHLANGA</t>
  </si>
  <si>
    <t>WONDERFUL</t>
  </si>
  <si>
    <t>CHIGERWE</t>
  </si>
  <si>
    <t>PARTNAGE</t>
  </si>
  <si>
    <t>OMEGA</t>
  </si>
  <si>
    <t>MUNANA</t>
  </si>
  <si>
    <t>SIMBARASHE</t>
  </si>
  <si>
    <t>KAZEMBA</t>
  </si>
  <si>
    <t>REGIS</t>
  </si>
  <si>
    <t>SIMBI</t>
  </si>
  <si>
    <t>IVINE</t>
  </si>
  <si>
    <t>MUZANAGO</t>
  </si>
  <si>
    <t>GUNI</t>
  </si>
  <si>
    <t>CHATA</t>
  </si>
  <si>
    <t>CHIGODORA</t>
  </si>
  <si>
    <t>WENDELL</t>
  </si>
  <si>
    <t>GAPU</t>
  </si>
  <si>
    <t>INNOCENT</t>
  </si>
  <si>
    <t>MAKOPA</t>
  </si>
  <si>
    <t>IDAH</t>
  </si>
  <si>
    <t>CHIROMBO</t>
  </si>
  <si>
    <t>LOVEMORE</t>
  </si>
  <si>
    <t>TADU</t>
  </si>
  <si>
    <t>TASARA</t>
  </si>
  <si>
    <t>KUWAISIMBA</t>
  </si>
  <si>
    <t>PAIDAMOYO</t>
  </si>
  <si>
    <t>CLOTHING</t>
  </si>
  <si>
    <t>CHINENYANGA</t>
  </si>
  <si>
    <t>REJOICE</t>
  </si>
  <si>
    <t>TAKU</t>
  </si>
  <si>
    <t>TINEROMBO</t>
  </si>
  <si>
    <t>DZIMIRE</t>
  </si>
  <si>
    <t>MELODY</t>
  </si>
  <si>
    <t>ROSELYNE</t>
  </si>
  <si>
    <t>KUKWANA</t>
  </si>
  <si>
    <t>MANYASHA</t>
  </si>
  <si>
    <t>PRECIOUS</t>
  </si>
  <si>
    <t>MUZANENHAMO</t>
  </si>
  <si>
    <t>CHITAVATI</t>
  </si>
  <si>
    <t>TAKUNDA</t>
  </si>
  <si>
    <t>GILBERT</t>
  </si>
  <si>
    <t>MUROZVA</t>
  </si>
  <si>
    <t>CHANDIMHARA</t>
  </si>
  <si>
    <t>CARREN</t>
  </si>
  <si>
    <t>MWAPENGA</t>
  </si>
  <si>
    <t>TANHOYA</t>
  </si>
  <si>
    <t>MUTETWA</t>
  </si>
  <si>
    <t>PANDASVIKA</t>
  </si>
  <si>
    <t>YOLANDER</t>
  </si>
  <si>
    <t>PONDO</t>
  </si>
  <si>
    <t>CHIWENGA</t>
  </si>
  <si>
    <t>PLUMBING</t>
  </si>
  <si>
    <t>GWATIRINGA</t>
  </si>
  <si>
    <t>VASHE</t>
  </si>
  <si>
    <t>TALENT</t>
  </si>
  <si>
    <t>MUZONDIDYA</t>
  </si>
  <si>
    <t>TAFARA</t>
  </si>
  <si>
    <t>GUNHI</t>
  </si>
  <si>
    <t>KUPAKWASHE</t>
  </si>
  <si>
    <t>MADHAZI</t>
  </si>
  <si>
    <t>CHITAPA</t>
  </si>
  <si>
    <t>ROPAFADZO</t>
  </si>
  <si>
    <t>GIFT</t>
  </si>
  <si>
    <t>MABAIRE</t>
  </si>
  <si>
    <t>NGONI</t>
  </si>
  <si>
    <t>SIBANDA</t>
  </si>
  <si>
    <t>SANDRA</t>
  </si>
  <si>
    <t>NECHIGURE</t>
  </si>
  <si>
    <t>PROSPER</t>
  </si>
  <si>
    <t>MUKONOWESHURO</t>
  </si>
  <si>
    <t>RUVIMBO</t>
  </si>
  <si>
    <t>SHUMBA</t>
  </si>
  <si>
    <t>MANYADZE</t>
  </si>
  <si>
    <t>KUDAKWASHE</t>
  </si>
  <si>
    <t>ZVINOROVA</t>
  </si>
  <si>
    <t>MAROVANYANGA</t>
  </si>
  <si>
    <t>ANDIPAISHE</t>
  </si>
  <si>
    <t>MUSANGEYA</t>
  </si>
  <si>
    <t>HIGHERLIFE</t>
  </si>
  <si>
    <t>KWANGWARI</t>
  </si>
  <si>
    <t>LOVENESS</t>
  </si>
  <si>
    <t>CHINOMONA</t>
  </si>
  <si>
    <t>STEVE</t>
  </si>
  <si>
    <t>MUPFUNYA</t>
  </si>
  <si>
    <t>KENNEDY</t>
  </si>
  <si>
    <t>MAGURA</t>
  </si>
  <si>
    <t>CHAVURURA</t>
  </si>
  <si>
    <t>TIMOTHY</t>
  </si>
  <si>
    <t>NYANGAI</t>
  </si>
  <si>
    <t>LANCE</t>
  </si>
  <si>
    <t>AUTO</t>
  </si>
  <si>
    <t>NDUKU</t>
  </si>
  <si>
    <t>MUWODZI</t>
  </si>
  <si>
    <t>MASHAKA</t>
  </si>
  <si>
    <t>MASHIRI</t>
  </si>
  <si>
    <t>ANDREA</t>
  </si>
  <si>
    <t>CHIMBILAMI</t>
  </si>
  <si>
    <t>REMEMBER</t>
  </si>
  <si>
    <t>CHIWAWA</t>
  </si>
  <si>
    <t>CHIMHAMHIWA</t>
  </si>
  <si>
    <t>LARIEL</t>
  </si>
  <si>
    <t>ZWANDAZIVA</t>
  </si>
  <si>
    <t>KUZIVA</t>
  </si>
  <si>
    <t>CHAWARIKA</t>
  </si>
  <si>
    <t>MAGADI</t>
  </si>
  <si>
    <t>DEON</t>
  </si>
  <si>
    <t>MUZINGO</t>
  </si>
  <si>
    <t>MAGOMBO</t>
  </si>
  <si>
    <t>NOEL</t>
  </si>
  <si>
    <t>TEMBO</t>
  </si>
  <si>
    <t>DAVISON</t>
  </si>
  <si>
    <t>CHIPATO</t>
  </si>
  <si>
    <t>BEAUTY</t>
  </si>
  <si>
    <t>KAMUDZI</t>
  </si>
  <si>
    <t>PWANYIRE</t>
  </si>
  <si>
    <t>PERCY</t>
  </si>
  <si>
    <t>MATIZANADZO</t>
  </si>
  <si>
    <t>JUNIOR</t>
  </si>
  <si>
    <t>NYAMAYARO</t>
  </si>
  <si>
    <t>MOSTARD</t>
  </si>
  <si>
    <t>GURUZANI</t>
  </si>
  <si>
    <t>TAKURA</t>
  </si>
  <si>
    <t>MANYERUKE</t>
  </si>
  <si>
    <t>GANYAWU</t>
  </si>
  <si>
    <t>HASSANI</t>
  </si>
  <si>
    <t>FORTUNE</t>
  </si>
  <si>
    <t>TIGERE</t>
  </si>
  <si>
    <t>MUGWISI</t>
  </si>
  <si>
    <t>CHINHARA</t>
  </si>
  <si>
    <t>SHAMU</t>
  </si>
  <si>
    <t>AMARD</t>
  </si>
  <si>
    <t>DESTINY</t>
  </si>
  <si>
    <t>MATENDA</t>
  </si>
  <si>
    <t>THOMAS</t>
  </si>
  <si>
    <t>MAHLABA</t>
  </si>
  <si>
    <t>ANANIAS</t>
  </si>
  <si>
    <t>VICTOR</t>
  </si>
  <si>
    <t>TINAYE</t>
  </si>
  <si>
    <t>NAZERE</t>
  </si>
  <si>
    <t>RUGARE</t>
  </si>
  <si>
    <t>BUILDING</t>
  </si>
  <si>
    <t>SENI</t>
  </si>
  <si>
    <t>PARIMWA</t>
  </si>
  <si>
    <t>TAWANANYASHA</t>
  </si>
  <si>
    <t>CHIWA]</t>
  </si>
  <si>
    <t>MANDEJE</t>
  </si>
  <si>
    <t>EVERSON</t>
  </si>
  <si>
    <t>MUNDINGI</t>
  </si>
  <si>
    <t>JEKERA</t>
  </si>
  <si>
    <t>LAMECK</t>
  </si>
  <si>
    <t>TRMORE</t>
  </si>
  <si>
    <t>MANDE</t>
  </si>
  <si>
    <t>MATSANURA</t>
  </si>
  <si>
    <t>NGOMA</t>
  </si>
  <si>
    <t>ZIPHANIA</t>
  </si>
  <si>
    <t>HOVE</t>
  </si>
  <si>
    <t>PASCA</t>
  </si>
  <si>
    <t>MUZHANJE</t>
  </si>
  <si>
    <t xml:space="preserve">TADIWA </t>
  </si>
  <si>
    <t>JONGWE</t>
  </si>
  <si>
    <t>FUNANI</t>
  </si>
  <si>
    <t>SHAWN</t>
  </si>
  <si>
    <t>MUTITSVE</t>
  </si>
  <si>
    <t>MOSES</t>
  </si>
  <si>
    <t>DARANGWA</t>
  </si>
  <si>
    <t>SITHOLE</t>
  </si>
  <si>
    <t>DEEDZAISHE</t>
  </si>
  <si>
    <t>MUTASA</t>
  </si>
  <si>
    <t>LINKMAN</t>
  </si>
  <si>
    <t>CAPENTRY</t>
  </si>
  <si>
    <t>RAVASINGADI</t>
  </si>
  <si>
    <t>WASHINGTON</t>
  </si>
  <si>
    <t>GUDYANGA</t>
  </si>
  <si>
    <t>ALONE</t>
  </si>
  <si>
    <t>MUTEYO</t>
  </si>
  <si>
    <t>REGBY</t>
  </si>
  <si>
    <t>GARANOWAKO</t>
  </si>
  <si>
    <t>STANFORD</t>
  </si>
  <si>
    <t>MAJADA</t>
  </si>
  <si>
    <t>MASIMBA</t>
  </si>
  <si>
    <t>MICHIAEL</t>
  </si>
  <si>
    <t>MASVAYA</t>
  </si>
  <si>
    <t>ANDERSON</t>
  </si>
  <si>
    <t>MTUKUTI</t>
  </si>
  <si>
    <t>SIPHOSIHLE</t>
  </si>
  <si>
    <t>SHEPADI</t>
  </si>
  <si>
    <t>HAPPINESS</t>
  </si>
  <si>
    <t>MAJONI</t>
  </si>
  <si>
    <t>KNOWLEDGE</t>
  </si>
  <si>
    <t>MAPFUMO</t>
  </si>
  <si>
    <t>PANASHE</t>
  </si>
  <si>
    <t>MUTUMBANI</t>
  </si>
  <si>
    <t>NGONIDZASHE</t>
  </si>
  <si>
    <t>KWINIKA</t>
  </si>
  <si>
    <t>KOMBORERO</t>
  </si>
  <si>
    <t>BENGO</t>
  </si>
  <si>
    <t>VURAYAI</t>
  </si>
  <si>
    <t>EZEKIEL</t>
  </si>
  <si>
    <t>MUTSVANGWA</t>
  </si>
  <si>
    <t>PRINCE</t>
  </si>
  <si>
    <t>WELDING</t>
  </si>
  <si>
    <t>ALPHONCO</t>
  </si>
  <si>
    <t>BRENDON</t>
  </si>
  <si>
    <t>RAMBANAPASI</t>
  </si>
  <si>
    <t>VIMBAINASHE</t>
  </si>
  <si>
    <t>SIMANDARA</t>
  </si>
  <si>
    <t>CEPHAS</t>
  </si>
  <si>
    <t>MAHEFU</t>
  </si>
  <si>
    <t>MACNOSHER</t>
  </si>
  <si>
    <t>MAMBARA</t>
  </si>
  <si>
    <t>SAMUEL</t>
  </si>
  <si>
    <t>CHIGWEDERE</t>
  </si>
  <si>
    <t>MZENZI</t>
  </si>
  <si>
    <t>MACHAYA</t>
  </si>
  <si>
    <t>TAVONGA</t>
  </si>
  <si>
    <t>MHUNGU</t>
  </si>
  <si>
    <t>CHIMUTANDA</t>
  </si>
  <si>
    <t>KASUNGA</t>
  </si>
  <si>
    <t>ERICK</t>
  </si>
  <si>
    <t>CHIWAZI</t>
  </si>
  <si>
    <t xml:space="preserve">LEO </t>
  </si>
  <si>
    <t>KADUNGURE</t>
  </si>
  <si>
    <t>MUKOTAMI</t>
  </si>
  <si>
    <t>LOICE</t>
  </si>
  <si>
    <t>COSMO</t>
  </si>
  <si>
    <t>MUGWIRA</t>
  </si>
  <si>
    <t>RUVARASHE</t>
  </si>
  <si>
    <t>MANDYATE</t>
  </si>
  <si>
    <t>GLYNNIS</t>
  </si>
  <si>
    <t>MANHENYEZERO</t>
  </si>
  <si>
    <t>MACHINGAMBI</t>
  </si>
  <si>
    <t>SHALINE</t>
  </si>
  <si>
    <t>MUNARO</t>
  </si>
  <si>
    <t>HAZEL</t>
  </si>
  <si>
    <t>KANAVETI</t>
  </si>
  <si>
    <t>TANATSWA</t>
  </si>
  <si>
    <t>CLARA</t>
  </si>
  <si>
    <t>MAVENGANO</t>
  </si>
  <si>
    <t>MASCILINE</t>
  </si>
  <si>
    <t>SHUMBAIMWE</t>
  </si>
  <si>
    <t>PRIMROSE</t>
  </si>
  <si>
    <t>MAPASURE</t>
  </si>
  <si>
    <t>MOLLEN</t>
  </si>
  <si>
    <t>MAPFAKA</t>
  </si>
  <si>
    <t>MAVIS</t>
  </si>
  <si>
    <t>GWANDA</t>
  </si>
  <si>
    <t>EVERNICE</t>
  </si>
  <si>
    <t>CHIKUMBA</t>
  </si>
  <si>
    <t>FIONA</t>
  </si>
  <si>
    <t>AGRICULTURE</t>
  </si>
  <si>
    <t>MANDYORO</t>
  </si>
  <si>
    <t>GERSHOM</t>
  </si>
  <si>
    <t>BOSHA</t>
  </si>
  <si>
    <t>DEVINE</t>
  </si>
  <si>
    <t>GAVA</t>
  </si>
  <si>
    <t>SHIMA</t>
  </si>
  <si>
    <t>SANANGURA</t>
  </si>
  <si>
    <t>ARTWELL</t>
  </si>
  <si>
    <t>CHIBWE</t>
  </si>
  <si>
    <t>BIVIAN</t>
  </si>
  <si>
    <t xml:space="preserve">VENGE </t>
  </si>
  <si>
    <t>MANYARA</t>
  </si>
  <si>
    <t>CHISVUURE</t>
  </si>
  <si>
    <t>HASTINGS</t>
  </si>
  <si>
    <t xml:space="preserve"> LEO</t>
  </si>
  <si>
    <t>JAKATA</t>
  </si>
  <si>
    <t>DAISY</t>
  </si>
  <si>
    <t>DHOBHA</t>
  </si>
  <si>
    <t>MELLINDA</t>
  </si>
  <si>
    <t>MUFUMI</t>
  </si>
  <si>
    <t>RUTH</t>
  </si>
  <si>
    <t>MUSADAIRA</t>
  </si>
  <si>
    <t>MARVELOUSE</t>
  </si>
  <si>
    <t>MATOMBORIMA</t>
  </si>
  <si>
    <t>MAHURIVARA</t>
  </si>
  <si>
    <t>ROSEMARY</t>
  </si>
  <si>
    <t>MUAMBIRWE</t>
  </si>
  <si>
    <t>MBIZA</t>
  </si>
  <si>
    <t>SIMBISO</t>
  </si>
  <si>
    <t>MAKWARA</t>
  </si>
  <si>
    <t>CHAPINGA</t>
  </si>
  <si>
    <t>MOYO</t>
  </si>
  <si>
    <t>MUTANHO</t>
  </si>
  <si>
    <t>PRIDE</t>
  </si>
  <si>
    <t>KANGANISAI</t>
  </si>
  <si>
    <t>GWATINYANYA</t>
  </si>
  <si>
    <t>TANYARADZWA</t>
  </si>
  <si>
    <t>MUBAIWA</t>
  </si>
  <si>
    <t>BRILLIANT</t>
  </si>
  <si>
    <t>SIMBA</t>
  </si>
  <si>
    <t>MANHENDO</t>
  </si>
  <si>
    <t>TEMAYI</t>
  </si>
  <si>
    <t>MUTUNGWAZI</t>
  </si>
  <si>
    <t>SHAMHIYASHE</t>
  </si>
  <si>
    <t>SVINURAI</t>
  </si>
  <si>
    <t>NAME</t>
  </si>
  <si>
    <t>FEES PAID</t>
  </si>
  <si>
    <t>FEES  PAID</t>
  </si>
  <si>
    <t>CHITESA</t>
  </si>
  <si>
    <t xml:space="preserve">MAFUKU </t>
  </si>
  <si>
    <t>METHOD</t>
  </si>
  <si>
    <t>BVUDZIJENA</t>
  </si>
  <si>
    <t xml:space="preserve">SIMANGO </t>
  </si>
  <si>
    <t>FORTUNATE</t>
  </si>
  <si>
    <t>CHIDIDA</t>
  </si>
  <si>
    <t xml:space="preserve">SHUMBA </t>
  </si>
  <si>
    <t xml:space="preserve">CHAKAUYA </t>
  </si>
  <si>
    <t>FRANCIS</t>
  </si>
  <si>
    <t xml:space="preserve">NGORIMA </t>
  </si>
  <si>
    <t>MALILANGWE CONSERVATION</t>
  </si>
  <si>
    <t>ENOCK</t>
  </si>
  <si>
    <t>NYAMUTSAMBA</t>
  </si>
  <si>
    <t>MAKUMBE</t>
  </si>
  <si>
    <t>MUZVIDZIWA</t>
  </si>
  <si>
    <t>CLIFFORD</t>
  </si>
  <si>
    <t>MABHONA</t>
  </si>
  <si>
    <t>PRAISE</t>
  </si>
  <si>
    <t>MARWIZI</t>
  </si>
  <si>
    <t>KUDZANAI</t>
  </si>
  <si>
    <t>MASARAKUFA</t>
  </si>
  <si>
    <t>ZIM TRUST</t>
  </si>
  <si>
    <t>PEPUKAI</t>
  </si>
  <si>
    <t>CHIMHAMIWA</t>
  </si>
  <si>
    <t xml:space="preserve">MAKAMURI </t>
  </si>
  <si>
    <t xml:space="preserve">BRANDON </t>
  </si>
  <si>
    <t>ALPHONSO</t>
  </si>
  <si>
    <t>MATSANURAI LEON</t>
  </si>
  <si>
    <t>CHIROMBE</t>
  </si>
  <si>
    <t>GOLDBERG SERVICES</t>
  </si>
  <si>
    <t>OBERT</t>
  </si>
  <si>
    <t>MUNETSI</t>
  </si>
  <si>
    <t>SHAMHUYASHE</t>
  </si>
  <si>
    <t>CHIPO</t>
  </si>
  <si>
    <t>YOURS</t>
  </si>
  <si>
    <t>CHIGOMBE</t>
  </si>
  <si>
    <t>CHANDA</t>
  </si>
  <si>
    <t>MURAPIRO</t>
  </si>
  <si>
    <t xml:space="preserve">NYAKURWA </t>
  </si>
  <si>
    <t>MUWENGWA</t>
  </si>
  <si>
    <t>SOFA</t>
  </si>
  <si>
    <t>MOREBLESSING</t>
  </si>
  <si>
    <t>MAGARA</t>
  </si>
  <si>
    <t>HASANI</t>
  </si>
  <si>
    <t>NYAMANO</t>
  </si>
  <si>
    <t>GANYANU</t>
  </si>
  <si>
    <t>KAZUNGA</t>
  </si>
  <si>
    <t>LEONEL</t>
  </si>
  <si>
    <t>MAKUKU</t>
  </si>
  <si>
    <t>TIMSON</t>
  </si>
  <si>
    <t>SAVIOURS</t>
  </si>
  <si>
    <t>DEREDZAI</t>
  </si>
  <si>
    <t>RAISON</t>
  </si>
  <si>
    <t>SHAMISO</t>
  </si>
  <si>
    <t>BVUKUMBWE</t>
  </si>
  <si>
    <t>FABIANO</t>
  </si>
  <si>
    <t>MUTUMBAMI</t>
  </si>
  <si>
    <t>MWAPENYA</t>
  </si>
  <si>
    <t>DECENT</t>
  </si>
  <si>
    <t>HOKOYO</t>
  </si>
  <si>
    <t>SHONHIWA</t>
  </si>
  <si>
    <t>PETER</t>
  </si>
  <si>
    <t>CHAVANI</t>
  </si>
  <si>
    <t>MAREDZA</t>
  </si>
  <si>
    <t>NOKUTENDA</t>
  </si>
  <si>
    <t>PRIM</t>
  </si>
  <si>
    <t>TACHIONA</t>
  </si>
  <si>
    <t>NAZARE</t>
  </si>
  <si>
    <t>MAXWELL</t>
  </si>
  <si>
    <t>SHUVAI</t>
  </si>
  <si>
    <t>MAFUDZA</t>
  </si>
  <si>
    <t>MUNANDE</t>
  </si>
  <si>
    <t>VIMBAI</t>
  </si>
  <si>
    <t>NYARAI</t>
  </si>
  <si>
    <t>DUBE</t>
  </si>
  <si>
    <t>WONDER</t>
  </si>
  <si>
    <t>BARARA</t>
  </si>
  <si>
    <t>NDOWA</t>
  </si>
  <si>
    <t>PHILOMINA</t>
  </si>
  <si>
    <t>GANDARI</t>
  </si>
  <si>
    <t>YVONE</t>
  </si>
  <si>
    <t>SINAMAI</t>
  </si>
  <si>
    <t>TADIWA</t>
  </si>
  <si>
    <t>CHIMBILANI</t>
  </si>
  <si>
    <t>MHATSO</t>
  </si>
  <si>
    <t>BENEFIT</t>
  </si>
  <si>
    <t>CHATUNGA</t>
  </si>
  <si>
    <t>RAYMOND</t>
  </si>
  <si>
    <t>MANUNURE</t>
  </si>
  <si>
    <t>MAKORE</t>
  </si>
  <si>
    <t>EDSON</t>
  </si>
  <si>
    <t>CHOKUFA</t>
  </si>
  <si>
    <t>SERVIAS</t>
  </si>
  <si>
    <t>MUNAKA</t>
  </si>
  <si>
    <t>ABINEL</t>
  </si>
  <si>
    <t>MAJATA</t>
  </si>
  <si>
    <t>ISHEUNESU</t>
  </si>
  <si>
    <t>MAKENA</t>
  </si>
  <si>
    <t>DZIVA</t>
  </si>
  <si>
    <t>BOSWELL</t>
  </si>
  <si>
    <t>JEPHTER</t>
  </si>
  <si>
    <t>MEDELINE</t>
  </si>
  <si>
    <t>MAKUVAZA</t>
  </si>
  <si>
    <t>MUTUMWA</t>
  </si>
  <si>
    <t>MILONE</t>
  </si>
  <si>
    <t>RATCHEL</t>
  </si>
  <si>
    <t>MATARUSE</t>
  </si>
  <si>
    <t>ZIKI</t>
  </si>
  <si>
    <t>TSVANGIRAYI</t>
  </si>
  <si>
    <t>MUTENDEUDZI</t>
  </si>
  <si>
    <t>CHIKATO</t>
  </si>
  <si>
    <t>ROY</t>
  </si>
  <si>
    <t>CLEVER</t>
  </si>
  <si>
    <t>ZUNDE</t>
  </si>
  <si>
    <t>MASESE</t>
  </si>
  <si>
    <t>KAINOS</t>
  </si>
  <si>
    <t>VIOLET</t>
  </si>
  <si>
    <t>MAZUNGA</t>
  </si>
  <si>
    <t>MACHEMEDZE</t>
  </si>
  <si>
    <t>SHINGIRIRAI</t>
  </si>
  <si>
    <t>CLEMENCE</t>
  </si>
  <si>
    <t>MUNAKI</t>
  </si>
  <si>
    <t>DESIRE</t>
  </si>
  <si>
    <t>MUDISI</t>
  </si>
  <si>
    <t>TADZOKA</t>
  </si>
  <si>
    <t>MAVEDZENGE</t>
  </si>
  <si>
    <t>SHINGIRIRAYI</t>
  </si>
  <si>
    <t>KANDA</t>
  </si>
  <si>
    <t>BRYSON</t>
  </si>
  <si>
    <t>RUPONDO</t>
  </si>
  <si>
    <t>MAKOTI</t>
  </si>
  <si>
    <t>MBOKO</t>
  </si>
  <si>
    <t>ZVAVATONGA</t>
  </si>
  <si>
    <t xml:space="preserve">TINEROMBO </t>
  </si>
  <si>
    <t>AMOS</t>
  </si>
  <si>
    <t>MUPINI</t>
  </si>
  <si>
    <t>CHIBAYA</t>
  </si>
  <si>
    <t>9/5/02025</t>
  </si>
  <si>
    <t>MANUA</t>
  </si>
  <si>
    <t>AMSTRONG</t>
  </si>
  <si>
    <t>SHANGA</t>
  </si>
  <si>
    <t>PETRONELLA</t>
  </si>
  <si>
    <t>CHIMHOWA</t>
  </si>
  <si>
    <t>NAISON</t>
  </si>
  <si>
    <t>MARANGE</t>
  </si>
  <si>
    <t>MUTONHODZA</t>
  </si>
  <si>
    <t>BRUCE</t>
  </si>
  <si>
    <t>CHIRIDERENO</t>
  </si>
  <si>
    <t>GODKNOWS</t>
  </si>
  <si>
    <t>MATUMBE</t>
  </si>
  <si>
    <t>MATIKUDZA</t>
  </si>
  <si>
    <t>MASHASHA</t>
  </si>
  <si>
    <t>ARTUR</t>
  </si>
  <si>
    <t>FELIX</t>
  </si>
  <si>
    <t>CHIPENYA</t>
  </si>
  <si>
    <t>ZIGOZHO</t>
  </si>
  <si>
    <t>TSUNGIRIRAI</t>
  </si>
  <si>
    <t>MACHAPAZA</t>
  </si>
  <si>
    <t>GONGA</t>
  </si>
  <si>
    <t>SOLOMON</t>
  </si>
  <si>
    <t>DZAPASI</t>
  </si>
  <si>
    <t>TETE</t>
  </si>
  <si>
    <t>BERVERLY</t>
  </si>
  <si>
    <t>MHIKE</t>
  </si>
  <si>
    <t>EDWARD</t>
  </si>
  <si>
    <t>NHOPIYAPENGA</t>
  </si>
  <si>
    <t>NIMROD</t>
  </si>
  <si>
    <t>ANTONY</t>
  </si>
  <si>
    <t>GANJE</t>
  </si>
  <si>
    <t>SIYAKANYANGA</t>
  </si>
  <si>
    <t>NIGEL</t>
  </si>
  <si>
    <t>HAMA</t>
  </si>
  <si>
    <t>MUKANDI</t>
  </si>
  <si>
    <t>MUNASHE</t>
  </si>
  <si>
    <t>MUCHINGAMIDZWA DANIEL</t>
  </si>
  <si>
    <t>DANIEL</t>
  </si>
  <si>
    <t>MATODZA</t>
  </si>
  <si>
    <t>MANDIZHA</t>
  </si>
  <si>
    <t xml:space="preserve">CHIGOVA </t>
  </si>
  <si>
    <t>MUREYI</t>
  </si>
  <si>
    <t>MAHLUPEKO</t>
  </si>
  <si>
    <t>VISION</t>
  </si>
  <si>
    <t>STEPHEN</t>
  </si>
  <si>
    <t>MARUMBWA</t>
  </si>
  <si>
    <t xml:space="preserve">PANGIDZWA </t>
  </si>
  <si>
    <t>MABHENA</t>
  </si>
  <si>
    <t>SAUNGWEME</t>
  </si>
  <si>
    <t>MASHAISHE</t>
  </si>
  <si>
    <t>MUTANDI</t>
  </si>
  <si>
    <t>ANNA</t>
  </si>
  <si>
    <t>MBOZVA</t>
  </si>
  <si>
    <t>MAWADZE</t>
  </si>
  <si>
    <t>MURINDI</t>
  </si>
  <si>
    <t>NORMAN</t>
  </si>
  <si>
    <t>KUZIPA</t>
  </si>
  <si>
    <t>GARAUZIVE</t>
  </si>
  <si>
    <t>MARTHA</t>
  </si>
  <si>
    <t>BEEMORE</t>
  </si>
  <si>
    <t>JANGA</t>
  </si>
  <si>
    <t>MACHOKOVHINGO</t>
  </si>
  <si>
    <t>ISHMAEL</t>
  </si>
  <si>
    <t>CHIHURE</t>
  </si>
  <si>
    <t>GUMBO</t>
  </si>
  <si>
    <t>BORNWELL</t>
  </si>
  <si>
    <t>NOBLE</t>
  </si>
  <si>
    <t>CHEKERO</t>
  </si>
  <si>
    <t>TAFARANASHE</t>
  </si>
  <si>
    <t>MANGISI</t>
  </si>
  <si>
    <t>CHIMBIRIMBIRI</t>
  </si>
  <si>
    <t>ZEKEAS</t>
  </si>
  <si>
    <t>DARIKAI</t>
  </si>
  <si>
    <t>CHIMHANDAMBA</t>
  </si>
  <si>
    <t>LEARNMORE</t>
  </si>
  <si>
    <t>CLIFF</t>
  </si>
  <si>
    <t>MABURUTSE</t>
  </si>
  <si>
    <t>ANESUISHE</t>
  </si>
  <si>
    <t>CHAKONA</t>
  </si>
  <si>
    <t>CHITAMBIRA</t>
  </si>
  <si>
    <t>MILTON</t>
  </si>
  <si>
    <t>MUKARO</t>
  </si>
  <si>
    <t>CHIPINDA</t>
  </si>
  <si>
    <t>NYARADZO</t>
  </si>
  <si>
    <t>CELESTINE</t>
  </si>
  <si>
    <t>WILBERT</t>
  </si>
  <si>
    <t>MUZENDA</t>
  </si>
  <si>
    <t>ELSON</t>
  </si>
  <si>
    <t>ZINDIKANI</t>
  </si>
  <si>
    <t>NYAHWAYI</t>
  </si>
  <si>
    <t>JAMES</t>
  </si>
  <si>
    <t>MANIKA</t>
  </si>
  <si>
    <t>MUZONDO</t>
  </si>
  <si>
    <t>MACLOVE</t>
  </si>
  <si>
    <t>MADONDO</t>
  </si>
  <si>
    <t>MUDZURI</t>
  </si>
  <si>
    <t>HITLER</t>
  </si>
  <si>
    <t>TERRENCE</t>
  </si>
  <si>
    <t>NDAHWI</t>
  </si>
  <si>
    <t>PRISCA</t>
  </si>
  <si>
    <t>ENERGY</t>
  </si>
  <si>
    <t>RUNDE</t>
  </si>
  <si>
    <t>ZINHINDI</t>
  </si>
  <si>
    <t>PROGRESS</t>
  </si>
  <si>
    <t>BRUNO</t>
  </si>
  <si>
    <t>CHIDUZA</t>
  </si>
  <si>
    <t>MHLOPE</t>
  </si>
  <si>
    <t>BRIGHTON</t>
  </si>
  <si>
    <t>GONO</t>
  </si>
  <si>
    <t>KAZOMBA</t>
  </si>
  <si>
    <t>NATASHA</t>
  </si>
  <si>
    <t>MUMVANGA</t>
  </si>
  <si>
    <t>KUTADZA</t>
  </si>
  <si>
    <t>GIVEN</t>
  </si>
  <si>
    <t>CLOUD</t>
  </si>
  <si>
    <t>MATEMERA</t>
  </si>
  <si>
    <t>SUNDIRE</t>
  </si>
  <si>
    <t>MUTATIWA</t>
  </si>
  <si>
    <t>CHIDO</t>
  </si>
  <si>
    <t>MANDARA</t>
  </si>
  <si>
    <t>REWARD</t>
  </si>
  <si>
    <t>PARADZA</t>
  </si>
  <si>
    <t>MUZVONDIWA</t>
  </si>
  <si>
    <t>TAMBUDZAI</t>
  </si>
  <si>
    <t>MADZIKATI</t>
  </si>
  <si>
    <t>MAHORE</t>
  </si>
  <si>
    <t>BUSHU</t>
  </si>
  <si>
    <t>BEZEL</t>
  </si>
  <si>
    <t>GOMO</t>
  </si>
  <si>
    <t>RAFNAGE</t>
  </si>
  <si>
    <t>TINGADINI</t>
  </si>
  <si>
    <t>VERENGA</t>
  </si>
  <si>
    <t>SHAWARIRA</t>
  </si>
  <si>
    <t>VENGE</t>
  </si>
  <si>
    <t>TSAURAI</t>
  </si>
  <si>
    <t>SIMON</t>
  </si>
  <si>
    <t>MUTINHIWA</t>
  </si>
  <si>
    <t>MUSENGWA</t>
  </si>
  <si>
    <t>MUSHONGA</t>
  </si>
  <si>
    <t>KELVIN</t>
  </si>
  <si>
    <t>ZIWAWA</t>
  </si>
  <si>
    <t>ZIYAMBI</t>
  </si>
  <si>
    <t>NYIKAVARANDA</t>
  </si>
  <si>
    <t>TSITSI</t>
  </si>
  <si>
    <t>JIRI</t>
  </si>
  <si>
    <t>MAROI</t>
  </si>
  <si>
    <t>SALLY</t>
  </si>
  <si>
    <t>MUDETSE</t>
  </si>
  <si>
    <t>20/90/2025</t>
  </si>
  <si>
    <t>KASTIGUH</t>
  </si>
  <si>
    <t>LIBERTY</t>
  </si>
  <si>
    <t>ESTHER</t>
  </si>
  <si>
    <t>CHABATAH</t>
  </si>
  <si>
    <t>KWASHIRA</t>
  </si>
  <si>
    <t>BONWELL</t>
  </si>
  <si>
    <t>FLETCHER</t>
  </si>
  <si>
    <t>MUDEKUNYE</t>
  </si>
  <si>
    <t>MOLEBALENG</t>
  </si>
  <si>
    <t>THULANI</t>
  </si>
  <si>
    <t>MUSVAVI</t>
  </si>
  <si>
    <t>MUCHADEI</t>
  </si>
  <si>
    <t>HENRY</t>
  </si>
  <si>
    <t>MUWADZURI</t>
  </si>
  <si>
    <t>LESLEY</t>
  </si>
  <si>
    <t>MANYANDE</t>
  </si>
  <si>
    <t>CHIUTSI</t>
  </si>
  <si>
    <t>TINAYEISHE</t>
  </si>
  <si>
    <t>TARUONA</t>
  </si>
  <si>
    <t>MAKOVERE</t>
  </si>
  <si>
    <t>MUDZVENDAMI</t>
  </si>
  <si>
    <t>ROSE</t>
  </si>
  <si>
    <t>CHINDAWANDE</t>
  </si>
  <si>
    <t>SAMANTHA</t>
  </si>
  <si>
    <t>SARUKORE</t>
  </si>
  <si>
    <t>BRIAN</t>
  </si>
  <si>
    <t>MUDHODHOMERA</t>
  </si>
  <si>
    <t>MUTYIRI</t>
  </si>
  <si>
    <t>MURINGANI</t>
  </si>
  <si>
    <t>TOMUDAISHE</t>
  </si>
  <si>
    <t>MUSENDEKI</t>
  </si>
  <si>
    <t>DENZEL</t>
  </si>
  <si>
    <t>ZIYAHLAVANA</t>
  </si>
  <si>
    <t>MURINYE</t>
  </si>
  <si>
    <t>MATORE</t>
  </si>
  <si>
    <t>ANTONIO</t>
  </si>
  <si>
    <t>MAPENGAUSE</t>
  </si>
  <si>
    <t>MUTODZA</t>
  </si>
  <si>
    <t>NDEBELE</t>
  </si>
  <si>
    <t>CHIMOWA</t>
  </si>
  <si>
    <t>SINGAGWARI</t>
  </si>
  <si>
    <t>CHIBVONGODZE</t>
  </si>
  <si>
    <t>TINEI</t>
  </si>
  <si>
    <t>ZHOU</t>
  </si>
  <si>
    <t>MITCHELE</t>
  </si>
  <si>
    <t>HAVANA</t>
  </si>
  <si>
    <t>AIDEN</t>
  </si>
  <si>
    <t>GUDZA</t>
  </si>
  <si>
    <t>KABINALA</t>
  </si>
  <si>
    <t>NYASHADZASHE</t>
  </si>
  <si>
    <t>MASVOPO</t>
  </si>
  <si>
    <t>MUSHANYU</t>
  </si>
  <si>
    <t>NOTHANDO</t>
  </si>
  <si>
    <t>NICOLUS</t>
  </si>
  <si>
    <t>MUCHABIGWA</t>
  </si>
  <si>
    <t>DHANDA</t>
  </si>
  <si>
    <t>NYIKADZINO</t>
  </si>
  <si>
    <t>TAROWERA</t>
  </si>
  <si>
    <t>BOTHWELL</t>
  </si>
  <si>
    <t>MUSONI</t>
  </si>
  <si>
    <t>MANDERE</t>
  </si>
  <si>
    <t>MAREGERE</t>
  </si>
  <si>
    <t>MARUFU</t>
  </si>
  <si>
    <t>CHILDREN VILLAGE</t>
  </si>
  <si>
    <t>CHANGAMIRE</t>
  </si>
  <si>
    <t>BETURE</t>
  </si>
  <si>
    <t>KINGSTONE</t>
  </si>
  <si>
    <t>CHEMHAKA</t>
  </si>
  <si>
    <t>LAWRENCE</t>
  </si>
  <si>
    <t>MAZHANJE</t>
  </si>
  <si>
    <t>MATAGA</t>
  </si>
  <si>
    <t>DARLINGTON</t>
  </si>
  <si>
    <t>MURWISI</t>
  </si>
  <si>
    <t>VIMISAI</t>
  </si>
  <si>
    <t>NYAMAPFENI</t>
  </si>
  <si>
    <t>REVESAI</t>
  </si>
  <si>
    <t>ONESTA</t>
  </si>
  <si>
    <t>WILSON</t>
  </si>
  <si>
    <t>CHAMUNOGWA</t>
  </si>
  <si>
    <t>CHIGOVA</t>
  </si>
  <si>
    <t>MUTANGI</t>
  </si>
  <si>
    <t>MANYIWA</t>
  </si>
  <si>
    <t>MIDZI</t>
  </si>
  <si>
    <t>CHIGONA</t>
  </si>
  <si>
    <t>MUSAENGANA</t>
  </si>
  <si>
    <t>PAULINE</t>
  </si>
  <si>
    <t>MURISI</t>
  </si>
  <si>
    <t>BOX</t>
  </si>
  <si>
    <t>TENDAISHE</t>
  </si>
  <si>
    <t>MUVENGWA</t>
  </si>
  <si>
    <t>MAFUKU</t>
  </si>
  <si>
    <t>STUDENT LEDGER 2024</t>
  </si>
  <si>
    <t>MAPINGUISE</t>
  </si>
  <si>
    <t>MUKANYANGI</t>
  </si>
  <si>
    <t>DOMINIC</t>
  </si>
  <si>
    <t>MAZODZE</t>
  </si>
  <si>
    <t>ABRAHAM</t>
  </si>
  <si>
    <t>MIKARO</t>
  </si>
  <si>
    <t>CHAGONDA</t>
  </si>
  <si>
    <t>TESEM</t>
  </si>
  <si>
    <t>CRAIG</t>
  </si>
  <si>
    <t>CHISHAMBWA</t>
  </si>
  <si>
    <t>CHAKABUDA</t>
  </si>
  <si>
    <t>CHANDAH</t>
  </si>
  <si>
    <t>MUTOMBENI</t>
  </si>
  <si>
    <t>MBEWE</t>
  </si>
  <si>
    <t>ZINYAMA</t>
  </si>
  <si>
    <t>SPENCER</t>
  </si>
  <si>
    <t>JONAS</t>
  </si>
  <si>
    <t>MUFUNDIRWA</t>
  </si>
  <si>
    <t>SHINGAI</t>
  </si>
  <si>
    <t>CHUMA</t>
  </si>
  <si>
    <t>TSUNGIRAI</t>
  </si>
  <si>
    <t>CHABATA</t>
  </si>
  <si>
    <t>CHIKOTO</t>
  </si>
  <si>
    <t>PRECIOUSE</t>
  </si>
  <si>
    <t>MATARIRANO</t>
  </si>
  <si>
    <t>NOTAI</t>
  </si>
  <si>
    <t>TAMAYI</t>
  </si>
  <si>
    <t>THEMBINKOSI</t>
  </si>
  <si>
    <t>RUVANGU</t>
  </si>
  <si>
    <t>PATRICIA</t>
  </si>
  <si>
    <t>MACHESI</t>
  </si>
  <si>
    <t>PRIVLEDGE</t>
  </si>
  <si>
    <t>RACHIEL</t>
  </si>
  <si>
    <t>CHINAMATIRA</t>
  </si>
  <si>
    <t>CHANDIPWISA</t>
  </si>
  <si>
    <t>SUCCEDED</t>
  </si>
  <si>
    <t>MAODZWA</t>
  </si>
  <si>
    <t>NICOLE</t>
  </si>
  <si>
    <t>MAKWAZA</t>
  </si>
  <si>
    <t>CHIDHUZA</t>
  </si>
  <si>
    <t>TITUS</t>
  </si>
  <si>
    <t>ELISEBHA</t>
  </si>
  <si>
    <t>MUGWASHI</t>
  </si>
  <si>
    <t>MUSARA</t>
  </si>
  <si>
    <t>LIMINENT</t>
  </si>
  <si>
    <t>EVER</t>
  </si>
  <si>
    <t>MUZONDIWA</t>
  </si>
  <si>
    <t>MACHAKAIRE</t>
  </si>
  <si>
    <t>NAMATIRAI</t>
  </si>
  <si>
    <t>MAHWATI</t>
  </si>
  <si>
    <t>FLORENCE</t>
  </si>
  <si>
    <t>MUSHENYU</t>
  </si>
  <si>
    <t>SHELTER</t>
  </si>
  <si>
    <t>CHIPISA</t>
  </si>
  <si>
    <t>GLADDEN</t>
  </si>
  <si>
    <t>SIMAYI</t>
  </si>
  <si>
    <t>FAITH</t>
  </si>
  <si>
    <t>VHETU</t>
  </si>
  <si>
    <t>DENSEL</t>
  </si>
  <si>
    <t>ZVAREVASHE</t>
  </si>
  <si>
    <t>TASARIRA</t>
  </si>
  <si>
    <t>MANGAMELA</t>
  </si>
  <si>
    <t>HONEST</t>
  </si>
  <si>
    <t>MUNYANYIKWA</t>
  </si>
  <si>
    <t>LUCAS</t>
  </si>
  <si>
    <t>LAST</t>
  </si>
  <si>
    <t>NDAMBAKUWA</t>
  </si>
  <si>
    <t>BRAVEN</t>
  </si>
  <si>
    <t>SHANGWA</t>
  </si>
  <si>
    <t>NICHOLAS</t>
  </si>
  <si>
    <t>MACHOKOTI</t>
  </si>
  <si>
    <t>CHOMUSANGO</t>
  </si>
  <si>
    <t>MUDETE</t>
  </si>
  <si>
    <t>GLEN</t>
  </si>
  <si>
    <t>MABASA</t>
  </si>
  <si>
    <t>ZIMONDI</t>
  </si>
  <si>
    <t>BASIL</t>
  </si>
  <si>
    <t>ISHEANESU</t>
  </si>
  <si>
    <t>CHATIKOBO</t>
  </si>
  <si>
    <t>MASUNDA</t>
  </si>
  <si>
    <t>SASIMBA</t>
  </si>
  <si>
    <t>DELAN</t>
  </si>
  <si>
    <t>MLOPE</t>
  </si>
  <si>
    <t>MUCHINGAMI</t>
  </si>
  <si>
    <t>MANGWAYANA</t>
  </si>
  <si>
    <t xml:space="preserve">MUFUDZA </t>
  </si>
  <si>
    <t>CLOFORD</t>
  </si>
  <si>
    <t xml:space="preserve">MUTINHIWA </t>
  </si>
  <si>
    <t xml:space="preserve">MIKISENI </t>
  </si>
  <si>
    <t>SVUWENI</t>
  </si>
  <si>
    <t>BRAYNA</t>
  </si>
  <si>
    <t>MARANGARIRE</t>
  </si>
  <si>
    <t xml:space="preserve">ZUNDE </t>
  </si>
  <si>
    <t>JUSTICE</t>
  </si>
  <si>
    <t>MUPFIGO</t>
  </si>
  <si>
    <t>DZIVA B</t>
  </si>
  <si>
    <t>MAPOPE</t>
  </si>
  <si>
    <t>BRYTON</t>
  </si>
  <si>
    <t xml:space="preserve">MUVHANGO </t>
  </si>
  <si>
    <t>OCEAN</t>
  </si>
  <si>
    <t>CHISEDZI</t>
  </si>
  <si>
    <t xml:space="preserve">MUTASA </t>
  </si>
  <si>
    <t>GESHOM</t>
  </si>
  <si>
    <t>MATUTU</t>
  </si>
  <si>
    <t>PROMINENT</t>
  </si>
  <si>
    <t>RAZHINDUKA</t>
  </si>
  <si>
    <t>CHARIDZA</t>
  </si>
  <si>
    <t>BORNFACE</t>
  </si>
  <si>
    <t>MAHLUPHEKO</t>
  </si>
  <si>
    <t>CARPENTRY</t>
  </si>
  <si>
    <t>GANDAZHA</t>
  </si>
  <si>
    <t xml:space="preserve">CHOKUMBIRA </t>
  </si>
  <si>
    <t>AMON</t>
  </si>
  <si>
    <t>SIMANGO</t>
  </si>
  <si>
    <t>ZVIKOMBORERO</t>
  </si>
  <si>
    <t>ZINHIDI</t>
  </si>
  <si>
    <t>VERNON</t>
  </si>
  <si>
    <t>MWENDAUYA</t>
  </si>
  <si>
    <t>MAZWIRIZI</t>
  </si>
  <si>
    <t>GWENUKWENU</t>
  </si>
  <si>
    <t>SIMARASHE</t>
  </si>
  <si>
    <t>MANYUKA</t>
  </si>
  <si>
    <t>AUTHUR</t>
  </si>
  <si>
    <t>CHITETEMA</t>
  </si>
  <si>
    <t>POLITE</t>
  </si>
  <si>
    <t xml:space="preserve">TAVARUVA </t>
  </si>
  <si>
    <t>ANSWER</t>
  </si>
  <si>
    <t xml:space="preserve">TAVONGA </t>
  </si>
  <si>
    <t>CHIRARA</t>
  </si>
  <si>
    <t>NYAMUNDA</t>
  </si>
  <si>
    <t>TAVAKA</t>
  </si>
  <si>
    <t>PINKY</t>
  </si>
  <si>
    <t>MUSHAVI</t>
  </si>
  <si>
    <t xml:space="preserve">VIMBAI </t>
  </si>
  <si>
    <t>TINGADII</t>
  </si>
  <si>
    <t xml:space="preserve">MATUMBE </t>
  </si>
  <si>
    <t>MABHIGIRI</t>
  </si>
  <si>
    <t>NEHEIA</t>
  </si>
  <si>
    <t>SHINGAIRAI</t>
  </si>
  <si>
    <t xml:space="preserve">MAIMBA </t>
  </si>
  <si>
    <t>GAMBIZVO</t>
  </si>
  <si>
    <t>MAHLANGUYO</t>
  </si>
  <si>
    <t>RODWELL</t>
  </si>
  <si>
    <t xml:space="preserve">MUTSAMBWA </t>
  </si>
  <si>
    <t>MUSHIPE</t>
  </si>
  <si>
    <t>CHAMISA</t>
  </si>
  <si>
    <t>MUTUMHE</t>
  </si>
  <si>
    <t>ALPHONSE</t>
  </si>
  <si>
    <t>MUTENDI</t>
  </si>
  <si>
    <t>MAHOVE</t>
  </si>
  <si>
    <t>SIKANYANGA</t>
  </si>
  <si>
    <t>TANZWIKWANASHE</t>
  </si>
  <si>
    <t>RICHARD</t>
  </si>
  <si>
    <t>NYAKURWA</t>
  </si>
  <si>
    <t>SOLOM</t>
  </si>
  <si>
    <t xml:space="preserve">TSVANGIRAI </t>
  </si>
  <si>
    <t>CHITSA</t>
  </si>
  <si>
    <t>MARIGA</t>
  </si>
  <si>
    <t>JOHN</t>
  </si>
  <si>
    <t>ZINHUKA</t>
  </si>
  <si>
    <t>GWATARA</t>
  </si>
  <si>
    <t>SHENGIWA</t>
  </si>
  <si>
    <t>MURIDHINI</t>
  </si>
  <si>
    <t>EZRA</t>
  </si>
  <si>
    <t>CHIKUYO</t>
  </si>
  <si>
    <t>TADIWANSHE</t>
  </si>
  <si>
    <t>MANZPOU</t>
  </si>
  <si>
    <t>MDONDO</t>
  </si>
  <si>
    <t>MACLOF</t>
  </si>
  <si>
    <t>MATONDA</t>
  </si>
  <si>
    <t>VHENEKA</t>
  </si>
  <si>
    <t>MOLEBALENGI</t>
  </si>
  <si>
    <t>BONYONGWA</t>
  </si>
  <si>
    <t>MOSTAFF</t>
  </si>
  <si>
    <t>MUTANDA</t>
  </si>
  <si>
    <t>SERVIOUS</t>
  </si>
  <si>
    <t>NGURUVE</t>
  </si>
  <si>
    <t>MUTADI</t>
  </si>
  <si>
    <t>CLAUD</t>
  </si>
  <si>
    <t>MUFUNYI</t>
  </si>
  <si>
    <t>MUDHODHOMERWA</t>
  </si>
  <si>
    <t xml:space="preserve"> BRIAN</t>
  </si>
  <si>
    <t xml:space="preserve">RATE </t>
  </si>
  <si>
    <t>FEES IN ZIG</t>
  </si>
  <si>
    <t>TOTAL IN ZIG</t>
  </si>
  <si>
    <t>MUPFUMI</t>
  </si>
  <si>
    <t>PLAN INTERNATIONAL</t>
  </si>
  <si>
    <t>KOIKA</t>
  </si>
  <si>
    <t>INTERNATIONAL LABOUR ORGANISATION</t>
  </si>
  <si>
    <t xml:space="preserve">WAR VETERIAN </t>
  </si>
  <si>
    <t>Column2</t>
  </si>
  <si>
    <t>STUDENT NUMBER</t>
  </si>
  <si>
    <t>EMAIL</t>
  </si>
  <si>
    <t>PASSWORD</t>
  </si>
  <si>
    <t>PHONE NUMBER</t>
  </si>
  <si>
    <t>GENDER</t>
  </si>
  <si>
    <t>NATIONAL ID</t>
  </si>
  <si>
    <t>DATE OF BIRTH</t>
  </si>
  <si>
    <t>ADDRESS</t>
  </si>
  <si>
    <t>GUARDIAN NAME</t>
  </si>
  <si>
    <t>GUARDIAN PHONE</t>
  </si>
  <si>
    <t>INTAKE YEAR</t>
  </si>
  <si>
    <t>JAKATA DAISY</t>
  </si>
  <si>
    <t xml:space="preserve"> DHOBHA  MELLINDA</t>
  </si>
  <si>
    <t xml:space="preserve"> MUFUMI RUTH</t>
  </si>
  <si>
    <t>MUSADAIRA MARVELOUSE</t>
  </si>
  <si>
    <t>MATOMBORIMA SHARON</t>
  </si>
  <si>
    <t>MAHURIVARA ROSEMARY</t>
  </si>
  <si>
    <t>MBIZA SIMBISO</t>
  </si>
  <si>
    <t>MATINHIRA CHARITY</t>
  </si>
  <si>
    <t>VENGESAI CAROLINE</t>
  </si>
  <si>
    <t>ZUZE SHANTEL</t>
  </si>
  <si>
    <t>GOKI CHRISTIEN</t>
  </si>
  <si>
    <t>OLIVER MATERO</t>
  </si>
  <si>
    <t>FELISTAS MUTERO</t>
  </si>
  <si>
    <t>TADIWANASHE FUMA</t>
  </si>
  <si>
    <t>SAUNYAMA ASHLEY</t>
  </si>
  <si>
    <t>CHEVURE CHIEDZA</t>
  </si>
  <si>
    <t>VENGESAI SHAYLINE</t>
  </si>
  <si>
    <t>MODESTER MUKAMURI</t>
  </si>
  <si>
    <t>GOZHO ELLEN</t>
  </si>
  <si>
    <t>MADYA HILLARY</t>
  </si>
  <si>
    <t>CHINOUNYE TINOTENDA</t>
  </si>
  <si>
    <t>NDEMO ALIVA</t>
  </si>
  <si>
    <t>MUDUMA SHALOM</t>
  </si>
  <si>
    <t>MADAWO GRACE</t>
  </si>
  <si>
    <t>MUNYANYIWA ABIGAIL</t>
  </si>
  <si>
    <t>MUTEMA PATIENCE</t>
  </si>
  <si>
    <t>SANDE EUNICE</t>
  </si>
  <si>
    <t>MAHASO MELLISA</t>
  </si>
  <si>
    <t>MUGUTI FARAI</t>
  </si>
  <si>
    <t>MADZINGO NYASHA</t>
  </si>
  <si>
    <t>MUVENGWA WAYNE</t>
  </si>
  <si>
    <t>CHIFAMBA TRACY</t>
  </si>
  <si>
    <t>CHAUKE DELIGHT</t>
  </si>
  <si>
    <t>MATOGO ANNAH</t>
  </si>
  <si>
    <t>CHABVESERI FRISCENCE</t>
  </si>
  <si>
    <t>GWANGWANI LETICIA</t>
  </si>
  <si>
    <t>HUNGWE GLADMORE</t>
  </si>
  <si>
    <t>CHIGWENGWENENE DAVIDZO</t>
  </si>
  <si>
    <t>CHIZA MITCHEL</t>
  </si>
  <si>
    <t>PANGIDZWA TINOTENDA</t>
  </si>
  <si>
    <t>CHERA TENDAI</t>
  </si>
  <si>
    <t>WITCHO JENNIFER</t>
  </si>
  <si>
    <t>MUSENA TANAKA</t>
  </si>
  <si>
    <t>MUPFUMI SHARON</t>
  </si>
  <si>
    <t>MAXWEBO CHENAI</t>
  </si>
  <si>
    <t>MUSEVA CHARLOTE</t>
  </si>
  <si>
    <t>DHUVAI RUMBIDZAI</t>
  </si>
  <si>
    <t>MACHARA FADZAI</t>
  </si>
  <si>
    <t>MUSAKANDA LISA</t>
  </si>
  <si>
    <t>MUSHAYA DEBORA</t>
  </si>
  <si>
    <t>MAZANI PROMISE</t>
  </si>
  <si>
    <t>MAPUTSA AMBROSE</t>
  </si>
  <si>
    <t>MADI CANISIAS</t>
  </si>
  <si>
    <t>MADHENDE WALTER</t>
  </si>
  <si>
    <t>MACHINGURA RONALD</t>
  </si>
  <si>
    <t>RUNGANO TOGA</t>
  </si>
  <si>
    <t>ZINYORO SILAS</t>
  </si>
  <si>
    <t>NJOVO ANOLD</t>
  </si>
  <si>
    <t>MADHENDE PATRICK</t>
  </si>
  <si>
    <t>MATEWA ENEST</t>
  </si>
  <si>
    <t>JENGETA  TANAKA</t>
  </si>
  <si>
    <t>BHEURA MIKE</t>
  </si>
  <si>
    <t>NJOVORINGO GLADMAN</t>
  </si>
  <si>
    <t>NDORO EMMANUEL</t>
  </si>
  <si>
    <t>MUGABE CHARLES</t>
  </si>
  <si>
    <t>NHONDOVA  ASHLEY</t>
  </si>
  <si>
    <t>NGWENYA FORWARD</t>
  </si>
  <si>
    <t>MUPFIGO  TINASHE</t>
  </si>
  <si>
    <t>MUTOVO ANOTIDA</t>
  </si>
  <si>
    <t>MAPONDE LEON</t>
  </si>
  <si>
    <t>GOCHERO SAMSON</t>
  </si>
  <si>
    <t>MADZINGAUSHE TAKUDZWA</t>
  </si>
  <si>
    <t>MUTUKWA TATENDA</t>
  </si>
  <si>
    <t>NYAMATSAMBA ENOCH</t>
  </si>
  <si>
    <t>CHARA TINASHE</t>
  </si>
  <si>
    <t>MUCHINE CALVIN</t>
  </si>
  <si>
    <t>MAFUKU TATENDA</t>
  </si>
  <si>
    <t>TOROWERA SILAS</t>
  </si>
  <si>
    <t>MUKANYA MUNYARADZI</t>
  </si>
  <si>
    <t>MADIWA MARSHAL</t>
  </si>
  <si>
    <t>MARARIKE DZIDZAI</t>
  </si>
  <si>
    <t>MAZARIRE SEAN</t>
  </si>
  <si>
    <t>MUDZINGWA BILLY</t>
  </si>
  <si>
    <t>NHEMA TAFADZWA</t>
  </si>
  <si>
    <t>GWESU COLLEN</t>
  </si>
  <si>
    <t>PHIRI NYASHA</t>
  </si>
  <si>
    <t>NYENGERA EDWIN</t>
  </si>
  <si>
    <t>CHIDEMBO ADMIRE</t>
  </si>
  <si>
    <t>MUSEKIWA SUCCED</t>
  </si>
  <si>
    <t>CHINGOMBE ASHLEY</t>
  </si>
  <si>
    <t>ROAN WAYNE</t>
  </si>
  <si>
    <t>MATEWE MUFARO</t>
  </si>
  <si>
    <t>GWATIDZO ANESU</t>
  </si>
  <si>
    <t>MLAMBO MARSHAL</t>
  </si>
  <si>
    <t>NYAMANA BLESSING</t>
  </si>
  <si>
    <t>NYONI RHODRICK</t>
  </si>
  <si>
    <t>MUZENDA   LEO</t>
  </si>
  <si>
    <t>TAREMEREDZWA DAVID</t>
  </si>
  <si>
    <t>MUREDZI FABIAN</t>
  </si>
  <si>
    <t>MASIIWA ANESU</t>
  </si>
  <si>
    <t>SHOKO FANUEL</t>
  </si>
  <si>
    <t>JOROMIO TARIRO</t>
  </si>
  <si>
    <t>MAPETERE BELIEVE</t>
  </si>
  <si>
    <t>BOSHA DEVINE</t>
  </si>
  <si>
    <t>GAVA SHIMA</t>
  </si>
  <si>
    <t>SANANGURA ARTWELL</t>
  </si>
  <si>
    <t>CHIBWE BIVIAN</t>
  </si>
  <si>
    <t>VENGE  LEON</t>
  </si>
  <si>
    <t>MANYARA EMMANUEL</t>
  </si>
  <si>
    <t>MAPFUMO TIMOTHY</t>
  </si>
  <si>
    <t>SHUMBA HASTINGS</t>
  </si>
  <si>
    <t>MAKWARA ANESU</t>
  </si>
  <si>
    <t>MAGADZIRE TINOTENDA</t>
  </si>
  <si>
    <t>CHAPINGA NYASHA</t>
  </si>
  <si>
    <t>FARAINASHE RUTENDO</t>
  </si>
  <si>
    <t>SIZIBA DECISIVE</t>
  </si>
  <si>
    <t>MATEMA TRACY</t>
  </si>
  <si>
    <t>CHIPWANYA TADIWANASHE</t>
  </si>
  <si>
    <t>CHIPIKIRI ADMIRE</t>
  </si>
  <si>
    <t>MASHUMBA SHADRECK</t>
  </si>
  <si>
    <t>CHAPURA ANOLD</t>
  </si>
  <si>
    <t>MACHOKOTO TAWANDA</t>
  </si>
  <si>
    <t>ZISHIRI TAPIWA</t>
  </si>
  <si>
    <t>MUTEMA KINGSTON</t>
  </si>
  <si>
    <t>MUSHATI LINET</t>
  </si>
  <si>
    <t>SHOKO RATIDZAI</t>
  </si>
  <si>
    <t>MPOFU BLESSING</t>
  </si>
  <si>
    <t>MPOFU BLESSED</t>
  </si>
  <si>
    <t>ZINYIMO HAPPISON</t>
  </si>
  <si>
    <t>MOYO SAMUEL</t>
  </si>
  <si>
    <t>KANGANISAI TAFADZWA</t>
  </si>
  <si>
    <t>GWATINYANYA TANYARADZWA</t>
  </si>
  <si>
    <t>MUBAIWA BRILLIANT</t>
  </si>
  <si>
    <t>SIMBA PAIDAMOYO</t>
  </si>
  <si>
    <t>MUTANHO PRIDE</t>
  </si>
  <si>
    <t>MANHENDO TENDAI</t>
  </si>
  <si>
    <t>TEMAYI BLESSING</t>
  </si>
  <si>
    <t>MUTUNGWAZI SEAN</t>
  </si>
  <si>
    <t>MUAMBIRWE TINOTENDA</t>
  </si>
  <si>
    <t>CHIGUDU MUNYARADZI</t>
  </si>
  <si>
    <t>KWARAMBA TATENDA</t>
  </si>
  <si>
    <t>KAMUTEDZA ELISHA</t>
  </si>
  <si>
    <t>FASHU ELIAS</t>
  </si>
  <si>
    <t>ZHARA ACHIEVE</t>
  </si>
  <si>
    <t>MUSIMWA BLESSING</t>
  </si>
  <si>
    <t>HLAURANI NEVER</t>
  </si>
  <si>
    <t>MDUDUZI MANDLENKOSI</t>
  </si>
  <si>
    <t>CHINOMBE OWEN</t>
  </si>
  <si>
    <t>CHIKWIKWI BEAULAR</t>
  </si>
  <si>
    <t>TUMBUDZAI MEJURY</t>
  </si>
  <si>
    <t>TONONGERA MEMORY</t>
  </si>
  <si>
    <t>MANGEZI TINASHE</t>
  </si>
  <si>
    <t>RINGISAI LETWIN</t>
  </si>
  <si>
    <t>MUKANGANWI BRIGHT</t>
  </si>
  <si>
    <t>MUREWA ALLAN</t>
  </si>
  <si>
    <t>TUNGAMIRAI ELTON</t>
  </si>
  <si>
    <t>MARAHO ARTISHER</t>
  </si>
  <si>
    <t>MARAIRE LEON</t>
  </si>
  <si>
    <t>MARAIRE JULIUS</t>
  </si>
  <si>
    <t>MAFUKA MARSHAL</t>
  </si>
  <si>
    <t>MASENDEKE LISA</t>
  </si>
  <si>
    <t>ZVEGONA TADIWANASHE</t>
  </si>
  <si>
    <t>MAGOMBEDZE TINASHE</t>
  </si>
  <si>
    <t>MUSHURE TINOTENDA</t>
  </si>
  <si>
    <t>MAHWANGWA ANDREW</t>
  </si>
  <si>
    <t>MABHEGEDHE TAWANDA</t>
  </si>
  <si>
    <t>MHLANGA WONDERFUL</t>
  </si>
  <si>
    <t>CHIGERWE PARTNAGE</t>
  </si>
  <si>
    <t>MATOGO OMEGA</t>
  </si>
  <si>
    <t>MUNANA SIMBARASHE</t>
  </si>
  <si>
    <t>KAZEMBA REGIS</t>
  </si>
  <si>
    <t>SIMBI IVINE</t>
  </si>
  <si>
    <t>MUZANAGO BLESSING</t>
  </si>
  <si>
    <t>GUNI SHANTEL</t>
  </si>
  <si>
    <t>CHATA TINASHE</t>
  </si>
  <si>
    <t>CHIGODORA WENDELL</t>
  </si>
  <si>
    <t>MAKOPA IDAH</t>
  </si>
  <si>
    <t>CHIROMBO LOVEMORE</t>
  </si>
  <si>
    <t>TINASHE TADU</t>
  </si>
  <si>
    <t>CHISVUURE TAKUNDA</t>
  </si>
  <si>
    <t>TATENDA TASARA</t>
  </si>
  <si>
    <t>KUWAISIMBA PAIDAMOYO</t>
  </si>
  <si>
    <t>CHINENYANGA REJOICE</t>
  </si>
  <si>
    <t>TAKU TINEROMBO</t>
  </si>
  <si>
    <t>NGWENYA RUTENDO</t>
  </si>
  <si>
    <t>DZIMIRE MELODY</t>
  </si>
  <si>
    <t>GRACE MADAWO</t>
  </si>
  <si>
    <t>KUKWANA ROSELYNE</t>
  </si>
  <si>
    <t>MANYASHA PRECIOUS</t>
  </si>
  <si>
    <t>MUZANENHAMO SHALOM</t>
  </si>
  <si>
    <t>CHITAVATI TAKUNDA</t>
  </si>
  <si>
    <t>GILBERT REJOICE</t>
  </si>
  <si>
    <t>MUROZVA ANNAH</t>
  </si>
  <si>
    <t>CHANDIMHARA CARREN</t>
  </si>
  <si>
    <t>SHOKO MEMORY</t>
  </si>
  <si>
    <t>MWAPENGA MITCHEL</t>
  </si>
  <si>
    <t>TANHOYA RONALD</t>
  </si>
  <si>
    <t>MUNYARADZI MUTETWA</t>
  </si>
  <si>
    <t>PANDASVIKA YOLANDER</t>
  </si>
  <si>
    <t>PONDO REJOICE</t>
  </si>
  <si>
    <t>CHIWENGA PRECIOUS</t>
  </si>
  <si>
    <t>GWATIRINGA TAKUDZWA</t>
  </si>
  <si>
    <t>VASHE TALENT</t>
  </si>
  <si>
    <t>MUZONDIDYA TAFARA</t>
  </si>
  <si>
    <t>GUNHI KUPAKWASHE</t>
  </si>
  <si>
    <t>MADHAZI KINGSTON</t>
  </si>
  <si>
    <t>CHITAPA ROPAFADZO</t>
  </si>
  <si>
    <t>NJOVORINGO GIFT</t>
  </si>
  <si>
    <t>MABAIRE NGONI</t>
  </si>
  <si>
    <t>SIBANDA KUPAKWASHE</t>
  </si>
  <si>
    <t>GUNI SANDRA</t>
  </si>
  <si>
    <t>NECHIGURE PROSPER</t>
  </si>
  <si>
    <t>MUKONOWESHURO RUVIMBO</t>
  </si>
  <si>
    <t>SHUMBA BLESSED</t>
  </si>
  <si>
    <t>MANYADZE KUDAKWASHE</t>
  </si>
  <si>
    <t>ZVINOROVA TAWANDA</t>
  </si>
  <si>
    <t>MAROVANYANGA ANDIPAISHE</t>
  </si>
  <si>
    <t>MUSANGEYA TAFARA</t>
  </si>
  <si>
    <t>KWANGWARI LOVENESS</t>
  </si>
  <si>
    <t>CHINOMONA STEVE</t>
  </si>
  <si>
    <t>MUPFUNYA KENNEDY</t>
  </si>
  <si>
    <t>MAGURA TINASHE</t>
  </si>
  <si>
    <t>GAPU INNOCENT</t>
  </si>
  <si>
    <t>CHAVURURA TIMOTHY</t>
  </si>
  <si>
    <t>NYANGAI LANCE</t>
  </si>
  <si>
    <t>NDUKU DELIGHT</t>
  </si>
  <si>
    <t>MUWODZI EMMANUEL</t>
  </si>
  <si>
    <t>MASHAKA DZIDZAI</t>
  </si>
  <si>
    <t>MASHIRI ANDREA</t>
  </si>
  <si>
    <t>CHIMBILAMI REMEMBER</t>
  </si>
  <si>
    <t>JENGETA  KUDAKWASHE</t>
  </si>
  <si>
    <t>CHIWAWA TANAKA</t>
  </si>
  <si>
    <t>CHIMHAMHIWA LARIEL</t>
  </si>
  <si>
    <t>ZWANDAZIVA KUZIVA</t>
  </si>
  <si>
    <t>CHAWARIKA TAFARA</t>
  </si>
  <si>
    <t>MAGADI DEON</t>
  </si>
  <si>
    <t>MUZINGO TARIRO</t>
  </si>
  <si>
    <t>MAGOMBO NOEL</t>
  </si>
  <si>
    <t>TEMBO DAVISON</t>
  </si>
  <si>
    <t>CHIPATO BEAUTY</t>
  </si>
  <si>
    <t>KAMUDZI TANAKA</t>
  </si>
  <si>
    <t>MPOFU ELIAS</t>
  </si>
  <si>
    <t>PWANYIRE PERCY</t>
  </si>
  <si>
    <t>SHAMHIYASHE TIMOTHY</t>
  </si>
  <si>
    <t>MATIZANADZO JUNIOR</t>
  </si>
  <si>
    <t>NYAMAYARO MOSTARD</t>
  </si>
  <si>
    <t>GURUZANI TAKURA</t>
  </si>
  <si>
    <t>MANYERUKE TINOTENDA</t>
  </si>
  <si>
    <t>GANYAWU TINASHE</t>
  </si>
  <si>
    <t>HASSANI FORTUNE</t>
  </si>
  <si>
    <t>TIGERE MUGWISI</t>
  </si>
  <si>
    <t>CHINHARA BLESSING</t>
  </si>
  <si>
    <t>SHAMU AMARD</t>
  </si>
  <si>
    <t>SVINURAI DESTINY</t>
  </si>
  <si>
    <t>MATENDA THOMAS</t>
  </si>
  <si>
    <t>MAHLABA ANANIAS</t>
  </si>
  <si>
    <t>CHAUKE VICTOR</t>
  </si>
  <si>
    <t>MAGURA TINAYE</t>
  </si>
  <si>
    <t>NAZERE RUGARE</t>
  </si>
  <si>
    <t>SENI TALENT</t>
  </si>
  <si>
    <t>PARIMWA TAWANANYASHA</t>
  </si>
  <si>
    <t>CHIWA] TAFARA</t>
  </si>
  <si>
    <t>MANDEJE EVERSON</t>
  </si>
  <si>
    <t>MUNDINGI TAKUDZWA</t>
  </si>
  <si>
    <t>JEKERA LAMECK</t>
  </si>
  <si>
    <t>MANDE TRMORE</t>
  </si>
  <si>
    <t>MATSANURA LEON</t>
  </si>
  <si>
    <t>NGOMA ZIPHANIA</t>
  </si>
  <si>
    <t>HOVE PASCA</t>
  </si>
  <si>
    <t>MUZHANJE TATENDA</t>
  </si>
  <si>
    <t>MUTEMA TADIWA</t>
  </si>
  <si>
    <t>JONGWE TINOTENDA</t>
  </si>
  <si>
    <t>FUNANI SHAWN</t>
  </si>
  <si>
    <t>MUTITSVE MOSES</t>
  </si>
  <si>
    <t>DARANGWA TATENDA</t>
  </si>
  <si>
    <t>SITHOLE DEEDZAISHE</t>
  </si>
  <si>
    <t>MUTASA LINKMAN</t>
  </si>
  <si>
    <t>RAVASINGADI WASHINGTON</t>
  </si>
  <si>
    <t>GUDYANGA ALONE</t>
  </si>
  <si>
    <t>MUTEYO REGBY</t>
  </si>
  <si>
    <t>GARANOWAKO STANFORD</t>
  </si>
  <si>
    <t>MAJADA NYASHA</t>
  </si>
  <si>
    <t>MASIMBA MICHIAEL</t>
  </si>
  <si>
    <t>MASVAYA ANDERSON</t>
  </si>
  <si>
    <t>MTUKUTI SIPHOSIHLE</t>
  </si>
  <si>
    <t>SHEPADI HAPPINESS</t>
  </si>
  <si>
    <t>MAJONI KNOWLEDGE</t>
  </si>
  <si>
    <t>ZISHIRI TINOTENDA</t>
  </si>
  <si>
    <t>MAPFUMO PANASHE</t>
  </si>
  <si>
    <t>MUTUMBANI NGONIDZASHE</t>
  </si>
  <si>
    <t>KWINIKA ELTON</t>
  </si>
  <si>
    <t>KOMBORERO BENGO</t>
  </si>
  <si>
    <t>VURAYAI EZEKIEL</t>
  </si>
  <si>
    <t>MUTSVANGWA PRINCE</t>
  </si>
  <si>
    <t>ALPHONCO BRENDON</t>
  </si>
  <si>
    <t>RAMBANAPASI VIMBAINASHE</t>
  </si>
  <si>
    <t>SIMANDARA CEPHAS</t>
  </si>
  <si>
    <t>MAHEFU MACNOSHER</t>
  </si>
  <si>
    <t>MUZINGO TAKUNDA</t>
  </si>
  <si>
    <t>MAMBARA SAMUEL</t>
  </si>
  <si>
    <t>CHIGWEDERE NYASHA</t>
  </si>
  <si>
    <t>MZENZI EMMANUEL</t>
  </si>
  <si>
    <t>MACHAYA TAVONGA</t>
  </si>
  <si>
    <t>MHUNGU TADIWANASHE</t>
  </si>
  <si>
    <t>CHIMUTANDA TIMOTHY</t>
  </si>
  <si>
    <t>KASUNGA SIMBARASHE</t>
  </si>
  <si>
    <t>MUTERO ERICK</t>
  </si>
  <si>
    <t>CHIWAZI LEO</t>
  </si>
  <si>
    <t>KADUNGURE EMMANUEL</t>
  </si>
  <si>
    <t>MUKOTAMI LOICE</t>
  </si>
  <si>
    <t>MUGWIRA RUVARASHE</t>
  </si>
  <si>
    <t>MANDYATE GLYNNIS</t>
  </si>
  <si>
    <t>MANHENYEZERO TAFADZWA</t>
  </si>
  <si>
    <t>MACHINGAMBI SHALINE</t>
  </si>
  <si>
    <t>MUNARO TALENT</t>
  </si>
  <si>
    <t>MACHINGAMBI HAZEL</t>
  </si>
  <si>
    <t>KANAVETI TANATSWA</t>
  </si>
  <si>
    <t>MUTEMA CLARA</t>
  </si>
  <si>
    <t>MAVENGANO MASCILINE</t>
  </si>
  <si>
    <t>SHUMBAIMWE PRIMROSE</t>
  </si>
  <si>
    <t>MAPASURE MOLLEN</t>
  </si>
  <si>
    <t>MAPFAKA MAVIS</t>
  </si>
  <si>
    <t>GWANDA EVERNICE</t>
  </si>
  <si>
    <t>CHIKUMBA FIONA</t>
  </si>
  <si>
    <t>MANDYORO DAVID</t>
  </si>
  <si>
    <t>CHANDIMHARA GERSHOM</t>
  </si>
  <si>
    <t>REVESAI ONESTA</t>
  </si>
  <si>
    <t>DUBE WILSON</t>
  </si>
  <si>
    <t>CHAMUNOGWA COLLEN</t>
  </si>
  <si>
    <t>CHIGONA FORTUNE</t>
  </si>
  <si>
    <t>MIDZI RUTENDO</t>
  </si>
  <si>
    <t>MANYIWA PANASHE</t>
  </si>
  <si>
    <t>MUTANGI MUNYARADZI</t>
  </si>
  <si>
    <t>CHIGOVA PROSPER</t>
  </si>
  <si>
    <t>MUNANA KUDAKWASHE</t>
  </si>
  <si>
    <t>MUSAENGANA PAULINE</t>
  </si>
  <si>
    <t>MURISI ANESU</t>
  </si>
  <si>
    <t>BOX TENDAISHE</t>
  </si>
  <si>
    <t>MATARUSE TAKUDZWA</t>
  </si>
  <si>
    <t>KWASHIRA BONWELL</t>
  </si>
  <si>
    <t>MAPINGUISE ANTONIO</t>
  </si>
  <si>
    <t>CHIMHOWA TADIWA</t>
  </si>
  <si>
    <t>MUZONDO TADIWA</t>
  </si>
  <si>
    <t>MUKANYANGI DOMINIC</t>
  </si>
  <si>
    <t>MAZODZE ABRAHAM</t>
  </si>
  <si>
    <t>MUPINI AMOS</t>
  </si>
  <si>
    <t>MIKARO MILTON</t>
  </si>
  <si>
    <t>CHAGONDA TESEM</t>
  </si>
  <si>
    <t>TADIWANASHE CRAIG</t>
  </si>
  <si>
    <t>CHISHAMBWA KELVIN</t>
  </si>
  <si>
    <t>CHAKABUDA BRIAN</t>
  </si>
  <si>
    <t>CHANDAH LEON</t>
  </si>
  <si>
    <t>CHIGERWE PRINCE</t>
  </si>
  <si>
    <t>MUTOMBENI ISHMAEL</t>
  </si>
  <si>
    <t>MBEWE TINOTENDA</t>
  </si>
  <si>
    <t>NHOPIYAPENGA NIMROD</t>
  </si>
  <si>
    <t>NDOWA PHILOMINA</t>
  </si>
  <si>
    <t>ZINYAMA SPENCER</t>
  </si>
  <si>
    <t>MUSEKIWA ALLAN</t>
  </si>
  <si>
    <t>RUNDE ENERGY</t>
  </si>
  <si>
    <t>HAVANA JONAS</t>
  </si>
  <si>
    <t>MUFUNDIRWA SHINGAI</t>
  </si>
  <si>
    <t>CHUMA TADIWANASHE</t>
  </si>
  <si>
    <t>MUTATIWA CHIDO</t>
  </si>
  <si>
    <t>SITHOLE PRAISE</t>
  </si>
  <si>
    <t>TACHIONA PRIMROSE</t>
  </si>
  <si>
    <t>ZIGOZHO TSUNGIRAI</t>
  </si>
  <si>
    <t>CHABATA ESTHER</t>
  </si>
  <si>
    <t>NYIKAVARANDA TSITSI</t>
  </si>
  <si>
    <t>CHIKOTO BLESSING</t>
  </si>
  <si>
    <t>MUNAKA PRECIOUSE</t>
  </si>
  <si>
    <t>SHANGA PETRONELLA</t>
  </si>
  <si>
    <t>MATARIRANO NOTAI</t>
  </si>
  <si>
    <t>GARAUZIVE MARTHA</t>
  </si>
  <si>
    <t>TAMAYI THEMBINKOSI</t>
  </si>
  <si>
    <t>SUNDIRE FELISTAS</t>
  </si>
  <si>
    <t>MAREDZA NOKUTENDA</t>
  </si>
  <si>
    <t>RUVANGU PATRICIA</t>
  </si>
  <si>
    <t>SHAMU TERRENCE</t>
  </si>
  <si>
    <t>ZINDIKANI PRAISE</t>
  </si>
  <si>
    <t>PHIRI SAMANTHA</t>
  </si>
  <si>
    <t>MACHESI PRIVLEDGE</t>
  </si>
  <si>
    <t>MADZINGO RACHIEL</t>
  </si>
  <si>
    <t>MUNDINGI BLESSING</t>
  </si>
  <si>
    <t>DUBE NYARAI</t>
  </si>
  <si>
    <t>CHINAMATIRA TADIWA</t>
  </si>
  <si>
    <t>MUMVANGA NATASHA</t>
  </si>
  <si>
    <t>CHANDIPWISA SUCCEDED</t>
  </si>
  <si>
    <t>MUDUMA BERVERLY</t>
  </si>
  <si>
    <t>MUDZVENDAMI ROSE</t>
  </si>
  <si>
    <t>MARANGE NAISON</t>
  </si>
  <si>
    <t>MAODZWA NICOLE</t>
  </si>
  <si>
    <t>CHITAMBIRA ANOLD</t>
  </si>
  <si>
    <t>MAKWAZA MEDELINE</t>
  </si>
  <si>
    <t>CHIDHUZA TITUS</t>
  </si>
  <si>
    <t>ELISEBHA MUGWASHI</t>
  </si>
  <si>
    <t>MUSARA LIMINENT</t>
  </si>
  <si>
    <t>MUZENDA EVER</t>
  </si>
  <si>
    <t>ZIWAWA MEMORY</t>
  </si>
  <si>
    <t>MURINYE BEAUTY</t>
  </si>
  <si>
    <t>MUTODZA ASHLEY</t>
  </si>
  <si>
    <t>MUDZINGWA ANESUISHE</t>
  </si>
  <si>
    <t>GONGA NYASHA</t>
  </si>
  <si>
    <t>NDAHWI PRISCA</t>
  </si>
  <si>
    <t>MUTENDEUDZI ROPAFADZO</t>
  </si>
  <si>
    <t>KAZOMBA PATIENCE</t>
  </si>
  <si>
    <t>MASVOPO NYASHADZASHE</t>
  </si>
  <si>
    <t>MAGARA TAWANDA</t>
  </si>
  <si>
    <t>MUZONDIWA TAMBUDZAI</t>
  </si>
  <si>
    <t>MACHAKAIRE NAMATIRAI</t>
  </si>
  <si>
    <t>MAHWATI FLORENCE</t>
  </si>
  <si>
    <t>MUSHENYU NOTHANDO</t>
  </si>
  <si>
    <t>MANIKA TATENDA</t>
  </si>
  <si>
    <t>MABHONA PRAISE</t>
  </si>
  <si>
    <t>ZIYAMBI BLESSING</t>
  </si>
  <si>
    <t>MAZUNGA VIOLET</t>
  </si>
  <si>
    <t>MUNETSI SHELTER</t>
  </si>
  <si>
    <t>GOMO PANASHE</t>
  </si>
  <si>
    <t>CHIPISA GLADDEN</t>
  </si>
  <si>
    <t>SIMAYI YVONE</t>
  </si>
  <si>
    <t>MLAMBO ANOTIDA</t>
  </si>
  <si>
    <t>MACHINGAMBI FAITH</t>
  </si>
  <si>
    <t>BARARA WONDER</t>
  </si>
  <si>
    <t>VHETU CLEVER</t>
  </si>
  <si>
    <t>DARIKAI MOREBLESSING</t>
  </si>
  <si>
    <t>NYIKADZINO TINOTENDA</t>
  </si>
  <si>
    <t>TAKUDZWA TAKUDZWA</t>
  </si>
  <si>
    <t>CHOKUFA EDSON</t>
  </si>
  <si>
    <t>CHINDAWANDE MUNASHE</t>
  </si>
  <si>
    <t>MASESE KAINOS</t>
  </si>
  <si>
    <t>MOYO TOMUDAISHE</t>
  </si>
  <si>
    <t>KUTADZA GIVEN</t>
  </si>
  <si>
    <t>MANUNURE TANAKA</t>
  </si>
  <si>
    <t>MUSENDEKI DENSEL</t>
  </si>
  <si>
    <t>MUDISI DESIRE</t>
  </si>
  <si>
    <t>WILBERT CELESTINE</t>
  </si>
  <si>
    <t>JIRI PANASHE</t>
  </si>
  <si>
    <t>MUDZINGWA TAKUDZWA</t>
  </si>
  <si>
    <t>ZVAREVASHE TAFARA</t>
  </si>
  <si>
    <t>TASARIRA ERICK</t>
  </si>
  <si>
    <t>MANGAMELA HONEST</t>
  </si>
  <si>
    <t>MUNYANYIKWA LUCAS</t>
  </si>
  <si>
    <t>MANGISI TAWANDA</t>
  </si>
  <si>
    <t>GONO DANIEL</t>
  </si>
  <si>
    <t>DAVID ROY</t>
  </si>
  <si>
    <t>CHIUTSI NYASHA</t>
  </si>
  <si>
    <t>MUDZINGWA KANDA</t>
  </si>
  <si>
    <t>SHONHIWA TAKUDZWA</t>
  </si>
  <si>
    <t>SIBANDA LAST</t>
  </si>
  <si>
    <t>MUTONHODZA BRUCE</t>
  </si>
  <si>
    <t>NDAMBAKUWA WALTER</t>
  </si>
  <si>
    <t>CHAVANI PETER</t>
  </si>
  <si>
    <t>SHANGWA BRAVEN</t>
  </si>
  <si>
    <t>MACHAPAZA PRIDE</t>
  </si>
  <si>
    <t>MAJATA ANESU</t>
  </si>
  <si>
    <t>MUCHABIGWA NICHOLAS</t>
  </si>
  <si>
    <t>MACHOKOTI ISHMAEL</t>
  </si>
  <si>
    <t>SHUMBA ANESU</t>
  </si>
  <si>
    <t>CHOMUSANGO BLESSING</t>
  </si>
  <si>
    <t>MUDETE SALLY</t>
  </si>
  <si>
    <t>MUDZURI HITLER</t>
  </si>
  <si>
    <t>MHLOPE GLEN</t>
  </si>
  <si>
    <t>MABASA HENRY</t>
  </si>
  <si>
    <t>ZIMONDI TAWANDA</t>
  </si>
  <si>
    <t>MUSENGWA ANDREW</t>
  </si>
  <si>
    <t>BUSHU BASIL</t>
  </si>
  <si>
    <t>MAJATA ISHEANESU</t>
  </si>
  <si>
    <t>CHATIKOBO ANOLD</t>
  </si>
  <si>
    <t>MUNETSI OBERT</t>
  </si>
  <si>
    <t>MASUNDA CALVIN</t>
  </si>
  <si>
    <t>SASIMBA DELAN</t>
  </si>
  <si>
    <t>MLOPE TERRENCE</t>
  </si>
  <si>
    <t>TADZOKA TAKUDZWA</t>
  </si>
  <si>
    <t>MARUMBWA STEPHEN</t>
  </si>
  <si>
    <t>MUCHINGAMI TATENDA</t>
  </si>
  <si>
    <t>MANGWAYANA TALENT</t>
  </si>
  <si>
    <t>CHIPINDA NYARADZO</t>
  </si>
  <si>
    <t>SARUKORE SAMANTHA</t>
  </si>
  <si>
    <t>MUFUDZA  SHUVAI</t>
  </si>
  <si>
    <t>MUZVIDZIWA CLOFORD</t>
  </si>
  <si>
    <t>CHUMA TINOTENDA</t>
  </si>
  <si>
    <t>MAKOTI TINOTENDA</t>
  </si>
  <si>
    <t>MUTINHIWA  NYASHA</t>
  </si>
  <si>
    <t>MIKISENI  PANASHE</t>
  </si>
  <si>
    <t>MUGABE TAKUDZWA</t>
  </si>
  <si>
    <t>SHAWARIRA SIMBARASHE</t>
  </si>
  <si>
    <t>MACHINGURA TAKUDZWA</t>
  </si>
  <si>
    <t>SVUWENI BRAYNA</t>
  </si>
  <si>
    <t>MARANGARIRE PATRICK</t>
  </si>
  <si>
    <t>ZUNDE  CLEVER</t>
  </si>
  <si>
    <t>SIMBI JUSTICE</t>
  </si>
  <si>
    <t>MUPFIGO TINASHE</t>
  </si>
  <si>
    <t>MUCHINGAMI DANIEL</t>
  </si>
  <si>
    <t>SINGAGWARI MOSES</t>
  </si>
  <si>
    <t>TINOTENDA GODKNOWS</t>
  </si>
  <si>
    <t>MABHENA INNOCENT</t>
  </si>
  <si>
    <t>DZIVA B BOSWELL</t>
  </si>
  <si>
    <t>MAPOPE DESIRE</t>
  </si>
  <si>
    <t>NDEBELE TAKUDZWA</t>
  </si>
  <si>
    <t>MAWADZE BRYTON</t>
  </si>
  <si>
    <t>MUVHANGO  JUNIOR</t>
  </si>
  <si>
    <t>MUDHODHOMERWA  BRIAN</t>
  </si>
  <si>
    <t>CHIFAMBA BOTHWELL</t>
  </si>
  <si>
    <t>GUDZA OCEAN</t>
  </si>
  <si>
    <t>MATEMERA TATENDA</t>
  </si>
  <si>
    <t>CHISEDZI TINASHE</t>
  </si>
  <si>
    <t>MUTASA  LINKMAN</t>
  </si>
  <si>
    <t>ZVAVATONGA GESHOM</t>
  </si>
  <si>
    <t>MATUTU PROMINENT</t>
  </si>
  <si>
    <t>RAZHINDUKA DELIGHT</t>
  </si>
  <si>
    <t>CHARIDZA BORNFACE</t>
  </si>
  <si>
    <t>DHANDA TAVONGA</t>
  </si>
  <si>
    <t>MAHLUPHEKO VISION</t>
  </si>
  <si>
    <t>GANDAZHA BLESSED</t>
  </si>
  <si>
    <t>EDWARD KABINALA</t>
  </si>
  <si>
    <t>MABURUTSE CLIFF</t>
  </si>
  <si>
    <t>TETE TALENT</t>
  </si>
  <si>
    <t>HAMA HAMA</t>
  </si>
  <si>
    <t>CHOKUMBIRA  AMON</t>
  </si>
  <si>
    <t>EMMANUEL SIMANGO</t>
  </si>
  <si>
    <t>MUDZINGWA ZVIKOMBORERO</t>
  </si>
  <si>
    <t>TSAURAI SIMON</t>
  </si>
  <si>
    <t>TINEI CHIZA</t>
  </si>
  <si>
    <t>PROGRESS ZINHIDI</t>
  </si>
  <si>
    <t>VERNON MWENDAUYA</t>
  </si>
  <si>
    <t>KUDZANAI MAZWIRIZI</t>
  </si>
  <si>
    <t>DAVID GWENUKWENU</t>
  </si>
  <si>
    <t>RINGISAI SIMARASHE</t>
  </si>
  <si>
    <t>ZIYAHLAVANA SHALOM</t>
  </si>
  <si>
    <t>MANYUKA CLEMENCE</t>
  </si>
  <si>
    <t>SIZIBA ENOCK</t>
  </si>
  <si>
    <t>PARADZA TINASHE</t>
  </si>
  <si>
    <t>MASHASHA AUTHUR</t>
  </si>
  <si>
    <t>CHITETEMA POLITE</t>
  </si>
  <si>
    <t>TAVARUVA  ANSWER</t>
  </si>
  <si>
    <t>RUPONDO TAKUDZWA</t>
  </si>
  <si>
    <t>CHIPENYA FELIX</t>
  </si>
  <si>
    <t>TAVONGA  MASHAISHE</t>
  </si>
  <si>
    <t>CHIRARA MUNASHE</t>
  </si>
  <si>
    <t>KUZIPA ANESU</t>
  </si>
  <si>
    <t>NYAMUNDA TAVAKA</t>
  </si>
  <si>
    <t>PEPUKAI PANASHE</t>
  </si>
  <si>
    <t>GANJE ANTONY</t>
  </si>
  <si>
    <t>CHAUKE PINKY</t>
  </si>
  <si>
    <t>MUSHAVI FORTUNATE</t>
  </si>
  <si>
    <t>MUNANDE VIMBAI</t>
  </si>
  <si>
    <t>TINGADII MILTON</t>
  </si>
  <si>
    <t>MATUMBE  MATIKUDZA</t>
  </si>
  <si>
    <t>CHAKONA TAWANDA</t>
  </si>
  <si>
    <t>MABHIGIRI NEHEIA</t>
  </si>
  <si>
    <t>MUCHADEI NYASHA</t>
  </si>
  <si>
    <t>MUZINGO SHINGAIRAI</t>
  </si>
  <si>
    <t>GONO BRIGHTON</t>
  </si>
  <si>
    <t>MAIMBA  TINASHE</t>
  </si>
  <si>
    <t>GUMBO BORNWELL</t>
  </si>
  <si>
    <t>GAMBIZVO MUNASHE</t>
  </si>
  <si>
    <t>TARUONA TINAYE</t>
  </si>
  <si>
    <t>MAHLANGUYO RODWELL</t>
  </si>
  <si>
    <t>MUTSAMBWA  TINASHE</t>
  </si>
  <si>
    <t>MUSHIPE TATENDA</t>
  </si>
  <si>
    <t>SHOKO BRYSON</t>
  </si>
  <si>
    <t>CHAMISA NYASHA</t>
  </si>
  <si>
    <t>MPOFU AIDEN</t>
  </si>
  <si>
    <t>MUTUMHE TAFADZWA</t>
  </si>
  <si>
    <t>CHEMHAKA LAWRENCE</t>
  </si>
  <si>
    <t>DZAPASI ALPHONSE</t>
  </si>
  <si>
    <t>CHIMBIRIMBIRI NORMAN</t>
  </si>
  <si>
    <t>MUTENDI HONEST</t>
  </si>
  <si>
    <t>MAHOVE TINOTENDA</t>
  </si>
  <si>
    <t>MAKORE KUDAKWASHE</t>
  </si>
  <si>
    <t>SIKANYANGA NIGEL</t>
  </si>
  <si>
    <t>SITHOLE TADIWANASHE</t>
  </si>
  <si>
    <t>CHAMISA TANZWIKWANASHE</t>
  </si>
  <si>
    <t>MACHOKOTO RICHARD</t>
  </si>
  <si>
    <t>NYAKURWA NYASHA</t>
  </si>
  <si>
    <t>DZAPASI SOLOM</t>
  </si>
  <si>
    <t>CHIHURE DESIRE</t>
  </si>
  <si>
    <t>TSVANGIRAI  TANAKA</t>
  </si>
  <si>
    <t>CHITSA TAVONGA</t>
  </si>
  <si>
    <t>MARIGA JOHN</t>
  </si>
  <si>
    <t>ZINHUKA TANAKA</t>
  </si>
  <si>
    <t>MURINDI NORMAN</t>
  </si>
  <si>
    <t>GWATARA TATENDA</t>
  </si>
  <si>
    <t>SHENGIWA FRANCIS</t>
  </si>
  <si>
    <t>MURIDHINI EZRA</t>
  </si>
  <si>
    <t>CHIKUYO LOVEMORE</t>
  </si>
  <si>
    <t>SHUMBA TADIWANSHE</t>
  </si>
  <si>
    <t>CHIBVONGODZE MUNASHE</t>
  </si>
  <si>
    <t>MANDARA REWARD</t>
  </si>
  <si>
    <t>CHEKERO TAFARANASHE</t>
  </si>
  <si>
    <t>MANZPOU TINOTENDA</t>
  </si>
  <si>
    <t>MDONDO MACLOF</t>
  </si>
  <si>
    <t>MUSHONGA CALVIN</t>
  </si>
  <si>
    <t>MUWADZURI PETER</t>
  </si>
  <si>
    <t>MUTYIRI LIBERTY</t>
  </si>
  <si>
    <t>MUZENDA INNOCENT</t>
  </si>
  <si>
    <t>MATONDA MUNYARADZI</t>
  </si>
  <si>
    <t>VHENEKA EDSON</t>
  </si>
  <si>
    <t>MOLEBALENGI THULANI</t>
  </si>
  <si>
    <t>ZHOU TADIWANASHE</t>
  </si>
  <si>
    <t>BONYONGWA MOSTAFF</t>
  </si>
  <si>
    <t>MUTANDA TAFADZWA</t>
  </si>
  <si>
    <t>MUDEKUNYE FLETCHER</t>
  </si>
  <si>
    <t>DEREDZAI SERVIOUS</t>
  </si>
  <si>
    <t>CHITESA TINASHE</t>
  </si>
  <si>
    <t>MACHAYA MUNYARADZI</t>
  </si>
  <si>
    <t>NGURUVE GIFT</t>
  </si>
  <si>
    <t>MAROI BRYTON</t>
  </si>
  <si>
    <t>SAUNGWEME CHARLES</t>
  </si>
  <si>
    <t>MUKANDI MUNASHE</t>
  </si>
  <si>
    <t>MANDERE RONALD</t>
  </si>
  <si>
    <t>VENGE TAPIWA</t>
  </si>
  <si>
    <t>MUTADI ANESU</t>
  </si>
  <si>
    <t>MUTEYO RAFNAGE</t>
  </si>
  <si>
    <t>MAKOVERE ANESU</t>
  </si>
  <si>
    <t>MAKUKU TIMSON</t>
  </si>
  <si>
    <t>MATEMERA CLAUD</t>
  </si>
  <si>
    <t>MUFUNYI TATENDA</t>
  </si>
  <si>
    <t>HOKOYO DECENT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</si>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</sst>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.0000_);_(* \(#,##0.0000\);_(* &quot;-&quot;??_);_(@_)"/>
  </numFmts>
  <fonts count="17">
    <font>
      <sz val="11"/>
      <name val="Calibri"/>
      <charset val="134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Arial Narrow"/>
      <family val="2"/>
    </font>
    <font>
      <b/>
      <sz val="12"/>
      <color rgb="FF000000"/>
      <name val="Calibri"/>
      <family val="2"/>
    </font>
    <font>
      <b/>
      <sz val="12"/>
      <color rgb="FF000000"/>
      <name val="Arial Narrow"/>
      <family val="2"/>
    </font>
    <font>
      <b/>
      <sz val="16"/>
      <color rgb="FF000000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sz val="16"/>
      <color rgb="FF000000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name val="Arial Narrow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164" fontId="2" fillId="0" borderId="0">
      <alignment vertical="top"/>
      <protection locked="0"/>
    </xf>
  </cellStyleXfs>
  <cellXfs count="129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left"/>
    </xf>
    <xf numFmtId="0" fontId="5" fillId="0" borderId="1" xfId="1" applyNumberFormat="1" applyFont="1" applyBorder="1" applyAlignment="1" applyProtection="1">
      <alignment horizontal="left"/>
    </xf>
    <xf numFmtId="164" fontId="5" fillId="0" borderId="1" xfId="1" applyFont="1" applyBorder="1" applyAlignment="1" applyProtection="1">
      <alignment horizontal="left"/>
    </xf>
    <xf numFmtId="0" fontId="6" fillId="0" borderId="1" xfId="0" applyFont="1" applyBorder="1" applyAlignment="1"/>
    <xf numFmtId="164" fontId="7" fillId="0" borderId="1" xfId="1" applyFont="1" applyBorder="1" applyAlignment="1" applyProtection="1">
      <alignment horizontal="left"/>
    </xf>
    <xf numFmtId="0" fontId="7" fillId="0" borderId="1" xfId="0" applyFont="1" applyBorder="1" applyAlignment="1">
      <alignment horizontal="left"/>
    </xf>
    <xf numFmtId="164" fontId="2" fillId="0" borderId="0" xfId="1" applyFont="1" applyBorder="1" applyAlignment="1" applyProtection="1"/>
    <xf numFmtId="0" fontId="7" fillId="0" borderId="1" xfId="1" applyNumberFormat="1" applyFont="1" applyBorder="1" applyAlignment="1" applyProtection="1">
      <alignment horizontal="left"/>
    </xf>
    <xf numFmtId="14" fontId="0" fillId="0" borderId="0" xfId="0" applyNumberFormat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0" xfId="0" applyBorder="1">
      <alignment vertical="center"/>
    </xf>
    <xf numFmtId="0" fontId="2" fillId="0" borderId="0" xfId="1" applyNumberFormat="1" applyFont="1" applyBorder="1" applyAlignment="1" applyProtection="1"/>
    <xf numFmtId="0" fontId="3" fillId="0" borderId="0" xfId="0" applyFont="1" applyBorder="1">
      <alignment vertical="center"/>
    </xf>
    <xf numFmtId="0" fontId="4" fillId="0" borderId="3" xfId="0" applyFont="1" applyBorder="1" applyAlignment="1"/>
    <xf numFmtId="0" fontId="5" fillId="0" borderId="3" xfId="0" applyFont="1" applyBorder="1" applyAlignment="1">
      <alignment horizontal="left"/>
    </xf>
    <xf numFmtId="0" fontId="5" fillId="0" borderId="3" xfId="1" applyNumberFormat="1" applyFont="1" applyBorder="1" applyAlignment="1" applyProtection="1">
      <alignment horizontal="left"/>
    </xf>
    <xf numFmtId="164" fontId="5" fillId="0" borderId="3" xfId="1" applyFont="1" applyBorder="1" applyAlignment="1" applyProtection="1">
      <alignment horizontal="left"/>
    </xf>
    <xf numFmtId="0" fontId="0" fillId="0" borderId="1" xfId="0" applyBorder="1">
      <alignment vertical="center"/>
    </xf>
    <xf numFmtId="0" fontId="15" fillId="0" borderId="1" xfId="0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right"/>
    </xf>
    <xf numFmtId="0" fontId="14" fillId="2" borderId="1" xfId="0" applyFont="1" applyFill="1" applyBorder="1" applyAlignment="1">
      <alignment horizontal="right"/>
    </xf>
    <xf numFmtId="0" fontId="14" fillId="0" borderId="4" xfId="0" applyFont="1" applyBorder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164" fontId="2" fillId="0" borderId="0" xfId="1">
      <alignment vertical="top"/>
      <protection locked="0"/>
    </xf>
    <xf numFmtId="0" fontId="15" fillId="0" borderId="6" xfId="0" applyFont="1" applyBorder="1" applyAlignment="1">
      <alignment horizontal="left"/>
    </xf>
    <xf numFmtId="0" fontId="14" fillId="0" borderId="6" xfId="0" applyFont="1" applyBorder="1" applyAlignment="1">
      <alignment horizontal="left"/>
    </xf>
    <xf numFmtId="164" fontId="2" fillId="0" borderId="1" xfId="1" applyBorder="1">
      <alignment vertical="top"/>
      <protection locked="0"/>
    </xf>
    <xf numFmtId="0" fontId="14" fillId="0" borderId="0" xfId="0" applyFont="1" applyBorder="1" applyAlignment="1">
      <alignment horizontal="right"/>
    </xf>
    <xf numFmtId="164" fontId="12" fillId="0" borderId="1" xfId="1" applyFont="1" applyBorder="1">
      <alignment vertical="top"/>
      <protection locked="0"/>
    </xf>
    <xf numFmtId="164" fontId="14" fillId="0" borderId="1" xfId="1" applyFont="1" applyBorder="1">
      <alignment vertical="top"/>
      <protection locked="0"/>
    </xf>
    <xf numFmtId="17" fontId="14" fillId="0" borderId="6" xfId="0" applyNumberFormat="1" applyFont="1" applyBorder="1" applyAlignment="1">
      <alignment horizontal="left"/>
    </xf>
    <xf numFmtId="164" fontId="14" fillId="0" borderId="6" xfId="1" applyFont="1" applyBorder="1" applyAlignment="1" applyProtection="1">
      <alignment horizontal="left"/>
    </xf>
    <xf numFmtId="17" fontId="14" fillId="0" borderId="1" xfId="0" applyNumberFormat="1" applyFont="1" applyBorder="1" applyAlignment="1">
      <alignment horizontal="left"/>
    </xf>
    <xf numFmtId="164" fontId="14" fillId="0" borderId="1" xfId="1" applyFont="1" applyBorder="1" applyAlignment="1" applyProtection="1">
      <alignment horizontal="left"/>
    </xf>
    <xf numFmtId="164" fontId="14" fillId="0" borderId="1" xfId="0" applyNumberFormat="1" applyFont="1" applyBorder="1" applyAlignment="1">
      <alignment horizontal="left"/>
    </xf>
    <xf numFmtId="0" fontId="14" fillId="0" borderId="1" xfId="1" applyNumberFormat="1" applyFont="1" applyBorder="1" applyAlignment="1" applyProtection="1">
      <alignment horizontal="left"/>
    </xf>
    <xf numFmtId="0" fontId="14" fillId="0" borderId="1" xfId="0" quotePrefix="1" applyFont="1" applyBorder="1" applyAlignment="1">
      <alignment horizontal="left"/>
    </xf>
    <xf numFmtId="0" fontId="14" fillId="0" borderId="1" xfId="1" quotePrefix="1" applyNumberFormat="1" applyFont="1" applyBorder="1" applyAlignment="1" applyProtection="1">
      <alignment horizontal="left"/>
    </xf>
    <xf numFmtId="14" fontId="14" fillId="0" borderId="1" xfId="1" applyNumberFormat="1" applyFont="1" applyBorder="1" applyAlignment="1" applyProtection="1">
      <alignment horizontal="left"/>
    </xf>
    <xf numFmtId="164" fontId="14" fillId="0" borderId="1" xfId="1" applyFont="1" applyFill="1" applyBorder="1" applyAlignment="1" applyProtection="1">
      <alignment horizontal="left"/>
    </xf>
    <xf numFmtId="164" fontId="14" fillId="0" borderId="1" xfId="1" applyFont="1" applyBorder="1" applyAlignment="1" applyProtection="1">
      <alignment horizontal="right"/>
    </xf>
    <xf numFmtId="0" fontId="14" fillId="0" borderId="1" xfId="1" applyNumberFormat="1" applyFont="1" applyBorder="1" applyAlignment="1" applyProtection="1">
      <alignment horizontal="right"/>
    </xf>
    <xf numFmtId="0" fontId="14" fillId="0" borderId="1" xfId="0" applyFont="1" applyFill="1" applyBorder="1" applyAlignment="1">
      <alignment horizontal="left"/>
    </xf>
    <xf numFmtId="164" fontId="14" fillId="0" borderId="1" xfId="1" applyFont="1" applyFill="1" applyBorder="1" applyAlignment="1" applyProtection="1">
      <alignment horizontal="right"/>
    </xf>
    <xf numFmtId="0" fontId="0" fillId="0" borderId="0" xfId="0" applyAlignment="1">
      <alignment horizontal="left" vertical="center"/>
    </xf>
    <xf numFmtId="164" fontId="14" fillId="0" borderId="1" xfId="1" applyFont="1" applyBorder="1" applyAlignment="1">
      <alignment horizontal="left" vertical="top"/>
      <protection locked="0"/>
    </xf>
    <xf numFmtId="0" fontId="3" fillId="0" borderId="0" xfId="0" applyFont="1" applyAlignment="1">
      <alignment horizontal="right" vertical="center"/>
    </xf>
    <xf numFmtId="0" fontId="7" fillId="0" borderId="1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164" fontId="14" fillId="0" borderId="1" xfId="1" applyFont="1" applyBorder="1" applyAlignment="1">
      <alignment horizontal="right" vertical="top"/>
      <protection locked="0"/>
    </xf>
    <xf numFmtId="0" fontId="15" fillId="0" borderId="6" xfId="0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164" fontId="16" fillId="0" borderId="1" xfId="1" applyFont="1" applyBorder="1" applyAlignment="1" applyProtection="1">
      <alignment horizontal="right"/>
    </xf>
    <xf numFmtId="164" fontId="16" fillId="0" borderId="1" xfId="0" applyNumberFormat="1" applyFont="1" applyBorder="1" applyAlignment="1">
      <alignment horizontal="right"/>
    </xf>
    <xf numFmtId="0" fontId="16" fillId="0" borderId="4" xfId="0" applyFont="1" applyBorder="1" applyAlignment="1">
      <alignment horizontal="right"/>
    </xf>
    <xf numFmtId="164" fontId="12" fillId="0" borderId="9" xfId="1" applyFont="1" applyBorder="1">
      <alignment vertical="top"/>
      <protection locked="0"/>
    </xf>
    <xf numFmtId="164" fontId="11" fillId="0" borderId="8" xfId="1" applyFont="1" applyBorder="1" applyAlignment="1" applyProtection="1"/>
    <xf numFmtId="164" fontId="2" fillId="0" borderId="8" xfId="1" applyFont="1" applyBorder="1" applyAlignment="1" applyProtection="1"/>
    <xf numFmtId="0" fontId="0" fillId="0" borderId="8" xfId="0" applyBorder="1">
      <alignment vertical="center"/>
    </xf>
    <xf numFmtId="164" fontId="11" fillId="0" borderId="0" xfId="1" applyFont="1" applyBorder="1" applyAlignment="1" applyProtection="1"/>
    <xf numFmtId="164" fontId="12" fillId="0" borderId="4" xfId="1" applyFont="1" applyBorder="1">
      <alignment vertical="top"/>
      <protection locked="0"/>
    </xf>
    <xf numFmtId="164" fontId="12" fillId="0" borderId="0" xfId="1" applyFont="1" applyBorder="1">
      <alignment vertical="top"/>
      <protection locked="0"/>
    </xf>
    <xf numFmtId="0" fontId="7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7" fillId="0" borderId="9" xfId="1" applyNumberFormat="1" applyFont="1" applyBorder="1" applyAlignment="1" applyProtection="1">
      <alignment horizontal="left"/>
    </xf>
    <xf numFmtId="0" fontId="14" fillId="0" borderId="9" xfId="0" applyFont="1" applyBorder="1" applyAlignment="1">
      <alignment horizontal="left"/>
    </xf>
    <xf numFmtId="0" fontId="14" fillId="0" borderId="9" xfId="0" applyFont="1" applyBorder="1" applyAlignment="1">
      <alignment horizontal="right"/>
    </xf>
    <xf numFmtId="0" fontId="16" fillId="0" borderId="9" xfId="0" applyFont="1" applyBorder="1" applyAlignment="1">
      <alignment horizontal="right"/>
    </xf>
    <xf numFmtId="0" fontId="8" fillId="0" borderId="0" xfId="0" applyFont="1" applyBorder="1" applyAlignment="1"/>
    <xf numFmtId="0" fontId="8" fillId="0" borderId="0" xfId="0" applyFont="1" applyBorder="1" applyAlignment="1">
      <alignment horizontal="left"/>
    </xf>
    <xf numFmtId="0" fontId="9" fillId="0" borderId="0" xfId="0" applyFont="1" applyBorder="1" applyAlignment="1">
      <alignment horizontal="right" vertical="center"/>
    </xf>
    <xf numFmtId="0" fontId="9" fillId="0" borderId="0" xfId="0" applyFont="1" applyBorder="1">
      <alignment vertical="center"/>
    </xf>
    <xf numFmtId="0" fontId="10" fillId="0" borderId="0" xfId="0" applyFont="1" applyBorder="1">
      <alignment vertical="center"/>
    </xf>
    <xf numFmtId="0" fontId="11" fillId="0" borderId="0" xfId="1" applyNumberFormat="1" applyFont="1" applyBorder="1" applyAlignment="1" applyProtection="1"/>
    <xf numFmtId="0" fontId="0" fillId="0" borderId="0" xfId="0" applyBorder="1" applyAlignment="1">
      <alignment horizontal="left" vertical="center"/>
    </xf>
    <xf numFmtId="0" fontId="3" fillId="0" borderId="0" xfId="0" applyFont="1" applyBorder="1" applyAlignment="1">
      <alignment horizontal="right" vertical="center"/>
    </xf>
    <xf numFmtId="0" fontId="1" fillId="0" borderId="0" xfId="0" applyFont="1" applyBorder="1" applyAlignment="1"/>
    <xf numFmtId="165" fontId="14" fillId="0" borderId="1" xfId="1" applyNumberFormat="1" applyFont="1" applyBorder="1">
      <alignment vertical="top"/>
      <protection locked="0"/>
    </xf>
    <xf numFmtId="165" fontId="13" fillId="0" borderId="1" xfId="1" applyNumberFormat="1" applyFont="1" applyBorder="1">
      <alignment vertical="top"/>
      <protection locked="0"/>
    </xf>
    <xf numFmtId="164" fontId="14" fillId="0" borderId="9" xfId="1" applyFont="1" applyBorder="1">
      <alignment vertical="top"/>
      <protection locked="0"/>
    </xf>
    <xf numFmtId="0" fontId="0" fillId="0" borderId="12" xfId="0" applyBorder="1">
      <alignment vertical="center"/>
    </xf>
    <xf numFmtId="0" fontId="16" fillId="0" borderId="2" xfId="0" applyFont="1" applyBorder="1" applyAlignment="1">
      <alignment horizontal="right"/>
    </xf>
    <xf numFmtId="0" fontId="7" fillId="0" borderId="13" xfId="1" applyNumberFormat="1" applyFont="1" applyBorder="1" applyAlignment="1" applyProtection="1">
      <alignment horizontal="left"/>
    </xf>
    <xf numFmtId="0" fontId="5" fillId="0" borderId="12" xfId="1" applyNumberFormat="1" applyFont="1" applyBorder="1" applyAlignment="1" applyProtection="1">
      <alignment horizontal="left"/>
    </xf>
    <xf numFmtId="164" fontId="14" fillId="0" borderId="13" xfId="1" applyFont="1" applyBorder="1">
      <alignment vertical="top"/>
      <protection locked="0"/>
    </xf>
    <xf numFmtId="0" fontId="14" fillId="0" borderId="2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4" fontId="14" fillId="0" borderId="13" xfId="0" applyNumberFormat="1" applyFont="1" applyBorder="1" applyAlignment="1">
      <alignment horizontal="left"/>
    </xf>
    <xf numFmtId="0" fontId="14" fillId="0" borderId="13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164" fontId="5" fillId="0" borderId="10" xfId="1" applyFont="1" applyBorder="1" applyAlignment="1" applyProtection="1">
      <alignment horizontal="left"/>
    </xf>
    <xf numFmtId="164" fontId="14" fillId="0" borderId="11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right"/>
    </xf>
    <xf numFmtId="164" fontId="2" fillId="0" borderId="6" xfId="1" applyBorder="1">
      <alignment vertical="top"/>
      <protection locked="0"/>
    </xf>
    <xf numFmtId="164" fontId="2" fillId="0" borderId="0" xfId="1" applyBorder="1">
      <alignment vertical="top"/>
      <protection locked="0"/>
    </xf>
    <xf numFmtId="164" fontId="14" fillId="0" borderId="0" xfId="1" applyFont="1" applyBorder="1" applyAlignment="1" applyProtection="1">
      <alignment horizontal="left"/>
    </xf>
    <xf numFmtId="0" fontId="14" fillId="2" borderId="1" xfId="0" applyFont="1" applyFill="1" applyBorder="1" applyAlignment="1">
      <alignment horizontal="left"/>
    </xf>
    <xf numFmtId="164" fontId="0" fillId="0" borderId="0" xfId="0" applyNumberFormat="1" applyBorder="1">
      <alignment vertical="center"/>
    </xf>
    <xf numFmtId="164" fontId="11" fillId="0" borderId="0" xfId="1" applyFont="1" applyBorder="1" applyAlignment="1" applyProtection="1">
      <alignment horizontal="right"/>
    </xf>
    <xf numFmtId="164" fontId="2" fillId="0" borderId="0" xfId="1" applyFont="1" applyBorder="1" applyAlignment="1" applyProtection="1">
      <alignment horizontal="right"/>
    </xf>
    <xf numFmtId="0" fontId="7" fillId="0" borderId="1" xfId="1" applyNumberFormat="1" applyFont="1" applyBorder="1" applyAlignment="1" applyProtection="1">
      <alignment horizontal="right"/>
    </xf>
    <xf numFmtId="164" fontId="5" fillId="0" borderId="1" xfId="1" applyFont="1" applyBorder="1" applyAlignment="1" applyProtection="1">
      <alignment horizontal="right"/>
    </xf>
    <xf numFmtId="164" fontId="2" fillId="0" borderId="0" xfId="1" applyAlignment="1">
      <alignment horizontal="right" vertical="top"/>
      <protection locked="0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16" fillId="0" borderId="1" xfId="0" applyNumberFormat="1" applyFont="1" applyBorder="1" applyAlignment="1">
      <alignment horizontal="left"/>
    </xf>
    <xf numFmtId="0" fontId="7" fillId="2" borderId="1" xfId="1" applyNumberFormat="1" applyFont="1" applyFill="1" applyBorder="1" applyAlignment="1" applyProtection="1">
      <alignment horizontal="left"/>
    </xf>
    <xf numFmtId="0" fontId="3" fillId="0" borderId="1" xfId="0" applyFont="1" applyBorder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6" xfId="0" applyBorder="1">
      <alignment vertical="center"/>
    </xf>
    <xf numFmtId="0" fontId="0" fillId="0" borderId="3" xfId="0" applyBorder="1">
      <alignment vertical="center"/>
    </xf>
    <xf numFmtId="0" fontId="3" fillId="0" borderId="2" xfId="0" applyFont="1" applyBorder="1">
      <alignment vertical="center"/>
    </xf>
    <xf numFmtId="0" fontId="12" fillId="0" borderId="0" xfId="0" applyFont="1">
      <alignment vertical="center"/>
    </xf>
    <xf numFmtId="0" fontId="12" fillId="0" borderId="14" xfId="0" applyFont="1" applyBorder="1" applyAlignment="1">
      <alignment vertical="center" wrapText="1"/>
    </xf>
    <xf numFmtId="0" fontId="14" fillId="0" borderId="6" xfId="0" applyFont="1" applyBorder="1" applyAlignment="1">
      <alignment horizontal="right"/>
    </xf>
    <xf numFmtId="0" fontId="7" fillId="0" borderId="6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auto="1"/>
        </lef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N627" totalsRowShown="0" headerRowDxfId="16" headerRowBorderDxfId="15" tableBorderDxfId="14">
  <autoFilter ref="A1:N627"/>
  <tableColumns count="14">
    <tableColumn id="2" name="FULL NAME" dataDxfId="0"/>
    <tableColumn id="3" name="COURSE" dataDxfId="13"/>
    <tableColumn id="4" name="STUDENT NUMBER" dataDxfId="12"/>
    <tableColumn id="5" name="EMAIL" dataDxfId="11"/>
    <tableColumn id="6" name="PASSWORD" dataDxfId="10"/>
    <tableColumn id="7" name="PHONE NUMBER" dataDxfId="9"/>
    <tableColumn id="8" name="GENDER" dataDxfId="8"/>
    <tableColumn id="9" name="NATIONAL ID" dataDxfId="7"/>
    <tableColumn id="10" name="DATE OF BIRTH" dataDxfId="6"/>
    <tableColumn id="11" name="ADDRESS" dataDxfId="5"/>
    <tableColumn id="12" name="GUARDIAN NAME" dataDxfId="4"/>
    <tableColumn id="13" name="GUARDIAN PHONE" dataDxfId="3"/>
    <tableColumn id="14" name="INTAKE YEAR" dataDxfId="2"/>
    <tableColumn id="15" name="Column2" dataDxfId="1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X830"/>
  <sheetViews>
    <sheetView zoomScale="80" zoomScaleNormal="80" workbookViewId="0">
      <pane ySplit="7" topLeftCell="A633" activePane="bottomLeft" state="frozen"/>
      <selection activeCell="AM1" sqref="AM1"/>
      <selection pane="bottomLeft" activeCell="B5" sqref="B5:D636"/>
    </sheetView>
  </sheetViews>
  <sheetFormatPr defaultRowHeight="14.4"/>
  <cols>
    <col min="1" max="1" width="13.44140625" customWidth="1"/>
    <col min="2" max="2" width="38.5546875" style="53" customWidth="1"/>
    <col min="3" max="3" width="31.88671875" style="55" customWidth="1"/>
    <col min="4" max="4" width="13.5546875" style="1" customWidth="1"/>
    <col min="5" max="6" width="10" style="22"/>
    <col min="7" max="9" width="18.33203125" style="22" customWidth="1"/>
    <col min="10" max="10" width="10" style="22"/>
    <col min="11" max="13" width="13.6640625" style="22" customWidth="1"/>
    <col min="14" max="14" width="8.6640625" style="22" customWidth="1"/>
    <col min="15" max="17" width="13.6640625" style="22" customWidth="1"/>
    <col min="18" max="19" width="17.109375" style="22" customWidth="1"/>
    <col min="20" max="20" width="18.109375" style="117" customWidth="1"/>
    <col min="21" max="28" width="18.109375" style="22" customWidth="1"/>
    <col min="29" max="29" width="10" style="22"/>
    <col min="30" max="35" width="14.109375" style="22" customWidth="1"/>
    <col min="36" max="36" width="16.109375" style="22" customWidth="1"/>
    <col min="37" max="37" width="10" style="22"/>
    <col min="38" max="40" width="14.33203125" style="22" customWidth="1"/>
    <col min="41" max="41" width="10" style="22"/>
    <col min="42" max="44" width="17.109375" style="22" customWidth="1"/>
    <col min="45" max="45" width="10" style="22"/>
    <col min="46" max="46" width="8.88671875" style="22"/>
    <col min="48" max="48" width="9.33203125" style="35" bestFit="1" customWidth="1"/>
    <col min="49" max="68" width="15.6640625" customWidth="1"/>
    <col min="69" max="69" width="10.6640625" customWidth="1"/>
    <col min="70" max="70" width="16.21875" customWidth="1"/>
    <col min="71" max="71" width="17.109375" customWidth="1"/>
    <col min="72" max="72" width="14.109375" style="68" customWidth="1"/>
    <col min="73" max="414" width="8.88671875" style="15"/>
  </cols>
  <sheetData>
    <row r="1" spans="1:414" s="15" customFormat="1" ht="21">
      <c r="A1" s="80" t="s">
        <v>14</v>
      </c>
      <c r="B1" s="81"/>
      <c r="C1" s="82"/>
      <c r="D1" s="83"/>
      <c r="E1" s="84"/>
      <c r="F1" s="84"/>
      <c r="G1" s="69"/>
      <c r="H1" s="69"/>
      <c r="I1" s="69"/>
      <c r="J1" s="84"/>
      <c r="K1" s="69"/>
      <c r="L1" s="69"/>
      <c r="M1" s="69"/>
      <c r="N1" s="84"/>
      <c r="O1" s="69"/>
      <c r="P1" s="69"/>
      <c r="Q1" s="69"/>
      <c r="R1" s="80"/>
      <c r="S1" s="80"/>
      <c r="T1" s="111"/>
      <c r="U1" s="69"/>
      <c r="V1" s="69"/>
      <c r="W1" s="69"/>
      <c r="X1" s="69"/>
      <c r="Y1" s="69"/>
      <c r="Z1" s="69"/>
      <c r="AA1" s="69"/>
      <c r="AB1" s="69"/>
      <c r="AC1" s="84"/>
      <c r="AD1" s="69"/>
      <c r="AE1" s="69"/>
      <c r="AF1" s="69"/>
      <c r="AG1" s="69"/>
      <c r="AH1" s="69"/>
      <c r="AI1" s="69"/>
      <c r="AJ1" s="69"/>
      <c r="AK1" s="84"/>
      <c r="AL1" s="69"/>
      <c r="AM1" s="69"/>
      <c r="AN1" s="69"/>
      <c r="AO1" s="85"/>
      <c r="AP1" s="69"/>
      <c r="AQ1" s="69"/>
      <c r="AR1" s="69"/>
      <c r="AS1" s="84"/>
      <c r="AT1" s="84"/>
      <c r="AU1" s="84"/>
      <c r="AV1" s="107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84"/>
      <c r="BR1" s="69"/>
      <c r="BS1" s="84"/>
      <c r="BT1" s="66"/>
    </row>
    <row r="2" spans="1:414" s="15" customFormat="1" ht="21">
      <c r="A2" s="80" t="s">
        <v>15</v>
      </c>
      <c r="B2" s="81"/>
      <c r="C2" s="82"/>
      <c r="D2" s="83"/>
      <c r="E2" s="84"/>
      <c r="F2" s="84"/>
      <c r="G2" s="69"/>
      <c r="H2" s="69"/>
      <c r="I2" s="69"/>
      <c r="J2" s="84"/>
      <c r="K2" s="69"/>
      <c r="L2" s="69"/>
      <c r="M2" s="69"/>
      <c r="N2" s="84"/>
      <c r="O2" s="69"/>
      <c r="P2" s="69"/>
      <c r="Q2" s="69"/>
      <c r="R2" s="80"/>
      <c r="S2" s="80"/>
      <c r="T2" s="111"/>
      <c r="U2" s="69"/>
      <c r="V2" s="69"/>
      <c r="W2" s="69"/>
      <c r="X2" s="69"/>
      <c r="Y2" s="69"/>
      <c r="Z2" s="69"/>
      <c r="AA2" s="69"/>
      <c r="AB2" s="69"/>
      <c r="AC2" s="84"/>
      <c r="AD2" s="69"/>
      <c r="AE2" s="69"/>
      <c r="AF2" s="69"/>
      <c r="AG2" s="69"/>
      <c r="AH2" s="69"/>
      <c r="AI2" s="69"/>
      <c r="AJ2" s="69"/>
      <c r="AK2" s="84"/>
      <c r="AL2" s="69"/>
      <c r="AM2" s="69"/>
      <c r="AN2" s="69"/>
      <c r="AO2" s="85"/>
      <c r="AP2" s="69"/>
      <c r="AQ2" s="69"/>
      <c r="AR2" s="69"/>
      <c r="AS2" s="84"/>
      <c r="AT2" s="84"/>
      <c r="AU2" s="84"/>
      <c r="AV2" s="107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84"/>
      <c r="BR2" s="69"/>
      <c r="BS2" s="84"/>
      <c r="BT2" s="66"/>
    </row>
    <row r="3" spans="1:414" s="15" customFormat="1" ht="21">
      <c r="A3" s="80" t="s">
        <v>31</v>
      </c>
      <c r="B3" s="81"/>
      <c r="C3" s="82"/>
      <c r="D3" s="83"/>
      <c r="E3" s="84"/>
      <c r="F3" s="84"/>
      <c r="G3" s="69"/>
      <c r="H3" s="69"/>
      <c r="I3" s="69"/>
      <c r="J3" s="84"/>
      <c r="K3" s="69"/>
      <c r="L3" s="69"/>
      <c r="M3" s="69"/>
      <c r="N3" s="84"/>
      <c r="O3" s="69"/>
      <c r="P3" s="69"/>
      <c r="Q3" s="69"/>
      <c r="R3" s="80"/>
      <c r="S3" s="80"/>
      <c r="T3" s="111"/>
      <c r="U3" s="69"/>
      <c r="V3" s="69"/>
      <c r="W3" s="69"/>
      <c r="X3" s="69"/>
      <c r="Y3" s="69"/>
      <c r="Z3" s="69"/>
      <c r="AA3" s="69"/>
      <c r="AB3" s="69"/>
      <c r="AC3" s="84"/>
      <c r="AD3" s="69"/>
      <c r="AE3" s="69"/>
      <c r="AF3" s="69"/>
      <c r="AG3" s="69"/>
      <c r="AH3" s="69"/>
      <c r="AI3" s="69"/>
      <c r="AJ3" s="69"/>
      <c r="AK3" s="84"/>
      <c r="AL3" s="69"/>
      <c r="AM3" s="69"/>
      <c r="AN3" s="69"/>
      <c r="AO3" s="85"/>
      <c r="AP3" s="69"/>
      <c r="AQ3" s="69"/>
      <c r="AR3" s="69"/>
      <c r="AS3" s="84"/>
      <c r="AT3" s="84"/>
      <c r="AU3" s="84"/>
      <c r="AV3" s="107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84"/>
      <c r="BR3" s="69"/>
      <c r="BS3" s="84"/>
      <c r="BT3" s="66"/>
    </row>
    <row r="4" spans="1:414" s="15" customFormat="1">
      <c r="B4" s="86"/>
      <c r="C4" s="87"/>
      <c r="D4" s="17"/>
      <c r="G4" s="8"/>
      <c r="H4" s="8"/>
      <c r="I4" s="8"/>
      <c r="K4" s="8"/>
      <c r="L4" s="8"/>
      <c r="M4" s="8"/>
      <c r="O4" s="8"/>
      <c r="P4" s="8"/>
      <c r="Q4" s="8"/>
      <c r="R4" s="88"/>
      <c r="S4" s="88"/>
      <c r="T4" s="112"/>
      <c r="U4" s="8"/>
      <c r="V4" s="8"/>
      <c r="W4" s="8"/>
      <c r="X4" s="8"/>
      <c r="Y4" s="8"/>
      <c r="Z4" s="8"/>
      <c r="AA4" s="8"/>
      <c r="AB4" s="8"/>
      <c r="AD4" s="8"/>
      <c r="AE4" s="8"/>
      <c r="AF4" s="8"/>
      <c r="AG4" s="8"/>
      <c r="AH4" s="8"/>
      <c r="AI4" s="8"/>
      <c r="AJ4" s="8"/>
      <c r="AL4" s="8"/>
      <c r="AM4" s="8"/>
      <c r="AN4" s="8"/>
      <c r="AO4" s="16"/>
      <c r="AP4" s="8"/>
      <c r="AQ4" s="8"/>
      <c r="AR4" s="8"/>
      <c r="AV4" s="106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R4" s="8"/>
      <c r="BT4" s="67"/>
    </row>
    <row r="5" spans="1:414" s="92" customFormat="1" ht="15.6">
      <c r="A5" s="5" t="s">
        <v>0</v>
      </c>
      <c r="B5" s="7" t="s">
        <v>27</v>
      </c>
      <c r="C5" s="56" t="s">
        <v>1</v>
      </c>
      <c r="D5" s="72" t="s">
        <v>2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  <c r="AS5" s="121"/>
      <c r="AT5" s="14"/>
      <c r="AU5" s="94"/>
      <c r="AV5" s="14"/>
      <c r="AW5" s="76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6"/>
      <c r="BR5" s="14"/>
      <c r="BS5" s="6"/>
      <c r="BT5" s="6"/>
    </row>
    <row r="6" spans="1:414" ht="15.6">
      <c r="A6" s="5"/>
      <c r="B6" s="7"/>
      <c r="C6" s="56"/>
      <c r="D6" s="72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19"/>
      <c r="T6" s="113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94"/>
      <c r="AV6" s="14"/>
      <c r="AW6" s="76"/>
      <c r="AX6" s="9"/>
      <c r="AY6" s="9"/>
      <c r="AZ6" s="9"/>
      <c r="BA6" s="9"/>
      <c r="BB6" s="9"/>
      <c r="BC6" s="9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9"/>
      <c r="BQ6" s="6"/>
      <c r="BR6" s="9"/>
      <c r="BS6" s="6"/>
      <c r="BT6" s="6"/>
    </row>
    <row r="7" spans="1:414">
      <c r="A7" s="18"/>
      <c r="B7" s="19"/>
      <c r="C7" s="57"/>
      <c r="D7" s="73"/>
      <c r="E7" s="3" t="s">
        <v>3</v>
      </c>
      <c r="F7" s="2" t="s">
        <v>4</v>
      </c>
      <c r="G7" s="2" t="s">
        <v>5</v>
      </c>
      <c r="H7" s="2" t="s">
        <v>1125</v>
      </c>
      <c r="I7" s="2" t="s">
        <v>1126</v>
      </c>
      <c r="J7" s="2" t="s">
        <v>6</v>
      </c>
      <c r="K7" s="2" t="s">
        <v>7</v>
      </c>
      <c r="L7" s="2" t="s">
        <v>1125</v>
      </c>
      <c r="M7" s="2" t="s">
        <v>1126</v>
      </c>
      <c r="N7" s="2" t="s">
        <v>6</v>
      </c>
      <c r="O7" s="2" t="s">
        <v>8</v>
      </c>
      <c r="P7" s="2" t="s">
        <v>48</v>
      </c>
      <c r="Q7" s="2" t="s">
        <v>1126</v>
      </c>
      <c r="R7" s="2" t="s">
        <v>9</v>
      </c>
      <c r="S7" s="2" t="s">
        <v>1127</v>
      </c>
      <c r="T7" s="114" t="s">
        <v>11</v>
      </c>
      <c r="U7" s="4" t="s">
        <v>48</v>
      </c>
      <c r="V7" s="4" t="s">
        <v>49</v>
      </c>
      <c r="W7" s="4" t="s">
        <v>11</v>
      </c>
      <c r="X7" s="4" t="s">
        <v>48</v>
      </c>
      <c r="Y7" s="4" t="s">
        <v>49</v>
      </c>
      <c r="Z7" s="4" t="s">
        <v>11</v>
      </c>
      <c r="AA7" s="4" t="s">
        <v>48</v>
      </c>
      <c r="AB7" s="4" t="s">
        <v>49</v>
      </c>
      <c r="AC7" s="3" t="s">
        <v>10</v>
      </c>
      <c r="AD7" s="4" t="s">
        <v>11</v>
      </c>
      <c r="AE7" s="4" t="s">
        <v>48</v>
      </c>
      <c r="AF7" s="4" t="s">
        <v>49</v>
      </c>
      <c r="AG7" s="4" t="s">
        <v>103</v>
      </c>
      <c r="AH7" s="4" t="s">
        <v>11</v>
      </c>
      <c r="AI7" s="4" t="s">
        <v>48</v>
      </c>
      <c r="AJ7" s="4" t="s">
        <v>49</v>
      </c>
      <c r="AK7" s="3" t="s">
        <v>10</v>
      </c>
      <c r="AL7" s="4" t="s">
        <v>11</v>
      </c>
      <c r="AM7" s="4" t="s">
        <v>48</v>
      </c>
      <c r="AN7" s="4" t="s">
        <v>49</v>
      </c>
      <c r="AO7" s="3" t="s">
        <v>10</v>
      </c>
      <c r="AP7" s="4" t="s">
        <v>11</v>
      </c>
      <c r="AQ7" s="4" t="s">
        <v>48</v>
      </c>
      <c r="AR7" s="4" t="s">
        <v>49</v>
      </c>
      <c r="AS7" s="3" t="s">
        <v>10</v>
      </c>
      <c r="AT7" s="3" t="s">
        <v>11</v>
      </c>
      <c r="AU7" s="95" t="s">
        <v>48</v>
      </c>
      <c r="AV7" s="35" t="s">
        <v>49</v>
      </c>
      <c r="AW7" s="102" t="s">
        <v>103</v>
      </c>
      <c r="AX7" s="21" t="s">
        <v>11</v>
      </c>
      <c r="AY7" s="21" t="s">
        <v>48</v>
      </c>
      <c r="AZ7" s="21" t="s">
        <v>49</v>
      </c>
      <c r="BA7" s="21" t="s">
        <v>103</v>
      </c>
      <c r="BB7" s="21" t="s">
        <v>11</v>
      </c>
      <c r="BC7" s="21" t="s">
        <v>48</v>
      </c>
      <c r="BD7" s="21" t="s">
        <v>49</v>
      </c>
      <c r="BE7" s="21" t="s">
        <v>103</v>
      </c>
      <c r="BF7" s="21" t="s">
        <v>11</v>
      </c>
      <c r="BG7" s="21" t="s">
        <v>48</v>
      </c>
      <c r="BH7" s="21" t="s">
        <v>49</v>
      </c>
      <c r="BI7" s="21" t="s">
        <v>103</v>
      </c>
      <c r="BJ7" s="21" t="s">
        <v>11</v>
      </c>
      <c r="BK7" s="21" t="s">
        <v>48</v>
      </c>
      <c r="BL7" s="21" t="s">
        <v>49</v>
      </c>
      <c r="BM7" s="21" t="s">
        <v>103</v>
      </c>
      <c r="BN7" s="21" t="s">
        <v>11</v>
      </c>
      <c r="BO7" s="21" t="s">
        <v>48</v>
      </c>
      <c r="BP7" s="21" t="s">
        <v>49</v>
      </c>
      <c r="BQ7" s="20" t="s">
        <v>10</v>
      </c>
      <c r="BR7" s="20" t="s">
        <v>9</v>
      </c>
      <c r="BS7" s="20" t="s">
        <v>12</v>
      </c>
      <c r="BT7" s="20" t="s">
        <v>13</v>
      </c>
    </row>
    <row r="8" spans="1:414" s="37" customFormat="1" ht="15.6">
      <c r="B8" s="54" t="s">
        <v>530</v>
      </c>
      <c r="C8" s="58" t="s">
        <v>531</v>
      </c>
      <c r="D8" s="70" t="s">
        <v>32</v>
      </c>
      <c r="G8" s="38">
        <v>500</v>
      </c>
      <c r="H8" s="89">
        <v>26.109000000000002</v>
      </c>
      <c r="I8" s="38">
        <f>G8*H8</f>
        <v>13054.5</v>
      </c>
      <c r="J8" s="38"/>
      <c r="K8" s="38">
        <v>500</v>
      </c>
      <c r="L8" s="90">
        <v>26.849599999999999</v>
      </c>
      <c r="M8" s="38">
        <f>K8*L8</f>
        <v>13424.8</v>
      </c>
      <c r="N8" s="38"/>
      <c r="O8" s="38">
        <v>80</v>
      </c>
      <c r="P8" s="38">
        <v>26.728300000000001</v>
      </c>
      <c r="Q8" s="38">
        <f>O8*P8</f>
        <v>2138.2640000000001</v>
      </c>
      <c r="R8" s="43">
        <f t="shared" ref="R8:R10" si="0">G8+K8+O8</f>
        <v>1080</v>
      </c>
      <c r="S8" s="38">
        <f>I8+M8+Q8</f>
        <v>28617.563999999998</v>
      </c>
      <c r="T8" s="58">
        <v>315</v>
      </c>
      <c r="U8" s="38">
        <v>26.861899999999999</v>
      </c>
      <c r="V8" s="38">
        <f>T8*U8</f>
        <v>8461.4984999999997</v>
      </c>
      <c r="W8" s="38">
        <v>85</v>
      </c>
      <c r="X8" s="38">
        <v>26.817900000000002</v>
      </c>
      <c r="Y8" s="38">
        <f>W8*X8</f>
        <v>2279.5215000000003</v>
      </c>
      <c r="Z8" s="38">
        <v>100</v>
      </c>
      <c r="AA8" s="38">
        <v>26.8064</v>
      </c>
      <c r="AB8" s="38">
        <f>Z8*AA85</f>
        <v>2689.1200000000003</v>
      </c>
      <c r="AC8" s="38"/>
      <c r="AD8" s="38">
        <v>300</v>
      </c>
      <c r="AE8" s="38">
        <v>26.608699999999999</v>
      </c>
      <c r="AF8" s="38">
        <f>AD8*AE8</f>
        <v>7982.61</v>
      </c>
      <c r="AG8" s="38"/>
      <c r="AH8" s="38">
        <v>115</v>
      </c>
      <c r="AI8" s="38">
        <v>26.578299999999999</v>
      </c>
      <c r="AJ8" s="38">
        <f>AH8*AI8</f>
        <v>3056.5045</v>
      </c>
      <c r="AK8" s="38"/>
      <c r="AL8" s="38">
        <v>85</v>
      </c>
      <c r="AM8" s="38">
        <v>26.370200000000001</v>
      </c>
      <c r="AN8" s="38">
        <f>AL8*AM8</f>
        <v>2241.4670000000001</v>
      </c>
      <c r="AO8" s="38"/>
      <c r="AP8" s="38"/>
      <c r="AQ8" s="38"/>
      <c r="AR8" s="38"/>
      <c r="AS8" s="38"/>
      <c r="AT8" s="38"/>
      <c r="AU8" s="96"/>
      <c r="AV8" s="35"/>
      <c r="AW8" s="91"/>
      <c r="AX8" s="38"/>
      <c r="AY8" s="38"/>
      <c r="AZ8" s="38"/>
      <c r="BA8" s="38"/>
      <c r="BB8" s="38"/>
      <c r="BC8" s="38"/>
      <c r="BD8" s="38">
        <f>BB8*BC8</f>
        <v>0</v>
      </c>
      <c r="BE8" s="38"/>
      <c r="BF8" s="38"/>
      <c r="BG8" s="38"/>
      <c r="BH8" s="38">
        <f>BF8*BG8</f>
        <v>0</v>
      </c>
      <c r="BI8" s="38"/>
      <c r="BJ8" s="38"/>
      <c r="BK8" s="38"/>
      <c r="BL8" s="38">
        <f>BJ8*BK8</f>
        <v>0</v>
      </c>
      <c r="BM8" s="38"/>
      <c r="BN8" s="38"/>
      <c r="BO8" s="38"/>
      <c r="BP8" s="38"/>
      <c r="BQ8" s="38"/>
      <c r="BR8" s="42">
        <f>V8+Y8+AB8+AF8+AJ8+AN8+AR8+AV8+AZ8+BD8+BH8+BL8+BP8</f>
        <v>26710.7215</v>
      </c>
      <c r="BS8" s="43">
        <f>S8-BR8</f>
        <v>1906.8424999999988</v>
      </c>
      <c r="BT8" s="38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65"/>
    </row>
    <row r="9" spans="1:414" s="37" customFormat="1" ht="15.6">
      <c r="B9" s="54" t="s">
        <v>532</v>
      </c>
      <c r="C9" s="58" t="s">
        <v>533</v>
      </c>
      <c r="D9" s="70" t="s">
        <v>32</v>
      </c>
      <c r="G9" s="38">
        <v>500</v>
      </c>
      <c r="H9" s="89">
        <v>26.109000000000002</v>
      </c>
      <c r="I9" s="38">
        <f t="shared" ref="I9:I72" si="1">G9*H9</f>
        <v>13054.5</v>
      </c>
      <c r="J9" s="38"/>
      <c r="K9" s="38">
        <v>500</v>
      </c>
      <c r="L9" s="90">
        <v>26.849599999999999</v>
      </c>
      <c r="M9" s="38">
        <f t="shared" ref="M9:M72" si="2">K9*L9</f>
        <v>13424.8</v>
      </c>
      <c r="N9" s="38"/>
      <c r="O9" s="38">
        <v>80</v>
      </c>
      <c r="P9" s="38">
        <v>26.728300000000001</v>
      </c>
      <c r="Q9" s="38">
        <f t="shared" ref="Q9:Q72" si="3">O9*P9</f>
        <v>2138.2640000000001</v>
      </c>
      <c r="R9" s="43">
        <f t="shared" si="0"/>
        <v>1080</v>
      </c>
      <c r="S9" s="38">
        <f t="shared" ref="S9:S72" si="4">I9+M9+Q9</f>
        <v>28617.563999999998</v>
      </c>
      <c r="T9" s="58">
        <v>415</v>
      </c>
      <c r="U9" s="38">
        <v>26.901399999999999</v>
      </c>
      <c r="V9" s="38">
        <f t="shared" ref="V9:V23" si="5">T9*U9</f>
        <v>11164.081</v>
      </c>
      <c r="W9" s="38">
        <v>26.901399999999999</v>
      </c>
      <c r="X9" s="38"/>
      <c r="Y9" s="38">
        <f t="shared" ref="Y9:Y22" si="6">W9*X9</f>
        <v>0</v>
      </c>
      <c r="Z9" s="38">
        <v>415</v>
      </c>
      <c r="AA9" s="38">
        <v>26.732500000000002</v>
      </c>
      <c r="AB9" s="38">
        <f t="shared" ref="AB9:AB21" si="7">Z9*AA86</f>
        <v>11201.597</v>
      </c>
      <c r="AC9" s="38"/>
      <c r="AD9" s="38"/>
      <c r="AE9" s="38"/>
      <c r="AF9" s="38">
        <f t="shared" ref="AF9:AF22" si="8">AD9*AE9</f>
        <v>0</v>
      </c>
      <c r="AG9" s="38"/>
      <c r="AH9" s="38"/>
      <c r="AI9" s="38"/>
      <c r="AJ9" s="38">
        <f t="shared" ref="AJ9:AJ40" si="9">AH9*AI9</f>
        <v>0</v>
      </c>
      <c r="AK9" s="38"/>
      <c r="AL9" s="38"/>
      <c r="AM9" s="38"/>
      <c r="AN9" s="38">
        <f t="shared" ref="AN9:AN42" si="10">AL9*AM9</f>
        <v>0</v>
      </c>
      <c r="AO9" s="38"/>
      <c r="AP9" s="38"/>
      <c r="AQ9" s="38"/>
      <c r="AR9" s="38"/>
      <c r="AS9" s="38"/>
      <c r="AT9" s="38"/>
      <c r="AU9" s="96"/>
      <c r="AV9" s="35"/>
      <c r="AW9" s="91"/>
      <c r="AX9" s="38"/>
      <c r="AY9" s="38"/>
      <c r="AZ9" s="38"/>
      <c r="BA9" s="38"/>
      <c r="BB9" s="38"/>
      <c r="BC9" s="38"/>
      <c r="BD9" s="38">
        <f t="shared" ref="BD9:BD72" si="11">BB9*BC9</f>
        <v>0</v>
      </c>
      <c r="BE9" s="38"/>
      <c r="BF9" s="38"/>
      <c r="BG9" s="38"/>
      <c r="BH9" s="38">
        <f t="shared" ref="BH9:BH72" si="12">BF9*BG9</f>
        <v>0</v>
      </c>
      <c r="BI9" s="38"/>
      <c r="BJ9" s="38"/>
      <c r="BK9" s="38"/>
      <c r="BL9" s="38">
        <f t="shared" ref="BL9:BL72" si="13">BJ9*BK9</f>
        <v>0</v>
      </c>
      <c r="BM9" s="38"/>
      <c r="BN9" s="38"/>
      <c r="BO9" s="38"/>
      <c r="BP9" s="38"/>
      <c r="BQ9" s="38"/>
      <c r="BR9" s="42">
        <f t="shared" ref="BR9:BR72" si="14">V9+Y9+AB9+AF9+AJ9+AN9+AR9+AV9+AZ9+BD9+BH9+BL9+BP9</f>
        <v>22365.678</v>
      </c>
      <c r="BS9" s="43">
        <f t="shared" ref="BS9:BS72" si="15">S9-BR9</f>
        <v>6251.8859999999986</v>
      </c>
      <c r="BT9" s="38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65"/>
    </row>
    <row r="10" spans="1:414" s="37" customFormat="1" ht="15.6">
      <c r="B10" s="54" t="s">
        <v>534</v>
      </c>
      <c r="C10" s="58" t="s">
        <v>535</v>
      </c>
      <c r="D10" s="70" t="s">
        <v>32</v>
      </c>
      <c r="G10" s="38">
        <v>500</v>
      </c>
      <c r="H10" s="89">
        <v>26.109000000000002</v>
      </c>
      <c r="I10" s="38">
        <f t="shared" si="1"/>
        <v>13054.5</v>
      </c>
      <c r="J10" s="38"/>
      <c r="K10" s="38">
        <v>500</v>
      </c>
      <c r="L10" s="90">
        <v>26.849599999999999</v>
      </c>
      <c r="M10" s="38">
        <f t="shared" si="2"/>
        <v>13424.8</v>
      </c>
      <c r="N10" s="38"/>
      <c r="O10" s="38">
        <v>80</v>
      </c>
      <c r="P10" s="38">
        <v>26.728300000000001</v>
      </c>
      <c r="Q10" s="38">
        <f t="shared" si="3"/>
        <v>2138.2640000000001</v>
      </c>
      <c r="R10" s="43">
        <f t="shared" si="0"/>
        <v>1080</v>
      </c>
      <c r="S10" s="38">
        <f t="shared" si="4"/>
        <v>28617.563999999998</v>
      </c>
      <c r="T10" s="58"/>
      <c r="U10" s="38"/>
      <c r="V10" s="38">
        <f t="shared" si="5"/>
        <v>0</v>
      </c>
      <c r="W10" s="38"/>
      <c r="X10" s="38"/>
      <c r="Y10" s="38">
        <f t="shared" si="6"/>
        <v>0</v>
      </c>
      <c r="Z10" s="38"/>
      <c r="AA10" s="38"/>
      <c r="AB10" s="38">
        <f t="shared" si="7"/>
        <v>0</v>
      </c>
      <c r="AC10" s="38"/>
      <c r="AD10" s="38"/>
      <c r="AE10" s="38"/>
      <c r="AF10" s="38">
        <f t="shared" si="8"/>
        <v>0</v>
      </c>
      <c r="AG10" s="38"/>
      <c r="AH10" s="38"/>
      <c r="AI10" s="38"/>
      <c r="AJ10" s="38">
        <f t="shared" si="9"/>
        <v>0</v>
      </c>
      <c r="AK10" s="38"/>
      <c r="AL10" s="38"/>
      <c r="AM10" s="38"/>
      <c r="AN10" s="38">
        <f t="shared" si="10"/>
        <v>0</v>
      </c>
      <c r="AO10" s="38"/>
      <c r="AP10" s="38"/>
      <c r="AQ10" s="38"/>
      <c r="AR10" s="38"/>
      <c r="AS10" s="38"/>
      <c r="AT10" s="38"/>
      <c r="AU10" s="96"/>
      <c r="AV10" s="35"/>
      <c r="AW10" s="91"/>
      <c r="AX10" s="38"/>
      <c r="AY10" s="38"/>
      <c r="AZ10" s="38"/>
      <c r="BA10" s="38"/>
      <c r="BB10" s="38"/>
      <c r="BC10" s="38"/>
      <c r="BD10" s="38">
        <f t="shared" si="11"/>
        <v>0</v>
      </c>
      <c r="BE10" s="38"/>
      <c r="BF10" s="38"/>
      <c r="BG10" s="38"/>
      <c r="BH10" s="38">
        <f t="shared" si="12"/>
        <v>0</v>
      </c>
      <c r="BI10" s="38"/>
      <c r="BJ10" s="38"/>
      <c r="BK10" s="38"/>
      <c r="BL10" s="38">
        <f t="shared" si="13"/>
        <v>0</v>
      </c>
      <c r="BM10" s="38"/>
      <c r="BN10" s="38"/>
      <c r="BO10" s="38"/>
      <c r="BP10" s="38"/>
      <c r="BQ10" s="38"/>
      <c r="BR10" s="42">
        <f t="shared" si="14"/>
        <v>0</v>
      </c>
      <c r="BS10" s="43">
        <f t="shared" si="15"/>
        <v>28617.563999999998</v>
      </c>
      <c r="BT10" s="38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65"/>
    </row>
    <row r="11" spans="1:414" s="34" customFormat="1" ht="15.6">
      <c r="A11" s="39"/>
      <c r="B11" s="33" t="s">
        <v>536</v>
      </c>
      <c r="C11" s="59" t="s">
        <v>537</v>
      </c>
      <c r="D11" s="74" t="s">
        <v>32</v>
      </c>
      <c r="E11" s="25"/>
      <c r="F11" s="25"/>
      <c r="G11" s="42">
        <v>500</v>
      </c>
      <c r="H11" s="89">
        <v>26.109000000000002</v>
      </c>
      <c r="I11" s="38">
        <f t="shared" si="1"/>
        <v>13054.5</v>
      </c>
      <c r="J11" s="25"/>
      <c r="K11" s="42">
        <v>500</v>
      </c>
      <c r="L11" s="90">
        <v>26.849599999999999</v>
      </c>
      <c r="M11" s="38">
        <f t="shared" si="2"/>
        <v>13424.8</v>
      </c>
      <c r="N11" s="25"/>
      <c r="O11" s="38">
        <v>80</v>
      </c>
      <c r="P11" s="38">
        <v>26.728300000000001</v>
      </c>
      <c r="Q11" s="38">
        <f t="shared" si="3"/>
        <v>2138.2640000000001</v>
      </c>
      <c r="R11" s="43">
        <f>G11+K11+O11</f>
        <v>1080</v>
      </c>
      <c r="S11" s="38">
        <f t="shared" si="4"/>
        <v>28617.563999999998</v>
      </c>
      <c r="T11" s="49">
        <v>85</v>
      </c>
      <c r="U11" s="42">
        <v>26.979600000000001</v>
      </c>
      <c r="V11" s="38">
        <f t="shared" si="5"/>
        <v>2293.2660000000001</v>
      </c>
      <c r="W11" s="42"/>
      <c r="X11" s="42"/>
      <c r="Y11" s="38">
        <f t="shared" si="6"/>
        <v>0</v>
      </c>
      <c r="Z11" s="42"/>
      <c r="AA11" s="42"/>
      <c r="AB11" s="38">
        <f t="shared" si="7"/>
        <v>0</v>
      </c>
      <c r="AC11" s="25"/>
      <c r="AD11" s="42"/>
      <c r="AE11" s="42"/>
      <c r="AF11" s="38">
        <f t="shared" si="8"/>
        <v>0</v>
      </c>
      <c r="AG11" s="42"/>
      <c r="AH11" s="42"/>
      <c r="AI11" s="42"/>
      <c r="AJ11" s="38">
        <f t="shared" si="9"/>
        <v>0</v>
      </c>
      <c r="AK11" s="25"/>
      <c r="AL11" s="42"/>
      <c r="AM11" s="42"/>
      <c r="AN11" s="38">
        <f t="shared" si="10"/>
        <v>0</v>
      </c>
      <c r="AO11" s="44"/>
      <c r="AP11" s="42"/>
      <c r="AQ11" s="42"/>
      <c r="AR11" s="42"/>
      <c r="AS11" s="25"/>
      <c r="AT11" s="25"/>
      <c r="AU11" s="97"/>
      <c r="AV11" s="35"/>
      <c r="AW11" s="103"/>
      <c r="AX11" s="40"/>
      <c r="AY11" s="40"/>
      <c r="AZ11" s="40"/>
      <c r="BA11" s="40"/>
      <c r="BB11" s="40"/>
      <c r="BC11" s="40"/>
      <c r="BD11" s="38">
        <f t="shared" si="11"/>
        <v>0</v>
      </c>
      <c r="BE11" s="40"/>
      <c r="BF11" s="40"/>
      <c r="BG11" s="40"/>
      <c r="BH11" s="38">
        <f t="shared" si="12"/>
        <v>0</v>
      </c>
      <c r="BI11" s="40"/>
      <c r="BJ11" s="40"/>
      <c r="BK11" s="40"/>
      <c r="BL11" s="38">
        <f t="shared" si="13"/>
        <v>0</v>
      </c>
      <c r="BM11" s="40"/>
      <c r="BN11" s="40"/>
      <c r="BO11" s="40"/>
      <c r="BP11" s="40"/>
      <c r="BR11" s="42">
        <f t="shared" si="14"/>
        <v>2293.2660000000001</v>
      </c>
      <c r="BS11" s="43">
        <f t="shared" si="15"/>
        <v>26324.297999999999</v>
      </c>
      <c r="BT11" s="40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  <c r="JH11" s="31"/>
      <c r="JI11" s="31"/>
      <c r="JJ11" s="31"/>
      <c r="JK11" s="31"/>
      <c r="JL11" s="31"/>
      <c r="JM11" s="31"/>
      <c r="JN11" s="31"/>
      <c r="JO11" s="31"/>
      <c r="JP11" s="31"/>
      <c r="JQ11" s="31"/>
      <c r="JR11" s="31"/>
      <c r="JS11" s="31"/>
      <c r="JT11" s="31"/>
      <c r="JU11" s="31"/>
      <c r="JV11" s="31"/>
      <c r="JW11" s="31"/>
      <c r="JX11" s="31"/>
      <c r="JY11" s="31"/>
      <c r="JZ11" s="31"/>
      <c r="KA11" s="31"/>
      <c r="KB11" s="31"/>
      <c r="KC11" s="31"/>
      <c r="KD11" s="31"/>
      <c r="KE11" s="31"/>
      <c r="KF11" s="31"/>
      <c r="KG11" s="31"/>
      <c r="KH11" s="31"/>
      <c r="KI11" s="31"/>
      <c r="KJ11" s="31"/>
      <c r="KK11" s="31"/>
      <c r="KL11" s="31"/>
      <c r="KM11" s="31"/>
      <c r="KN11" s="31"/>
      <c r="KO11" s="31"/>
      <c r="KP11" s="31"/>
      <c r="KQ11" s="31"/>
      <c r="KR11" s="31"/>
      <c r="KS11" s="31"/>
      <c r="KT11" s="31"/>
      <c r="KU11" s="31"/>
      <c r="KV11" s="31"/>
      <c r="KW11" s="31"/>
      <c r="KX11" s="31"/>
      <c r="KY11" s="31"/>
      <c r="KZ11" s="31"/>
      <c r="LA11" s="31"/>
      <c r="LB11" s="31"/>
      <c r="LC11" s="31"/>
      <c r="LD11" s="31"/>
      <c r="LE11" s="31"/>
      <c r="LF11" s="31"/>
      <c r="LG11" s="31"/>
      <c r="LH11" s="31"/>
      <c r="LI11" s="31"/>
      <c r="LJ11" s="31"/>
      <c r="LK11" s="31"/>
      <c r="LL11" s="31"/>
      <c r="LM11" s="31"/>
      <c r="LN11" s="31"/>
      <c r="LO11" s="31"/>
      <c r="LP11" s="31"/>
      <c r="LQ11" s="31"/>
      <c r="LR11" s="31"/>
      <c r="LS11" s="31"/>
      <c r="LT11" s="31"/>
      <c r="LU11" s="31"/>
      <c r="LV11" s="31"/>
      <c r="LW11" s="31"/>
      <c r="LX11" s="31"/>
      <c r="LY11" s="31"/>
      <c r="LZ11" s="31"/>
      <c r="MA11" s="31"/>
      <c r="MB11" s="31"/>
      <c r="MC11" s="31"/>
      <c r="MD11" s="31"/>
      <c r="ME11" s="31"/>
      <c r="MF11" s="31"/>
      <c r="MG11" s="31"/>
      <c r="MH11" s="31"/>
      <c r="MI11" s="31"/>
      <c r="MJ11" s="31"/>
      <c r="MK11" s="31"/>
      <c r="ML11" s="31"/>
      <c r="MM11" s="31"/>
      <c r="MN11" s="31"/>
      <c r="MO11" s="31"/>
      <c r="MP11" s="31"/>
      <c r="MQ11" s="31"/>
      <c r="MR11" s="31"/>
      <c r="MS11" s="31"/>
      <c r="MT11" s="31"/>
      <c r="MU11" s="31"/>
      <c r="MV11" s="31"/>
      <c r="MW11" s="31"/>
      <c r="MX11" s="31"/>
      <c r="MY11" s="31"/>
      <c r="MZ11" s="31"/>
      <c r="NA11" s="31"/>
      <c r="NB11" s="31"/>
      <c r="NC11" s="31"/>
      <c r="ND11" s="31"/>
      <c r="NE11" s="31"/>
      <c r="NF11" s="31"/>
      <c r="NG11" s="31"/>
      <c r="NH11" s="31"/>
      <c r="NI11" s="31"/>
      <c r="NJ11" s="31"/>
      <c r="NK11" s="31"/>
      <c r="NL11" s="31"/>
      <c r="NM11" s="31"/>
      <c r="NN11" s="31"/>
      <c r="NO11" s="31"/>
      <c r="NP11" s="31"/>
      <c r="NQ11" s="31"/>
      <c r="NR11" s="31"/>
      <c r="NS11" s="31"/>
      <c r="NT11" s="31"/>
      <c r="NU11" s="31"/>
      <c r="NV11" s="31"/>
      <c r="NW11" s="31"/>
      <c r="NX11" s="31"/>
      <c r="NY11" s="31"/>
      <c r="NZ11" s="31"/>
      <c r="OA11" s="31"/>
      <c r="OB11" s="31"/>
      <c r="OC11" s="31"/>
      <c r="OD11" s="31"/>
      <c r="OE11" s="31"/>
      <c r="OF11" s="31"/>
      <c r="OG11" s="31"/>
      <c r="OH11" s="31"/>
      <c r="OI11" s="31"/>
      <c r="OJ11" s="31"/>
      <c r="OK11" s="31"/>
      <c r="OL11" s="31"/>
      <c r="OM11" s="31"/>
      <c r="ON11" s="31"/>
      <c r="OO11" s="31"/>
      <c r="OP11" s="31"/>
      <c r="OQ11" s="31"/>
      <c r="OR11" s="31"/>
      <c r="OS11" s="31"/>
      <c r="OT11" s="31"/>
      <c r="OU11" s="31"/>
      <c r="OV11" s="31"/>
      <c r="OW11" s="31"/>
      <c r="OX11" s="31"/>
    </row>
    <row r="12" spans="1:414" s="25" customFormat="1" ht="15.6">
      <c r="A12" s="41"/>
      <c r="B12" s="23" t="s">
        <v>538</v>
      </c>
      <c r="C12" s="24" t="s">
        <v>91</v>
      </c>
      <c r="D12" s="75" t="s">
        <v>32</v>
      </c>
      <c r="G12" s="42">
        <v>500</v>
      </c>
      <c r="H12" s="89">
        <v>26.109000000000002</v>
      </c>
      <c r="I12" s="38">
        <f t="shared" si="1"/>
        <v>13054.5</v>
      </c>
      <c r="K12" s="42">
        <v>500</v>
      </c>
      <c r="L12" s="90">
        <v>26.849599999999999</v>
      </c>
      <c r="M12" s="38">
        <f t="shared" si="2"/>
        <v>13424.8</v>
      </c>
      <c r="O12" s="38">
        <v>80</v>
      </c>
      <c r="P12" s="38">
        <v>26.728300000000001</v>
      </c>
      <c r="Q12" s="38">
        <f t="shared" si="3"/>
        <v>2138.2640000000001</v>
      </c>
      <c r="R12" s="43">
        <v>1000</v>
      </c>
      <c r="S12" s="38">
        <f t="shared" si="4"/>
        <v>28617.563999999998</v>
      </c>
      <c r="T12" s="49">
        <v>420</v>
      </c>
      <c r="U12" s="42">
        <v>26.555099999999999</v>
      </c>
      <c r="V12" s="38">
        <f t="shared" si="5"/>
        <v>11153.142</v>
      </c>
      <c r="W12" s="42">
        <v>85</v>
      </c>
      <c r="X12" s="42">
        <v>26.555099999999999</v>
      </c>
      <c r="Y12" s="38">
        <f t="shared" si="6"/>
        <v>2257.1835000000001</v>
      </c>
      <c r="Z12" s="42">
        <v>445</v>
      </c>
      <c r="AA12" s="42">
        <v>26.390799999999999</v>
      </c>
      <c r="AB12" s="38">
        <f t="shared" si="7"/>
        <v>11956.9275</v>
      </c>
      <c r="AD12" s="42">
        <v>60</v>
      </c>
      <c r="AE12" s="42">
        <v>26.390799999999999</v>
      </c>
      <c r="AF12" s="38">
        <f t="shared" si="8"/>
        <v>1583.4479999999999</v>
      </c>
      <c r="AG12" s="42"/>
      <c r="AH12" s="42"/>
      <c r="AI12" s="42"/>
      <c r="AJ12" s="38">
        <f t="shared" si="9"/>
        <v>0</v>
      </c>
      <c r="AL12" s="42"/>
      <c r="AM12" s="42"/>
      <c r="AN12" s="38">
        <f t="shared" si="10"/>
        <v>0</v>
      </c>
      <c r="AO12" s="44"/>
      <c r="AP12" s="42"/>
      <c r="AQ12" s="42"/>
      <c r="AR12" s="42"/>
      <c r="AU12" s="98"/>
      <c r="AV12" s="35"/>
      <c r="AW12" s="104"/>
      <c r="AX12" s="42"/>
      <c r="AY12" s="42"/>
      <c r="AZ12" s="42"/>
      <c r="BA12" s="42"/>
      <c r="BB12" s="42"/>
      <c r="BC12" s="42"/>
      <c r="BD12" s="38">
        <f t="shared" si="11"/>
        <v>0</v>
      </c>
      <c r="BE12" s="42"/>
      <c r="BF12" s="42"/>
      <c r="BG12" s="42"/>
      <c r="BH12" s="38">
        <f t="shared" si="12"/>
        <v>0</v>
      </c>
      <c r="BI12" s="42"/>
      <c r="BJ12" s="42"/>
      <c r="BK12" s="42"/>
      <c r="BL12" s="38">
        <f t="shared" si="13"/>
        <v>0</v>
      </c>
      <c r="BM12" s="42"/>
      <c r="BN12" s="42"/>
      <c r="BO12" s="42"/>
      <c r="BP12" s="42"/>
      <c r="BR12" s="42">
        <f t="shared" si="14"/>
        <v>26950.700999999997</v>
      </c>
      <c r="BS12" s="43">
        <f t="shared" si="15"/>
        <v>1666.8630000000012</v>
      </c>
      <c r="BT12" s="42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  <c r="JH12" s="31"/>
      <c r="JI12" s="31"/>
      <c r="JJ12" s="31"/>
      <c r="JK12" s="31"/>
      <c r="JL12" s="31"/>
      <c r="JM12" s="31"/>
      <c r="JN12" s="31"/>
      <c r="JO12" s="31"/>
      <c r="JP12" s="31"/>
      <c r="JQ12" s="31"/>
      <c r="JR12" s="31"/>
      <c r="JS12" s="31"/>
      <c r="JT12" s="31"/>
      <c r="JU12" s="31"/>
      <c r="JV12" s="31"/>
      <c r="JW12" s="31"/>
      <c r="JX12" s="31"/>
      <c r="JY12" s="31"/>
      <c r="JZ12" s="31"/>
      <c r="KA12" s="31"/>
      <c r="KB12" s="31"/>
      <c r="KC12" s="31"/>
      <c r="KD12" s="31"/>
      <c r="KE12" s="31"/>
      <c r="KF12" s="31"/>
      <c r="KG12" s="31"/>
      <c r="KH12" s="31"/>
      <c r="KI12" s="31"/>
      <c r="KJ12" s="31"/>
      <c r="KK12" s="31"/>
      <c r="KL12" s="31"/>
      <c r="KM12" s="31"/>
      <c r="KN12" s="31"/>
      <c r="KO12" s="31"/>
      <c r="KP12" s="31"/>
      <c r="KQ12" s="31"/>
      <c r="KR12" s="31"/>
      <c r="KS12" s="31"/>
      <c r="KT12" s="31"/>
      <c r="KU12" s="31"/>
      <c r="KV12" s="31"/>
      <c r="KW12" s="31"/>
      <c r="KX12" s="31"/>
      <c r="KY12" s="31"/>
      <c r="KZ12" s="31"/>
      <c r="LA12" s="31"/>
      <c r="LB12" s="31"/>
      <c r="LC12" s="31"/>
      <c r="LD12" s="31"/>
      <c r="LE12" s="31"/>
      <c r="LF12" s="31"/>
      <c r="LG12" s="31"/>
      <c r="LH12" s="31"/>
      <c r="LI12" s="31"/>
      <c r="LJ12" s="31"/>
      <c r="LK12" s="31"/>
      <c r="LL12" s="31"/>
      <c r="LM12" s="31"/>
      <c r="LN12" s="31"/>
      <c r="LO12" s="31"/>
      <c r="LP12" s="31"/>
      <c r="LQ12" s="31"/>
      <c r="LR12" s="31"/>
      <c r="LS12" s="31"/>
      <c r="LT12" s="31"/>
      <c r="LU12" s="31"/>
      <c r="LV12" s="31"/>
      <c r="LW12" s="31"/>
      <c r="LX12" s="31"/>
      <c r="LY12" s="31"/>
      <c r="LZ12" s="31"/>
      <c r="MA12" s="31"/>
      <c r="MB12" s="31"/>
      <c r="MC12" s="31"/>
      <c r="MD12" s="31"/>
      <c r="ME12" s="31"/>
      <c r="MF12" s="31"/>
      <c r="MG12" s="31"/>
      <c r="MH12" s="31"/>
      <c r="MI12" s="31"/>
      <c r="MJ12" s="31"/>
      <c r="MK12" s="31"/>
      <c r="ML12" s="31"/>
      <c r="MM12" s="31"/>
      <c r="MN12" s="31"/>
      <c r="MO12" s="31"/>
      <c r="MP12" s="31"/>
      <c r="MQ12" s="31"/>
      <c r="MR12" s="31"/>
      <c r="MS12" s="31"/>
      <c r="MT12" s="31"/>
      <c r="MU12" s="31"/>
      <c r="MV12" s="31"/>
      <c r="MW12" s="31"/>
      <c r="MX12" s="31"/>
      <c r="MY12" s="31"/>
      <c r="MZ12" s="31"/>
      <c r="NA12" s="31"/>
      <c r="NB12" s="31"/>
      <c r="NC12" s="31"/>
      <c r="ND12" s="31"/>
      <c r="NE12" s="31"/>
      <c r="NF12" s="31"/>
      <c r="NG12" s="31"/>
      <c r="NH12" s="31"/>
      <c r="NI12" s="31"/>
      <c r="NJ12" s="31"/>
      <c r="NK12" s="31"/>
      <c r="NL12" s="31"/>
      <c r="NM12" s="31"/>
      <c r="NN12" s="31"/>
      <c r="NO12" s="31"/>
      <c r="NP12" s="31"/>
      <c r="NQ12" s="31"/>
      <c r="NR12" s="31"/>
      <c r="NS12" s="31"/>
      <c r="NT12" s="31"/>
      <c r="NU12" s="31"/>
      <c r="NV12" s="31"/>
      <c r="NW12" s="31"/>
      <c r="NX12" s="31"/>
      <c r="NY12" s="31"/>
      <c r="NZ12" s="31"/>
      <c r="OA12" s="31"/>
      <c r="OB12" s="31"/>
      <c r="OC12" s="31"/>
      <c r="OD12" s="31"/>
      <c r="OE12" s="31"/>
      <c r="OF12" s="31"/>
      <c r="OG12" s="31"/>
      <c r="OH12" s="31"/>
      <c r="OI12" s="31"/>
      <c r="OJ12" s="31"/>
      <c r="OK12" s="31"/>
      <c r="OL12" s="31"/>
      <c r="OM12" s="31"/>
      <c r="ON12" s="31"/>
      <c r="OO12" s="31"/>
      <c r="OP12" s="31"/>
      <c r="OQ12" s="31"/>
      <c r="OR12" s="31"/>
      <c r="OS12" s="31"/>
      <c r="OT12" s="31"/>
      <c r="OU12" s="31"/>
      <c r="OV12" s="31"/>
      <c r="OW12" s="31"/>
      <c r="OX12" s="31"/>
    </row>
    <row r="13" spans="1:414" s="25" customFormat="1" ht="15.6">
      <c r="A13" s="41"/>
      <c r="B13" s="23" t="s">
        <v>539</v>
      </c>
      <c r="C13" s="24" t="s">
        <v>540</v>
      </c>
      <c r="D13" s="75" t="s">
        <v>32</v>
      </c>
      <c r="G13" s="42">
        <v>500</v>
      </c>
      <c r="H13" s="89">
        <v>26.109000000000002</v>
      </c>
      <c r="I13" s="38">
        <f t="shared" si="1"/>
        <v>13054.5</v>
      </c>
      <c r="K13" s="42">
        <v>500</v>
      </c>
      <c r="L13" s="90">
        <v>26.849599999999999</v>
      </c>
      <c r="M13" s="38">
        <f t="shared" si="2"/>
        <v>13424.8</v>
      </c>
      <c r="O13" s="38">
        <v>80</v>
      </c>
      <c r="P13" s="38">
        <v>26.728300000000001</v>
      </c>
      <c r="Q13" s="38">
        <f t="shared" si="3"/>
        <v>2138.2640000000001</v>
      </c>
      <c r="R13" s="43">
        <v>1000</v>
      </c>
      <c r="S13" s="38">
        <f t="shared" si="4"/>
        <v>28617.563999999998</v>
      </c>
      <c r="T13" s="49">
        <v>170</v>
      </c>
      <c r="U13" s="42">
        <v>26.569800000000001</v>
      </c>
      <c r="V13" s="38">
        <f t="shared" si="5"/>
        <v>4516.866</v>
      </c>
      <c r="W13" s="42">
        <v>335</v>
      </c>
      <c r="X13" s="42">
        <v>26.569800000000001</v>
      </c>
      <c r="Y13" s="38">
        <f t="shared" si="6"/>
        <v>8900.8829999999998</v>
      </c>
      <c r="Z13" s="42">
        <v>440</v>
      </c>
      <c r="AA13" s="42">
        <v>26.261399999999998</v>
      </c>
      <c r="AB13" s="38">
        <f t="shared" si="7"/>
        <v>11816.640000000001</v>
      </c>
      <c r="AD13" s="42">
        <v>85</v>
      </c>
      <c r="AE13" s="42">
        <v>26.261399999999998</v>
      </c>
      <c r="AF13" s="38">
        <f t="shared" si="8"/>
        <v>2232.2190000000001</v>
      </c>
      <c r="AG13" s="42"/>
      <c r="AH13" s="42"/>
      <c r="AI13" s="42"/>
      <c r="AJ13" s="38">
        <f t="shared" si="9"/>
        <v>0</v>
      </c>
      <c r="AL13" s="42"/>
      <c r="AM13" s="42"/>
      <c r="AN13" s="38">
        <f t="shared" si="10"/>
        <v>0</v>
      </c>
      <c r="AO13" s="44"/>
      <c r="AP13" s="42"/>
      <c r="AQ13" s="42"/>
      <c r="AR13" s="42"/>
      <c r="AU13" s="98"/>
      <c r="AV13" s="35"/>
      <c r="AW13" s="104"/>
      <c r="AX13" s="42"/>
      <c r="AY13" s="42"/>
      <c r="AZ13" s="42"/>
      <c r="BA13" s="42"/>
      <c r="BB13" s="42"/>
      <c r="BC13" s="42"/>
      <c r="BD13" s="38">
        <f t="shared" si="11"/>
        <v>0</v>
      </c>
      <c r="BE13" s="42"/>
      <c r="BF13" s="42"/>
      <c r="BG13" s="42"/>
      <c r="BH13" s="38">
        <f t="shared" si="12"/>
        <v>0</v>
      </c>
      <c r="BI13" s="42"/>
      <c r="BJ13" s="42"/>
      <c r="BK13" s="42"/>
      <c r="BL13" s="38">
        <f t="shared" si="13"/>
        <v>0</v>
      </c>
      <c r="BM13" s="42"/>
      <c r="BN13" s="42"/>
      <c r="BO13" s="42"/>
      <c r="BP13" s="42"/>
      <c r="BR13" s="42">
        <f t="shared" si="14"/>
        <v>27466.608000000004</v>
      </c>
      <c r="BS13" s="43">
        <f t="shared" si="15"/>
        <v>1150.9559999999947</v>
      </c>
      <c r="BT13" s="42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</row>
    <row r="14" spans="1:414" s="25" customFormat="1" ht="15.6">
      <c r="A14" s="41"/>
      <c r="B14" s="23" t="s">
        <v>542</v>
      </c>
      <c r="C14" s="24" t="s">
        <v>543</v>
      </c>
      <c r="D14" s="75" t="s">
        <v>32</v>
      </c>
      <c r="G14" s="42">
        <v>500</v>
      </c>
      <c r="H14" s="89">
        <v>26.109000000000002</v>
      </c>
      <c r="I14" s="38">
        <f t="shared" si="1"/>
        <v>13054.5</v>
      </c>
      <c r="K14" s="42">
        <v>500</v>
      </c>
      <c r="L14" s="90">
        <v>26.849599999999999</v>
      </c>
      <c r="M14" s="38">
        <f t="shared" si="2"/>
        <v>13424.8</v>
      </c>
      <c r="O14" s="38">
        <v>80</v>
      </c>
      <c r="P14" s="38">
        <v>26.728300000000001</v>
      </c>
      <c r="Q14" s="38">
        <f t="shared" si="3"/>
        <v>2138.2640000000001</v>
      </c>
      <c r="R14" s="43">
        <v>1000</v>
      </c>
      <c r="S14" s="38">
        <f t="shared" si="4"/>
        <v>28617.563999999998</v>
      </c>
      <c r="T14" s="49">
        <v>415</v>
      </c>
      <c r="U14" s="42">
        <v>26.7805</v>
      </c>
      <c r="V14" s="38">
        <f t="shared" si="5"/>
        <v>11113.907499999999</v>
      </c>
      <c r="W14" s="42">
        <v>85</v>
      </c>
      <c r="X14" s="42">
        <v>26.7624</v>
      </c>
      <c r="Y14" s="38">
        <f t="shared" si="6"/>
        <v>2274.8040000000001</v>
      </c>
      <c r="Z14" s="42">
        <v>440</v>
      </c>
      <c r="AA14" s="42">
        <v>26.674900000000001</v>
      </c>
      <c r="AB14" s="38">
        <f t="shared" si="7"/>
        <v>0</v>
      </c>
      <c r="AD14" s="42">
        <v>85</v>
      </c>
      <c r="AE14" s="42">
        <v>26.674900000000001</v>
      </c>
      <c r="AF14" s="38">
        <f t="shared" si="8"/>
        <v>2267.3665000000001</v>
      </c>
      <c r="AG14" s="42"/>
      <c r="AH14" s="42">
        <v>20</v>
      </c>
      <c r="AI14" s="42"/>
      <c r="AJ14" s="38">
        <f t="shared" si="9"/>
        <v>0</v>
      </c>
      <c r="AL14" s="42"/>
      <c r="AM14" s="42"/>
      <c r="AN14" s="38">
        <f t="shared" si="10"/>
        <v>0</v>
      </c>
      <c r="AO14" s="44"/>
      <c r="AP14" s="42"/>
      <c r="AQ14" s="42"/>
      <c r="AR14" s="42"/>
      <c r="AU14" s="98"/>
      <c r="AV14" s="35"/>
      <c r="AW14" s="104"/>
      <c r="AX14" s="42"/>
      <c r="AY14" s="42"/>
      <c r="AZ14" s="42"/>
      <c r="BA14" s="42"/>
      <c r="BB14" s="42"/>
      <c r="BC14" s="42"/>
      <c r="BD14" s="38">
        <f t="shared" si="11"/>
        <v>0</v>
      </c>
      <c r="BE14" s="42"/>
      <c r="BF14" s="42"/>
      <c r="BG14" s="42"/>
      <c r="BH14" s="38">
        <f t="shared" si="12"/>
        <v>0</v>
      </c>
      <c r="BI14" s="42"/>
      <c r="BJ14" s="42"/>
      <c r="BK14" s="42"/>
      <c r="BL14" s="38">
        <f t="shared" si="13"/>
        <v>0</v>
      </c>
      <c r="BM14" s="42"/>
      <c r="BN14" s="42"/>
      <c r="BO14" s="42"/>
      <c r="BP14" s="42"/>
      <c r="BR14" s="42">
        <f t="shared" si="14"/>
        <v>15656.078</v>
      </c>
      <c r="BS14" s="43">
        <f t="shared" si="15"/>
        <v>12961.485999999999</v>
      </c>
      <c r="BT14" s="42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  <c r="JH14" s="31"/>
      <c r="JI14" s="31"/>
      <c r="JJ14" s="31"/>
      <c r="JK14" s="31"/>
      <c r="JL14" s="31"/>
      <c r="JM14" s="31"/>
      <c r="JN14" s="31"/>
      <c r="JO14" s="31"/>
      <c r="JP14" s="31"/>
      <c r="JQ14" s="31"/>
      <c r="JR14" s="31"/>
      <c r="JS14" s="31"/>
      <c r="JT14" s="31"/>
      <c r="JU14" s="31"/>
      <c r="JV14" s="31"/>
      <c r="JW14" s="31"/>
      <c r="JX14" s="31"/>
      <c r="JY14" s="31"/>
      <c r="JZ14" s="31"/>
      <c r="KA14" s="31"/>
      <c r="KB14" s="31"/>
      <c r="KC14" s="31"/>
      <c r="KD14" s="31"/>
      <c r="KE14" s="31"/>
      <c r="KF14" s="31"/>
      <c r="KG14" s="31"/>
      <c r="KH14" s="31"/>
      <c r="KI14" s="31"/>
      <c r="KJ14" s="31"/>
      <c r="KK14" s="31"/>
      <c r="KL14" s="31"/>
      <c r="KM14" s="31"/>
      <c r="KN14" s="31"/>
      <c r="KO14" s="31"/>
      <c r="KP14" s="31"/>
      <c r="KQ14" s="31"/>
      <c r="KR14" s="31"/>
      <c r="KS14" s="31"/>
      <c r="KT14" s="31"/>
      <c r="KU14" s="31"/>
      <c r="KV14" s="31"/>
      <c r="KW14" s="31"/>
      <c r="KX14" s="31"/>
      <c r="KY14" s="31"/>
      <c r="KZ14" s="31"/>
      <c r="LA14" s="31"/>
      <c r="LB14" s="31"/>
      <c r="LC14" s="31"/>
      <c r="LD14" s="31"/>
      <c r="LE14" s="31"/>
      <c r="LF14" s="31"/>
      <c r="LG14" s="31"/>
      <c r="LH14" s="31"/>
      <c r="LI14" s="31"/>
      <c r="LJ14" s="31"/>
      <c r="LK14" s="31"/>
      <c r="LL14" s="31"/>
      <c r="LM14" s="31"/>
      <c r="LN14" s="31"/>
      <c r="LO14" s="31"/>
      <c r="LP14" s="31"/>
      <c r="LQ14" s="31"/>
      <c r="LR14" s="31"/>
      <c r="LS14" s="31"/>
      <c r="LT14" s="31"/>
      <c r="LU14" s="31"/>
      <c r="LV14" s="31"/>
      <c r="LW14" s="31"/>
      <c r="LX14" s="31"/>
      <c r="LY14" s="31"/>
      <c r="LZ14" s="31"/>
      <c r="MA14" s="31"/>
      <c r="MB14" s="31"/>
      <c r="MC14" s="31"/>
      <c r="MD14" s="31"/>
      <c r="ME14" s="31"/>
      <c r="MF14" s="31"/>
      <c r="MG14" s="31"/>
      <c r="MH14" s="31"/>
      <c r="MI14" s="31"/>
      <c r="MJ14" s="31"/>
      <c r="MK14" s="31"/>
      <c r="ML14" s="31"/>
      <c r="MM14" s="31"/>
      <c r="MN14" s="31"/>
      <c r="MO14" s="31"/>
      <c r="MP14" s="31"/>
      <c r="MQ14" s="31"/>
      <c r="MR14" s="31"/>
      <c r="MS14" s="31"/>
      <c r="MT14" s="31"/>
      <c r="MU14" s="31"/>
      <c r="MV14" s="31"/>
      <c r="MW14" s="31"/>
      <c r="MX14" s="31"/>
      <c r="MY14" s="31"/>
      <c r="MZ14" s="31"/>
      <c r="NA14" s="31"/>
      <c r="NB14" s="31"/>
      <c r="NC14" s="31"/>
      <c r="ND14" s="31"/>
      <c r="NE14" s="31"/>
      <c r="NF14" s="31"/>
      <c r="NG14" s="31"/>
      <c r="NH14" s="31"/>
      <c r="NI14" s="31"/>
      <c r="NJ14" s="31"/>
      <c r="NK14" s="31"/>
      <c r="NL14" s="31"/>
      <c r="NM14" s="31"/>
      <c r="NN14" s="31"/>
      <c r="NO14" s="31"/>
      <c r="NP14" s="31"/>
      <c r="NQ14" s="31"/>
      <c r="NR14" s="31"/>
      <c r="NS14" s="31"/>
      <c r="NT14" s="31"/>
      <c r="NU14" s="31"/>
      <c r="NV14" s="31"/>
      <c r="NW14" s="31"/>
      <c r="NX14" s="31"/>
      <c r="NY14" s="31"/>
      <c r="NZ14" s="31"/>
      <c r="OA14" s="31"/>
      <c r="OB14" s="31"/>
      <c r="OC14" s="31"/>
      <c r="OD14" s="31"/>
      <c r="OE14" s="31"/>
      <c r="OF14" s="31"/>
      <c r="OG14" s="31"/>
      <c r="OH14" s="31"/>
      <c r="OI14" s="31"/>
      <c r="OJ14" s="31"/>
      <c r="OK14" s="31"/>
      <c r="OL14" s="31"/>
      <c r="OM14" s="31"/>
      <c r="ON14" s="31"/>
      <c r="OO14" s="31"/>
      <c r="OP14" s="31"/>
      <c r="OQ14" s="31"/>
      <c r="OR14" s="31"/>
      <c r="OS14" s="31"/>
      <c r="OT14" s="31"/>
      <c r="OU14" s="31"/>
      <c r="OV14" s="31"/>
      <c r="OW14" s="31"/>
      <c r="OX14" s="31"/>
    </row>
    <row r="15" spans="1:414" s="25" customFormat="1" ht="15.6">
      <c r="B15" s="25" t="s">
        <v>33</v>
      </c>
      <c r="C15" s="27" t="s">
        <v>26</v>
      </c>
      <c r="D15" s="30" t="s">
        <v>32</v>
      </c>
      <c r="G15" s="42">
        <v>500</v>
      </c>
      <c r="H15" s="89">
        <v>26.109000000000002</v>
      </c>
      <c r="I15" s="38">
        <f t="shared" si="1"/>
        <v>13054.5</v>
      </c>
      <c r="K15" s="42">
        <v>500</v>
      </c>
      <c r="L15" s="90">
        <v>26.849599999999999</v>
      </c>
      <c r="M15" s="38">
        <f t="shared" si="2"/>
        <v>13424.8</v>
      </c>
      <c r="O15" s="38">
        <v>80</v>
      </c>
      <c r="P15" s="38">
        <v>26.728300000000001</v>
      </c>
      <c r="Q15" s="38">
        <f t="shared" si="3"/>
        <v>2138.2640000000001</v>
      </c>
      <c r="R15" s="43">
        <f t="shared" ref="R15:R46" si="16">G15+K15+O15</f>
        <v>1080</v>
      </c>
      <c r="S15" s="38">
        <f t="shared" si="4"/>
        <v>28617.563999999998</v>
      </c>
      <c r="T15" s="49">
        <v>415</v>
      </c>
      <c r="U15" s="42">
        <v>26.674900000000001</v>
      </c>
      <c r="V15" s="38">
        <f t="shared" si="5"/>
        <v>11070.083500000001</v>
      </c>
      <c r="W15" s="42">
        <v>165</v>
      </c>
      <c r="X15" s="42">
        <v>26.817900000000002</v>
      </c>
      <c r="Y15" s="38">
        <f t="shared" si="6"/>
        <v>4424.9535000000005</v>
      </c>
      <c r="Z15" s="42">
        <v>26.934999999999999</v>
      </c>
      <c r="AA15" s="42"/>
      <c r="AB15" s="38">
        <f t="shared" si="7"/>
        <v>722.76570949999996</v>
      </c>
      <c r="AC15" s="45"/>
      <c r="AD15" s="42">
        <v>85</v>
      </c>
      <c r="AE15" s="42">
        <v>26.7624</v>
      </c>
      <c r="AF15" s="38">
        <f t="shared" si="8"/>
        <v>2274.8040000000001</v>
      </c>
      <c r="AG15" s="42"/>
      <c r="AH15" s="42"/>
      <c r="AI15" s="42"/>
      <c r="AJ15" s="38">
        <f t="shared" si="9"/>
        <v>0</v>
      </c>
      <c r="AK15" s="45"/>
      <c r="AL15" s="42"/>
      <c r="AM15" s="42"/>
      <c r="AN15" s="38">
        <f t="shared" si="10"/>
        <v>0</v>
      </c>
      <c r="AO15" s="46"/>
      <c r="AP15" s="42"/>
      <c r="AQ15" s="42"/>
      <c r="AR15" s="42"/>
      <c r="AU15" s="98"/>
      <c r="AV15" s="35"/>
      <c r="AW15" s="104"/>
      <c r="AX15" s="42"/>
      <c r="AY15" s="42"/>
      <c r="AZ15" s="42"/>
      <c r="BA15" s="42"/>
      <c r="BB15" s="42"/>
      <c r="BC15" s="42"/>
      <c r="BD15" s="38">
        <f t="shared" si="11"/>
        <v>0</v>
      </c>
      <c r="BE15" s="42"/>
      <c r="BF15" s="42"/>
      <c r="BG15" s="42"/>
      <c r="BH15" s="38">
        <f t="shared" si="12"/>
        <v>0</v>
      </c>
      <c r="BI15" s="42"/>
      <c r="BJ15" s="42"/>
      <c r="BK15" s="42"/>
      <c r="BL15" s="38">
        <f t="shared" si="13"/>
        <v>0</v>
      </c>
      <c r="BM15" s="42"/>
      <c r="BN15" s="42"/>
      <c r="BO15" s="42"/>
      <c r="BP15" s="42"/>
      <c r="BR15" s="42">
        <f t="shared" si="14"/>
        <v>18492.6067095</v>
      </c>
      <c r="BS15" s="43">
        <f t="shared" si="15"/>
        <v>10124.957290499999</v>
      </c>
      <c r="BT15" s="43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  <c r="IX15" s="31"/>
      <c r="IY15" s="31"/>
      <c r="IZ15" s="31"/>
      <c r="JA15" s="31"/>
      <c r="JB15" s="31"/>
      <c r="JC15" s="31"/>
      <c r="JD15" s="31"/>
      <c r="JE15" s="31"/>
      <c r="JF15" s="31"/>
      <c r="JG15" s="31"/>
      <c r="JH15" s="31"/>
      <c r="JI15" s="31"/>
      <c r="JJ15" s="31"/>
      <c r="JK15" s="31"/>
      <c r="JL15" s="31"/>
      <c r="JM15" s="31"/>
      <c r="JN15" s="31"/>
      <c r="JO15" s="31"/>
      <c r="JP15" s="31"/>
      <c r="JQ15" s="31"/>
      <c r="JR15" s="31"/>
      <c r="JS15" s="31"/>
      <c r="JT15" s="31"/>
      <c r="JU15" s="31"/>
      <c r="JV15" s="31"/>
      <c r="JW15" s="31"/>
      <c r="JX15" s="31"/>
      <c r="JY15" s="31"/>
      <c r="JZ15" s="31"/>
      <c r="KA15" s="31"/>
      <c r="KB15" s="31"/>
      <c r="KC15" s="31"/>
      <c r="KD15" s="31"/>
      <c r="KE15" s="31"/>
      <c r="KF15" s="31"/>
      <c r="KG15" s="31"/>
      <c r="KH15" s="31"/>
      <c r="KI15" s="31"/>
      <c r="KJ15" s="31"/>
      <c r="KK15" s="31"/>
      <c r="KL15" s="31"/>
      <c r="KM15" s="31"/>
      <c r="KN15" s="31"/>
      <c r="KO15" s="31"/>
      <c r="KP15" s="31"/>
      <c r="KQ15" s="31"/>
      <c r="KR15" s="31"/>
      <c r="KS15" s="31"/>
      <c r="KT15" s="31"/>
      <c r="KU15" s="31"/>
      <c r="KV15" s="31"/>
      <c r="KW15" s="31"/>
      <c r="KX15" s="31"/>
      <c r="KY15" s="31"/>
      <c r="KZ15" s="31"/>
      <c r="LA15" s="31"/>
      <c r="LB15" s="31"/>
      <c r="LC15" s="31"/>
      <c r="LD15" s="31"/>
      <c r="LE15" s="31"/>
      <c r="LF15" s="31"/>
      <c r="LG15" s="31"/>
      <c r="LH15" s="31"/>
      <c r="LI15" s="31"/>
      <c r="LJ15" s="31"/>
      <c r="LK15" s="31"/>
      <c r="LL15" s="31"/>
      <c r="LM15" s="31"/>
      <c r="LN15" s="31"/>
      <c r="LO15" s="31"/>
      <c r="LP15" s="31"/>
      <c r="LQ15" s="31"/>
      <c r="LR15" s="31"/>
      <c r="LS15" s="31"/>
      <c r="LT15" s="31"/>
      <c r="LU15" s="31"/>
      <c r="LV15" s="31"/>
      <c r="LW15" s="31"/>
      <c r="LX15" s="31"/>
      <c r="LY15" s="31"/>
      <c r="LZ15" s="31"/>
      <c r="MA15" s="31"/>
      <c r="MB15" s="31"/>
      <c r="MC15" s="31"/>
      <c r="MD15" s="31"/>
      <c r="ME15" s="31"/>
      <c r="MF15" s="31"/>
      <c r="MG15" s="31"/>
      <c r="MH15" s="31"/>
      <c r="MI15" s="31"/>
      <c r="MJ15" s="31"/>
      <c r="MK15" s="31"/>
      <c r="ML15" s="31"/>
      <c r="MM15" s="31"/>
      <c r="MN15" s="31"/>
      <c r="MO15" s="31"/>
      <c r="MP15" s="31"/>
      <c r="MQ15" s="31"/>
      <c r="MR15" s="31"/>
      <c r="MS15" s="31"/>
      <c r="MT15" s="31"/>
      <c r="MU15" s="31"/>
      <c r="MV15" s="31"/>
      <c r="MW15" s="31"/>
      <c r="MX15" s="31"/>
      <c r="MY15" s="31"/>
      <c r="MZ15" s="31"/>
      <c r="NA15" s="31"/>
      <c r="NB15" s="31"/>
      <c r="NC15" s="31"/>
      <c r="ND15" s="31"/>
      <c r="NE15" s="31"/>
      <c r="NF15" s="31"/>
      <c r="NG15" s="31"/>
      <c r="NH15" s="31"/>
      <c r="NI15" s="31"/>
      <c r="NJ15" s="31"/>
      <c r="NK15" s="31"/>
      <c r="NL15" s="31"/>
      <c r="NM15" s="31"/>
      <c r="NN15" s="31"/>
      <c r="NO15" s="31"/>
      <c r="NP15" s="31"/>
      <c r="NQ15" s="31"/>
      <c r="NR15" s="31"/>
      <c r="NS15" s="31"/>
      <c r="NT15" s="31"/>
      <c r="NU15" s="31"/>
      <c r="NV15" s="31"/>
      <c r="NW15" s="31"/>
      <c r="NX15" s="31"/>
      <c r="NY15" s="31"/>
      <c r="NZ15" s="31"/>
      <c r="OA15" s="31"/>
      <c r="OB15" s="31"/>
      <c r="OC15" s="31"/>
      <c r="OD15" s="31"/>
      <c r="OE15" s="31"/>
      <c r="OF15" s="31"/>
      <c r="OG15" s="31"/>
      <c r="OH15" s="31"/>
      <c r="OI15" s="31"/>
      <c r="OJ15" s="31"/>
      <c r="OK15" s="31"/>
      <c r="OL15" s="31"/>
      <c r="OM15" s="31"/>
      <c r="ON15" s="31"/>
      <c r="OO15" s="31"/>
      <c r="OP15" s="31"/>
      <c r="OQ15" s="31"/>
      <c r="OR15" s="31"/>
      <c r="OS15" s="31"/>
      <c r="OT15" s="31"/>
      <c r="OU15" s="31"/>
      <c r="OV15" s="31"/>
      <c r="OW15" s="31"/>
      <c r="OX15" s="31"/>
    </row>
    <row r="16" spans="1:414" s="25" customFormat="1" ht="15.6">
      <c r="B16" s="25" t="s">
        <v>34</v>
      </c>
      <c r="C16" s="27" t="s">
        <v>30</v>
      </c>
      <c r="D16" s="30" t="s">
        <v>32</v>
      </c>
      <c r="G16" s="42">
        <v>500</v>
      </c>
      <c r="H16" s="89">
        <v>26.109000000000002</v>
      </c>
      <c r="I16" s="38">
        <f t="shared" si="1"/>
        <v>13054.5</v>
      </c>
      <c r="K16" s="42">
        <v>500</v>
      </c>
      <c r="L16" s="90">
        <v>26.849599999999999</v>
      </c>
      <c r="M16" s="38">
        <f t="shared" si="2"/>
        <v>13424.8</v>
      </c>
      <c r="O16" s="38">
        <v>80</v>
      </c>
      <c r="P16" s="38">
        <v>26.728300000000001</v>
      </c>
      <c r="Q16" s="38">
        <f t="shared" si="3"/>
        <v>2138.2640000000001</v>
      </c>
      <c r="R16" s="43">
        <f t="shared" si="16"/>
        <v>1080</v>
      </c>
      <c r="S16" s="38">
        <f t="shared" si="4"/>
        <v>28617.563999999998</v>
      </c>
      <c r="T16" s="49">
        <v>415</v>
      </c>
      <c r="U16" s="42">
        <v>26.261399999999998</v>
      </c>
      <c r="V16" s="38">
        <f t="shared" si="5"/>
        <v>10898.481</v>
      </c>
      <c r="W16" s="42">
        <v>85</v>
      </c>
      <c r="X16" s="42">
        <v>26.261399999999998</v>
      </c>
      <c r="Y16" s="38">
        <f t="shared" si="6"/>
        <v>2232.2190000000001</v>
      </c>
      <c r="Z16" s="42">
        <v>300</v>
      </c>
      <c r="AA16" s="42">
        <v>26.9239</v>
      </c>
      <c r="AB16" s="38">
        <f t="shared" si="7"/>
        <v>8045.01</v>
      </c>
      <c r="AD16" s="42">
        <v>150</v>
      </c>
      <c r="AE16" s="42">
        <v>26.8461</v>
      </c>
      <c r="AF16" s="38">
        <f t="shared" si="8"/>
        <v>4026.915</v>
      </c>
      <c r="AG16" s="42"/>
      <c r="AH16" s="42">
        <v>50</v>
      </c>
      <c r="AI16" s="42">
        <v>26.8064</v>
      </c>
      <c r="AJ16" s="38">
        <f t="shared" si="9"/>
        <v>1340.32</v>
      </c>
      <c r="AL16" s="42"/>
      <c r="AM16" s="42"/>
      <c r="AN16" s="38">
        <f t="shared" si="10"/>
        <v>0</v>
      </c>
      <c r="AO16" s="44"/>
      <c r="AP16" s="42"/>
      <c r="AQ16" s="42"/>
      <c r="AR16" s="42"/>
      <c r="AU16" s="98"/>
      <c r="AV16" s="35"/>
      <c r="AW16" s="104"/>
      <c r="AX16" s="42"/>
      <c r="AY16" s="42"/>
      <c r="AZ16" s="42"/>
      <c r="BA16" s="42"/>
      <c r="BB16" s="42"/>
      <c r="BC16" s="42"/>
      <c r="BD16" s="38">
        <f t="shared" si="11"/>
        <v>0</v>
      </c>
      <c r="BE16" s="42"/>
      <c r="BF16" s="42"/>
      <c r="BG16" s="42"/>
      <c r="BH16" s="38">
        <f t="shared" si="12"/>
        <v>0</v>
      </c>
      <c r="BI16" s="42"/>
      <c r="BJ16" s="42"/>
      <c r="BK16" s="42"/>
      <c r="BL16" s="38">
        <f t="shared" si="13"/>
        <v>0</v>
      </c>
      <c r="BM16" s="42"/>
      <c r="BN16" s="42"/>
      <c r="BO16" s="42"/>
      <c r="BP16" s="42"/>
      <c r="BR16" s="42">
        <f t="shared" si="14"/>
        <v>26542.945</v>
      </c>
      <c r="BS16" s="43">
        <f t="shared" si="15"/>
        <v>2074.6189999999988</v>
      </c>
      <c r="BT16" s="42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  <c r="OU16" s="31"/>
      <c r="OV16" s="31"/>
      <c r="OW16" s="31"/>
      <c r="OX16" s="31"/>
    </row>
    <row r="17" spans="2:414" s="25" customFormat="1" ht="15.6">
      <c r="B17" s="25" t="s">
        <v>35</v>
      </c>
      <c r="C17" s="27" t="s">
        <v>36</v>
      </c>
      <c r="D17" s="30" t="s">
        <v>32</v>
      </c>
      <c r="G17" s="42">
        <v>500</v>
      </c>
      <c r="H17" s="89">
        <v>26.109000000000002</v>
      </c>
      <c r="I17" s="38">
        <f t="shared" si="1"/>
        <v>13054.5</v>
      </c>
      <c r="K17" s="42">
        <v>500</v>
      </c>
      <c r="L17" s="90">
        <v>26.849599999999999</v>
      </c>
      <c r="M17" s="38">
        <f t="shared" si="2"/>
        <v>13424.8</v>
      </c>
      <c r="O17" s="38">
        <v>80</v>
      </c>
      <c r="P17" s="38">
        <v>26.728300000000001</v>
      </c>
      <c r="Q17" s="38">
        <f t="shared" si="3"/>
        <v>2138.2640000000001</v>
      </c>
      <c r="R17" s="43">
        <f t="shared" si="16"/>
        <v>1080</v>
      </c>
      <c r="S17" s="38">
        <f t="shared" si="4"/>
        <v>28617.563999999998</v>
      </c>
      <c r="T17" s="49">
        <v>415</v>
      </c>
      <c r="U17" s="42">
        <v>26.261399999999998</v>
      </c>
      <c r="V17" s="38">
        <f t="shared" si="5"/>
        <v>10898.481</v>
      </c>
      <c r="W17" s="42">
        <v>85</v>
      </c>
      <c r="X17" s="42">
        <v>26.261399999999998</v>
      </c>
      <c r="Y17" s="38">
        <f t="shared" si="6"/>
        <v>2232.2190000000001</v>
      </c>
      <c r="Z17" s="42">
        <v>500</v>
      </c>
      <c r="AA17" s="42">
        <v>26.856000000000002</v>
      </c>
      <c r="AB17" s="38">
        <f t="shared" si="7"/>
        <v>13416.85</v>
      </c>
      <c r="AD17" s="42"/>
      <c r="AE17" s="42"/>
      <c r="AF17" s="38">
        <f t="shared" si="8"/>
        <v>0</v>
      </c>
      <c r="AG17" s="42"/>
      <c r="AH17" s="42"/>
      <c r="AI17" s="42"/>
      <c r="AJ17" s="38">
        <f t="shared" si="9"/>
        <v>0</v>
      </c>
      <c r="AL17" s="42"/>
      <c r="AM17" s="42"/>
      <c r="AN17" s="38">
        <f t="shared" si="10"/>
        <v>0</v>
      </c>
      <c r="AO17" s="44"/>
      <c r="AP17" s="42"/>
      <c r="AQ17" s="42"/>
      <c r="AR17" s="42"/>
      <c r="AU17" s="98"/>
      <c r="AV17" s="35"/>
      <c r="AW17" s="104"/>
      <c r="AX17" s="42"/>
      <c r="AY17" s="42"/>
      <c r="AZ17" s="42"/>
      <c r="BA17" s="42"/>
      <c r="BB17" s="42"/>
      <c r="BC17" s="42"/>
      <c r="BD17" s="38">
        <f t="shared" si="11"/>
        <v>0</v>
      </c>
      <c r="BE17" s="42"/>
      <c r="BF17" s="42"/>
      <c r="BG17" s="42"/>
      <c r="BH17" s="38">
        <f t="shared" si="12"/>
        <v>0</v>
      </c>
      <c r="BI17" s="42"/>
      <c r="BJ17" s="42"/>
      <c r="BK17" s="42"/>
      <c r="BL17" s="38">
        <f t="shared" si="13"/>
        <v>0</v>
      </c>
      <c r="BM17" s="42"/>
      <c r="BN17" s="42"/>
      <c r="BO17" s="42"/>
      <c r="BP17" s="42"/>
      <c r="BR17" s="42">
        <f t="shared" si="14"/>
        <v>26547.550000000003</v>
      </c>
      <c r="BS17" s="43">
        <f t="shared" si="15"/>
        <v>2070.0139999999956</v>
      </c>
      <c r="BT17" s="42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  <c r="JH17" s="31"/>
      <c r="JI17" s="31"/>
      <c r="JJ17" s="31"/>
      <c r="JK17" s="31"/>
      <c r="JL17" s="31"/>
      <c r="JM17" s="31"/>
      <c r="JN17" s="31"/>
      <c r="JO17" s="31"/>
      <c r="JP17" s="31"/>
      <c r="JQ17" s="31"/>
      <c r="JR17" s="31"/>
      <c r="JS17" s="31"/>
      <c r="JT17" s="31"/>
      <c r="JU17" s="31"/>
      <c r="JV17" s="31"/>
      <c r="JW17" s="31"/>
      <c r="JX17" s="31"/>
      <c r="JY17" s="31"/>
      <c r="JZ17" s="31"/>
      <c r="KA17" s="31"/>
      <c r="KB17" s="31"/>
      <c r="KC17" s="31"/>
      <c r="KD17" s="31"/>
      <c r="KE17" s="31"/>
      <c r="KF17" s="31"/>
      <c r="KG17" s="31"/>
      <c r="KH17" s="31"/>
      <c r="KI17" s="31"/>
      <c r="KJ17" s="31"/>
      <c r="KK17" s="31"/>
      <c r="KL17" s="31"/>
      <c r="KM17" s="31"/>
      <c r="KN17" s="31"/>
      <c r="KO17" s="31"/>
      <c r="KP17" s="31"/>
      <c r="KQ17" s="31"/>
      <c r="KR17" s="31"/>
      <c r="KS17" s="31"/>
      <c r="KT17" s="31"/>
      <c r="KU17" s="31"/>
      <c r="KV17" s="31"/>
      <c r="KW17" s="31"/>
      <c r="KX17" s="31"/>
      <c r="KY17" s="31"/>
      <c r="KZ17" s="31"/>
      <c r="LA17" s="31"/>
      <c r="LB17" s="31"/>
      <c r="LC17" s="31"/>
      <c r="LD17" s="31"/>
      <c r="LE17" s="31"/>
      <c r="LF17" s="31"/>
      <c r="LG17" s="31"/>
      <c r="LH17" s="31"/>
      <c r="LI17" s="31"/>
      <c r="LJ17" s="31"/>
      <c r="LK17" s="31"/>
      <c r="LL17" s="31"/>
      <c r="LM17" s="31"/>
      <c r="LN17" s="31"/>
      <c r="LO17" s="31"/>
      <c r="LP17" s="31"/>
      <c r="LQ17" s="31"/>
      <c r="LR17" s="31"/>
      <c r="LS17" s="31"/>
      <c r="LT17" s="31"/>
      <c r="LU17" s="31"/>
      <c r="LV17" s="31"/>
      <c r="LW17" s="31"/>
      <c r="LX17" s="31"/>
      <c r="LY17" s="31"/>
      <c r="LZ17" s="31"/>
      <c r="MA17" s="31"/>
      <c r="MB17" s="31"/>
      <c r="MC17" s="31"/>
      <c r="MD17" s="31"/>
      <c r="ME17" s="31"/>
      <c r="MF17" s="31"/>
      <c r="MG17" s="31"/>
      <c r="MH17" s="31"/>
      <c r="MI17" s="31"/>
      <c r="MJ17" s="31"/>
      <c r="MK17" s="31"/>
      <c r="ML17" s="31"/>
      <c r="MM17" s="31"/>
      <c r="MN17" s="31"/>
      <c r="MO17" s="31"/>
      <c r="MP17" s="31"/>
      <c r="MQ17" s="31"/>
      <c r="MR17" s="31"/>
      <c r="MS17" s="31"/>
      <c r="MT17" s="31"/>
      <c r="MU17" s="31"/>
      <c r="MV17" s="31"/>
      <c r="MW17" s="31"/>
      <c r="MX17" s="31"/>
      <c r="MY17" s="31"/>
      <c r="MZ17" s="31"/>
      <c r="NA17" s="31"/>
      <c r="NB17" s="31"/>
      <c r="NC17" s="31"/>
      <c r="ND17" s="31"/>
      <c r="NE17" s="31"/>
      <c r="NF17" s="31"/>
      <c r="NG17" s="31"/>
      <c r="NH17" s="31"/>
      <c r="NI17" s="31"/>
      <c r="NJ17" s="31"/>
      <c r="NK17" s="31"/>
      <c r="NL17" s="31"/>
      <c r="NM17" s="31"/>
      <c r="NN17" s="31"/>
      <c r="NO17" s="31"/>
      <c r="NP17" s="31"/>
      <c r="NQ17" s="31"/>
      <c r="NR17" s="31"/>
      <c r="NS17" s="31"/>
      <c r="NT17" s="31"/>
      <c r="NU17" s="31"/>
      <c r="NV17" s="31"/>
      <c r="NW17" s="31"/>
      <c r="NX17" s="31"/>
      <c r="NY17" s="31"/>
      <c r="NZ17" s="31"/>
      <c r="OA17" s="31"/>
      <c r="OB17" s="31"/>
      <c r="OC17" s="31"/>
      <c r="OD17" s="31"/>
      <c r="OE17" s="31"/>
      <c r="OF17" s="31"/>
      <c r="OG17" s="31"/>
      <c r="OH17" s="31"/>
      <c r="OI17" s="31"/>
      <c r="OJ17" s="31"/>
      <c r="OK17" s="31"/>
      <c r="OL17" s="31"/>
      <c r="OM17" s="31"/>
      <c r="ON17" s="31"/>
      <c r="OO17" s="31"/>
      <c r="OP17" s="31"/>
      <c r="OQ17" s="31"/>
      <c r="OR17" s="31"/>
      <c r="OS17" s="31"/>
      <c r="OT17" s="31"/>
      <c r="OU17" s="31"/>
      <c r="OV17" s="31"/>
      <c r="OW17" s="31"/>
      <c r="OX17" s="31"/>
    </row>
    <row r="18" spans="2:414" s="25" customFormat="1" ht="15.6">
      <c r="B18" s="25" t="s">
        <v>38</v>
      </c>
      <c r="C18" s="27" t="s">
        <v>37</v>
      </c>
      <c r="D18" s="30" t="s">
        <v>32</v>
      </c>
      <c r="G18" s="42">
        <v>500</v>
      </c>
      <c r="H18" s="89">
        <v>26.109000000000002</v>
      </c>
      <c r="I18" s="38">
        <f t="shared" si="1"/>
        <v>13054.5</v>
      </c>
      <c r="K18" s="42">
        <v>500</v>
      </c>
      <c r="L18" s="90">
        <v>26.849599999999999</v>
      </c>
      <c r="M18" s="38">
        <f t="shared" si="2"/>
        <v>13424.8</v>
      </c>
      <c r="O18" s="38">
        <v>80</v>
      </c>
      <c r="P18" s="38">
        <v>26.728300000000001</v>
      </c>
      <c r="Q18" s="38">
        <f t="shared" si="3"/>
        <v>2138.2640000000001</v>
      </c>
      <c r="R18" s="43">
        <f t="shared" si="16"/>
        <v>1080</v>
      </c>
      <c r="S18" s="38">
        <f t="shared" si="4"/>
        <v>28617.563999999998</v>
      </c>
      <c r="T18" s="49">
        <v>85</v>
      </c>
      <c r="U18" s="42">
        <v>25.822600000000001</v>
      </c>
      <c r="V18" s="38">
        <f t="shared" si="5"/>
        <v>2194.9210000000003</v>
      </c>
      <c r="W18" s="42">
        <v>300</v>
      </c>
      <c r="X18" s="42">
        <v>26.8461</v>
      </c>
      <c r="Y18" s="38">
        <f t="shared" si="6"/>
        <v>8053.83</v>
      </c>
      <c r="Z18" s="42">
        <v>115</v>
      </c>
      <c r="AA18" s="42">
        <v>26.641200000000001</v>
      </c>
      <c r="AB18" s="38">
        <f t="shared" si="7"/>
        <v>3021.2339999999999</v>
      </c>
      <c r="AD18" s="42">
        <v>100</v>
      </c>
      <c r="AE18" s="42">
        <v>26.861899999999999</v>
      </c>
      <c r="AF18" s="38">
        <f t="shared" si="8"/>
        <v>2686.19</v>
      </c>
      <c r="AG18" s="42"/>
      <c r="AH18" s="42">
        <v>290</v>
      </c>
      <c r="AI18" s="42">
        <v>26.940100000000001</v>
      </c>
      <c r="AJ18" s="38">
        <f t="shared" si="9"/>
        <v>7812.6289999999999</v>
      </c>
      <c r="AL18" s="42">
        <v>110</v>
      </c>
      <c r="AM18" s="42">
        <v>26.801400000000001</v>
      </c>
      <c r="AN18" s="38">
        <f t="shared" si="10"/>
        <v>2948.154</v>
      </c>
      <c r="AO18" s="44"/>
      <c r="AP18" s="42"/>
      <c r="AQ18" s="42"/>
      <c r="AR18" s="42"/>
      <c r="AU18" s="98"/>
      <c r="AV18" s="35"/>
      <c r="AW18" s="104"/>
      <c r="AX18" s="42"/>
      <c r="AY18" s="42"/>
      <c r="AZ18" s="42"/>
      <c r="BA18" s="42"/>
      <c r="BB18" s="42"/>
      <c r="BC18" s="42"/>
      <c r="BD18" s="38">
        <f t="shared" si="11"/>
        <v>0</v>
      </c>
      <c r="BE18" s="42"/>
      <c r="BF18" s="42"/>
      <c r="BG18" s="42"/>
      <c r="BH18" s="38">
        <f t="shared" si="12"/>
        <v>0</v>
      </c>
      <c r="BI18" s="42"/>
      <c r="BJ18" s="42"/>
      <c r="BK18" s="42"/>
      <c r="BL18" s="38">
        <f t="shared" si="13"/>
        <v>0</v>
      </c>
      <c r="BM18" s="42"/>
      <c r="BN18" s="42"/>
      <c r="BO18" s="42"/>
      <c r="BP18" s="42"/>
      <c r="BR18" s="42">
        <f t="shared" si="14"/>
        <v>26716.957999999999</v>
      </c>
      <c r="BS18" s="43">
        <f t="shared" si="15"/>
        <v>1900.6059999999998</v>
      </c>
      <c r="BT18" s="42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  <c r="JH18" s="31"/>
      <c r="JI18" s="31"/>
      <c r="JJ18" s="31"/>
      <c r="JK18" s="31"/>
      <c r="JL18" s="31"/>
      <c r="JM18" s="31"/>
      <c r="JN18" s="31"/>
      <c r="JO18" s="31"/>
      <c r="JP18" s="31"/>
      <c r="JQ18" s="31"/>
      <c r="JR18" s="31"/>
      <c r="JS18" s="31"/>
      <c r="JT18" s="31"/>
      <c r="JU18" s="31"/>
      <c r="JV18" s="31"/>
      <c r="JW18" s="31"/>
      <c r="JX18" s="31"/>
      <c r="JY18" s="31"/>
      <c r="JZ18" s="31"/>
      <c r="KA18" s="31"/>
      <c r="KB18" s="31"/>
      <c r="KC18" s="31"/>
      <c r="KD18" s="31"/>
      <c r="KE18" s="31"/>
      <c r="KF18" s="31"/>
      <c r="KG18" s="31"/>
      <c r="KH18" s="31"/>
      <c r="KI18" s="31"/>
      <c r="KJ18" s="31"/>
      <c r="KK18" s="31"/>
      <c r="KL18" s="31"/>
      <c r="KM18" s="31"/>
      <c r="KN18" s="31"/>
      <c r="KO18" s="31"/>
      <c r="KP18" s="31"/>
      <c r="KQ18" s="31"/>
      <c r="KR18" s="31"/>
      <c r="KS18" s="31"/>
      <c r="KT18" s="31"/>
      <c r="KU18" s="31"/>
      <c r="KV18" s="31"/>
      <c r="KW18" s="31"/>
      <c r="KX18" s="31"/>
      <c r="KY18" s="31"/>
      <c r="KZ18" s="31"/>
      <c r="LA18" s="31"/>
      <c r="LB18" s="31"/>
      <c r="LC18" s="31"/>
      <c r="LD18" s="31"/>
      <c r="LE18" s="31"/>
      <c r="LF18" s="31"/>
      <c r="LG18" s="31"/>
      <c r="LH18" s="31"/>
      <c r="LI18" s="31"/>
      <c r="LJ18" s="31"/>
      <c r="LK18" s="31"/>
      <c r="LL18" s="31"/>
      <c r="LM18" s="31"/>
      <c r="LN18" s="31"/>
      <c r="LO18" s="31"/>
      <c r="LP18" s="31"/>
      <c r="LQ18" s="31"/>
      <c r="LR18" s="31"/>
      <c r="LS18" s="31"/>
      <c r="LT18" s="31"/>
      <c r="LU18" s="31"/>
      <c r="LV18" s="31"/>
      <c r="LW18" s="31"/>
      <c r="LX18" s="31"/>
      <c r="LY18" s="31"/>
      <c r="LZ18" s="31"/>
      <c r="MA18" s="31"/>
      <c r="MB18" s="31"/>
      <c r="MC18" s="31"/>
      <c r="MD18" s="31"/>
      <c r="ME18" s="31"/>
      <c r="MF18" s="31"/>
      <c r="MG18" s="31"/>
      <c r="MH18" s="31"/>
      <c r="MI18" s="31"/>
      <c r="MJ18" s="31"/>
      <c r="MK18" s="31"/>
      <c r="ML18" s="31"/>
      <c r="MM18" s="31"/>
      <c r="MN18" s="31"/>
      <c r="MO18" s="31"/>
      <c r="MP18" s="31"/>
      <c r="MQ18" s="31"/>
      <c r="MR18" s="31"/>
      <c r="MS18" s="31"/>
      <c r="MT18" s="31"/>
      <c r="MU18" s="31"/>
      <c r="MV18" s="31"/>
      <c r="MW18" s="31"/>
      <c r="MX18" s="31"/>
      <c r="MY18" s="31"/>
      <c r="MZ18" s="31"/>
      <c r="NA18" s="31"/>
      <c r="NB18" s="31"/>
      <c r="NC18" s="31"/>
      <c r="ND18" s="31"/>
      <c r="NE18" s="31"/>
      <c r="NF18" s="31"/>
      <c r="NG18" s="31"/>
      <c r="NH18" s="31"/>
      <c r="NI18" s="31"/>
      <c r="NJ18" s="31"/>
      <c r="NK18" s="31"/>
      <c r="NL18" s="31"/>
      <c r="NM18" s="31"/>
      <c r="NN18" s="31"/>
      <c r="NO18" s="31"/>
      <c r="NP18" s="31"/>
      <c r="NQ18" s="31"/>
      <c r="NR18" s="31"/>
      <c r="NS18" s="31"/>
      <c r="NT18" s="31"/>
      <c r="NU18" s="31"/>
      <c r="NV18" s="31"/>
      <c r="NW18" s="31"/>
      <c r="NX18" s="31"/>
      <c r="NY18" s="31"/>
      <c r="NZ18" s="31"/>
      <c r="OA18" s="31"/>
      <c r="OB18" s="31"/>
      <c r="OC18" s="31"/>
      <c r="OD18" s="31"/>
      <c r="OE18" s="31"/>
      <c r="OF18" s="31"/>
      <c r="OG18" s="31"/>
      <c r="OH18" s="31"/>
      <c r="OI18" s="31"/>
      <c r="OJ18" s="31"/>
      <c r="OK18" s="31"/>
      <c r="OL18" s="31"/>
      <c r="OM18" s="31"/>
      <c r="ON18" s="31"/>
      <c r="OO18" s="31"/>
      <c r="OP18" s="31"/>
      <c r="OQ18" s="31"/>
      <c r="OR18" s="31"/>
      <c r="OS18" s="31"/>
      <c r="OT18" s="31"/>
      <c r="OU18" s="31"/>
      <c r="OV18" s="31"/>
      <c r="OW18" s="31"/>
      <c r="OX18" s="31"/>
    </row>
    <row r="19" spans="2:414" s="25" customFormat="1" ht="15.6">
      <c r="B19" s="25" t="s">
        <v>39</v>
      </c>
      <c r="C19" s="27" t="s">
        <v>40</v>
      </c>
      <c r="D19" s="30" t="s">
        <v>32</v>
      </c>
      <c r="G19" s="42">
        <v>500</v>
      </c>
      <c r="H19" s="89">
        <v>26.109000000000002</v>
      </c>
      <c r="I19" s="38">
        <f t="shared" si="1"/>
        <v>13054.5</v>
      </c>
      <c r="K19" s="42">
        <v>500</v>
      </c>
      <c r="L19" s="90">
        <v>26.849599999999999</v>
      </c>
      <c r="M19" s="38">
        <f t="shared" si="2"/>
        <v>13424.8</v>
      </c>
      <c r="O19" s="38">
        <v>80</v>
      </c>
      <c r="P19" s="38">
        <v>26.728300000000001</v>
      </c>
      <c r="Q19" s="38">
        <f t="shared" si="3"/>
        <v>2138.2640000000001</v>
      </c>
      <c r="R19" s="43">
        <f t="shared" si="16"/>
        <v>1080</v>
      </c>
      <c r="S19" s="38">
        <f t="shared" si="4"/>
        <v>28617.563999999998</v>
      </c>
      <c r="T19" s="49">
        <v>85</v>
      </c>
      <c r="U19" s="42">
        <v>25.826699999999999</v>
      </c>
      <c r="V19" s="38">
        <f t="shared" si="5"/>
        <v>2195.2694999999999</v>
      </c>
      <c r="W19" s="42">
        <v>415</v>
      </c>
      <c r="X19" s="42">
        <v>25.826699999999999</v>
      </c>
      <c r="Y19" s="38">
        <f t="shared" si="6"/>
        <v>10718.0805</v>
      </c>
      <c r="Z19" s="42">
        <v>300</v>
      </c>
      <c r="AA19" s="42">
        <v>26.8719</v>
      </c>
      <c r="AB19" s="38">
        <f t="shared" si="7"/>
        <v>8059.2</v>
      </c>
      <c r="AD19" s="42">
        <v>85</v>
      </c>
      <c r="AE19" s="42">
        <v>25.826699999999999</v>
      </c>
      <c r="AF19" s="38">
        <f t="shared" si="8"/>
        <v>2195.2694999999999</v>
      </c>
      <c r="AG19" s="42"/>
      <c r="AH19" s="42">
        <v>115</v>
      </c>
      <c r="AI19" s="42">
        <v>26.796500000000002</v>
      </c>
      <c r="AJ19" s="38">
        <f t="shared" si="9"/>
        <v>3081.5975000000003</v>
      </c>
      <c r="AL19" s="42"/>
      <c r="AM19" s="42"/>
      <c r="AN19" s="38">
        <f t="shared" si="10"/>
        <v>0</v>
      </c>
      <c r="AO19" s="44"/>
      <c r="AP19" s="42"/>
      <c r="AQ19" s="42"/>
      <c r="AR19" s="42"/>
      <c r="AU19" s="98"/>
      <c r="AV19" s="35"/>
      <c r="AW19" s="104"/>
      <c r="AX19" s="42"/>
      <c r="AY19" s="42"/>
      <c r="AZ19" s="42"/>
      <c r="BA19" s="42"/>
      <c r="BB19" s="42"/>
      <c r="BC19" s="42"/>
      <c r="BD19" s="38">
        <f t="shared" si="11"/>
        <v>0</v>
      </c>
      <c r="BE19" s="42"/>
      <c r="BF19" s="42"/>
      <c r="BG19" s="42"/>
      <c r="BH19" s="38">
        <f t="shared" si="12"/>
        <v>0</v>
      </c>
      <c r="BI19" s="42"/>
      <c r="BJ19" s="42"/>
      <c r="BK19" s="42"/>
      <c r="BL19" s="38">
        <f t="shared" si="13"/>
        <v>0</v>
      </c>
      <c r="BM19" s="42"/>
      <c r="BN19" s="42"/>
      <c r="BO19" s="42"/>
      <c r="BP19" s="42"/>
      <c r="BR19" s="42">
        <f t="shared" si="14"/>
        <v>26249.416999999998</v>
      </c>
      <c r="BS19" s="43">
        <f t="shared" si="15"/>
        <v>2368.1470000000008</v>
      </c>
      <c r="BT19" s="42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  <c r="JH19" s="31"/>
      <c r="JI19" s="31"/>
      <c r="JJ19" s="31"/>
      <c r="JK19" s="31"/>
      <c r="JL19" s="31"/>
      <c r="JM19" s="31"/>
      <c r="JN19" s="31"/>
      <c r="JO19" s="31"/>
      <c r="JP19" s="31"/>
      <c r="JQ19" s="31"/>
      <c r="JR19" s="31"/>
      <c r="JS19" s="31"/>
      <c r="JT19" s="31"/>
      <c r="JU19" s="31"/>
      <c r="JV19" s="31"/>
      <c r="JW19" s="31"/>
      <c r="JX19" s="31"/>
      <c r="JY19" s="31"/>
      <c r="JZ19" s="31"/>
      <c r="KA19" s="31"/>
      <c r="KB19" s="31"/>
      <c r="KC19" s="31"/>
      <c r="KD19" s="31"/>
      <c r="KE19" s="31"/>
      <c r="KF19" s="31"/>
      <c r="KG19" s="31"/>
      <c r="KH19" s="31"/>
      <c r="KI19" s="31"/>
      <c r="KJ19" s="31"/>
      <c r="KK19" s="31"/>
      <c r="KL19" s="31"/>
      <c r="KM19" s="31"/>
      <c r="KN19" s="31"/>
      <c r="KO19" s="31"/>
      <c r="KP19" s="31"/>
      <c r="KQ19" s="31"/>
      <c r="KR19" s="31"/>
      <c r="KS19" s="31"/>
      <c r="KT19" s="31"/>
      <c r="KU19" s="31"/>
      <c r="KV19" s="31"/>
      <c r="KW19" s="31"/>
      <c r="KX19" s="31"/>
      <c r="KY19" s="31"/>
      <c r="KZ19" s="31"/>
      <c r="LA19" s="31"/>
      <c r="LB19" s="31"/>
      <c r="LC19" s="31"/>
      <c r="LD19" s="31"/>
      <c r="LE19" s="31"/>
      <c r="LF19" s="31"/>
      <c r="LG19" s="31"/>
      <c r="LH19" s="31"/>
      <c r="LI19" s="31"/>
      <c r="LJ19" s="31"/>
      <c r="LK19" s="31"/>
      <c r="LL19" s="31"/>
      <c r="LM19" s="31"/>
      <c r="LN19" s="31"/>
      <c r="LO19" s="31"/>
      <c r="LP19" s="31"/>
      <c r="LQ19" s="31"/>
      <c r="LR19" s="31"/>
      <c r="LS19" s="31"/>
      <c r="LT19" s="31"/>
      <c r="LU19" s="31"/>
      <c r="LV19" s="31"/>
      <c r="LW19" s="31"/>
      <c r="LX19" s="31"/>
      <c r="LY19" s="31"/>
      <c r="LZ19" s="31"/>
      <c r="MA19" s="31"/>
      <c r="MB19" s="31"/>
      <c r="MC19" s="31"/>
      <c r="MD19" s="31"/>
      <c r="ME19" s="31"/>
      <c r="MF19" s="31"/>
      <c r="MG19" s="31"/>
      <c r="MH19" s="31"/>
      <c r="MI19" s="31"/>
      <c r="MJ19" s="31"/>
      <c r="MK19" s="31"/>
      <c r="ML19" s="31"/>
      <c r="MM19" s="31"/>
      <c r="MN19" s="31"/>
      <c r="MO19" s="31"/>
      <c r="MP19" s="31"/>
      <c r="MQ19" s="31"/>
      <c r="MR19" s="31"/>
      <c r="MS19" s="31"/>
      <c r="MT19" s="31"/>
      <c r="MU19" s="31"/>
      <c r="MV19" s="31"/>
      <c r="MW19" s="31"/>
      <c r="MX19" s="31"/>
      <c r="MY19" s="31"/>
      <c r="MZ19" s="31"/>
      <c r="NA19" s="31"/>
      <c r="NB19" s="31"/>
      <c r="NC19" s="31"/>
      <c r="ND19" s="31"/>
      <c r="NE19" s="31"/>
      <c r="NF19" s="31"/>
      <c r="NG19" s="31"/>
      <c r="NH19" s="31"/>
      <c r="NI19" s="31"/>
      <c r="NJ19" s="31"/>
      <c r="NK19" s="31"/>
      <c r="NL19" s="31"/>
      <c r="NM19" s="31"/>
      <c r="NN19" s="31"/>
      <c r="NO19" s="31"/>
      <c r="NP19" s="31"/>
      <c r="NQ19" s="31"/>
      <c r="NR19" s="31"/>
      <c r="NS19" s="31"/>
      <c r="NT19" s="31"/>
      <c r="NU19" s="31"/>
      <c r="NV19" s="31"/>
      <c r="NW19" s="31"/>
      <c r="NX19" s="31"/>
      <c r="NY19" s="31"/>
      <c r="NZ19" s="31"/>
      <c r="OA19" s="31"/>
      <c r="OB19" s="31"/>
      <c r="OC19" s="31"/>
      <c r="OD19" s="31"/>
      <c r="OE19" s="31"/>
      <c r="OF19" s="31"/>
      <c r="OG19" s="31"/>
      <c r="OH19" s="31"/>
      <c r="OI19" s="31"/>
      <c r="OJ19" s="31"/>
      <c r="OK19" s="31"/>
      <c r="OL19" s="31"/>
      <c r="OM19" s="31"/>
      <c r="ON19" s="31"/>
      <c r="OO19" s="31"/>
      <c r="OP19" s="31"/>
      <c r="OQ19" s="31"/>
      <c r="OR19" s="31"/>
      <c r="OS19" s="31"/>
      <c r="OT19" s="31"/>
      <c r="OU19" s="31"/>
      <c r="OV19" s="31"/>
      <c r="OW19" s="31"/>
      <c r="OX19" s="31"/>
    </row>
    <row r="20" spans="2:414" s="25" customFormat="1" ht="15.6">
      <c r="B20" s="25" t="s">
        <v>41</v>
      </c>
      <c r="C20" s="27" t="s">
        <v>42</v>
      </c>
      <c r="D20" s="30" t="s">
        <v>32</v>
      </c>
      <c r="G20" s="42">
        <v>500</v>
      </c>
      <c r="H20" s="89">
        <v>26.109000000000002</v>
      </c>
      <c r="I20" s="38">
        <f t="shared" si="1"/>
        <v>13054.5</v>
      </c>
      <c r="K20" s="42">
        <v>500</v>
      </c>
      <c r="L20" s="90">
        <v>26.849599999999999</v>
      </c>
      <c r="M20" s="38">
        <f t="shared" si="2"/>
        <v>13424.8</v>
      </c>
      <c r="O20" s="38">
        <v>80</v>
      </c>
      <c r="P20" s="38">
        <v>26.728300000000001</v>
      </c>
      <c r="Q20" s="38">
        <f t="shared" si="3"/>
        <v>2138.2640000000001</v>
      </c>
      <c r="R20" s="43">
        <f t="shared" si="16"/>
        <v>1080</v>
      </c>
      <c r="S20" s="38">
        <f t="shared" si="4"/>
        <v>28617.563999999998</v>
      </c>
      <c r="T20" s="49">
        <v>415</v>
      </c>
      <c r="U20" s="42"/>
      <c r="V20" s="38">
        <f t="shared" si="5"/>
        <v>0</v>
      </c>
      <c r="W20" s="42">
        <v>85</v>
      </c>
      <c r="X20" s="42"/>
      <c r="Y20" s="38">
        <f t="shared" si="6"/>
        <v>0</v>
      </c>
      <c r="Z20" s="42">
        <v>200</v>
      </c>
      <c r="AA20" s="42"/>
      <c r="AB20" s="38">
        <f t="shared" si="7"/>
        <v>0</v>
      </c>
      <c r="AD20" s="42">
        <v>85</v>
      </c>
      <c r="AE20" s="42"/>
      <c r="AF20" s="38">
        <f t="shared" si="8"/>
        <v>0</v>
      </c>
      <c r="AG20" s="42"/>
      <c r="AH20" s="42">
        <v>215</v>
      </c>
      <c r="AI20" s="42"/>
      <c r="AJ20" s="38">
        <f t="shared" si="9"/>
        <v>0</v>
      </c>
      <c r="AL20" s="42"/>
      <c r="AM20" s="42"/>
      <c r="AN20" s="38">
        <f t="shared" si="10"/>
        <v>0</v>
      </c>
      <c r="AO20" s="44"/>
      <c r="AP20" s="42"/>
      <c r="AQ20" s="42"/>
      <c r="AR20" s="42"/>
      <c r="AU20" s="98"/>
      <c r="AV20" s="35"/>
      <c r="AW20" s="104"/>
      <c r="AX20" s="42"/>
      <c r="AY20" s="42"/>
      <c r="AZ20" s="42"/>
      <c r="BA20" s="42"/>
      <c r="BB20" s="42"/>
      <c r="BC20" s="42"/>
      <c r="BD20" s="38">
        <f t="shared" si="11"/>
        <v>0</v>
      </c>
      <c r="BE20" s="42"/>
      <c r="BF20" s="42"/>
      <c r="BG20" s="42"/>
      <c r="BH20" s="38">
        <f t="shared" si="12"/>
        <v>0</v>
      </c>
      <c r="BI20" s="42"/>
      <c r="BJ20" s="42"/>
      <c r="BK20" s="42"/>
      <c r="BL20" s="38">
        <f t="shared" si="13"/>
        <v>0</v>
      </c>
      <c r="BM20" s="42"/>
      <c r="BN20" s="42"/>
      <c r="BO20" s="42"/>
      <c r="BP20" s="42"/>
      <c r="BR20" s="42">
        <f t="shared" si="14"/>
        <v>0</v>
      </c>
      <c r="BS20" s="43">
        <f t="shared" si="15"/>
        <v>28617.563999999998</v>
      </c>
      <c r="BT20" s="42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  <c r="JH20" s="31"/>
      <c r="JI20" s="31"/>
      <c r="JJ20" s="31"/>
      <c r="JK20" s="31"/>
      <c r="JL20" s="31"/>
      <c r="JM20" s="31"/>
      <c r="JN20" s="31"/>
      <c r="JO20" s="31"/>
      <c r="JP20" s="31"/>
      <c r="JQ20" s="31"/>
      <c r="JR20" s="31"/>
      <c r="JS20" s="31"/>
      <c r="JT20" s="31"/>
      <c r="JU20" s="31"/>
      <c r="JV20" s="31"/>
      <c r="JW20" s="31"/>
      <c r="JX20" s="31"/>
      <c r="JY20" s="31"/>
      <c r="JZ20" s="31"/>
      <c r="KA20" s="31"/>
      <c r="KB20" s="31"/>
      <c r="KC20" s="31"/>
      <c r="KD20" s="31"/>
      <c r="KE20" s="31"/>
      <c r="KF20" s="31"/>
      <c r="KG20" s="31"/>
      <c r="KH20" s="31"/>
      <c r="KI20" s="31"/>
      <c r="KJ20" s="31"/>
      <c r="KK20" s="31"/>
      <c r="KL20" s="31"/>
      <c r="KM20" s="31"/>
      <c r="KN20" s="31"/>
      <c r="KO20" s="31"/>
      <c r="KP20" s="31"/>
      <c r="KQ20" s="31"/>
      <c r="KR20" s="31"/>
      <c r="KS20" s="31"/>
      <c r="KT20" s="31"/>
      <c r="KU20" s="31"/>
      <c r="KV20" s="31"/>
      <c r="KW20" s="31"/>
      <c r="KX20" s="31"/>
      <c r="KY20" s="31"/>
      <c r="KZ20" s="31"/>
      <c r="LA20" s="31"/>
      <c r="LB20" s="31"/>
      <c r="LC20" s="31"/>
      <c r="LD20" s="31"/>
      <c r="LE20" s="31"/>
      <c r="LF20" s="31"/>
      <c r="LG20" s="31"/>
      <c r="LH20" s="31"/>
      <c r="LI20" s="31"/>
      <c r="LJ20" s="31"/>
      <c r="LK20" s="31"/>
      <c r="LL20" s="31"/>
      <c r="LM20" s="31"/>
      <c r="LN20" s="31"/>
      <c r="LO20" s="31"/>
      <c r="LP20" s="31"/>
      <c r="LQ20" s="31"/>
      <c r="LR20" s="31"/>
      <c r="LS20" s="31"/>
      <c r="LT20" s="31"/>
      <c r="LU20" s="31"/>
      <c r="LV20" s="31"/>
      <c r="LW20" s="31"/>
      <c r="LX20" s="31"/>
      <c r="LY20" s="31"/>
      <c r="LZ20" s="31"/>
      <c r="MA20" s="31"/>
      <c r="MB20" s="31"/>
      <c r="MC20" s="31"/>
      <c r="MD20" s="31"/>
      <c r="ME20" s="31"/>
      <c r="MF20" s="31"/>
      <c r="MG20" s="31"/>
      <c r="MH20" s="31"/>
      <c r="MI20" s="31"/>
      <c r="MJ20" s="31"/>
      <c r="MK20" s="31"/>
      <c r="ML20" s="31"/>
      <c r="MM20" s="31"/>
      <c r="MN20" s="31"/>
      <c r="MO20" s="31"/>
      <c r="MP20" s="31"/>
      <c r="MQ20" s="31"/>
      <c r="MR20" s="31"/>
      <c r="MS20" s="31"/>
      <c r="MT20" s="31"/>
      <c r="MU20" s="31"/>
      <c r="MV20" s="31"/>
      <c r="MW20" s="31"/>
      <c r="MX20" s="31"/>
      <c r="MY20" s="31"/>
      <c r="MZ20" s="31"/>
      <c r="NA20" s="31"/>
      <c r="NB20" s="31"/>
      <c r="NC20" s="31"/>
      <c r="ND20" s="31"/>
      <c r="NE20" s="31"/>
      <c r="NF20" s="31"/>
      <c r="NG20" s="31"/>
      <c r="NH20" s="31"/>
      <c r="NI20" s="31"/>
      <c r="NJ20" s="31"/>
      <c r="NK20" s="31"/>
      <c r="NL20" s="31"/>
      <c r="NM20" s="31"/>
      <c r="NN20" s="31"/>
      <c r="NO20" s="31"/>
      <c r="NP20" s="31"/>
      <c r="NQ20" s="31"/>
      <c r="NR20" s="31"/>
      <c r="NS20" s="31"/>
      <c r="NT20" s="31"/>
      <c r="NU20" s="31"/>
      <c r="NV20" s="31"/>
      <c r="NW20" s="31"/>
      <c r="NX20" s="31"/>
      <c r="NY20" s="31"/>
      <c r="NZ20" s="31"/>
      <c r="OA20" s="31"/>
      <c r="OB20" s="31"/>
      <c r="OC20" s="31"/>
      <c r="OD20" s="31"/>
      <c r="OE20" s="31"/>
      <c r="OF20" s="31"/>
      <c r="OG20" s="31"/>
      <c r="OH20" s="31"/>
      <c r="OI20" s="31"/>
      <c r="OJ20" s="31"/>
      <c r="OK20" s="31"/>
      <c r="OL20" s="31"/>
      <c r="OM20" s="31"/>
      <c r="ON20" s="31"/>
      <c r="OO20" s="31"/>
      <c r="OP20" s="31"/>
      <c r="OQ20" s="31"/>
      <c r="OR20" s="31"/>
      <c r="OS20" s="31"/>
      <c r="OT20" s="31"/>
      <c r="OU20" s="31"/>
      <c r="OV20" s="31"/>
      <c r="OW20" s="31"/>
      <c r="OX20" s="31"/>
    </row>
    <row r="21" spans="2:414" s="25" customFormat="1" ht="15.6">
      <c r="B21" s="25" t="s">
        <v>44</v>
      </c>
      <c r="C21" s="27" t="s">
        <v>43</v>
      </c>
      <c r="D21" s="30" t="s">
        <v>32</v>
      </c>
      <c r="G21" s="42">
        <v>500</v>
      </c>
      <c r="H21" s="89">
        <v>26.109000000000002</v>
      </c>
      <c r="I21" s="38">
        <f t="shared" si="1"/>
        <v>13054.5</v>
      </c>
      <c r="K21" s="42">
        <v>500</v>
      </c>
      <c r="L21" s="90">
        <v>26.849599999999999</v>
      </c>
      <c r="M21" s="38">
        <f t="shared" si="2"/>
        <v>13424.8</v>
      </c>
      <c r="O21" s="38">
        <v>80</v>
      </c>
      <c r="P21" s="38">
        <v>26.728300000000001</v>
      </c>
      <c r="Q21" s="38">
        <f t="shared" si="3"/>
        <v>2138.2640000000001</v>
      </c>
      <c r="R21" s="43">
        <f t="shared" si="16"/>
        <v>1080</v>
      </c>
      <c r="S21" s="38">
        <f t="shared" si="4"/>
        <v>28617.563999999998</v>
      </c>
      <c r="T21" s="49">
        <v>415</v>
      </c>
      <c r="U21" s="42">
        <v>25.834800000000001</v>
      </c>
      <c r="V21" s="38">
        <f t="shared" si="5"/>
        <v>10721.442000000001</v>
      </c>
      <c r="W21" s="42">
        <v>85</v>
      </c>
      <c r="X21" s="42">
        <v>25.826699999999999</v>
      </c>
      <c r="Y21" s="38">
        <f t="shared" si="6"/>
        <v>2195.2694999999999</v>
      </c>
      <c r="Z21" s="42">
        <v>415</v>
      </c>
      <c r="AA21" s="42">
        <v>26.808900000000001</v>
      </c>
      <c r="AB21" s="38">
        <f t="shared" si="7"/>
        <v>10914.665999999999</v>
      </c>
      <c r="AD21" s="42">
        <v>85</v>
      </c>
      <c r="AE21" s="42">
        <v>26.901399999999999</v>
      </c>
      <c r="AF21" s="38">
        <f t="shared" si="8"/>
        <v>2286.6189999999997</v>
      </c>
      <c r="AG21" s="42"/>
      <c r="AH21" s="42"/>
      <c r="AI21" s="42"/>
      <c r="AJ21" s="38">
        <f t="shared" si="9"/>
        <v>0</v>
      </c>
      <c r="AL21" s="42"/>
      <c r="AM21" s="42"/>
      <c r="AN21" s="38">
        <f t="shared" si="10"/>
        <v>0</v>
      </c>
      <c r="AO21" s="44"/>
      <c r="AP21" s="42"/>
      <c r="AQ21" s="42"/>
      <c r="AR21" s="42"/>
      <c r="AU21" s="98"/>
      <c r="AV21" s="35"/>
      <c r="AW21" s="104"/>
      <c r="AX21" s="42"/>
      <c r="AY21" s="42"/>
      <c r="AZ21" s="42"/>
      <c r="BA21" s="42"/>
      <c r="BB21" s="42"/>
      <c r="BC21" s="42"/>
      <c r="BD21" s="38">
        <f t="shared" si="11"/>
        <v>0</v>
      </c>
      <c r="BE21" s="42"/>
      <c r="BF21" s="42"/>
      <c r="BG21" s="42"/>
      <c r="BH21" s="38">
        <f t="shared" si="12"/>
        <v>0</v>
      </c>
      <c r="BI21" s="42"/>
      <c r="BJ21" s="42"/>
      <c r="BK21" s="42"/>
      <c r="BL21" s="38">
        <f t="shared" si="13"/>
        <v>0</v>
      </c>
      <c r="BM21" s="42"/>
      <c r="BN21" s="42"/>
      <c r="BO21" s="42"/>
      <c r="BP21" s="42"/>
      <c r="BR21" s="42">
        <f t="shared" si="14"/>
        <v>26117.996500000001</v>
      </c>
      <c r="BS21" s="43">
        <f t="shared" si="15"/>
        <v>2499.5674999999974</v>
      </c>
      <c r="BT21" s="42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1"/>
      <c r="LN21" s="31"/>
      <c r="LO21" s="31"/>
      <c r="LP21" s="31"/>
      <c r="LQ21" s="31"/>
      <c r="LR21" s="31"/>
      <c r="LS21" s="31"/>
      <c r="LT21" s="31"/>
      <c r="LU21" s="31"/>
      <c r="LV21" s="31"/>
      <c r="LW21" s="31"/>
      <c r="LX21" s="31"/>
      <c r="LY21" s="31"/>
      <c r="LZ21" s="31"/>
      <c r="MA21" s="31"/>
      <c r="MB21" s="31"/>
      <c r="MC21" s="31"/>
      <c r="MD21" s="31"/>
      <c r="ME21" s="31"/>
      <c r="MF21" s="31"/>
      <c r="MG21" s="31"/>
      <c r="MH21" s="31"/>
      <c r="MI21" s="31"/>
      <c r="MJ21" s="31"/>
      <c r="MK21" s="31"/>
      <c r="ML21" s="31"/>
      <c r="MM21" s="31"/>
      <c r="MN21" s="31"/>
      <c r="MO21" s="31"/>
      <c r="MP21" s="31"/>
      <c r="MQ21" s="31"/>
      <c r="MR21" s="31"/>
      <c r="MS21" s="31"/>
      <c r="MT21" s="31"/>
      <c r="MU21" s="31"/>
      <c r="MV21" s="31"/>
      <c r="MW21" s="31"/>
      <c r="MX21" s="31"/>
      <c r="MY21" s="31"/>
      <c r="MZ21" s="31"/>
      <c r="NA21" s="31"/>
      <c r="NB21" s="31"/>
      <c r="NC21" s="31"/>
      <c r="ND21" s="31"/>
      <c r="NE21" s="31"/>
      <c r="NF21" s="31"/>
      <c r="NG21" s="31"/>
      <c r="NH21" s="31"/>
      <c r="NI21" s="31"/>
      <c r="NJ21" s="31"/>
      <c r="NK21" s="31"/>
      <c r="NL21" s="31"/>
      <c r="NM21" s="31"/>
      <c r="NN21" s="31"/>
      <c r="NO21" s="31"/>
      <c r="NP21" s="31"/>
      <c r="NQ21" s="31"/>
      <c r="NR21" s="31"/>
      <c r="NS21" s="31"/>
      <c r="NT21" s="31"/>
      <c r="NU21" s="31"/>
      <c r="NV21" s="31"/>
      <c r="NW21" s="31"/>
      <c r="NX21" s="31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</row>
    <row r="22" spans="2:414" s="25" customFormat="1" ht="15.6">
      <c r="B22" s="25" t="s">
        <v>45</v>
      </c>
      <c r="C22" s="27" t="s">
        <v>24</v>
      </c>
      <c r="D22" s="30" t="s">
        <v>32</v>
      </c>
      <c r="G22" s="42">
        <v>500</v>
      </c>
      <c r="H22" s="89">
        <v>26.109000000000002</v>
      </c>
      <c r="I22" s="38">
        <f t="shared" si="1"/>
        <v>13054.5</v>
      </c>
      <c r="K22" s="42">
        <v>500</v>
      </c>
      <c r="L22" s="90">
        <v>26.849599999999999</v>
      </c>
      <c r="M22" s="38">
        <f t="shared" si="2"/>
        <v>13424.8</v>
      </c>
      <c r="O22" s="38">
        <v>80</v>
      </c>
      <c r="P22" s="38">
        <v>26.728300000000001</v>
      </c>
      <c r="Q22" s="38">
        <f t="shared" si="3"/>
        <v>2138.2640000000001</v>
      </c>
      <c r="R22" s="43">
        <f t="shared" si="16"/>
        <v>1080</v>
      </c>
      <c r="S22" s="38">
        <f t="shared" si="4"/>
        <v>28617.563999999998</v>
      </c>
      <c r="T22" s="49">
        <v>85</v>
      </c>
      <c r="U22" s="42">
        <v>26.3386</v>
      </c>
      <c r="V22" s="38">
        <f t="shared" si="5"/>
        <v>2238.7809999999999</v>
      </c>
      <c r="W22" s="42">
        <v>300</v>
      </c>
      <c r="X22" s="42">
        <v>26.3386</v>
      </c>
      <c r="Y22" s="38">
        <f t="shared" si="6"/>
        <v>7901.58</v>
      </c>
      <c r="Z22" s="42">
        <v>105</v>
      </c>
      <c r="AA22" s="42">
        <v>26.3461</v>
      </c>
      <c r="AB22" s="42">
        <v>5400</v>
      </c>
      <c r="AD22" s="42">
        <v>100</v>
      </c>
      <c r="AE22" s="42">
        <v>26.869499999999999</v>
      </c>
      <c r="AF22" s="38">
        <f t="shared" si="8"/>
        <v>2686.95</v>
      </c>
      <c r="AG22" s="42"/>
      <c r="AH22" s="42"/>
      <c r="AI22" s="42"/>
      <c r="AJ22" s="38">
        <f t="shared" si="9"/>
        <v>0</v>
      </c>
      <c r="AL22" s="42">
        <v>150</v>
      </c>
      <c r="AM22" s="42"/>
      <c r="AN22" s="38">
        <f t="shared" si="10"/>
        <v>0</v>
      </c>
      <c r="AO22" s="44"/>
      <c r="AP22" s="42"/>
      <c r="AQ22" s="42"/>
      <c r="AR22" s="42"/>
      <c r="AU22" s="98"/>
      <c r="AV22" s="35"/>
      <c r="AW22" s="104"/>
      <c r="AX22" s="42"/>
      <c r="AY22" s="42"/>
      <c r="AZ22" s="42"/>
      <c r="BA22" s="42"/>
      <c r="BB22" s="42"/>
      <c r="BC22" s="42"/>
      <c r="BD22" s="38">
        <f t="shared" si="11"/>
        <v>0</v>
      </c>
      <c r="BE22" s="42"/>
      <c r="BF22" s="42"/>
      <c r="BG22" s="42"/>
      <c r="BH22" s="38">
        <f t="shared" si="12"/>
        <v>0</v>
      </c>
      <c r="BI22" s="42"/>
      <c r="BJ22" s="42"/>
      <c r="BK22" s="42"/>
      <c r="BL22" s="38">
        <f t="shared" si="13"/>
        <v>0</v>
      </c>
      <c r="BM22" s="42"/>
      <c r="BN22" s="42"/>
      <c r="BO22" s="42"/>
      <c r="BP22" s="42"/>
      <c r="BR22" s="42">
        <f t="shared" si="14"/>
        <v>18227.311000000002</v>
      </c>
      <c r="BS22" s="43">
        <f t="shared" si="15"/>
        <v>10390.252999999997</v>
      </c>
      <c r="BT22" s="42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  <c r="JH22" s="31"/>
      <c r="JI22" s="31"/>
      <c r="JJ22" s="31"/>
      <c r="JK22" s="31"/>
      <c r="JL22" s="31"/>
      <c r="JM22" s="31"/>
      <c r="JN22" s="31"/>
      <c r="JO22" s="31"/>
      <c r="JP22" s="31"/>
      <c r="JQ22" s="31"/>
      <c r="JR22" s="31"/>
      <c r="JS22" s="31"/>
      <c r="JT22" s="31"/>
      <c r="JU22" s="31"/>
      <c r="JV22" s="31"/>
      <c r="JW22" s="31"/>
      <c r="JX22" s="31"/>
      <c r="JY22" s="31"/>
      <c r="JZ22" s="31"/>
      <c r="KA22" s="31"/>
      <c r="KB22" s="31"/>
      <c r="KC22" s="31"/>
      <c r="KD22" s="31"/>
      <c r="KE22" s="31"/>
      <c r="KF22" s="31"/>
      <c r="KG22" s="31"/>
      <c r="KH22" s="31"/>
      <c r="KI22" s="31"/>
      <c r="KJ22" s="31"/>
      <c r="KK22" s="31"/>
      <c r="KL22" s="31"/>
      <c r="KM22" s="31"/>
      <c r="KN22" s="31"/>
      <c r="KO22" s="31"/>
      <c r="KP22" s="31"/>
      <c r="KQ22" s="31"/>
      <c r="KR22" s="31"/>
      <c r="KS22" s="31"/>
      <c r="KT22" s="31"/>
      <c r="KU22" s="31"/>
      <c r="KV22" s="31"/>
      <c r="KW22" s="31"/>
      <c r="KX22" s="31"/>
      <c r="KY22" s="31"/>
      <c r="KZ22" s="31"/>
      <c r="LA22" s="31"/>
      <c r="LB22" s="31"/>
      <c r="LC22" s="31"/>
      <c r="LD22" s="31"/>
      <c r="LE22" s="31"/>
      <c r="LF22" s="31"/>
      <c r="LG22" s="31"/>
      <c r="LH22" s="31"/>
      <c r="LI22" s="31"/>
      <c r="LJ22" s="31"/>
      <c r="LK22" s="31"/>
      <c r="LL22" s="31"/>
      <c r="LM22" s="31"/>
      <c r="LN22" s="31"/>
      <c r="LO22" s="31"/>
      <c r="LP22" s="31"/>
      <c r="LQ22" s="31"/>
      <c r="LR22" s="31"/>
      <c r="LS22" s="31"/>
      <c r="LT22" s="31"/>
      <c r="LU22" s="31"/>
      <c r="LV22" s="31"/>
      <c r="LW22" s="31"/>
      <c r="LX22" s="31"/>
      <c r="LY22" s="31"/>
      <c r="LZ22" s="31"/>
      <c r="MA22" s="31"/>
      <c r="MB22" s="31"/>
      <c r="MC22" s="31"/>
      <c r="MD22" s="31"/>
      <c r="ME22" s="31"/>
      <c r="MF22" s="31"/>
      <c r="MG22" s="31"/>
      <c r="MH22" s="31"/>
      <c r="MI22" s="31"/>
      <c r="MJ22" s="31"/>
      <c r="MK22" s="31"/>
      <c r="ML22" s="31"/>
      <c r="MM22" s="31"/>
      <c r="MN22" s="31"/>
      <c r="MO22" s="31"/>
      <c r="MP22" s="31"/>
      <c r="MQ22" s="31"/>
      <c r="MR22" s="31"/>
      <c r="MS22" s="31"/>
      <c r="MT22" s="31"/>
      <c r="MU22" s="31"/>
      <c r="MV22" s="31"/>
      <c r="MW22" s="31"/>
      <c r="MX22" s="31"/>
      <c r="MY22" s="31"/>
      <c r="MZ22" s="31"/>
      <c r="NA22" s="31"/>
      <c r="NB22" s="31"/>
      <c r="NC22" s="31"/>
      <c r="ND22" s="31"/>
      <c r="NE22" s="31"/>
      <c r="NF22" s="31"/>
      <c r="NG22" s="31"/>
      <c r="NH22" s="31"/>
      <c r="NI22" s="31"/>
      <c r="NJ22" s="31"/>
      <c r="NK22" s="31"/>
      <c r="NL22" s="31"/>
      <c r="NM22" s="31"/>
      <c r="NN22" s="31"/>
      <c r="NO22" s="31"/>
      <c r="NP22" s="31"/>
      <c r="NQ22" s="31"/>
      <c r="NR22" s="31"/>
      <c r="NS22" s="31"/>
      <c r="NT22" s="31"/>
      <c r="NU22" s="31"/>
      <c r="NV22" s="31"/>
      <c r="NW22" s="31"/>
      <c r="NX22" s="31"/>
      <c r="NY22" s="31"/>
      <c r="NZ22" s="31"/>
      <c r="OA22" s="31"/>
      <c r="OB22" s="31"/>
      <c r="OC22" s="31"/>
      <c r="OD22" s="31"/>
      <c r="OE22" s="31"/>
      <c r="OF22" s="31"/>
      <c r="OG22" s="31"/>
      <c r="OH22" s="31"/>
      <c r="OI22" s="31"/>
      <c r="OJ22" s="31"/>
      <c r="OK22" s="31"/>
      <c r="OL22" s="31"/>
      <c r="OM22" s="31"/>
      <c r="ON22" s="31"/>
      <c r="OO22" s="31"/>
      <c r="OP22" s="31"/>
      <c r="OQ22" s="31"/>
      <c r="OR22" s="31"/>
      <c r="OS22" s="31"/>
      <c r="OT22" s="31"/>
      <c r="OU22" s="31"/>
      <c r="OV22" s="31"/>
      <c r="OW22" s="31"/>
      <c r="OX22" s="31"/>
    </row>
    <row r="23" spans="2:414" s="25" customFormat="1" ht="15.6">
      <c r="B23" s="25" t="s">
        <v>46</v>
      </c>
      <c r="C23" s="27" t="s">
        <v>47</v>
      </c>
      <c r="D23" s="30" t="s">
        <v>32</v>
      </c>
      <c r="G23" s="42">
        <v>500</v>
      </c>
      <c r="H23" s="89">
        <v>26.109000000000002</v>
      </c>
      <c r="I23" s="38">
        <f t="shared" si="1"/>
        <v>13054.5</v>
      </c>
      <c r="K23" s="42">
        <v>500</v>
      </c>
      <c r="L23" s="90">
        <v>26.849599999999999</v>
      </c>
      <c r="M23" s="38">
        <f t="shared" si="2"/>
        <v>13424.8</v>
      </c>
      <c r="O23" s="38">
        <v>80</v>
      </c>
      <c r="P23" s="38">
        <v>26.728300000000001</v>
      </c>
      <c r="Q23" s="38">
        <f t="shared" si="3"/>
        <v>2138.2640000000001</v>
      </c>
      <c r="R23" s="43">
        <f t="shared" si="16"/>
        <v>1080</v>
      </c>
      <c r="S23" s="38">
        <f t="shared" si="4"/>
        <v>28617.563999999998</v>
      </c>
      <c r="T23" s="49">
        <v>85</v>
      </c>
      <c r="U23" s="42">
        <v>25.826699999999999</v>
      </c>
      <c r="V23" s="38">
        <f t="shared" si="5"/>
        <v>2195.2694999999999</v>
      </c>
      <c r="W23" s="42"/>
      <c r="X23" s="42">
        <v>26.891200000000001</v>
      </c>
      <c r="Y23" s="38">
        <v>5401</v>
      </c>
      <c r="Z23" s="42"/>
      <c r="AA23" s="42">
        <v>26.869499999999999</v>
      </c>
      <c r="AB23" s="42">
        <v>3500</v>
      </c>
      <c r="AD23" s="42">
        <v>174</v>
      </c>
      <c r="AE23" s="42">
        <v>25.8627</v>
      </c>
      <c r="AF23" s="42">
        <v>5250</v>
      </c>
      <c r="AG23" s="42"/>
      <c r="AH23" s="42">
        <v>111</v>
      </c>
      <c r="AI23" s="42"/>
      <c r="AJ23" s="38">
        <f t="shared" si="9"/>
        <v>0</v>
      </c>
      <c r="AL23" s="42"/>
      <c r="AM23" s="42"/>
      <c r="AN23" s="38">
        <f t="shared" si="10"/>
        <v>0</v>
      </c>
      <c r="AO23" s="44"/>
      <c r="AP23" s="42"/>
      <c r="AQ23" s="42"/>
      <c r="AR23" s="42"/>
      <c r="AU23" s="98"/>
      <c r="AV23" s="35"/>
      <c r="AW23" s="104"/>
      <c r="AX23" s="42"/>
      <c r="AY23" s="42"/>
      <c r="AZ23" s="42"/>
      <c r="BA23" s="42"/>
      <c r="BB23" s="42"/>
      <c r="BC23" s="42"/>
      <c r="BD23" s="38">
        <f t="shared" si="11"/>
        <v>0</v>
      </c>
      <c r="BE23" s="42"/>
      <c r="BF23" s="42"/>
      <c r="BG23" s="42"/>
      <c r="BH23" s="38">
        <f t="shared" si="12"/>
        <v>0</v>
      </c>
      <c r="BI23" s="42"/>
      <c r="BJ23" s="42"/>
      <c r="BK23" s="42"/>
      <c r="BL23" s="38">
        <f t="shared" si="13"/>
        <v>0</v>
      </c>
      <c r="BM23" s="42"/>
      <c r="BN23" s="42"/>
      <c r="BO23" s="42"/>
      <c r="BP23" s="42"/>
      <c r="BR23" s="42">
        <f t="shared" si="14"/>
        <v>16346.2695</v>
      </c>
      <c r="BS23" s="43">
        <f t="shared" si="15"/>
        <v>12271.294499999998</v>
      </c>
      <c r="BT23" s="42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  <c r="JH23" s="31"/>
      <c r="JI23" s="31"/>
      <c r="JJ23" s="31"/>
      <c r="JK23" s="31"/>
      <c r="JL23" s="31"/>
      <c r="JM23" s="31"/>
      <c r="JN23" s="31"/>
      <c r="JO23" s="31"/>
      <c r="JP23" s="31"/>
      <c r="JQ23" s="31"/>
      <c r="JR23" s="31"/>
      <c r="JS23" s="31"/>
      <c r="JT23" s="31"/>
      <c r="JU23" s="31"/>
      <c r="JV23" s="31"/>
      <c r="JW23" s="31"/>
      <c r="JX23" s="31"/>
      <c r="JY23" s="31"/>
      <c r="JZ23" s="31"/>
      <c r="KA23" s="31"/>
      <c r="KB23" s="31"/>
      <c r="KC23" s="31"/>
      <c r="KD23" s="31"/>
      <c r="KE23" s="31"/>
      <c r="KF23" s="31"/>
      <c r="KG23" s="31"/>
      <c r="KH23" s="31"/>
      <c r="KI23" s="31"/>
      <c r="KJ23" s="31"/>
      <c r="KK23" s="31"/>
      <c r="KL23" s="31"/>
      <c r="KM23" s="31"/>
      <c r="KN23" s="31"/>
      <c r="KO23" s="31"/>
      <c r="KP23" s="31"/>
      <c r="KQ23" s="31"/>
      <c r="KR23" s="31"/>
      <c r="KS23" s="31"/>
      <c r="KT23" s="31"/>
      <c r="KU23" s="31"/>
      <c r="KV23" s="31"/>
      <c r="KW23" s="31"/>
      <c r="KX23" s="31"/>
      <c r="KY23" s="31"/>
      <c r="KZ23" s="31"/>
      <c r="LA23" s="31"/>
      <c r="LB23" s="31"/>
      <c r="LC23" s="31"/>
      <c r="LD23" s="31"/>
      <c r="LE23" s="31"/>
      <c r="LF23" s="31"/>
      <c r="LG23" s="31"/>
      <c r="LH23" s="31"/>
      <c r="LI23" s="31"/>
      <c r="LJ23" s="31"/>
      <c r="LK23" s="31"/>
      <c r="LL23" s="31"/>
      <c r="LM23" s="31"/>
      <c r="LN23" s="31"/>
      <c r="LO23" s="31"/>
      <c r="LP23" s="31"/>
      <c r="LQ23" s="31"/>
      <c r="LR23" s="31"/>
      <c r="LS23" s="31"/>
      <c r="LT23" s="31"/>
      <c r="LU23" s="31"/>
      <c r="LV23" s="31"/>
      <c r="LW23" s="31"/>
      <c r="LX23" s="31"/>
      <c r="LY23" s="31"/>
      <c r="LZ23" s="31"/>
      <c r="MA23" s="31"/>
      <c r="MB23" s="31"/>
      <c r="MC23" s="31"/>
      <c r="MD23" s="31"/>
      <c r="ME23" s="31"/>
      <c r="MF23" s="31"/>
      <c r="MG23" s="31"/>
      <c r="MH23" s="31"/>
      <c r="MI23" s="31"/>
      <c r="MJ23" s="31"/>
      <c r="MK23" s="31"/>
      <c r="ML23" s="31"/>
      <c r="MM23" s="31"/>
      <c r="MN23" s="31"/>
      <c r="MO23" s="31"/>
      <c r="MP23" s="31"/>
      <c r="MQ23" s="31"/>
      <c r="MR23" s="31"/>
      <c r="MS23" s="31"/>
      <c r="MT23" s="31"/>
      <c r="MU23" s="31"/>
      <c r="MV23" s="31"/>
      <c r="MW23" s="31"/>
      <c r="MX23" s="31"/>
      <c r="MY23" s="31"/>
      <c r="MZ23" s="31"/>
      <c r="NA23" s="31"/>
      <c r="NB23" s="31"/>
      <c r="NC23" s="31"/>
      <c r="ND23" s="31"/>
      <c r="NE23" s="31"/>
      <c r="NF23" s="31"/>
      <c r="NG23" s="31"/>
      <c r="NH23" s="31"/>
      <c r="NI23" s="31"/>
      <c r="NJ23" s="31"/>
      <c r="NK23" s="31"/>
      <c r="NL23" s="31"/>
      <c r="NM23" s="31"/>
      <c r="NN23" s="31"/>
      <c r="NO23" s="31"/>
      <c r="NP23" s="31"/>
      <c r="NQ23" s="31"/>
      <c r="NR23" s="31"/>
      <c r="NS23" s="31"/>
      <c r="NT23" s="31"/>
      <c r="NU23" s="31"/>
      <c r="NV23" s="31"/>
      <c r="NW23" s="31"/>
      <c r="NX23" s="31"/>
      <c r="NY23" s="31"/>
      <c r="NZ23" s="31"/>
      <c r="OA23" s="31"/>
      <c r="OB23" s="31"/>
      <c r="OC23" s="31"/>
      <c r="OD23" s="31"/>
      <c r="OE23" s="31"/>
      <c r="OF23" s="31"/>
      <c r="OG23" s="31"/>
      <c r="OH23" s="31"/>
      <c r="OI23" s="31"/>
      <c r="OJ23" s="31"/>
      <c r="OK23" s="31"/>
      <c r="OL23" s="31"/>
      <c r="OM23" s="31"/>
      <c r="ON23" s="31"/>
      <c r="OO23" s="31"/>
      <c r="OP23" s="31"/>
      <c r="OQ23" s="31"/>
      <c r="OR23" s="31"/>
      <c r="OS23" s="31"/>
      <c r="OT23" s="31"/>
      <c r="OU23" s="31"/>
      <c r="OV23" s="31"/>
      <c r="OW23" s="31"/>
      <c r="OX23" s="31"/>
    </row>
    <row r="24" spans="2:414" s="25" customFormat="1" ht="15.6">
      <c r="B24" s="25" t="s">
        <v>34</v>
      </c>
      <c r="C24" s="27" t="s">
        <v>50</v>
      </c>
      <c r="D24" s="30" t="s">
        <v>32</v>
      </c>
      <c r="G24" s="42">
        <v>500</v>
      </c>
      <c r="H24" s="89">
        <v>26.109000000000002</v>
      </c>
      <c r="I24" s="38">
        <f t="shared" si="1"/>
        <v>13054.5</v>
      </c>
      <c r="K24" s="42">
        <v>500</v>
      </c>
      <c r="L24" s="90">
        <v>26.849599999999999</v>
      </c>
      <c r="M24" s="38">
        <f t="shared" si="2"/>
        <v>13424.8</v>
      </c>
      <c r="O24" s="38">
        <v>80</v>
      </c>
      <c r="P24" s="38">
        <v>26.728300000000001</v>
      </c>
      <c r="Q24" s="38">
        <f t="shared" si="3"/>
        <v>2138.2640000000001</v>
      </c>
      <c r="R24" s="43">
        <f t="shared" si="16"/>
        <v>1080</v>
      </c>
      <c r="S24" s="38">
        <f t="shared" si="4"/>
        <v>28617.563999999998</v>
      </c>
      <c r="T24" s="49">
        <v>85</v>
      </c>
      <c r="U24" s="42"/>
      <c r="V24" s="38">
        <f>T24*U24</f>
        <v>0</v>
      </c>
      <c r="W24" s="42">
        <v>420</v>
      </c>
      <c r="X24" s="42">
        <v>25.826699999999999</v>
      </c>
      <c r="Y24" s="38">
        <f t="shared" ref="Y24:Y87" si="17">W24*X24</f>
        <v>10847.214</v>
      </c>
      <c r="Z24" s="42">
        <v>85</v>
      </c>
      <c r="AA24" s="42">
        <v>26.9815</v>
      </c>
      <c r="AB24" s="42">
        <f>Z24*AA24</f>
        <v>2293.4275000000002</v>
      </c>
      <c r="AD24" s="42">
        <v>410</v>
      </c>
      <c r="AE24" s="42">
        <v>26.940100000000001</v>
      </c>
      <c r="AF24" s="42">
        <f>AD24*AE24</f>
        <v>11045.441000000001</v>
      </c>
      <c r="AG24" s="42"/>
      <c r="AH24" s="42"/>
      <c r="AI24" s="42"/>
      <c r="AJ24" s="38">
        <f t="shared" si="9"/>
        <v>0</v>
      </c>
      <c r="AL24" s="42"/>
      <c r="AM24" s="42"/>
      <c r="AN24" s="38">
        <f t="shared" si="10"/>
        <v>0</v>
      </c>
      <c r="AO24" s="44"/>
      <c r="AP24" s="42"/>
      <c r="AQ24" s="42"/>
      <c r="AR24" s="42"/>
      <c r="AU24" s="98"/>
      <c r="AV24" s="35"/>
      <c r="AW24" s="104"/>
      <c r="AX24" s="42"/>
      <c r="AY24" s="42"/>
      <c r="AZ24" s="42"/>
      <c r="BA24" s="42"/>
      <c r="BB24" s="42"/>
      <c r="BC24" s="42"/>
      <c r="BD24" s="38">
        <f t="shared" si="11"/>
        <v>0</v>
      </c>
      <c r="BE24" s="42"/>
      <c r="BF24" s="42"/>
      <c r="BG24" s="42"/>
      <c r="BH24" s="38">
        <f t="shared" si="12"/>
        <v>0</v>
      </c>
      <c r="BI24" s="42"/>
      <c r="BJ24" s="42"/>
      <c r="BK24" s="42"/>
      <c r="BL24" s="38">
        <f t="shared" si="13"/>
        <v>0</v>
      </c>
      <c r="BM24" s="42"/>
      <c r="BN24" s="42"/>
      <c r="BO24" s="42"/>
      <c r="BP24" s="42"/>
      <c r="BR24" s="42">
        <f t="shared" si="14"/>
        <v>24186.0825</v>
      </c>
      <c r="BS24" s="43">
        <f t="shared" si="15"/>
        <v>4431.4814999999981</v>
      </c>
      <c r="BT24" s="42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  <c r="IX24" s="31"/>
      <c r="IY24" s="31"/>
      <c r="IZ24" s="31"/>
      <c r="JA24" s="31"/>
      <c r="JB24" s="31"/>
      <c r="JC24" s="31"/>
      <c r="JD24" s="31"/>
      <c r="JE24" s="31"/>
      <c r="JF24" s="31"/>
      <c r="JG24" s="31"/>
      <c r="JH24" s="31"/>
      <c r="JI24" s="31"/>
      <c r="JJ24" s="31"/>
      <c r="JK24" s="31"/>
      <c r="JL24" s="31"/>
      <c r="JM24" s="31"/>
      <c r="JN24" s="31"/>
      <c r="JO24" s="31"/>
      <c r="JP24" s="31"/>
      <c r="JQ24" s="31"/>
      <c r="JR24" s="31"/>
      <c r="JS24" s="31"/>
      <c r="JT24" s="31"/>
      <c r="JU24" s="31"/>
      <c r="JV24" s="31"/>
      <c r="JW24" s="31"/>
      <c r="JX24" s="31"/>
      <c r="JY24" s="31"/>
      <c r="JZ24" s="31"/>
      <c r="KA24" s="31"/>
      <c r="KB24" s="31"/>
      <c r="KC24" s="31"/>
      <c r="KD24" s="31"/>
      <c r="KE24" s="31"/>
      <c r="KF24" s="31"/>
      <c r="KG24" s="31"/>
      <c r="KH24" s="31"/>
      <c r="KI24" s="31"/>
      <c r="KJ24" s="31"/>
      <c r="KK24" s="31"/>
      <c r="KL24" s="31"/>
      <c r="KM24" s="31"/>
      <c r="KN24" s="31"/>
      <c r="KO24" s="31"/>
      <c r="KP24" s="31"/>
      <c r="KQ24" s="31"/>
      <c r="KR24" s="31"/>
      <c r="KS24" s="31"/>
      <c r="KT24" s="31"/>
      <c r="KU24" s="31"/>
      <c r="KV24" s="31"/>
      <c r="KW24" s="31"/>
      <c r="KX24" s="31"/>
      <c r="KY24" s="31"/>
      <c r="KZ24" s="31"/>
      <c r="LA24" s="31"/>
      <c r="LB24" s="31"/>
      <c r="LC24" s="31"/>
      <c r="LD24" s="31"/>
      <c r="LE24" s="31"/>
      <c r="LF24" s="31"/>
      <c r="LG24" s="31"/>
      <c r="LH24" s="31"/>
      <c r="LI24" s="31"/>
      <c r="LJ24" s="31"/>
      <c r="LK24" s="31"/>
      <c r="LL24" s="31"/>
      <c r="LM24" s="31"/>
      <c r="LN24" s="31"/>
      <c r="LO24" s="31"/>
      <c r="LP24" s="31"/>
      <c r="LQ24" s="31"/>
      <c r="LR24" s="31"/>
      <c r="LS24" s="31"/>
      <c r="LT24" s="31"/>
      <c r="LU24" s="31"/>
      <c r="LV24" s="31"/>
      <c r="LW24" s="31"/>
      <c r="LX24" s="31"/>
      <c r="LY24" s="31"/>
      <c r="LZ24" s="31"/>
      <c r="MA24" s="31"/>
      <c r="MB24" s="31"/>
      <c r="MC24" s="31"/>
      <c r="MD24" s="31"/>
      <c r="ME24" s="31"/>
      <c r="MF24" s="31"/>
      <c r="MG24" s="31"/>
      <c r="MH24" s="31"/>
      <c r="MI24" s="31"/>
      <c r="MJ24" s="31"/>
      <c r="MK24" s="31"/>
      <c r="ML24" s="31"/>
      <c r="MM24" s="31"/>
      <c r="MN24" s="31"/>
      <c r="MO24" s="31"/>
      <c r="MP24" s="31"/>
      <c r="MQ24" s="31"/>
      <c r="MR24" s="31"/>
      <c r="MS24" s="31"/>
      <c r="MT24" s="31"/>
      <c r="MU24" s="31"/>
      <c r="MV24" s="31"/>
      <c r="MW24" s="31"/>
      <c r="MX24" s="31"/>
      <c r="MY24" s="31"/>
      <c r="MZ24" s="31"/>
      <c r="NA24" s="31"/>
      <c r="NB24" s="31"/>
      <c r="NC24" s="31"/>
      <c r="ND24" s="31"/>
      <c r="NE24" s="31"/>
      <c r="NF24" s="31"/>
      <c r="NG24" s="31"/>
      <c r="NH24" s="31"/>
      <c r="NI24" s="31"/>
      <c r="NJ24" s="31"/>
      <c r="NK24" s="31"/>
      <c r="NL24" s="31"/>
      <c r="NM24" s="31"/>
      <c r="NN24" s="31"/>
      <c r="NO24" s="31"/>
      <c r="NP24" s="31"/>
      <c r="NQ24" s="31"/>
      <c r="NR24" s="31"/>
      <c r="NS24" s="31"/>
      <c r="NT24" s="31"/>
      <c r="NU24" s="31"/>
      <c r="NV24" s="31"/>
      <c r="NW24" s="31"/>
      <c r="NX24" s="31"/>
      <c r="NY24" s="31"/>
      <c r="NZ24" s="31"/>
      <c r="OA24" s="31"/>
      <c r="OB24" s="31"/>
      <c r="OC24" s="31"/>
      <c r="OD24" s="31"/>
      <c r="OE24" s="31"/>
      <c r="OF24" s="31"/>
      <c r="OG24" s="31"/>
      <c r="OH24" s="31"/>
      <c r="OI24" s="31"/>
      <c r="OJ24" s="31"/>
      <c r="OK24" s="31"/>
      <c r="OL24" s="31"/>
      <c r="OM24" s="31"/>
      <c r="ON24" s="31"/>
      <c r="OO24" s="31"/>
      <c r="OP24" s="31"/>
      <c r="OQ24" s="31"/>
      <c r="OR24" s="31"/>
      <c r="OS24" s="31"/>
      <c r="OT24" s="31"/>
      <c r="OU24" s="31"/>
      <c r="OV24" s="31"/>
      <c r="OW24" s="31"/>
      <c r="OX24" s="31"/>
    </row>
    <row r="25" spans="2:414" s="25" customFormat="1" ht="15.6">
      <c r="B25" s="25" t="s">
        <v>52</v>
      </c>
      <c r="C25" s="27" t="s">
        <v>51</v>
      </c>
      <c r="D25" s="30" t="s">
        <v>32</v>
      </c>
      <c r="G25" s="42">
        <v>500</v>
      </c>
      <c r="H25" s="89">
        <v>26.109000000000002</v>
      </c>
      <c r="I25" s="38">
        <f t="shared" si="1"/>
        <v>13054.5</v>
      </c>
      <c r="K25" s="42">
        <v>500</v>
      </c>
      <c r="L25" s="90">
        <v>26.849599999999999</v>
      </c>
      <c r="M25" s="38">
        <f t="shared" si="2"/>
        <v>13424.8</v>
      </c>
      <c r="O25" s="38">
        <v>80</v>
      </c>
      <c r="P25" s="38">
        <v>26.728300000000001</v>
      </c>
      <c r="Q25" s="38">
        <f t="shared" si="3"/>
        <v>2138.2640000000001</v>
      </c>
      <c r="R25" s="43">
        <f t="shared" si="16"/>
        <v>1080</v>
      </c>
      <c r="S25" s="38">
        <f t="shared" si="4"/>
        <v>28617.563999999998</v>
      </c>
      <c r="T25" s="49">
        <v>85</v>
      </c>
      <c r="U25" s="42">
        <v>25.826699999999999</v>
      </c>
      <c r="V25" s="38">
        <f t="shared" ref="V25:V88" si="18">T25*U25</f>
        <v>2195.2694999999999</v>
      </c>
      <c r="W25" s="42">
        <v>415</v>
      </c>
      <c r="X25" s="42">
        <v>25.826699999999999</v>
      </c>
      <c r="Y25" s="38">
        <f t="shared" si="17"/>
        <v>10718.0805</v>
      </c>
      <c r="Z25" s="42">
        <v>70</v>
      </c>
      <c r="AA25" s="42">
        <v>26.885300000000001</v>
      </c>
      <c r="AB25" s="42">
        <f t="shared" ref="AB25:AB32" si="19">Z25*AA25</f>
        <v>1881.971</v>
      </c>
      <c r="AD25" s="42">
        <v>200</v>
      </c>
      <c r="AE25" s="42">
        <v>26.991800000000001</v>
      </c>
      <c r="AF25" s="42">
        <v>2430</v>
      </c>
      <c r="AG25" s="42"/>
      <c r="AH25" s="42">
        <v>50</v>
      </c>
      <c r="AI25" s="42">
        <v>26.890499999999999</v>
      </c>
      <c r="AJ25" s="38">
        <f t="shared" si="9"/>
        <v>1344.5249999999999</v>
      </c>
      <c r="AL25" s="42">
        <v>73</v>
      </c>
      <c r="AM25" s="42">
        <v>26.801400000000001</v>
      </c>
      <c r="AN25" s="38">
        <f t="shared" si="10"/>
        <v>1956.5022000000001</v>
      </c>
      <c r="AO25" s="44"/>
      <c r="AP25" s="42"/>
      <c r="AQ25" s="42"/>
      <c r="AR25" s="42"/>
      <c r="AU25" s="98"/>
      <c r="AV25" s="35"/>
      <c r="AW25" s="104"/>
      <c r="AX25" s="42"/>
      <c r="AY25" s="42"/>
      <c r="AZ25" s="42"/>
      <c r="BA25" s="42"/>
      <c r="BB25" s="42"/>
      <c r="BC25" s="42"/>
      <c r="BD25" s="38">
        <f t="shared" si="11"/>
        <v>0</v>
      </c>
      <c r="BE25" s="42"/>
      <c r="BF25" s="42"/>
      <c r="BG25" s="42"/>
      <c r="BH25" s="38">
        <f t="shared" si="12"/>
        <v>0</v>
      </c>
      <c r="BI25" s="42"/>
      <c r="BJ25" s="42"/>
      <c r="BK25" s="42"/>
      <c r="BL25" s="38">
        <f t="shared" si="13"/>
        <v>0</v>
      </c>
      <c r="BM25" s="42"/>
      <c r="BN25" s="42"/>
      <c r="BO25" s="42"/>
      <c r="BP25" s="42"/>
      <c r="BR25" s="42">
        <f t="shared" si="14"/>
        <v>20526.3482</v>
      </c>
      <c r="BS25" s="43">
        <f t="shared" si="15"/>
        <v>8091.2157999999981</v>
      </c>
      <c r="BT25" s="42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  <c r="IX25" s="31"/>
      <c r="IY25" s="31"/>
      <c r="IZ25" s="31"/>
      <c r="JA25" s="31"/>
      <c r="JB25" s="31"/>
      <c r="JC25" s="31"/>
      <c r="JD25" s="31"/>
      <c r="JE25" s="31"/>
      <c r="JF25" s="31"/>
      <c r="JG25" s="31"/>
      <c r="JH25" s="31"/>
      <c r="JI25" s="31"/>
      <c r="JJ25" s="31"/>
      <c r="JK25" s="31"/>
      <c r="JL25" s="31"/>
      <c r="JM25" s="31"/>
      <c r="JN25" s="31"/>
      <c r="JO25" s="31"/>
      <c r="JP25" s="31"/>
      <c r="JQ25" s="31"/>
      <c r="JR25" s="31"/>
      <c r="JS25" s="31"/>
      <c r="JT25" s="31"/>
      <c r="JU25" s="31"/>
      <c r="JV25" s="31"/>
      <c r="JW25" s="31"/>
      <c r="JX25" s="31"/>
      <c r="JY25" s="31"/>
      <c r="JZ25" s="31"/>
      <c r="KA25" s="31"/>
      <c r="KB25" s="31"/>
      <c r="KC25" s="31"/>
      <c r="KD25" s="31"/>
      <c r="KE25" s="31"/>
      <c r="KF25" s="31"/>
      <c r="KG25" s="31"/>
      <c r="KH25" s="31"/>
      <c r="KI25" s="31"/>
      <c r="KJ25" s="31"/>
      <c r="KK25" s="31"/>
      <c r="KL25" s="31"/>
      <c r="KM25" s="31"/>
      <c r="KN25" s="31"/>
      <c r="KO25" s="31"/>
      <c r="KP25" s="31"/>
      <c r="KQ25" s="31"/>
      <c r="KR25" s="31"/>
      <c r="KS25" s="31"/>
      <c r="KT25" s="31"/>
      <c r="KU25" s="31"/>
      <c r="KV25" s="31"/>
      <c r="KW25" s="31"/>
      <c r="KX25" s="31"/>
      <c r="KY25" s="31"/>
      <c r="KZ25" s="31"/>
      <c r="LA25" s="31"/>
      <c r="LB25" s="31"/>
      <c r="LC25" s="31"/>
      <c r="LD25" s="31"/>
      <c r="LE25" s="31"/>
      <c r="LF25" s="31"/>
      <c r="LG25" s="31"/>
      <c r="LH25" s="31"/>
      <c r="LI25" s="31"/>
      <c r="LJ25" s="31"/>
      <c r="LK25" s="31"/>
      <c r="LL25" s="31"/>
      <c r="LM25" s="31"/>
      <c r="LN25" s="31"/>
      <c r="LO25" s="31"/>
      <c r="LP25" s="31"/>
      <c r="LQ25" s="31"/>
      <c r="LR25" s="31"/>
      <c r="LS25" s="31"/>
      <c r="LT25" s="31"/>
      <c r="LU25" s="31"/>
      <c r="LV25" s="31"/>
      <c r="LW25" s="31"/>
      <c r="LX25" s="31"/>
      <c r="LY25" s="31"/>
      <c r="LZ25" s="31"/>
      <c r="MA25" s="31"/>
      <c r="MB25" s="31"/>
      <c r="MC25" s="31"/>
      <c r="MD25" s="31"/>
      <c r="ME25" s="31"/>
      <c r="MF25" s="31"/>
      <c r="MG25" s="31"/>
      <c r="MH25" s="31"/>
      <c r="MI25" s="31"/>
      <c r="MJ25" s="31"/>
      <c r="MK25" s="31"/>
      <c r="ML25" s="31"/>
      <c r="MM25" s="31"/>
      <c r="MN25" s="31"/>
      <c r="MO25" s="31"/>
      <c r="MP25" s="31"/>
      <c r="MQ25" s="31"/>
      <c r="MR25" s="31"/>
      <c r="MS25" s="31"/>
      <c r="MT25" s="31"/>
      <c r="MU25" s="31"/>
      <c r="MV25" s="31"/>
      <c r="MW25" s="31"/>
      <c r="MX25" s="31"/>
      <c r="MY25" s="31"/>
      <c r="MZ25" s="31"/>
      <c r="NA25" s="31"/>
      <c r="NB25" s="31"/>
      <c r="NC25" s="31"/>
      <c r="ND25" s="31"/>
      <c r="NE25" s="31"/>
      <c r="NF25" s="31"/>
      <c r="NG25" s="31"/>
      <c r="NH25" s="31"/>
      <c r="NI25" s="31"/>
      <c r="NJ25" s="31"/>
      <c r="NK25" s="31"/>
      <c r="NL25" s="31"/>
      <c r="NM25" s="31"/>
      <c r="NN25" s="31"/>
      <c r="NO25" s="31"/>
      <c r="NP25" s="31"/>
      <c r="NQ25" s="31"/>
      <c r="NR25" s="31"/>
      <c r="NS25" s="31"/>
      <c r="NT25" s="31"/>
      <c r="NU25" s="31"/>
      <c r="NV25" s="31"/>
      <c r="NW25" s="31"/>
      <c r="NX25" s="31"/>
      <c r="NY25" s="31"/>
      <c r="NZ25" s="31"/>
      <c r="OA25" s="31"/>
      <c r="OB25" s="31"/>
      <c r="OC25" s="31"/>
      <c r="OD25" s="31"/>
      <c r="OE25" s="31"/>
      <c r="OF25" s="31"/>
      <c r="OG25" s="31"/>
      <c r="OH25" s="31"/>
      <c r="OI25" s="31"/>
      <c r="OJ25" s="31"/>
      <c r="OK25" s="31"/>
      <c r="OL25" s="31"/>
      <c r="OM25" s="31"/>
      <c r="ON25" s="31"/>
      <c r="OO25" s="31"/>
      <c r="OP25" s="31"/>
      <c r="OQ25" s="31"/>
      <c r="OR25" s="31"/>
      <c r="OS25" s="31"/>
      <c r="OT25" s="31"/>
      <c r="OU25" s="31"/>
      <c r="OV25" s="31"/>
      <c r="OW25" s="31"/>
      <c r="OX25" s="31"/>
    </row>
    <row r="26" spans="2:414" s="25" customFormat="1" ht="15.6">
      <c r="B26" s="25" t="s">
        <v>23</v>
      </c>
      <c r="C26" s="27" t="s">
        <v>53</v>
      </c>
      <c r="D26" s="30" t="s">
        <v>32</v>
      </c>
      <c r="G26" s="42">
        <v>500</v>
      </c>
      <c r="H26" s="89">
        <v>26.109000000000002</v>
      </c>
      <c r="I26" s="38">
        <f t="shared" si="1"/>
        <v>13054.5</v>
      </c>
      <c r="K26" s="42">
        <v>500</v>
      </c>
      <c r="L26" s="90">
        <v>26.849599999999999</v>
      </c>
      <c r="M26" s="38">
        <f t="shared" si="2"/>
        <v>13424.8</v>
      </c>
      <c r="O26" s="38">
        <v>80</v>
      </c>
      <c r="P26" s="38">
        <v>26.728300000000001</v>
      </c>
      <c r="Q26" s="38">
        <f t="shared" si="3"/>
        <v>2138.2640000000001</v>
      </c>
      <c r="R26" s="43">
        <f t="shared" si="16"/>
        <v>1080</v>
      </c>
      <c r="S26" s="38">
        <f t="shared" si="4"/>
        <v>28617.563999999998</v>
      </c>
      <c r="T26" s="49">
        <v>85</v>
      </c>
      <c r="U26" s="42">
        <v>26.450800000000001</v>
      </c>
      <c r="V26" s="38">
        <f t="shared" si="18"/>
        <v>2248.3180000000002</v>
      </c>
      <c r="W26" s="42">
        <v>265</v>
      </c>
      <c r="X26" s="42">
        <v>26.261399999999998</v>
      </c>
      <c r="Y26" s="38">
        <f t="shared" si="17"/>
        <v>6959.2709999999997</v>
      </c>
      <c r="Z26" s="42">
        <v>50</v>
      </c>
      <c r="AA26" s="42">
        <v>26.674900000000001</v>
      </c>
      <c r="AB26" s="42">
        <f t="shared" si="19"/>
        <v>1333.7450000000001</v>
      </c>
      <c r="AD26" s="42">
        <v>10</v>
      </c>
      <c r="AE26" s="42">
        <v>26.706900000000001</v>
      </c>
      <c r="AF26" s="42">
        <f>AD26*AE26</f>
        <v>267.06900000000002</v>
      </c>
      <c r="AG26" s="42"/>
      <c r="AH26" s="42">
        <v>400</v>
      </c>
      <c r="AI26" s="42">
        <v>26.869499999999999</v>
      </c>
      <c r="AJ26" s="38">
        <f t="shared" si="9"/>
        <v>10747.8</v>
      </c>
      <c r="AL26" s="42">
        <v>85</v>
      </c>
      <c r="AM26" s="42">
        <v>26.816700000000001</v>
      </c>
      <c r="AN26" s="38">
        <f t="shared" si="10"/>
        <v>2279.4195</v>
      </c>
      <c r="AO26" s="44"/>
      <c r="AP26" s="42">
        <v>15</v>
      </c>
      <c r="AQ26" s="42">
        <v>26.817900000000002</v>
      </c>
      <c r="AR26" s="42"/>
      <c r="AU26" s="98"/>
      <c r="AV26" s="35"/>
      <c r="AW26" s="104"/>
      <c r="AX26" s="42"/>
      <c r="AY26" s="42"/>
      <c r="AZ26" s="42"/>
      <c r="BA26" s="42"/>
      <c r="BB26" s="42"/>
      <c r="BC26" s="42"/>
      <c r="BD26" s="38">
        <f t="shared" si="11"/>
        <v>0</v>
      </c>
      <c r="BE26" s="42"/>
      <c r="BF26" s="42"/>
      <c r="BG26" s="42"/>
      <c r="BH26" s="38">
        <f t="shared" si="12"/>
        <v>0</v>
      </c>
      <c r="BI26" s="42"/>
      <c r="BJ26" s="42"/>
      <c r="BK26" s="42"/>
      <c r="BL26" s="38">
        <f t="shared" si="13"/>
        <v>0</v>
      </c>
      <c r="BM26" s="42"/>
      <c r="BN26" s="42"/>
      <c r="BO26" s="42"/>
      <c r="BP26" s="42"/>
      <c r="BR26" s="42">
        <f t="shared" si="14"/>
        <v>23835.622500000001</v>
      </c>
      <c r="BS26" s="43">
        <f t="shared" si="15"/>
        <v>4781.9414999999972</v>
      </c>
      <c r="BT26" s="42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  <c r="JH26" s="31"/>
      <c r="JI26" s="31"/>
      <c r="JJ26" s="31"/>
      <c r="JK26" s="31"/>
      <c r="JL26" s="31"/>
      <c r="JM26" s="31"/>
      <c r="JN26" s="31"/>
      <c r="JO26" s="31"/>
      <c r="JP26" s="31"/>
      <c r="JQ26" s="31"/>
      <c r="JR26" s="31"/>
      <c r="JS26" s="31"/>
      <c r="JT26" s="31"/>
      <c r="JU26" s="31"/>
      <c r="JV26" s="31"/>
      <c r="JW26" s="31"/>
      <c r="JX26" s="31"/>
      <c r="JY26" s="31"/>
      <c r="JZ26" s="31"/>
      <c r="KA26" s="31"/>
      <c r="KB26" s="31"/>
      <c r="KC26" s="31"/>
      <c r="KD26" s="31"/>
      <c r="KE26" s="31"/>
      <c r="KF26" s="31"/>
      <c r="KG26" s="31"/>
      <c r="KH26" s="31"/>
      <c r="KI26" s="31"/>
      <c r="KJ26" s="31"/>
      <c r="KK26" s="31"/>
      <c r="KL26" s="31"/>
      <c r="KM26" s="31"/>
      <c r="KN26" s="31"/>
      <c r="KO26" s="31"/>
      <c r="KP26" s="31"/>
      <c r="KQ26" s="31"/>
      <c r="KR26" s="31"/>
      <c r="KS26" s="31"/>
      <c r="KT26" s="31"/>
      <c r="KU26" s="31"/>
      <c r="KV26" s="31"/>
      <c r="KW26" s="31"/>
      <c r="KX26" s="31"/>
      <c r="KY26" s="31"/>
      <c r="KZ26" s="31"/>
      <c r="LA26" s="31"/>
      <c r="LB26" s="31"/>
      <c r="LC26" s="31"/>
      <c r="LD26" s="31"/>
      <c r="LE26" s="31"/>
      <c r="LF26" s="31"/>
      <c r="LG26" s="31"/>
      <c r="LH26" s="31"/>
      <c r="LI26" s="31"/>
      <c r="LJ26" s="31"/>
      <c r="LK26" s="31"/>
      <c r="LL26" s="31"/>
      <c r="LM26" s="31"/>
      <c r="LN26" s="31"/>
      <c r="LO26" s="31"/>
      <c r="LP26" s="31"/>
      <c r="LQ26" s="31"/>
      <c r="LR26" s="31"/>
      <c r="LS26" s="31"/>
      <c r="LT26" s="31"/>
      <c r="LU26" s="31"/>
      <c r="LV26" s="31"/>
      <c r="LW26" s="31"/>
      <c r="LX26" s="31"/>
      <c r="LY26" s="31"/>
      <c r="LZ26" s="31"/>
      <c r="MA26" s="31"/>
      <c r="MB26" s="31"/>
      <c r="MC26" s="31"/>
      <c r="MD26" s="31"/>
      <c r="ME26" s="31"/>
      <c r="MF26" s="31"/>
      <c r="MG26" s="31"/>
      <c r="MH26" s="31"/>
      <c r="MI26" s="31"/>
      <c r="MJ26" s="31"/>
      <c r="MK26" s="31"/>
      <c r="ML26" s="31"/>
      <c r="MM26" s="31"/>
      <c r="MN26" s="31"/>
      <c r="MO26" s="31"/>
      <c r="MP26" s="31"/>
      <c r="MQ26" s="31"/>
      <c r="MR26" s="31"/>
      <c r="MS26" s="31"/>
      <c r="MT26" s="31"/>
      <c r="MU26" s="31"/>
      <c r="MV26" s="31"/>
      <c r="MW26" s="31"/>
      <c r="MX26" s="31"/>
      <c r="MY26" s="31"/>
      <c r="MZ26" s="31"/>
      <c r="NA26" s="31"/>
      <c r="NB26" s="31"/>
      <c r="NC26" s="31"/>
      <c r="ND26" s="31"/>
      <c r="NE26" s="31"/>
      <c r="NF26" s="31"/>
      <c r="NG26" s="31"/>
      <c r="NH26" s="31"/>
      <c r="NI26" s="31"/>
      <c r="NJ26" s="31"/>
      <c r="NK26" s="31"/>
      <c r="NL26" s="31"/>
      <c r="NM26" s="31"/>
      <c r="NN26" s="31"/>
      <c r="NO26" s="31"/>
      <c r="NP26" s="31"/>
      <c r="NQ26" s="31"/>
      <c r="NR26" s="31"/>
      <c r="NS26" s="31"/>
      <c r="NT26" s="31"/>
      <c r="NU26" s="31"/>
      <c r="NV26" s="31"/>
      <c r="NW26" s="31"/>
      <c r="NX26" s="31"/>
      <c r="NY26" s="31"/>
      <c r="NZ26" s="31"/>
      <c r="OA26" s="31"/>
      <c r="OB26" s="31"/>
      <c r="OC26" s="31"/>
      <c r="OD26" s="31"/>
      <c r="OE26" s="31"/>
      <c r="OF26" s="31"/>
      <c r="OG26" s="31"/>
      <c r="OH26" s="31"/>
      <c r="OI26" s="31"/>
      <c r="OJ26" s="31"/>
      <c r="OK26" s="31"/>
      <c r="OL26" s="31"/>
      <c r="OM26" s="31"/>
      <c r="ON26" s="31"/>
      <c r="OO26" s="31"/>
      <c r="OP26" s="31"/>
      <c r="OQ26" s="31"/>
      <c r="OR26" s="31"/>
      <c r="OS26" s="31"/>
      <c r="OT26" s="31"/>
      <c r="OU26" s="31"/>
      <c r="OV26" s="31"/>
      <c r="OW26" s="31"/>
      <c r="OX26" s="31"/>
    </row>
    <row r="27" spans="2:414" s="25" customFormat="1" ht="15.6">
      <c r="B27" s="25" t="s">
        <v>54</v>
      </c>
      <c r="C27" s="27" t="s">
        <v>55</v>
      </c>
      <c r="D27" s="30" t="s">
        <v>32</v>
      </c>
      <c r="G27" s="42">
        <v>500</v>
      </c>
      <c r="H27" s="89">
        <v>26.109000000000002</v>
      </c>
      <c r="I27" s="38">
        <f t="shared" si="1"/>
        <v>13054.5</v>
      </c>
      <c r="K27" s="42">
        <v>500</v>
      </c>
      <c r="L27" s="90">
        <v>26.849599999999999</v>
      </c>
      <c r="M27" s="38">
        <f t="shared" si="2"/>
        <v>13424.8</v>
      </c>
      <c r="O27" s="38">
        <v>80</v>
      </c>
      <c r="P27" s="38">
        <v>26.728300000000001</v>
      </c>
      <c r="Q27" s="38">
        <f t="shared" si="3"/>
        <v>2138.2640000000001</v>
      </c>
      <c r="R27" s="43">
        <f t="shared" si="16"/>
        <v>1080</v>
      </c>
      <c r="S27" s="38">
        <f t="shared" si="4"/>
        <v>28617.563999999998</v>
      </c>
      <c r="T27" s="49">
        <v>415</v>
      </c>
      <c r="U27" s="42">
        <v>26.283100000000001</v>
      </c>
      <c r="V27" s="38">
        <f t="shared" si="18"/>
        <v>10907.486500000001</v>
      </c>
      <c r="W27" s="42">
        <v>85</v>
      </c>
      <c r="X27" s="42">
        <v>26.283100000000001</v>
      </c>
      <c r="Y27" s="38">
        <f t="shared" si="17"/>
        <v>2234.0635000000002</v>
      </c>
      <c r="Z27" s="42">
        <v>85</v>
      </c>
      <c r="AA27" s="42">
        <v>26.861899999999999</v>
      </c>
      <c r="AB27" s="42">
        <f t="shared" si="19"/>
        <v>2283.2615000000001</v>
      </c>
      <c r="AD27" s="42">
        <v>412</v>
      </c>
      <c r="AE27" s="42">
        <v>26.861899999999999</v>
      </c>
      <c r="AF27" s="42">
        <f t="shared" ref="AF27:AF32" si="20">AD27*AE27</f>
        <v>11067.102799999999</v>
      </c>
      <c r="AG27" s="42"/>
      <c r="AH27" s="42"/>
      <c r="AI27" s="42"/>
      <c r="AJ27" s="38">
        <f t="shared" si="9"/>
        <v>0</v>
      </c>
      <c r="AL27" s="42"/>
      <c r="AM27" s="42"/>
      <c r="AN27" s="38">
        <f t="shared" si="10"/>
        <v>0</v>
      </c>
      <c r="AO27" s="44"/>
      <c r="AP27" s="42"/>
      <c r="AQ27" s="42"/>
      <c r="AR27" s="42"/>
      <c r="AU27" s="98"/>
      <c r="AV27" s="35"/>
      <c r="AW27" s="104"/>
      <c r="AX27" s="42"/>
      <c r="AY27" s="42"/>
      <c r="AZ27" s="42"/>
      <c r="BA27" s="42"/>
      <c r="BB27" s="42"/>
      <c r="BC27" s="42"/>
      <c r="BD27" s="38">
        <f t="shared" si="11"/>
        <v>0</v>
      </c>
      <c r="BE27" s="42"/>
      <c r="BF27" s="42"/>
      <c r="BG27" s="42"/>
      <c r="BH27" s="38">
        <f t="shared" si="12"/>
        <v>0</v>
      </c>
      <c r="BI27" s="42"/>
      <c r="BJ27" s="42"/>
      <c r="BK27" s="42"/>
      <c r="BL27" s="38">
        <f t="shared" si="13"/>
        <v>0</v>
      </c>
      <c r="BM27" s="42"/>
      <c r="BN27" s="42"/>
      <c r="BO27" s="42"/>
      <c r="BP27" s="42"/>
      <c r="BR27" s="42">
        <f t="shared" si="14"/>
        <v>26491.9143</v>
      </c>
      <c r="BS27" s="43">
        <f t="shared" si="15"/>
        <v>2125.6496999999981</v>
      </c>
      <c r="BT27" s="42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  <c r="IX27" s="31"/>
      <c r="IY27" s="31"/>
      <c r="IZ27" s="31"/>
      <c r="JA27" s="31"/>
      <c r="JB27" s="31"/>
      <c r="JC27" s="31"/>
      <c r="JD27" s="31"/>
      <c r="JE27" s="31"/>
      <c r="JF27" s="31"/>
      <c r="JG27" s="31"/>
      <c r="JH27" s="31"/>
      <c r="JI27" s="31"/>
      <c r="JJ27" s="31"/>
      <c r="JK27" s="31"/>
      <c r="JL27" s="31"/>
      <c r="JM27" s="31"/>
      <c r="JN27" s="31"/>
      <c r="JO27" s="31"/>
      <c r="JP27" s="31"/>
      <c r="JQ27" s="31"/>
      <c r="JR27" s="31"/>
      <c r="JS27" s="31"/>
      <c r="JT27" s="31"/>
      <c r="JU27" s="31"/>
      <c r="JV27" s="31"/>
      <c r="JW27" s="31"/>
      <c r="JX27" s="31"/>
      <c r="JY27" s="31"/>
      <c r="JZ27" s="31"/>
      <c r="KA27" s="31"/>
      <c r="KB27" s="31"/>
      <c r="KC27" s="31"/>
      <c r="KD27" s="31"/>
      <c r="KE27" s="31"/>
      <c r="KF27" s="31"/>
      <c r="KG27" s="31"/>
      <c r="KH27" s="31"/>
      <c r="KI27" s="31"/>
      <c r="KJ27" s="31"/>
      <c r="KK27" s="31"/>
      <c r="KL27" s="31"/>
      <c r="KM27" s="31"/>
      <c r="KN27" s="31"/>
      <c r="KO27" s="31"/>
      <c r="KP27" s="31"/>
      <c r="KQ27" s="31"/>
      <c r="KR27" s="31"/>
      <c r="KS27" s="31"/>
      <c r="KT27" s="31"/>
      <c r="KU27" s="31"/>
      <c r="KV27" s="31"/>
      <c r="KW27" s="31"/>
      <c r="KX27" s="31"/>
      <c r="KY27" s="31"/>
      <c r="KZ27" s="31"/>
      <c r="LA27" s="31"/>
      <c r="LB27" s="31"/>
      <c r="LC27" s="31"/>
      <c r="LD27" s="31"/>
      <c r="LE27" s="31"/>
      <c r="LF27" s="31"/>
      <c r="LG27" s="31"/>
      <c r="LH27" s="31"/>
      <c r="LI27" s="31"/>
      <c r="LJ27" s="31"/>
      <c r="LK27" s="31"/>
      <c r="LL27" s="31"/>
      <c r="LM27" s="31"/>
      <c r="LN27" s="31"/>
      <c r="LO27" s="31"/>
      <c r="LP27" s="31"/>
      <c r="LQ27" s="31"/>
      <c r="LR27" s="31"/>
      <c r="LS27" s="31"/>
      <c r="LT27" s="31"/>
      <c r="LU27" s="31"/>
      <c r="LV27" s="31"/>
      <c r="LW27" s="31"/>
      <c r="LX27" s="31"/>
      <c r="LY27" s="31"/>
      <c r="LZ27" s="31"/>
      <c r="MA27" s="31"/>
      <c r="MB27" s="31"/>
      <c r="MC27" s="31"/>
      <c r="MD27" s="31"/>
      <c r="ME27" s="31"/>
      <c r="MF27" s="31"/>
      <c r="MG27" s="31"/>
      <c r="MH27" s="31"/>
      <c r="MI27" s="31"/>
      <c r="MJ27" s="31"/>
      <c r="MK27" s="31"/>
      <c r="ML27" s="31"/>
      <c r="MM27" s="31"/>
      <c r="MN27" s="31"/>
      <c r="MO27" s="31"/>
      <c r="MP27" s="31"/>
      <c r="MQ27" s="31"/>
      <c r="MR27" s="31"/>
      <c r="MS27" s="31"/>
      <c r="MT27" s="31"/>
      <c r="MU27" s="31"/>
      <c r="MV27" s="31"/>
      <c r="MW27" s="31"/>
      <c r="MX27" s="31"/>
      <c r="MY27" s="31"/>
      <c r="MZ27" s="31"/>
      <c r="NA27" s="31"/>
      <c r="NB27" s="31"/>
      <c r="NC27" s="31"/>
      <c r="ND27" s="31"/>
      <c r="NE27" s="31"/>
      <c r="NF27" s="31"/>
      <c r="NG27" s="31"/>
      <c r="NH27" s="31"/>
      <c r="NI27" s="31"/>
      <c r="NJ27" s="31"/>
      <c r="NK27" s="31"/>
      <c r="NL27" s="31"/>
      <c r="NM27" s="31"/>
      <c r="NN27" s="31"/>
      <c r="NO27" s="31"/>
      <c r="NP27" s="31"/>
      <c r="NQ27" s="31"/>
      <c r="NR27" s="31"/>
      <c r="NS27" s="31"/>
      <c r="NT27" s="31"/>
      <c r="NU27" s="31"/>
      <c r="NV27" s="31"/>
      <c r="NW27" s="31"/>
      <c r="NX27" s="31"/>
      <c r="NY27" s="31"/>
      <c r="NZ27" s="31"/>
      <c r="OA27" s="31"/>
      <c r="OB27" s="31"/>
      <c r="OC27" s="31"/>
      <c r="OD27" s="31"/>
      <c r="OE27" s="31"/>
      <c r="OF27" s="31"/>
      <c r="OG27" s="31"/>
      <c r="OH27" s="31"/>
      <c r="OI27" s="31"/>
      <c r="OJ27" s="31"/>
      <c r="OK27" s="31"/>
      <c r="OL27" s="31"/>
      <c r="OM27" s="31"/>
      <c r="ON27" s="31"/>
      <c r="OO27" s="31"/>
      <c r="OP27" s="31"/>
      <c r="OQ27" s="31"/>
      <c r="OR27" s="31"/>
      <c r="OS27" s="31"/>
      <c r="OT27" s="31"/>
      <c r="OU27" s="31"/>
      <c r="OV27" s="31"/>
      <c r="OW27" s="31"/>
      <c r="OX27" s="31"/>
    </row>
    <row r="28" spans="2:414" s="25" customFormat="1" ht="15.6">
      <c r="B28" s="25" t="s">
        <v>56</v>
      </c>
      <c r="C28" s="27" t="s">
        <v>19</v>
      </c>
      <c r="D28" s="30" t="s">
        <v>32</v>
      </c>
      <c r="G28" s="42">
        <v>500</v>
      </c>
      <c r="H28" s="89">
        <v>26.109000000000002</v>
      </c>
      <c r="I28" s="38">
        <f t="shared" si="1"/>
        <v>13054.5</v>
      </c>
      <c r="K28" s="42">
        <v>500</v>
      </c>
      <c r="L28" s="90">
        <v>26.849599999999999</v>
      </c>
      <c r="M28" s="38">
        <f t="shared" si="2"/>
        <v>13424.8</v>
      </c>
      <c r="O28" s="38">
        <v>80</v>
      </c>
      <c r="P28" s="38">
        <v>26.728300000000001</v>
      </c>
      <c r="Q28" s="38">
        <f t="shared" si="3"/>
        <v>2138.2640000000001</v>
      </c>
      <c r="R28" s="43">
        <f t="shared" si="16"/>
        <v>1080</v>
      </c>
      <c r="S28" s="38">
        <f t="shared" si="4"/>
        <v>28617.563999999998</v>
      </c>
      <c r="T28" s="49">
        <v>85</v>
      </c>
      <c r="U28" s="42">
        <v>26.0579</v>
      </c>
      <c r="V28" s="38">
        <f t="shared" si="18"/>
        <v>2214.9214999999999</v>
      </c>
      <c r="W28" s="42">
        <v>350</v>
      </c>
      <c r="X28" s="42">
        <v>25.826699999999999</v>
      </c>
      <c r="Y28" s="38">
        <f t="shared" si="17"/>
        <v>9039.3449999999993</v>
      </c>
      <c r="Z28" s="42">
        <v>65</v>
      </c>
      <c r="AA28" s="42">
        <v>25.826699999999999</v>
      </c>
      <c r="AB28" s="42">
        <f t="shared" si="19"/>
        <v>1678.7355</v>
      </c>
      <c r="AD28" s="42">
        <v>85</v>
      </c>
      <c r="AE28" s="42">
        <v>26.7941</v>
      </c>
      <c r="AF28" s="42">
        <f t="shared" si="20"/>
        <v>2277.4985000000001</v>
      </c>
      <c r="AG28" s="42"/>
      <c r="AH28" s="42">
        <v>85</v>
      </c>
      <c r="AI28" s="42">
        <v>26.979600000000001</v>
      </c>
      <c r="AJ28" s="38">
        <f t="shared" si="9"/>
        <v>2293.2660000000001</v>
      </c>
      <c r="AL28" s="42">
        <v>115</v>
      </c>
      <c r="AM28" s="42">
        <v>26.869499999999999</v>
      </c>
      <c r="AN28" s="38">
        <f t="shared" si="10"/>
        <v>3089.9924999999998</v>
      </c>
      <c r="AO28" s="44"/>
      <c r="AP28" s="42">
        <v>189</v>
      </c>
      <c r="AQ28" s="42">
        <v>26.9023</v>
      </c>
      <c r="AR28" s="42"/>
      <c r="AT28" s="25">
        <v>85</v>
      </c>
      <c r="AU28" s="98">
        <v>26.9</v>
      </c>
      <c r="AV28" s="35">
        <f>AT28*AU28</f>
        <v>2286.5</v>
      </c>
      <c r="AW28" s="104"/>
      <c r="AX28" s="42"/>
      <c r="AY28" s="42"/>
      <c r="AZ28" s="42"/>
      <c r="BA28" s="42"/>
      <c r="BB28" s="42"/>
      <c r="BC28" s="42"/>
      <c r="BD28" s="38">
        <f t="shared" si="11"/>
        <v>0</v>
      </c>
      <c r="BE28" s="42"/>
      <c r="BF28" s="42"/>
      <c r="BG28" s="42"/>
      <c r="BH28" s="38">
        <f t="shared" si="12"/>
        <v>0</v>
      </c>
      <c r="BI28" s="42"/>
      <c r="BJ28" s="42"/>
      <c r="BK28" s="42"/>
      <c r="BL28" s="38">
        <f t="shared" si="13"/>
        <v>0</v>
      </c>
      <c r="BM28" s="42"/>
      <c r="BN28" s="42"/>
      <c r="BO28" s="42"/>
      <c r="BP28" s="42"/>
      <c r="BR28" s="42">
        <f t="shared" si="14"/>
        <v>22880.259000000002</v>
      </c>
      <c r="BS28" s="43">
        <f t="shared" si="15"/>
        <v>5737.3049999999967</v>
      </c>
      <c r="BT28" s="42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  <c r="IX28" s="31"/>
      <c r="IY28" s="31"/>
      <c r="IZ28" s="31"/>
      <c r="JA28" s="31"/>
      <c r="JB28" s="31"/>
      <c r="JC28" s="31"/>
      <c r="JD28" s="31"/>
      <c r="JE28" s="31"/>
      <c r="JF28" s="31"/>
      <c r="JG28" s="31"/>
      <c r="JH28" s="31"/>
      <c r="JI28" s="31"/>
      <c r="JJ28" s="31"/>
      <c r="JK28" s="31"/>
      <c r="JL28" s="31"/>
      <c r="JM28" s="31"/>
      <c r="JN28" s="31"/>
      <c r="JO28" s="31"/>
      <c r="JP28" s="31"/>
      <c r="JQ28" s="31"/>
      <c r="JR28" s="31"/>
      <c r="JS28" s="31"/>
      <c r="JT28" s="31"/>
      <c r="JU28" s="31"/>
      <c r="JV28" s="31"/>
      <c r="JW28" s="31"/>
      <c r="JX28" s="31"/>
      <c r="JY28" s="31"/>
      <c r="JZ28" s="31"/>
      <c r="KA28" s="31"/>
      <c r="KB28" s="31"/>
      <c r="KC28" s="31"/>
      <c r="KD28" s="31"/>
      <c r="KE28" s="31"/>
      <c r="KF28" s="31"/>
      <c r="KG28" s="31"/>
      <c r="KH28" s="31"/>
      <c r="KI28" s="31"/>
      <c r="KJ28" s="31"/>
      <c r="KK28" s="31"/>
      <c r="KL28" s="31"/>
      <c r="KM28" s="31"/>
      <c r="KN28" s="31"/>
      <c r="KO28" s="31"/>
      <c r="KP28" s="31"/>
      <c r="KQ28" s="31"/>
      <c r="KR28" s="31"/>
      <c r="KS28" s="31"/>
      <c r="KT28" s="31"/>
      <c r="KU28" s="31"/>
      <c r="KV28" s="31"/>
      <c r="KW28" s="31"/>
      <c r="KX28" s="31"/>
      <c r="KY28" s="31"/>
      <c r="KZ28" s="31"/>
      <c r="LA28" s="31"/>
      <c r="LB28" s="31"/>
      <c r="LC28" s="31"/>
      <c r="LD28" s="31"/>
      <c r="LE28" s="31"/>
      <c r="LF28" s="31"/>
      <c r="LG28" s="31"/>
      <c r="LH28" s="31"/>
      <c r="LI28" s="31"/>
      <c r="LJ28" s="31"/>
      <c r="LK28" s="31"/>
      <c r="LL28" s="31"/>
      <c r="LM28" s="31"/>
      <c r="LN28" s="31"/>
      <c r="LO28" s="31"/>
      <c r="LP28" s="31"/>
      <c r="LQ28" s="31"/>
      <c r="LR28" s="31"/>
      <c r="LS28" s="31"/>
      <c r="LT28" s="31"/>
      <c r="LU28" s="31"/>
      <c r="LV28" s="31"/>
      <c r="LW28" s="31"/>
      <c r="LX28" s="31"/>
      <c r="LY28" s="31"/>
      <c r="LZ28" s="31"/>
      <c r="MA28" s="31"/>
      <c r="MB28" s="31"/>
      <c r="MC28" s="31"/>
      <c r="MD28" s="31"/>
      <c r="ME28" s="31"/>
      <c r="MF28" s="31"/>
      <c r="MG28" s="31"/>
      <c r="MH28" s="31"/>
      <c r="MI28" s="31"/>
      <c r="MJ28" s="31"/>
      <c r="MK28" s="31"/>
      <c r="ML28" s="31"/>
      <c r="MM28" s="31"/>
      <c r="MN28" s="31"/>
      <c r="MO28" s="31"/>
      <c r="MP28" s="31"/>
      <c r="MQ28" s="31"/>
      <c r="MR28" s="31"/>
      <c r="MS28" s="31"/>
      <c r="MT28" s="31"/>
      <c r="MU28" s="31"/>
      <c r="MV28" s="31"/>
      <c r="MW28" s="31"/>
      <c r="MX28" s="31"/>
      <c r="MY28" s="31"/>
      <c r="MZ28" s="31"/>
      <c r="NA28" s="31"/>
      <c r="NB28" s="31"/>
      <c r="NC28" s="31"/>
      <c r="ND28" s="31"/>
      <c r="NE28" s="31"/>
      <c r="NF28" s="31"/>
      <c r="NG28" s="31"/>
      <c r="NH28" s="31"/>
      <c r="NI28" s="31"/>
      <c r="NJ28" s="31"/>
      <c r="NK28" s="31"/>
      <c r="NL28" s="31"/>
      <c r="NM28" s="31"/>
      <c r="NN28" s="31"/>
      <c r="NO28" s="31"/>
      <c r="NP28" s="31"/>
      <c r="NQ28" s="31"/>
      <c r="NR28" s="31"/>
      <c r="NS28" s="31"/>
      <c r="NT28" s="31"/>
      <c r="NU28" s="31"/>
      <c r="NV28" s="31"/>
      <c r="NW28" s="31"/>
      <c r="NX28" s="31"/>
      <c r="NY28" s="31"/>
      <c r="NZ28" s="31"/>
      <c r="OA28" s="31"/>
      <c r="OB28" s="31"/>
      <c r="OC28" s="31"/>
      <c r="OD28" s="31"/>
      <c r="OE28" s="31"/>
      <c r="OF28" s="31"/>
      <c r="OG28" s="31"/>
      <c r="OH28" s="31"/>
      <c r="OI28" s="31"/>
      <c r="OJ28" s="31"/>
      <c r="OK28" s="31"/>
      <c r="OL28" s="31"/>
      <c r="OM28" s="31"/>
      <c r="ON28" s="31"/>
      <c r="OO28" s="31"/>
      <c r="OP28" s="31"/>
      <c r="OQ28" s="31"/>
      <c r="OR28" s="31"/>
      <c r="OS28" s="31"/>
      <c r="OT28" s="31"/>
      <c r="OU28" s="31"/>
      <c r="OV28" s="31"/>
      <c r="OW28" s="31"/>
      <c r="OX28" s="31"/>
    </row>
    <row r="29" spans="2:414" s="25" customFormat="1" ht="15.6">
      <c r="B29" s="25" t="s">
        <v>57</v>
      </c>
      <c r="C29" s="27" t="s">
        <v>58</v>
      </c>
      <c r="D29" s="30" t="s">
        <v>32</v>
      </c>
      <c r="G29" s="42">
        <v>500</v>
      </c>
      <c r="H29" s="89">
        <v>26.109000000000002</v>
      </c>
      <c r="I29" s="38">
        <f t="shared" si="1"/>
        <v>13054.5</v>
      </c>
      <c r="K29" s="42">
        <v>500</v>
      </c>
      <c r="L29" s="90">
        <v>26.849599999999999</v>
      </c>
      <c r="M29" s="38">
        <f t="shared" si="2"/>
        <v>13424.8</v>
      </c>
      <c r="O29" s="38">
        <v>80</v>
      </c>
      <c r="P29" s="38">
        <v>26.728300000000001</v>
      </c>
      <c r="Q29" s="38">
        <f t="shared" si="3"/>
        <v>2138.2640000000001</v>
      </c>
      <c r="R29" s="43">
        <f t="shared" si="16"/>
        <v>1080</v>
      </c>
      <c r="S29" s="38">
        <f t="shared" si="4"/>
        <v>28617.563999999998</v>
      </c>
      <c r="T29" s="49">
        <v>415</v>
      </c>
      <c r="U29" s="42">
        <v>26.283100000000001</v>
      </c>
      <c r="V29" s="38">
        <f t="shared" si="18"/>
        <v>10907.486500000001</v>
      </c>
      <c r="W29" s="42">
        <v>85</v>
      </c>
      <c r="X29" s="42">
        <v>26.283100000000001</v>
      </c>
      <c r="Y29" s="38">
        <f t="shared" si="17"/>
        <v>2234.0635000000002</v>
      </c>
      <c r="Z29" s="42">
        <v>300</v>
      </c>
      <c r="AA29" s="42">
        <v>26.856000000000002</v>
      </c>
      <c r="AB29" s="42">
        <f t="shared" si="19"/>
        <v>8056.8</v>
      </c>
      <c r="AD29" s="42">
        <v>115</v>
      </c>
      <c r="AE29" s="42">
        <v>26.934999999999999</v>
      </c>
      <c r="AF29" s="42">
        <f t="shared" si="20"/>
        <v>3097.5249999999996</v>
      </c>
      <c r="AG29" s="42"/>
      <c r="AH29" s="42">
        <v>85</v>
      </c>
      <c r="AI29" s="42">
        <v>26.934999999999999</v>
      </c>
      <c r="AJ29" s="38">
        <f t="shared" si="9"/>
        <v>2289.4749999999999</v>
      </c>
      <c r="AL29" s="42"/>
      <c r="AM29" s="42"/>
      <c r="AN29" s="38">
        <f t="shared" si="10"/>
        <v>0</v>
      </c>
      <c r="AO29" s="44"/>
      <c r="AP29" s="42"/>
      <c r="AQ29" s="42"/>
      <c r="AR29" s="42"/>
      <c r="AU29" s="98"/>
      <c r="AV29" s="35"/>
      <c r="AW29" s="104"/>
      <c r="AX29" s="42"/>
      <c r="AY29" s="42"/>
      <c r="AZ29" s="42"/>
      <c r="BA29" s="42"/>
      <c r="BB29" s="42"/>
      <c r="BC29" s="42"/>
      <c r="BD29" s="38">
        <f t="shared" si="11"/>
        <v>0</v>
      </c>
      <c r="BE29" s="42"/>
      <c r="BF29" s="42"/>
      <c r="BG29" s="42"/>
      <c r="BH29" s="38">
        <f t="shared" si="12"/>
        <v>0</v>
      </c>
      <c r="BI29" s="42"/>
      <c r="BJ29" s="42"/>
      <c r="BK29" s="42"/>
      <c r="BL29" s="38">
        <f t="shared" si="13"/>
        <v>0</v>
      </c>
      <c r="BM29" s="42"/>
      <c r="BN29" s="42"/>
      <c r="BO29" s="42"/>
      <c r="BP29" s="42"/>
      <c r="BR29" s="42">
        <f t="shared" si="14"/>
        <v>26585.35</v>
      </c>
      <c r="BS29" s="43">
        <f t="shared" si="15"/>
        <v>2032.2139999999999</v>
      </c>
      <c r="BT29" s="42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A29" s="31"/>
      <c r="MB29" s="31"/>
      <c r="MC29" s="31"/>
      <c r="MD29" s="31"/>
      <c r="ME29" s="31"/>
      <c r="MF29" s="31"/>
      <c r="MG29" s="31"/>
      <c r="MH29" s="31"/>
      <c r="MI29" s="31"/>
      <c r="MJ29" s="31"/>
      <c r="MK29" s="31"/>
      <c r="ML29" s="31"/>
      <c r="MM29" s="31"/>
      <c r="MN29" s="31"/>
      <c r="MO29" s="31"/>
      <c r="MP29" s="31"/>
      <c r="MQ29" s="31"/>
      <c r="MR29" s="31"/>
      <c r="MS29" s="31"/>
      <c r="MT29" s="31"/>
      <c r="MU29" s="31"/>
      <c r="MV29" s="31"/>
      <c r="MW29" s="31"/>
      <c r="MX29" s="31"/>
      <c r="MY29" s="31"/>
      <c r="MZ29" s="31"/>
      <c r="NA29" s="31"/>
      <c r="NB29" s="31"/>
      <c r="NC29" s="31"/>
      <c r="ND29" s="31"/>
      <c r="NE29" s="31"/>
      <c r="NF29" s="31"/>
      <c r="NG29" s="31"/>
      <c r="NH29" s="31"/>
      <c r="NI29" s="31"/>
      <c r="NJ29" s="31"/>
      <c r="NK29" s="31"/>
      <c r="NL29" s="31"/>
      <c r="NM29" s="31"/>
      <c r="NN29" s="31"/>
      <c r="NO29" s="31"/>
      <c r="NP29" s="31"/>
      <c r="NQ29" s="31"/>
      <c r="NR29" s="31"/>
      <c r="NS29" s="31"/>
      <c r="NT29" s="31"/>
      <c r="NU29" s="31"/>
      <c r="NV29" s="31"/>
      <c r="NW29" s="31"/>
      <c r="NX29" s="31"/>
      <c r="NY29" s="31"/>
      <c r="NZ29" s="31"/>
      <c r="OA29" s="31"/>
      <c r="OB29" s="31"/>
      <c r="OC29" s="31"/>
      <c r="OD29" s="31"/>
      <c r="OE29" s="31"/>
      <c r="OF29" s="31"/>
      <c r="OG29" s="31"/>
      <c r="OH29" s="31"/>
      <c r="OI29" s="31"/>
      <c r="OJ29" s="31"/>
      <c r="OK29" s="31"/>
      <c r="OL29" s="31"/>
      <c r="OM29" s="31"/>
      <c r="ON29" s="31"/>
      <c r="OO29" s="31"/>
      <c r="OP29" s="31"/>
      <c r="OQ29" s="31"/>
      <c r="OR29" s="31"/>
      <c r="OS29" s="31"/>
      <c r="OT29" s="31"/>
      <c r="OU29" s="31"/>
      <c r="OV29" s="31"/>
      <c r="OW29" s="31"/>
      <c r="OX29" s="31"/>
    </row>
    <row r="30" spans="2:414" s="25" customFormat="1" ht="15.6">
      <c r="B30" s="25" t="s">
        <v>59</v>
      </c>
      <c r="C30" s="27" t="s">
        <v>21</v>
      </c>
      <c r="D30" s="30" t="s">
        <v>32</v>
      </c>
      <c r="G30" s="42">
        <v>500</v>
      </c>
      <c r="H30" s="89">
        <v>26.109000000000002</v>
      </c>
      <c r="I30" s="38">
        <f t="shared" si="1"/>
        <v>13054.5</v>
      </c>
      <c r="K30" s="42">
        <v>500</v>
      </c>
      <c r="L30" s="90">
        <v>26.849599999999999</v>
      </c>
      <c r="M30" s="38">
        <f t="shared" si="2"/>
        <v>13424.8</v>
      </c>
      <c r="O30" s="38">
        <v>80</v>
      </c>
      <c r="P30" s="38">
        <v>26.728300000000001</v>
      </c>
      <c r="Q30" s="38">
        <f t="shared" si="3"/>
        <v>2138.2640000000001</v>
      </c>
      <c r="R30" s="43">
        <f t="shared" si="16"/>
        <v>1080</v>
      </c>
      <c r="S30" s="38">
        <f t="shared" si="4"/>
        <v>28617.563999999998</v>
      </c>
      <c r="T30" s="49">
        <v>85</v>
      </c>
      <c r="U30" s="42"/>
      <c r="V30" s="38">
        <f t="shared" si="18"/>
        <v>0</v>
      </c>
      <c r="W30" s="42">
        <v>215</v>
      </c>
      <c r="X30" s="42">
        <v>26.3461</v>
      </c>
      <c r="Y30" s="38">
        <f t="shared" si="17"/>
        <v>5664.4115000000002</v>
      </c>
      <c r="Z30" s="42">
        <v>200</v>
      </c>
      <c r="AA30" s="42">
        <v>26.730699999999999</v>
      </c>
      <c r="AB30" s="42">
        <f t="shared" si="19"/>
        <v>5346.1399999999994</v>
      </c>
      <c r="AD30" s="42">
        <v>215</v>
      </c>
      <c r="AE30" s="42"/>
      <c r="AF30" s="42">
        <f t="shared" si="20"/>
        <v>0</v>
      </c>
      <c r="AG30" s="42"/>
      <c r="AH30" s="42">
        <v>200</v>
      </c>
      <c r="AI30" s="42"/>
      <c r="AJ30" s="38">
        <f t="shared" si="9"/>
        <v>0</v>
      </c>
      <c r="AL30" s="42">
        <v>200</v>
      </c>
      <c r="AM30" s="42"/>
      <c r="AN30" s="38">
        <f t="shared" si="10"/>
        <v>0</v>
      </c>
      <c r="AO30" s="44"/>
      <c r="AP30" s="42"/>
      <c r="AQ30" s="42"/>
      <c r="AR30" s="42"/>
      <c r="AU30" s="98"/>
      <c r="AV30" s="35"/>
      <c r="AW30" s="104"/>
      <c r="AX30" s="42"/>
      <c r="AY30" s="42"/>
      <c r="AZ30" s="42"/>
      <c r="BA30" s="42"/>
      <c r="BB30" s="42"/>
      <c r="BC30" s="42"/>
      <c r="BD30" s="38">
        <f t="shared" si="11"/>
        <v>0</v>
      </c>
      <c r="BE30" s="42"/>
      <c r="BF30" s="42"/>
      <c r="BG30" s="42"/>
      <c r="BH30" s="38">
        <f t="shared" si="12"/>
        <v>0</v>
      </c>
      <c r="BI30" s="42"/>
      <c r="BJ30" s="42"/>
      <c r="BK30" s="42"/>
      <c r="BL30" s="38">
        <f t="shared" si="13"/>
        <v>0</v>
      </c>
      <c r="BM30" s="42"/>
      <c r="BN30" s="42"/>
      <c r="BO30" s="42"/>
      <c r="BP30" s="42"/>
      <c r="BR30" s="42">
        <f t="shared" si="14"/>
        <v>11010.5515</v>
      </c>
      <c r="BS30" s="43">
        <f t="shared" si="15"/>
        <v>17607.012499999997</v>
      </c>
      <c r="BT30" s="42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  <c r="IX30" s="31"/>
      <c r="IY30" s="31"/>
      <c r="IZ30" s="31"/>
      <c r="JA30" s="31"/>
      <c r="JB30" s="31"/>
      <c r="JC30" s="31"/>
      <c r="JD30" s="31"/>
      <c r="JE30" s="31"/>
      <c r="JF30" s="31"/>
      <c r="JG30" s="31"/>
      <c r="JH30" s="31"/>
      <c r="JI30" s="31"/>
      <c r="JJ30" s="31"/>
      <c r="JK30" s="31"/>
      <c r="JL30" s="31"/>
      <c r="JM30" s="31"/>
      <c r="JN30" s="31"/>
      <c r="JO30" s="31"/>
      <c r="JP30" s="31"/>
      <c r="JQ30" s="31"/>
      <c r="JR30" s="31"/>
      <c r="JS30" s="31"/>
      <c r="JT30" s="31"/>
      <c r="JU30" s="31"/>
      <c r="JV30" s="31"/>
      <c r="JW30" s="31"/>
      <c r="JX30" s="31"/>
      <c r="JY30" s="31"/>
      <c r="JZ30" s="31"/>
      <c r="KA30" s="31"/>
      <c r="KB30" s="31"/>
      <c r="KC30" s="31"/>
      <c r="KD30" s="31"/>
      <c r="KE30" s="31"/>
      <c r="KF30" s="31"/>
      <c r="KG30" s="31"/>
      <c r="KH30" s="31"/>
      <c r="KI30" s="31"/>
      <c r="KJ30" s="31"/>
      <c r="KK30" s="31"/>
      <c r="KL30" s="31"/>
      <c r="KM30" s="31"/>
      <c r="KN30" s="31"/>
      <c r="KO30" s="31"/>
      <c r="KP30" s="31"/>
      <c r="KQ30" s="31"/>
      <c r="KR30" s="31"/>
      <c r="KS30" s="31"/>
      <c r="KT30" s="31"/>
      <c r="KU30" s="31"/>
      <c r="KV30" s="31"/>
      <c r="KW30" s="31"/>
      <c r="KX30" s="31"/>
      <c r="KY30" s="31"/>
      <c r="KZ30" s="31"/>
      <c r="LA30" s="31"/>
      <c r="LB30" s="31"/>
      <c r="LC30" s="31"/>
      <c r="LD30" s="31"/>
      <c r="LE30" s="31"/>
      <c r="LF30" s="31"/>
      <c r="LG30" s="31"/>
      <c r="LH30" s="31"/>
      <c r="LI30" s="31"/>
      <c r="LJ30" s="31"/>
      <c r="LK30" s="31"/>
      <c r="LL30" s="31"/>
      <c r="LM30" s="31"/>
      <c r="LN30" s="31"/>
      <c r="LO30" s="31"/>
      <c r="LP30" s="31"/>
      <c r="LQ30" s="31"/>
      <c r="LR30" s="31"/>
      <c r="LS30" s="31"/>
      <c r="LT30" s="31"/>
      <c r="LU30" s="31"/>
      <c r="LV30" s="31"/>
      <c r="LW30" s="31"/>
      <c r="LX30" s="31"/>
      <c r="LY30" s="31"/>
      <c r="LZ30" s="31"/>
      <c r="MA30" s="31"/>
      <c r="MB30" s="31"/>
      <c r="MC30" s="31"/>
      <c r="MD30" s="31"/>
      <c r="ME30" s="31"/>
      <c r="MF30" s="31"/>
      <c r="MG30" s="31"/>
      <c r="MH30" s="31"/>
      <c r="MI30" s="31"/>
      <c r="MJ30" s="31"/>
      <c r="MK30" s="31"/>
      <c r="ML30" s="31"/>
      <c r="MM30" s="31"/>
      <c r="MN30" s="31"/>
      <c r="MO30" s="31"/>
      <c r="MP30" s="31"/>
      <c r="MQ30" s="31"/>
      <c r="MR30" s="31"/>
      <c r="MS30" s="31"/>
      <c r="MT30" s="31"/>
      <c r="MU30" s="31"/>
      <c r="MV30" s="31"/>
      <c r="MW30" s="31"/>
      <c r="MX30" s="31"/>
      <c r="MY30" s="31"/>
      <c r="MZ30" s="31"/>
      <c r="NA30" s="31"/>
      <c r="NB30" s="31"/>
      <c r="NC30" s="31"/>
      <c r="ND30" s="31"/>
      <c r="NE30" s="31"/>
      <c r="NF30" s="31"/>
      <c r="NG30" s="31"/>
      <c r="NH30" s="31"/>
      <c r="NI30" s="31"/>
      <c r="NJ30" s="31"/>
      <c r="NK30" s="31"/>
      <c r="NL30" s="31"/>
      <c r="NM30" s="31"/>
      <c r="NN30" s="31"/>
      <c r="NO30" s="31"/>
      <c r="NP30" s="31"/>
      <c r="NQ30" s="31"/>
      <c r="NR30" s="31"/>
      <c r="NS30" s="31"/>
      <c r="NT30" s="31"/>
      <c r="NU30" s="31"/>
      <c r="NV30" s="31"/>
      <c r="NW30" s="31"/>
      <c r="NX30" s="31"/>
      <c r="NY30" s="31"/>
      <c r="NZ30" s="31"/>
      <c r="OA30" s="31"/>
      <c r="OB30" s="31"/>
      <c r="OC30" s="31"/>
      <c r="OD30" s="31"/>
      <c r="OE30" s="31"/>
      <c r="OF30" s="31"/>
      <c r="OG30" s="31"/>
      <c r="OH30" s="31"/>
      <c r="OI30" s="31"/>
      <c r="OJ30" s="31"/>
      <c r="OK30" s="31"/>
      <c r="OL30" s="31"/>
      <c r="OM30" s="31"/>
      <c r="ON30" s="31"/>
      <c r="OO30" s="31"/>
      <c r="OP30" s="31"/>
      <c r="OQ30" s="31"/>
      <c r="OR30" s="31"/>
      <c r="OS30" s="31"/>
      <c r="OT30" s="31"/>
      <c r="OU30" s="31"/>
      <c r="OV30" s="31"/>
      <c r="OW30" s="31"/>
      <c r="OX30" s="31"/>
    </row>
    <row r="31" spans="2:414" s="25" customFormat="1" ht="15.6">
      <c r="B31" s="25" t="s">
        <v>60</v>
      </c>
      <c r="C31" s="27" t="s">
        <v>61</v>
      </c>
      <c r="D31" s="30" t="s">
        <v>32</v>
      </c>
      <c r="G31" s="42">
        <v>500</v>
      </c>
      <c r="H31" s="89">
        <v>26.109000000000002</v>
      </c>
      <c r="I31" s="38">
        <f t="shared" si="1"/>
        <v>13054.5</v>
      </c>
      <c r="K31" s="42">
        <v>500</v>
      </c>
      <c r="L31" s="90">
        <v>26.849599999999999</v>
      </c>
      <c r="M31" s="38">
        <f t="shared" si="2"/>
        <v>13424.8</v>
      </c>
      <c r="O31" s="38">
        <v>80</v>
      </c>
      <c r="P31" s="38">
        <v>26.728300000000001</v>
      </c>
      <c r="Q31" s="38">
        <f t="shared" si="3"/>
        <v>2138.2640000000001</v>
      </c>
      <c r="R31" s="43">
        <f t="shared" si="16"/>
        <v>1080</v>
      </c>
      <c r="S31" s="38">
        <f t="shared" si="4"/>
        <v>28617.563999999998</v>
      </c>
      <c r="T31" s="49">
        <v>415</v>
      </c>
      <c r="U31" s="42"/>
      <c r="V31" s="38">
        <f t="shared" si="18"/>
        <v>0</v>
      </c>
      <c r="W31" s="42"/>
      <c r="X31" s="42"/>
      <c r="Y31" s="38">
        <f t="shared" si="17"/>
        <v>0</v>
      </c>
      <c r="Z31" s="42"/>
      <c r="AA31" s="42"/>
      <c r="AB31" s="42">
        <f t="shared" si="19"/>
        <v>0</v>
      </c>
      <c r="AD31" s="42">
        <v>85</v>
      </c>
      <c r="AE31" s="42"/>
      <c r="AF31" s="42">
        <f t="shared" si="20"/>
        <v>0</v>
      </c>
      <c r="AG31" s="42"/>
      <c r="AH31" s="42"/>
      <c r="AI31" s="42"/>
      <c r="AJ31" s="38">
        <f t="shared" si="9"/>
        <v>0</v>
      </c>
      <c r="AL31" s="42"/>
      <c r="AM31" s="42"/>
      <c r="AN31" s="38">
        <f t="shared" si="10"/>
        <v>0</v>
      </c>
      <c r="AO31" s="44"/>
      <c r="AP31" s="42"/>
      <c r="AQ31" s="42"/>
      <c r="AR31" s="42"/>
      <c r="AU31" s="98"/>
      <c r="AV31" s="35"/>
      <c r="AW31" s="104"/>
      <c r="AX31" s="42"/>
      <c r="AY31" s="42"/>
      <c r="AZ31" s="42"/>
      <c r="BA31" s="42"/>
      <c r="BB31" s="42"/>
      <c r="BC31" s="42"/>
      <c r="BD31" s="38">
        <f t="shared" si="11"/>
        <v>0</v>
      </c>
      <c r="BE31" s="42"/>
      <c r="BF31" s="42"/>
      <c r="BG31" s="42"/>
      <c r="BH31" s="38">
        <f t="shared" si="12"/>
        <v>0</v>
      </c>
      <c r="BI31" s="42"/>
      <c r="BJ31" s="42"/>
      <c r="BK31" s="42"/>
      <c r="BL31" s="38">
        <f t="shared" si="13"/>
        <v>0</v>
      </c>
      <c r="BM31" s="42"/>
      <c r="BN31" s="42"/>
      <c r="BO31" s="42"/>
      <c r="BP31" s="42"/>
      <c r="BR31" s="42">
        <f t="shared" si="14"/>
        <v>0</v>
      </c>
      <c r="BS31" s="43">
        <f t="shared" si="15"/>
        <v>28617.563999999998</v>
      </c>
      <c r="BT31" s="42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  <c r="IX31" s="31"/>
      <c r="IY31" s="31"/>
      <c r="IZ31" s="31"/>
      <c r="JA31" s="31"/>
      <c r="JB31" s="31"/>
      <c r="JC31" s="31"/>
      <c r="JD31" s="31"/>
      <c r="JE31" s="31"/>
      <c r="JF31" s="31"/>
      <c r="JG31" s="31"/>
      <c r="JH31" s="31"/>
      <c r="JI31" s="31"/>
      <c r="JJ31" s="31"/>
      <c r="JK31" s="31"/>
      <c r="JL31" s="31"/>
      <c r="JM31" s="31"/>
      <c r="JN31" s="31"/>
      <c r="JO31" s="31"/>
      <c r="JP31" s="31"/>
      <c r="JQ31" s="31"/>
      <c r="JR31" s="31"/>
      <c r="JS31" s="31"/>
      <c r="JT31" s="31"/>
      <c r="JU31" s="31"/>
      <c r="JV31" s="31"/>
      <c r="JW31" s="31"/>
      <c r="JX31" s="31"/>
      <c r="JY31" s="31"/>
      <c r="JZ31" s="31"/>
      <c r="KA31" s="31"/>
      <c r="KB31" s="31"/>
      <c r="KC31" s="31"/>
      <c r="KD31" s="31"/>
      <c r="KE31" s="31"/>
      <c r="KF31" s="31"/>
      <c r="KG31" s="31"/>
      <c r="KH31" s="31"/>
      <c r="KI31" s="31"/>
      <c r="KJ31" s="31"/>
      <c r="KK31" s="31"/>
      <c r="KL31" s="31"/>
      <c r="KM31" s="31"/>
      <c r="KN31" s="31"/>
      <c r="KO31" s="31"/>
      <c r="KP31" s="31"/>
      <c r="KQ31" s="31"/>
      <c r="KR31" s="31"/>
      <c r="KS31" s="31"/>
      <c r="KT31" s="31"/>
      <c r="KU31" s="31"/>
      <c r="KV31" s="31"/>
      <c r="KW31" s="31"/>
      <c r="KX31" s="31"/>
      <c r="KY31" s="31"/>
      <c r="KZ31" s="31"/>
      <c r="LA31" s="31"/>
      <c r="LB31" s="31"/>
      <c r="LC31" s="31"/>
      <c r="LD31" s="31"/>
      <c r="LE31" s="31"/>
      <c r="LF31" s="31"/>
      <c r="LG31" s="31"/>
      <c r="LH31" s="31"/>
      <c r="LI31" s="31"/>
      <c r="LJ31" s="31"/>
      <c r="LK31" s="31"/>
      <c r="LL31" s="31"/>
      <c r="LM31" s="31"/>
      <c r="LN31" s="31"/>
      <c r="LO31" s="31"/>
      <c r="LP31" s="31"/>
      <c r="LQ31" s="31"/>
      <c r="LR31" s="31"/>
      <c r="LS31" s="31"/>
      <c r="LT31" s="31"/>
      <c r="LU31" s="31"/>
      <c r="LV31" s="31"/>
      <c r="LW31" s="31"/>
      <c r="LX31" s="31"/>
      <c r="LY31" s="31"/>
      <c r="LZ31" s="31"/>
      <c r="MA31" s="31"/>
      <c r="MB31" s="31"/>
      <c r="MC31" s="31"/>
      <c r="MD31" s="31"/>
      <c r="ME31" s="31"/>
      <c r="MF31" s="31"/>
      <c r="MG31" s="31"/>
      <c r="MH31" s="31"/>
      <c r="MI31" s="31"/>
      <c r="MJ31" s="31"/>
      <c r="MK31" s="31"/>
      <c r="ML31" s="31"/>
      <c r="MM31" s="31"/>
      <c r="MN31" s="31"/>
      <c r="MO31" s="31"/>
      <c r="MP31" s="31"/>
      <c r="MQ31" s="31"/>
      <c r="MR31" s="31"/>
      <c r="MS31" s="31"/>
      <c r="MT31" s="31"/>
      <c r="MU31" s="31"/>
      <c r="MV31" s="31"/>
      <c r="MW31" s="31"/>
      <c r="MX31" s="31"/>
      <c r="MY31" s="31"/>
      <c r="MZ31" s="31"/>
      <c r="NA31" s="31"/>
      <c r="NB31" s="31"/>
      <c r="NC31" s="31"/>
      <c r="ND31" s="31"/>
      <c r="NE31" s="31"/>
      <c r="NF31" s="31"/>
      <c r="NG31" s="31"/>
      <c r="NH31" s="31"/>
      <c r="NI31" s="31"/>
      <c r="NJ31" s="31"/>
      <c r="NK31" s="31"/>
      <c r="NL31" s="31"/>
      <c r="NM31" s="31"/>
      <c r="NN31" s="31"/>
      <c r="NO31" s="31"/>
      <c r="NP31" s="31"/>
      <c r="NQ31" s="31"/>
      <c r="NR31" s="31"/>
      <c r="NS31" s="31"/>
      <c r="NT31" s="31"/>
      <c r="NU31" s="31"/>
      <c r="NV31" s="31"/>
      <c r="NW31" s="31"/>
      <c r="NX31" s="31"/>
      <c r="NY31" s="31"/>
      <c r="NZ31" s="31"/>
      <c r="OA31" s="31"/>
      <c r="OB31" s="31"/>
      <c r="OC31" s="31"/>
      <c r="OD31" s="31"/>
      <c r="OE31" s="31"/>
      <c r="OF31" s="31"/>
      <c r="OG31" s="31"/>
      <c r="OH31" s="31"/>
      <c r="OI31" s="31"/>
      <c r="OJ31" s="31"/>
      <c r="OK31" s="31"/>
      <c r="OL31" s="31"/>
      <c r="OM31" s="31"/>
      <c r="ON31" s="31"/>
      <c r="OO31" s="31"/>
      <c r="OP31" s="31"/>
      <c r="OQ31" s="31"/>
      <c r="OR31" s="31"/>
      <c r="OS31" s="31"/>
      <c r="OT31" s="31"/>
      <c r="OU31" s="31"/>
      <c r="OV31" s="31"/>
      <c r="OW31" s="31"/>
      <c r="OX31" s="31"/>
    </row>
    <row r="32" spans="2:414" s="25" customFormat="1" ht="15.6">
      <c r="B32" s="25" t="s">
        <v>62</v>
      </c>
      <c r="C32" s="27" t="s">
        <v>63</v>
      </c>
      <c r="D32" s="30" t="s">
        <v>32</v>
      </c>
      <c r="G32" s="42">
        <v>500</v>
      </c>
      <c r="H32" s="89">
        <v>26.109000000000002</v>
      </c>
      <c r="I32" s="38">
        <f t="shared" si="1"/>
        <v>13054.5</v>
      </c>
      <c r="K32" s="42">
        <v>500</v>
      </c>
      <c r="L32" s="90">
        <v>26.849599999999999</v>
      </c>
      <c r="M32" s="38">
        <f t="shared" si="2"/>
        <v>13424.8</v>
      </c>
      <c r="O32" s="38">
        <v>80</v>
      </c>
      <c r="P32" s="38">
        <v>26.728300000000001</v>
      </c>
      <c r="Q32" s="38">
        <f t="shared" si="3"/>
        <v>2138.2640000000001</v>
      </c>
      <c r="R32" s="43">
        <f t="shared" si="16"/>
        <v>1080</v>
      </c>
      <c r="S32" s="38">
        <f t="shared" si="4"/>
        <v>28617.563999999998</v>
      </c>
      <c r="T32" s="49">
        <v>415</v>
      </c>
      <c r="U32" s="42"/>
      <c r="V32" s="38">
        <f t="shared" si="18"/>
        <v>0</v>
      </c>
      <c r="W32" s="42"/>
      <c r="X32" s="42"/>
      <c r="Y32" s="38">
        <f t="shared" si="17"/>
        <v>0</v>
      </c>
      <c r="Z32" s="42"/>
      <c r="AA32" s="42"/>
      <c r="AB32" s="42">
        <f t="shared" si="19"/>
        <v>0</v>
      </c>
      <c r="AD32" s="42">
        <v>85</v>
      </c>
      <c r="AE32" s="42"/>
      <c r="AF32" s="42">
        <f t="shared" si="20"/>
        <v>0</v>
      </c>
      <c r="AG32" s="42"/>
      <c r="AH32" s="42"/>
      <c r="AI32" s="42"/>
      <c r="AJ32" s="38">
        <f t="shared" si="9"/>
        <v>0</v>
      </c>
      <c r="AL32" s="42"/>
      <c r="AM32" s="42"/>
      <c r="AN32" s="38">
        <f t="shared" si="10"/>
        <v>0</v>
      </c>
      <c r="AO32" s="44"/>
      <c r="AP32" s="42"/>
      <c r="AQ32" s="42"/>
      <c r="AR32" s="42"/>
      <c r="AU32" s="98"/>
      <c r="AV32" s="35"/>
      <c r="AW32" s="104"/>
      <c r="AX32" s="42"/>
      <c r="AY32" s="42"/>
      <c r="AZ32" s="42"/>
      <c r="BA32" s="42"/>
      <c r="BB32" s="42"/>
      <c r="BC32" s="42"/>
      <c r="BD32" s="38">
        <f t="shared" si="11"/>
        <v>0</v>
      </c>
      <c r="BE32" s="42"/>
      <c r="BF32" s="42"/>
      <c r="BG32" s="42"/>
      <c r="BH32" s="38">
        <f t="shared" si="12"/>
        <v>0</v>
      </c>
      <c r="BI32" s="42"/>
      <c r="BJ32" s="42"/>
      <c r="BK32" s="42"/>
      <c r="BL32" s="38">
        <f t="shared" si="13"/>
        <v>0</v>
      </c>
      <c r="BM32" s="42"/>
      <c r="BN32" s="42"/>
      <c r="BO32" s="42"/>
      <c r="BP32" s="42"/>
      <c r="BR32" s="42">
        <f t="shared" si="14"/>
        <v>0</v>
      </c>
      <c r="BS32" s="43">
        <f t="shared" si="15"/>
        <v>28617.563999999998</v>
      </c>
      <c r="BT32" s="42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  <c r="JH32" s="31"/>
      <c r="JI32" s="31"/>
      <c r="JJ32" s="31"/>
      <c r="JK32" s="31"/>
      <c r="JL32" s="31"/>
      <c r="JM32" s="31"/>
      <c r="JN32" s="31"/>
      <c r="JO32" s="31"/>
      <c r="JP32" s="31"/>
      <c r="JQ32" s="31"/>
      <c r="JR32" s="31"/>
      <c r="JS32" s="31"/>
      <c r="JT32" s="31"/>
      <c r="JU32" s="31"/>
      <c r="JV32" s="31"/>
      <c r="JW32" s="31"/>
      <c r="JX32" s="31"/>
      <c r="JY32" s="31"/>
      <c r="JZ32" s="31"/>
      <c r="KA32" s="31"/>
      <c r="KB32" s="31"/>
      <c r="KC32" s="31"/>
      <c r="KD32" s="31"/>
      <c r="KE32" s="31"/>
      <c r="KF32" s="31"/>
      <c r="KG32" s="31"/>
      <c r="KH32" s="31"/>
      <c r="KI32" s="31"/>
      <c r="KJ32" s="31"/>
      <c r="KK32" s="31"/>
      <c r="KL32" s="31"/>
      <c r="KM32" s="31"/>
      <c r="KN32" s="31"/>
      <c r="KO32" s="31"/>
      <c r="KP32" s="31"/>
      <c r="KQ32" s="31"/>
      <c r="KR32" s="31"/>
      <c r="KS32" s="31"/>
      <c r="KT32" s="31"/>
      <c r="KU32" s="31"/>
      <c r="KV32" s="31"/>
      <c r="KW32" s="31"/>
      <c r="KX32" s="31"/>
      <c r="KY32" s="31"/>
      <c r="KZ32" s="31"/>
      <c r="LA32" s="31"/>
      <c r="LB32" s="31"/>
      <c r="LC32" s="31"/>
      <c r="LD32" s="31"/>
      <c r="LE32" s="31"/>
      <c r="LF32" s="31"/>
      <c r="LG32" s="31"/>
      <c r="LH32" s="31"/>
      <c r="LI32" s="31"/>
      <c r="LJ32" s="31"/>
      <c r="LK32" s="31"/>
      <c r="LL32" s="31"/>
      <c r="LM32" s="31"/>
      <c r="LN32" s="31"/>
      <c r="LO32" s="31"/>
      <c r="LP32" s="31"/>
      <c r="LQ32" s="31"/>
      <c r="LR32" s="31"/>
      <c r="LS32" s="31"/>
      <c r="LT32" s="31"/>
      <c r="LU32" s="31"/>
      <c r="LV32" s="31"/>
      <c r="LW32" s="31"/>
      <c r="LX32" s="31"/>
      <c r="LY32" s="31"/>
      <c r="LZ32" s="31"/>
      <c r="MA32" s="31"/>
      <c r="MB32" s="31"/>
      <c r="MC32" s="31"/>
      <c r="MD32" s="31"/>
      <c r="ME32" s="31"/>
      <c r="MF32" s="31"/>
      <c r="MG32" s="31"/>
      <c r="MH32" s="31"/>
      <c r="MI32" s="31"/>
      <c r="MJ32" s="31"/>
      <c r="MK32" s="31"/>
      <c r="ML32" s="31"/>
      <c r="MM32" s="31"/>
      <c r="MN32" s="31"/>
      <c r="MO32" s="31"/>
      <c r="MP32" s="31"/>
      <c r="MQ32" s="31"/>
      <c r="MR32" s="31"/>
      <c r="MS32" s="31"/>
      <c r="MT32" s="31"/>
      <c r="MU32" s="31"/>
      <c r="MV32" s="31"/>
      <c r="MW32" s="31"/>
      <c r="MX32" s="31"/>
      <c r="MY32" s="31"/>
      <c r="MZ32" s="31"/>
      <c r="NA32" s="31"/>
      <c r="NB32" s="31"/>
      <c r="NC32" s="31"/>
      <c r="ND32" s="31"/>
      <c r="NE32" s="31"/>
      <c r="NF32" s="31"/>
      <c r="NG32" s="31"/>
      <c r="NH32" s="31"/>
      <c r="NI32" s="31"/>
      <c r="NJ32" s="31"/>
      <c r="NK32" s="31"/>
      <c r="NL32" s="31"/>
      <c r="NM32" s="31"/>
      <c r="NN32" s="31"/>
      <c r="NO32" s="31"/>
      <c r="NP32" s="31"/>
      <c r="NQ32" s="31"/>
      <c r="NR32" s="31"/>
      <c r="NS32" s="31"/>
      <c r="NT32" s="31"/>
      <c r="NU32" s="31"/>
      <c r="NV32" s="31"/>
      <c r="NW32" s="31"/>
      <c r="NX32" s="31"/>
      <c r="NY32" s="31"/>
      <c r="NZ32" s="31"/>
      <c r="OA32" s="31"/>
      <c r="OB32" s="31"/>
      <c r="OC32" s="31"/>
      <c r="OD32" s="31"/>
      <c r="OE32" s="31"/>
      <c r="OF32" s="31"/>
      <c r="OG32" s="31"/>
      <c r="OH32" s="31"/>
      <c r="OI32" s="31"/>
      <c r="OJ32" s="31"/>
      <c r="OK32" s="31"/>
      <c r="OL32" s="31"/>
      <c r="OM32" s="31"/>
      <c r="ON32" s="31"/>
      <c r="OO32" s="31"/>
      <c r="OP32" s="31"/>
      <c r="OQ32" s="31"/>
      <c r="OR32" s="31"/>
      <c r="OS32" s="31"/>
      <c r="OT32" s="31"/>
      <c r="OU32" s="31"/>
      <c r="OV32" s="31"/>
      <c r="OW32" s="31"/>
      <c r="OX32" s="31"/>
    </row>
    <row r="33" spans="2:414" s="25" customFormat="1" ht="15.6">
      <c r="B33" s="25" t="s">
        <v>64</v>
      </c>
      <c r="C33" s="27" t="s">
        <v>22</v>
      </c>
      <c r="D33" s="30" t="s">
        <v>32</v>
      </c>
      <c r="G33" s="42">
        <v>500</v>
      </c>
      <c r="H33" s="89">
        <v>26.109000000000002</v>
      </c>
      <c r="I33" s="38">
        <f t="shared" si="1"/>
        <v>13054.5</v>
      </c>
      <c r="K33" s="42">
        <v>500</v>
      </c>
      <c r="L33" s="90">
        <v>26.849599999999999</v>
      </c>
      <c r="M33" s="38">
        <f t="shared" si="2"/>
        <v>13424.8</v>
      </c>
      <c r="O33" s="38">
        <v>80</v>
      </c>
      <c r="P33" s="38">
        <v>26.728300000000001</v>
      </c>
      <c r="Q33" s="38">
        <f t="shared" si="3"/>
        <v>2138.2640000000001</v>
      </c>
      <c r="R33" s="43">
        <f t="shared" si="16"/>
        <v>1080</v>
      </c>
      <c r="S33" s="38">
        <f t="shared" si="4"/>
        <v>28617.563999999998</v>
      </c>
      <c r="T33" s="49">
        <v>380</v>
      </c>
      <c r="U33" s="42">
        <v>26.283100000000001</v>
      </c>
      <c r="V33" s="38">
        <f t="shared" si="18"/>
        <v>9987.5779999999995</v>
      </c>
      <c r="W33" s="42">
        <v>120</v>
      </c>
      <c r="X33" s="42">
        <v>26.283100000000001</v>
      </c>
      <c r="Y33" s="38">
        <f t="shared" si="17"/>
        <v>3153.9720000000002</v>
      </c>
      <c r="Z33" s="42"/>
      <c r="AA33" s="42">
        <v>26.996500000000001</v>
      </c>
      <c r="AB33" s="42">
        <v>2151</v>
      </c>
      <c r="AD33" s="42"/>
      <c r="AE33" s="42">
        <v>26.945699999999999</v>
      </c>
      <c r="AF33" s="42">
        <v>2000</v>
      </c>
      <c r="AG33" s="42"/>
      <c r="AH33" s="42">
        <v>175</v>
      </c>
      <c r="AI33" s="42">
        <v>26.901399999999999</v>
      </c>
      <c r="AJ33" s="38">
        <f t="shared" si="9"/>
        <v>4707.7449999999999</v>
      </c>
      <c r="AL33" s="42"/>
      <c r="AM33" s="42"/>
      <c r="AN33" s="38">
        <f t="shared" si="10"/>
        <v>0</v>
      </c>
      <c r="AO33" s="44"/>
      <c r="AP33" s="42"/>
      <c r="AQ33" s="42"/>
      <c r="AR33" s="42"/>
      <c r="AU33" s="98"/>
      <c r="AV33" s="35"/>
      <c r="AW33" s="104"/>
      <c r="AX33" s="42"/>
      <c r="AY33" s="42"/>
      <c r="AZ33" s="42"/>
      <c r="BA33" s="42"/>
      <c r="BB33" s="42"/>
      <c r="BC33" s="42"/>
      <c r="BD33" s="38">
        <f t="shared" si="11"/>
        <v>0</v>
      </c>
      <c r="BE33" s="42"/>
      <c r="BF33" s="42"/>
      <c r="BG33" s="42"/>
      <c r="BH33" s="38">
        <f t="shared" si="12"/>
        <v>0</v>
      </c>
      <c r="BI33" s="42"/>
      <c r="BJ33" s="42"/>
      <c r="BK33" s="42"/>
      <c r="BL33" s="38">
        <f t="shared" si="13"/>
        <v>0</v>
      </c>
      <c r="BM33" s="42"/>
      <c r="BN33" s="42"/>
      <c r="BO33" s="42"/>
      <c r="BP33" s="42"/>
      <c r="BR33" s="42">
        <f t="shared" si="14"/>
        <v>22000.294999999998</v>
      </c>
      <c r="BS33" s="43">
        <f t="shared" si="15"/>
        <v>6617.2690000000002</v>
      </c>
      <c r="BT33" s="42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1"/>
      <c r="JD33" s="31"/>
      <c r="JE33" s="31"/>
      <c r="JF33" s="31"/>
      <c r="JG33" s="31"/>
      <c r="JH33" s="31"/>
      <c r="JI33" s="31"/>
      <c r="JJ33" s="31"/>
      <c r="JK33" s="31"/>
      <c r="JL33" s="31"/>
      <c r="JM33" s="31"/>
      <c r="JN33" s="31"/>
      <c r="JO33" s="31"/>
      <c r="JP33" s="31"/>
      <c r="JQ33" s="31"/>
      <c r="JR33" s="31"/>
      <c r="JS33" s="31"/>
      <c r="JT33" s="31"/>
      <c r="JU33" s="31"/>
      <c r="JV33" s="31"/>
      <c r="JW33" s="31"/>
      <c r="JX33" s="31"/>
      <c r="JY33" s="31"/>
      <c r="JZ33" s="31"/>
      <c r="KA33" s="31"/>
      <c r="KB33" s="31"/>
      <c r="KC33" s="31"/>
      <c r="KD33" s="31"/>
      <c r="KE33" s="31"/>
      <c r="KF33" s="31"/>
      <c r="KG33" s="31"/>
      <c r="KH33" s="31"/>
      <c r="KI33" s="31"/>
      <c r="KJ33" s="31"/>
      <c r="KK33" s="31"/>
      <c r="KL33" s="31"/>
      <c r="KM33" s="31"/>
      <c r="KN33" s="31"/>
      <c r="KO33" s="31"/>
      <c r="KP33" s="31"/>
      <c r="KQ33" s="31"/>
      <c r="KR33" s="31"/>
      <c r="KS33" s="31"/>
      <c r="KT33" s="31"/>
      <c r="KU33" s="31"/>
      <c r="KV33" s="31"/>
      <c r="KW33" s="31"/>
      <c r="KX33" s="31"/>
      <c r="KY33" s="31"/>
      <c r="KZ33" s="31"/>
      <c r="LA33" s="31"/>
      <c r="LB33" s="31"/>
      <c r="LC33" s="31"/>
      <c r="LD33" s="31"/>
      <c r="LE33" s="31"/>
      <c r="LF33" s="31"/>
      <c r="LG33" s="31"/>
      <c r="LH33" s="31"/>
      <c r="LI33" s="31"/>
      <c r="LJ33" s="31"/>
      <c r="LK33" s="31"/>
      <c r="LL33" s="31"/>
      <c r="LM33" s="31"/>
      <c r="LN33" s="31"/>
      <c r="LO33" s="31"/>
      <c r="LP33" s="31"/>
      <c r="LQ33" s="31"/>
      <c r="LR33" s="31"/>
      <c r="LS33" s="31"/>
      <c r="LT33" s="31"/>
      <c r="LU33" s="31"/>
      <c r="LV33" s="31"/>
      <c r="LW33" s="31"/>
      <c r="LX33" s="31"/>
      <c r="LY33" s="31"/>
      <c r="LZ33" s="31"/>
      <c r="MA33" s="31"/>
      <c r="MB33" s="31"/>
      <c r="MC33" s="31"/>
      <c r="MD33" s="31"/>
      <c r="ME33" s="31"/>
      <c r="MF33" s="31"/>
      <c r="MG33" s="31"/>
      <c r="MH33" s="31"/>
      <c r="MI33" s="31"/>
      <c r="MJ33" s="31"/>
      <c r="MK33" s="31"/>
      <c r="ML33" s="31"/>
      <c r="MM33" s="31"/>
      <c r="MN33" s="31"/>
      <c r="MO33" s="31"/>
      <c r="MP33" s="31"/>
      <c r="MQ33" s="31"/>
      <c r="MR33" s="31"/>
      <c r="MS33" s="31"/>
      <c r="MT33" s="31"/>
      <c r="MU33" s="31"/>
      <c r="MV33" s="31"/>
      <c r="MW33" s="31"/>
      <c r="MX33" s="31"/>
      <c r="MY33" s="31"/>
      <c r="MZ33" s="31"/>
      <c r="NA33" s="31"/>
      <c r="NB33" s="31"/>
      <c r="NC33" s="31"/>
      <c r="ND33" s="31"/>
      <c r="NE33" s="31"/>
      <c r="NF33" s="31"/>
      <c r="NG33" s="31"/>
      <c r="NH33" s="31"/>
      <c r="NI33" s="31"/>
      <c r="NJ33" s="31"/>
      <c r="NK33" s="31"/>
      <c r="NL33" s="31"/>
      <c r="NM33" s="31"/>
      <c r="NN33" s="31"/>
      <c r="NO33" s="31"/>
      <c r="NP33" s="31"/>
      <c r="NQ33" s="31"/>
      <c r="NR33" s="31"/>
      <c r="NS33" s="31"/>
      <c r="NT33" s="31"/>
      <c r="NU33" s="31"/>
      <c r="NV33" s="31"/>
      <c r="NW33" s="31"/>
      <c r="NX33" s="31"/>
      <c r="NY33" s="31"/>
      <c r="NZ33" s="31"/>
      <c r="OA33" s="31"/>
      <c r="OB33" s="31"/>
      <c r="OC33" s="31"/>
      <c r="OD33" s="31"/>
      <c r="OE33" s="31"/>
      <c r="OF33" s="31"/>
      <c r="OG33" s="31"/>
      <c r="OH33" s="31"/>
      <c r="OI33" s="31"/>
      <c r="OJ33" s="31"/>
      <c r="OK33" s="31"/>
      <c r="OL33" s="31"/>
      <c r="OM33" s="31"/>
      <c r="ON33" s="31"/>
      <c r="OO33" s="31"/>
      <c r="OP33" s="31"/>
      <c r="OQ33" s="31"/>
      <c r="OR33" s="31"/>
      <c r="OS33" s="31"/>
      <c r="OT33" s="31"/>
      <c r="OU33" s="31"/>
      <c r="OV33" s="31"/>
      <c r="OW33" s="31"/>
      <c r="OX33" s="31"/>
    </row>
    <row r="34" spans="2:414" s="25" customFormat="1" ht="15.6">
      <c r="B34" s="25" t="s">
        <v>65</v>
      </c>
      <c r="C34" s="27" t="s">
        <v>66</v>
      </c>
      <c r="D34" s="30" t="s">
        <v>32</v>
      </c>
      <c r="G34" s="42">
        <v>500</v>
      </c>
      <c r="H34" s="89">
        <v>26.109000000000002</v>
      </c>
      <c r="I34" s="38">
        <f t="shared" si="1"/>
        <v>13054.5</v>
      </c>
      <c r="K34" s="42">
        <v>500</v>
      </c>
      <c r="L34" s="90">
        <v>26.849599999999999</v>
      </c>
      <c r="M34" s="38">
        <f t="shared" si="2"/>
        <v>13424.8</v>
      </c>
      <c r="O34" s="38">
        <v>80</v>
      </c>
      <c r="P34" s="38">
        <v>26.728300000000001</v>
      </c>
      <c r="Q34" s="38">
        <f t="shared" si="3"/>
        <v>2138.2640000000001</v>
      </c>
      <c r="R34" s="43">
        <f t="shared" si="16"/>
        <v>1080</v>
      </c>
      <c r="S34" s="38">
        <f t="shared" si="4"/>
        <v>28617.563999999998</v>
      </c>
      <c r="T34" s="49">
        <v>85</v>
      </c>
      <c r="U34" s="42"/>
      <c r="V34" s="38">
        <f t="shared" si="18"/>
        <v>0</v>
      </c>
      <c r="W34" s="42">
        <v>55</v>
      </c>
      <c r="X34" s="42">
        <v>26.271599999999999</v>
      </c>
      <c r="Y34" s="38">
        <f t="shared" si="17"/>
        <v>1444.9379999999999</v>
      </c>
      <c r="Z34" s="42">
        <v>145</v>
      </c>
      <c r="AA34" s="42">
        <v>26.3461</v>
      </c>
      <c r="AB34" s="42">
        <f>Z34*AA34</f>
        <v>3820.1844999999998</v>
      </c>
      <c r="AD34" s="42">
        <v>55</v>
      </c>
      <c r="AE34" s="42"/>
      <c r="AF34" s="42">
        <f>AD34*AE34</f>
        <v>0</v>
      </c>
      <c r="AG34" s="42"/>
      <c r="AH34" s="42">
        <v>55</v>
      </c>
      <c r="AI34" s="42"/>
      <c r="AJ34" s="38">
        <f t="shared" si="9"/>
        <v>0</v>
      </c>
      <c r="AL34" s="42">
        <v>145</v>
      </c>
      <c r="AM34" s="42"/>
      <c r="AN34" s="38">
        <f t="shared" si="10"/>
        <v>0</v>
      </c>
      <c r="AO34" s="44"/>
      <c r="AP34" s="42">
        <v>145</v>
      </c>
      <c r="AQ34" s="42"/>
      <c r="AR34" s="42"/>
      <c r="AU34" s="98"/>
      <c r="AV34" s="35"/>
      <c r="AW34" s="104"/>
      <c r="AX34" s="42"/>
      <c r="AY34" s="42"/>
      <c r="AZ34" s="42"/>
      <c r="BA34" s="42"/>
      <c r="BB34" s="42"/>
      <c r="BC34" s="42"/>
      <c r="BD34" s="38">
        <f t="shared" si="11"/>
        <v>0</v>
      </c>
      <c r="BE34" s="42"/>
      <c r="BF34" s="42"/>
      <c r="BG34" s="42"/>
      <c r="BH34" s="38">
        <f t="shared" si="12"/>
        <v>0</v>
      </c>
      <c r="BI34" s="42"/>
      <c r="BJ34" s="42"/>
      <c r="BK34" s="42"/>
      <c r="BL34" s="38">
        <f t="shared" si="13"/>
        <v>0</v>
      </c>
      <c r="BM34" s="42"/>
      <c r="BN34" s="42"/>
      <c r="BO34" s="42"/>
      <c r="BP34" s="42"/>
      <c r="BR34" s="42">
        <f t="shared" si="14"/>
        <v>5265.1224999999995</v>
      </c>
      <c r="BS34" s="43">
        <f t="shared" si="15"/>
        <v>23352.441500000001</v>
      </c>
      <c r="BT34" s="42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  <c r="IX34" s="31"/>
      <c r="IY34" s="31"/>
      <c r="IZ34" s="31"/>
      <c r="JA34" s="31"/>
      <c r="JB34" s="31"/>
      <c r="JC34" s="31"/>
      <c r="JD34" s="31"/>
      <c r="JE34" s="31"/>
      <c r="JF34" s="31"/>
      <c r="JG34" s="31"/>
      <c r="JH34" s="31"/>
      <c r="JI34" s="31"/>
      <c r="JJ34" s="31"/>
      <c r="JK34" s="31"/>
      <c r="JL34" s="31"/>
      <c r="JM34" s="31"/>
      <c r="JN34" s="31"/>
      <c r="JO34" s="31"/>
      <c r="JP34" s="31"/>
      <c r="JQ34" s="31"/>
      <c r="JR34" s="31"/>
      <c r="JS34" s="31"/>
      <c r="JT34" s="31"/>
      <c r="JU34" s="31"/>
      <c r="JV34" s="31"/>
      <c r="JW34" s="31"/>
      <c r="JX34" s="31"/>
      <c r="JY34" s="31"/>
      <c r="JZ34" s="31"/>
      <c r="KA34" s="31"/>
      <c r="KB34" s="31"/>
      <c r="KC34" s="31"/>
      <c r="KD34" s="31"/>
      <c r="KE34" s="31"/>
      <c r="KF34" s="31"/>
      <c r="KG34" s="31"/>
      <c r="KH34" s="31"/>
      <c r="KI34" s="31"/>
      <c r="KJ34" s="31"/>
      <c r="KK34" s="31"/>
      <c r="KL34" s="31"/>
      <c r="KM34" s="31"/>
      <c r="KN34" s="31"/>
      <c r="KO34" s="31"/>
      <c r="KP34" s="31"/>
      <c r="KQ34" s="31"/>
      <c r="KR34" s="31"/>
      <c r="KS34" s="31"/>
      <c r="KT34" s="31"/>
      <c r="KU34" s="31"/>
      <c r="KV34" s="31"/>
      <c r="KW34" s="31"/>
      <c r="KX34" s="31"/>
      <c r="KY34" s="31"/>
      <c r="KZ34" s="31"/>
      <c r="LA34" s="31"/>
      <c r="LB34" s="31"/>
      <c r="LC34" s="31"/>
      <c r="LD34" s="31"/>
      <c r="LE34" s="31"/>
      <c r="LF34" s="31"/>
      <c r="LG34" s="31"/>
      <c r="LH34" s="31"/>
      <c r="LI34" s="31"/>
      <c r="LJ34" s="31"/>
      <c r="LK34" s="31"/>
      <c r="LL34" s="31"/>
      <c r="LM34" s="31"/>
      <c r="LN34" s="31"/>
      <c r="LO34" s="31"/>
      <c r="LP34" s="31"/>
      <c r="LQ34" s="31"/>
      <c r="LR34" s="31"/>
      <c r="LS34" s="31"/>
      <c r="LT34" s="31"/>
      <c r="LU34" s="31"/>
      <c r="LV34" s="31"/>
      <c r="LW34" s="31"/>
      <c r="LX34" s="31"/>
      <c r="LY34" s="31"/>
      <c r="LZ34" s="31"/>
      <c r="MA34" s="31"/>
      <c r="MB34" s="31"/>
      <c r="MC34" s="31"/>
      <c r="MD34" s="31"/>
      <c r="ME34" s="31"/>
      <c r="MF34" s="31"/>
      <c r="MG34" s="31"/>
      <c r="MH34" s="31"/>
      <c r="MI34" s="31"/>
      <c r="MJ34" s="31"/>
      <c r="MK34" s="31"/>
      <c r="ML34" s="31"/>
      <c r="MM34" s="31"/>
      <c r="MN34" s="31"/>
      <c r="MO34" s="31"/>
      <c r="MP34" s="31"/>
      <c r="MQ34" s="31"/>
      <c r="MR34" s="31"/>
      <c r="MS34" s="31"/>
      <c r="MT34" s="31"/>
      <c r="MU34" s="31"/>
      <c r="MV34" s="31"/>
      <c r="MW34" s="31"/>
      <c r="MX34" s="31"/>
      <c r="MY34" s="31"/>
      <c r="MZ34" s="31"/>
      <c r="NA34" s="31"/>
      <c r="NB34" s="31"/>
      <c r="NC34" s="31"/>
      <c r="ND34" s="31"/>
      <c r="NE34" s="31"/>
      <c r="NF34" s="31"/>
      <c r="NG34" s="31"/>
      <c r="NH34" s="31"/>
      <c r="NI34" s="31"/>
      <c r="NJ34" s="31"/>
      <c r="NK34" s="31"/>
      <c r="NL34" s="31"/>
      <c r="NM34" s="31"/>
      <c r="NN34" s="31"/>
      <c r="NO34" s="31"/>
      <c r="NP34" s="31"/>
      <c r="NQ34" s="31"/>
      <c r="NR34" s="31"/>
      <c r="NS34" s="31"/>
      <c r="NT34" s="31"/>
      <c r="NU34" s="31"/>
      <c r="NV34" s="31"/>
      <c r="NW34" s="31"/>
      <c r="NX34" s="31"/>
      <c r="NY34" s="31"/>
      <c r="NZ34" s="31"/>
      <c r="OA34" s="31"/>
      <c r="OB34" s="31"/>
      <c r="OC34" s="31"/>
      <c r="OD34" s="31"/>
      <c r="OE34" s="31"/>
      <c r="OF34" s="31"/>
      <c r="OG34" s="31"/>
      <c r="OH34" s="31"/>
      <c r="OI34" s="31"/>
      <c r="OJ34" s="31"/>
      <c r="OK34" s="31"/>
      <c r="OL34" s="31"/>
      <c r="OM34" s="31"/>
      <c r="ON34" s="31"/>
      <c r="OO34" s="31"/>
      <c r="OP34" s="31"/>
      <c r="OQ34" s="31"/>
      <c r="OR34" s="31"/>
      <c r="OS34" s="31"/>
      <c r="OT34" s="31"/>
      <c r="OU34" s="31"/>
      <c r="OV34" s="31"/>
      <c r="OW34" s="31"/>
      <c r="OX34" s="31"/>
    </row>
    <row r="35" spans="2:414" s="25" customFormat="1" ht="15.6">
      <c r="B35" s="25" t="s">
        <v>68</v>
      </c>
      <c r="C35" s="27" t="s">
        <v>67</v>
      </c>
      <c r="D35" s="30" t="s">
        <v>32</v>
      </c>
      <c r="G35" s="42">
        <v>500</v>
      </c>
      <c r="H35" s="89">
        <v>26.109000000000002</v>
      </c>
      <c r="I35" s="38">
        <f t="shared" si="1"/>
        <v>13054.5</v>
      </c>
      <c r="K35" s="42">
        <v>500</v>
      </c>
      <c r="L35" s="90">
        <v>26.849599999999999</v>
      </c>
      <c r="M35" s="38">
        <f t="shared" si="2"/>
        <v>13424.8</v>
      </c>
      <c r="O35" s="38">
        <v>80</v>
      </c>
      <c r="P35" s="38">
        <v>26.728300000000001</v>
      </c>
      <c r="Q35" s="38">
        <f t="shared" si="3"/>
        <v>2138.2640000000001</v>
      </c>
      <c r="R35" s="43">
        <f t="shared" si="16"/>
        <v>1080</v>
      </c>
      <c r="S35" s="38">
        <f t="shared" si="4"/>
        <v>28617.563999999998</v>
      </c>
      <c r="T35" s="49">
        <v>85</v>
      </c>
      <c r="U35" s="42"/>
      <c r="V35" s="38">
        <f t="shared" si="18"/>
        <v>0</v>
      </c>
      <c r="W35" s="42">
        <v>340</v>
      </c>
      <c r="X35" s="42">
        <v>26.582999999999998</v>
      </c>
      <c r="Y35" s="38">
        <f t="shared" si="17"/>
        <v>9038.2199999999993</v>
      </c>
      <c r="Z35" s="42">
        <v>75</v>
      </c>
      <c r="AA35" s="42">
        <v>26.778500000000001</v>
      </c>
      <c r="AB35" s="42">
        <f t="shared" ref="AB35:AB42" si="21">Z35*AA35</f>
        <v>2008.3875</v>
      </c>
      <c r="AD35" s="42">
        <v>85</v>
      </c>
      <c r="AE35" s="42">
        <v>26.861899999999999</v>
      </c>
      <c r="AF35" s="42">
        <f t="shared" ref="AF35:AF40" si="22">AD35*AE35</f>
        <v>2283.2615000000001</v>
      </c>
      <c r="AG35" s="42"/>
      <c r="AH35" s="42">
        <v>215</v>
      </c>
      <c r="AI35" s="42">
        <v>26.869499999999999</v>
      </c>
      <c r="AJ35" s="38">
        <f t="shared" si="9"/>
        <v>5776.9425000000001</v>
      </c>
      <c r="AL35" s="42">
        <v>200</v>
      </c>
      <c r="AM35" s="42">
        <v>26.7913</v>
      </c>
      <c r="AN35" s="38">
        <f t="shared" si="10"/>
        <v>5358.26</v>
      </c>
      <c r="AO35" s="44"/>
      <c r="AP35" s="42"/>
      <c r="AQ35" s="42"/>
      <c r="AR35" s="42"/>
      <c r="AU35" s="98"/>
      <c r="AV35" s="35"/>
      <c r="AW35" s="104"/>
      <c r="AX35" s="42"/>
      <c r="AY35" s="42"/>
      <c r="AZ35" s="42"/>
      <c r="BA35" s="42"/>
      <c r="BB35" s="42"/>
      <c r="BC35" s="42"/>
      <c r="BD35" s="38">
        <f t="shared" si="11"/>
        <v>0</v>
      </c>
      <c r="BE35" s="42"/>
      <c r="BF35" s="42"/>
      <c r="BG35" s="42"/>
      <c r="BH35" s="38">
        <f t="shared" si="12"/>
        <v>0</v>
      </c>
      <c r="BI35" s="42"/>
      <c r="BJ35" s="42"/>
      <c r="BK35" s="42"/>
      <c r="BL35" s="38">
        <f t="shared" si="13"/>
        <v>0</v>
      </c>
      <c r="BM35" s="42"/>
      <c r="BN35" s="42"/>
      <c r="BO35" s="42"/>
      <c r="BP35" s="42"/>
      <c r="BR35" s="42">
        <f t="shared" si="14"/>
        <v>24465.071499999998</v>
      </c>
      <c r="BS35" s="43">
        <f t="shared" si="15"/>
        <v>4152.4925000000003</v>
      </c>
      <c r="BT35" s="42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  <c r="IX35" s="31"/>
      <c r="IY35" s="31"/>
      <c r="IZ35" s="31"/>
      <c r="JA35" s="31"/>
      <c r="JB35" s="31"/>
      <c r="JC35" s="31"/>
      <c r="JD35" s="31"/>
      <c r="JE35" s="31"/>
      <c r="JF35" s="31"/>
      <c r="JG35" s="31"/>
      <c r="JH35" s="31"/>
      <c r="JI35" s="31"/>
      <c r="JJ35" s="31"/>
      <c r="JK35" s="31"/>
      <c r="JL35" s="31"/>
      <c r="JM35" s="31"/>
      <c r="JN35" s="31"/>
      <c r="JO35" s="31"/>
      <c r="JP35" s="31"/>
      <c r="JQ35" s="31"/>
      <c r="JR35" s="31"/>
      <c r="JS35" s="31"/>
      <c r="JT35" s="31"/>
      <c r="JU35" s="31"/>
      <c r="JV35" s="31"/>
      <c r="JW35" s="31"/>
      <c r="JX35" s="31"/>
      <c r="JY35" s="31"/>
      <c r="JZ35" s="31"/>
      <c r="KA35" s="31"/>
      <c r="KB35" s="31"/>
      <c r="KC35" s="31"/>
      <c r="KD35" s="31"/>
      <c r="KE35" s="31"/>
      <c r="KF35" s="31"/>
      <c r="KG35" s="31"/>
      <c r="KH35" s="31"/>
      <c r="KI35" s="31"/>
      <c r="KJ35" s="31"/>
      <c r="KK35" s="31"/>
      <c r="KL35" s="31"/>
      <c r="KM35" s="31"/>
      <c r="KN35" s="31"/>
      <c r="KO35" s="31"/>
      <c r="KP35" s="31"/>
      <c r="KQ35" s="31"/>
      <c r="KR35" s="31"/>
      <c r="KS35" s="31"/>
      <c r="KT35" s="31"/>
      <c r="KU35" s="31"/>
      <c r="KV35" s="31"/>
      <c r="KW35" s="31"/>
      <c r="KX35" s="31"/>
      <c r="KY35" s="31"/>
      <c r="KZ35" s="31"/>
      <c r="LA35" s="31"/>
      <c r="LB35" s="31"/>
      <c r="LC35" s="31"/>
      <c r="LD35" s="31"/>
      <c r="LE35" s="31"/>
      <c r="LF35" s="31"/>
      <c r="LG35" s="31"/>
      <c r="LH35" s="31"/>
      <c r="LI35" s="31"/>
      <c r="LJ35" s="31"/>
      <c r="LK35" s="31"/>
      <c r="LL35" s="31"/>
      <c r="LM35" s="31"/>
      <c r="LN35" s="31"/>
      <c r="LO35" s="31"/>
      <c r="LP35" s="31"/>
      <c r="LQ35" s="31"/>
      <c r="LR35" s="31"/>
      <c r="LS35" s="31"/>
      <c r="LT35" s="31"/>
      <c r="LU35" s="31"/>
      <c r="LV35" s="31"/>
      <c r="LW35" s="31"/>
      <c r="LX35" s="31"/>
      <c r="LY35" s="31"/>
      <c r="LZ35" s="31"/>
      <c r="MA35" s="31"/>
      <c r="MB35" s="31"/>
      <c r="MC35" s="31"/>
      <c r="MD35" s="31"/>
      <c r="ME35" s="31"/>
      <c r="MF35" s="31"/>
      <c r="MG35" s="31"/>
      <c r="MH35" s="31"/>
      <c r="MI35" s="31"/>
      <c r="MJ35" s="31"/>
      <c r="MK35" s="31"/>
      <c r="ML35" s="31"/>
      <c r="MM35" s="31"/>
      <c r="MN35" s="31"/>
      <c r="MO35" s="31"/>
      <c r="MP35" s="31"/>
      <c r="MQ35" s="31"/>
      <c r="MR35" s="31"/>
      <c r="MS35" s="31"/>
      <c r="MT35" s="31"/>
      <c r="MU35" s="31"/>
      <c r="MV35" s="31"/>
      <c r="MW35" s="31"/>
      <c r="MX35" s="31"/>
      <c r="MY35" s="31"/>
      <c r="MZ35" s="31"/>
      <c r="NA35" s="31"/>
      <c r="NB35" s="31"/>
      <c r="NC35" s="31"/>
      <c r="ND35" s="31"/>
      <c r="NE35" s="31"/>
      <c r="NF35" s="31"/>
      <c r="NG35" s="31"/>
      <c r="NH35" s="31"/>
      <c r="NI35" s="31"/>
      <c r="NJ35" s="31"/>
      <c r="NK35" s="31"/>
      <c r="NL35" s="31"/>
      <c r="NM35" s="31"/>
      <c r="NN35" s="31"/>
      <c r="NO35" s="31"/>
      <c r="NP35" s="31"/>
      <c r="NQ35" s="31"/>
      <c r="NR35" s="31"/>
      <c r="NS35" s="31"/>
      <c r="NT35" s="31"/>
      <c r="NU35" s="31"/>
      <c r="NV35" s="31"/>
      <c r="NW35" s="31"/>
      <c r="NX35" s="31"/>
      <c r="NY35" s="31"/>
      <c r="NZ35" s="31"/>
      <c r="OA35" s="31"/>
      <c r="OB35" s="31"/>
      <c r="OC35" s="31"/>
      <c r="OD35" s="31"/>
      <c r="OE35" s="31"/>
      <c r="OF35" s="31"/>
      <c r="OG35" s="31"/>
      <c r="OH35" s="31"/>
      <c r="OI35" s="31"/>
      <c r="OJ35" s="31"/>
      <c r="OK35" s="31"/>
      <c r="OL35" s="31"/>
      <c r="OM35" s="31"/>
      <c r="ON35" s="31"/>
      <c r="OO35" s="31"/>
      <c r="OP35" s="31"/>
      <c r="OQ35" s="31"/>
      <c r="OR35" s="31"/>
      <c r="OS35" s="31"/>
      <c r="OT35" s="31"/>
      <c r="OU35" s="31"/>
      <c r="OV35" s="31"/>
      <c r="OW35" s="31"/>
      <c r="OX35" s="31"/>
    </row>
    <row r="36" spans="2:414" s="25" customFormat="1" ht="15.6">
      <c r="B36" s="25" t="s">
        <v>69</v>
      </c>
      <c r="C36" s="27" t="s">
        <v>29</v>
      </c>
      <c r="D36" s="30" t="s">
        <v>32</v>
      </c>
      <c r="G36" s="42">
        <v>500</v>
      </c>
      <c r="H36" s="89">
        <v>26.109000000000002</v>
      </c>
      <c r="I36" s="38">
        <f t="shared" si="1"/>
        <v>13054.5</v>
      </c>
      <c r="K36" s="42">
        <v>500</v>
      </c>
      <c r="L36" s="90">
        <v>26.849599999999999</v>
      </c>
      <c r="M36" s="38">
        <f t="shared" si="2"/>
        <v>13424.8</v>
      </c>
      <c r="O36" s="38">
        <v>80</v>
      </c>
      <c r="P36" s="38">
        <v>26.728300000000001</v>
      </c>
      <c r="Q36" s="38">
        <f t="shared" si="3"/>
        <v>2138.2640000000001</v>
      </c>
      <c r="R36" s="43">
        <f t="shared" si="16"/>
        <v>1080</v>
      </c>
      <c r="S36" s="38">
        <f t="shared" si="4"/>
        <v>28617.563999999998</v>
      </c>
      <c r="T36" s="49">
        <v>85</v>
      </c>
      <c r="U36" s="42"/>
      <c r="V36" s="38">
        <f t="shared" si="18"/>
        <v>0</v>
      </c>
      <c r="W36" s="42">
        <v>415</v>
      </c>
      <c r="X36" s="42"/>
      <c r="Y36" s="38">
        <f t="shared" si="17"/>
        <v>0</v>
      </c>
      <c r="Z36" s="42">
        <v>85</v>
      </c>
      <c r="AA36" s="42">
        <v>26.945699999999999</v>
      </c>
      <c r="AB36" s="42">
        <f t="shared" si="21"/>
        <v>2290.3844999999997</v>
      </c>
      <c r="AD36" s="42">
        <v>400</v>
      </c>
      <c r="AE36" s="42">
        <v>26.8719</v>
      </c>
      <c r="AF36" s="42">
        <f t="shared" si="22"/>
        <v>10748.76</v>
      </c>
      <c r="AG36" s="42"/>
      <c r="AH36" s="42">
        <v>15</v>
      </c>
      <c r="AI36" s="42">
        <v>26.945699999999999</v>
      </c>
      <c r="AJ36" s="38">
        <f t="shared" si="9"/>
        <v>404.18549999999999</v>
      </c>
      <c r="AL36" s="42"/>
      <c r="AM36" s="42"/>
      <c r="AN36" s="38">
        <f t="shared" si="10"/>
        <v>0</v>
      </c>
      <c r="AO36" s="44"/>
      <c r="AP36" s="42"/>
      <c r="AQ36" s="42"/>
      <c r="AR36" s="42"/>
      <c r="AU36" s="98"/>
      <c r="AV36" s="35"/>
      <c r="AW36" s="104"/>
      <c r="AX36" s="42"/>
      <c r="AY36" s="42"/>
      <c r="AZ36" s="42"/>
      <c r="BA36" s="42"/>
      <c r="BB36" s="42"/>
      <c r="BC36" s="42"/>
      <c r="BD36" s="38">
        <f t="shared" si="11"/>
        <v>0</v>
      </c>
      <c r="BE36" s="42"/>
      <c r="BF36" s="42"/>
      <c r="BG36" s="42"/>
      <c r="BH36" s="38">
        <f t="shared" si="12"/>
        <v>0</v>
      </c>
      <c r="BI36" s="42"/>
      <c r="BJ36" s="42"/>
      <c r="BK36" s="42"/>
      <c r="BL36" s="38">
        <f t="shared" si="13"/>
        <v>0</v>
      </c>
      <c r="BM36" s="42"/>
      <c r="BN36" s="42"/>
      <c r="BO36" s="42"/>
      <c r="BP36" s="42"/>
      <c r="BR36" s="42">
        <f t="shared" si="14"/>
        <v>13443.33</v>
      </c>
      <c r="BS36" s="43">
        <f t="shared" si="15"/>
        <v>15174.233999999999</v>
      </c>
      <c r="BT36" s="42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  <c r="IX36" s="31"/>
      <c r="IY36" s="31"/>
      <c r="IZ36" s="31"/>
      <c r="JA36" s="31"/>
      <c r="JB36" s="31"/>
      <c r="JC36" s="31"/>
      <c r="JD36" s="31"/>
      <c r="JE36" s="31"/>
      <c r="JF36" s="31"/>
      <c r="JG36" s="31"/>
      <c r="JH36" s="31"/>
      <c r="JI36" s="31"/>
      <c r="JJ36" s="31"/>
      <c r="JK36" s="31"/>
      <c r="JL36" s="31"/>
      <c r="JM36" s="31"/>
      <c r="JN36" s="31"/>
      <c r="JO36" s="31"/>
      <c r="JP36" s="31"/>
      <c r="JQ36" s="31"/>
      <c r="JR36" s="31"/>
      <c r="JS36" s="31"/>
      <c r="JT36" s="31"/>
      <c r="JU36" s="31"/>
      <c r="JV36" s="31"/>
      <c r="JW36" s="31"/>
      <c r="JX36" s="31"/>
      <c r="JY36" s="31"/>
      <c r="JZ36" s="31"/>
      <c r="KA36" s="31"/>
      <c r="KB36" s="31"/>
      <c r="KC36" s="31"/>
      <c r="KD36" s="31"/>
      <c r="KE36" s="31"/>
      <c r="KF36" s="31"/>
      <c r="KG36" s="31"/>
      <c r="KH36" s="31"/>
      <c r="KI36" s="31"/>
      <c r="KJ36" s="31"/>
      <c r="KK36" s="31"/>
      <c r="KL36" s="31"/>
      <c r="KM36" s="31"/>
      <c r="KN36" s="31"/>
      <c r="KO36" s="31"/>
      <c r="KP36" s="31"/>
      <c r="KQ36" s="31"/>
      <c r="KR36" s="31"/>
      <c r="KS36" s="31"/>
      <c r="KT36" s="31"/>
      <c r="KU36" s="31"/>
      <c r="KV36" s="31"/>
      <c r="KW36" s="31"/>
      <c r="KX36" s="31"/>
      <c r="KY36" s="31"/>
      <c r="KZ36" s="31"/>
      <c r="LA36" s="31"/>
      <c r="LB36" s="31"/>
      <c r="LC36" s="31"/>
      <c r="LD36" s="31"/>
      <c r="LE36" s="31"/>
      <c r="LF36" s="31"/>
      <c r="LG36" s="31"/>
      <c r="LH36" s="31"/>
      <c r="LI36" s="31"/>
      <c r="LJ36" s="31"/>
      <c r="LK36" s="31"/>
      <c r="LL36" s="31"/>
      <c r="LM36" s="31"/>
      <c r="LN36" s="31"/>
      <c r="LO36" s="31"/>
      <c r="LP36" s="31"/>
      <c r="LQ36" s="31"/>
      <c r="LR36" s="31"/>
      <c r="LS36" s="31"/>
      <c r="LT36" s="31"/>
      <c r="LU36" s="31"/>
      <c r="LV36" s="31"/>
      <c r="LW36" s="31"/>
      <c r="LX36" s="31"/>
      <c r="LY36" s="31"/>
      <c r="LZ36" s="31"/>
      <c r="MA36" s="31"/>
      <c r="MB36" s="31"/>
      <c r="MC36" s="31"/>
      <c r="MD36" s="31"/>
      <c r="ME36" s="31"/>
      <c r="MF36" s="31"/>
      <c r="MG36" s="31"/>
      <c r="MH36" s="31"/>
      <c r="MI36" s="31"/>
      <c r="MJ36" s="31"/>
      <c r="MK36" s="31"/>
      <c r="ML36" s="31"/>
      <c r="MM36" s="31"/>
      <c r="MN36" s="31"/>
      <c r="MO36" s="31"/>
      <c r="MP36" s="31"/>
      <c r="MQ36" s="31"/>
      <c r="MR36" s="31"/>
      <c r="MS36" s="31"/>
      <c r="MT36" s="31"/>
      <c r="MU36" s="31"/>
      <c r="MV36" s="31"/>
      <c r="MW36" s="31"/>
      <c r="MX36" s="31"/>
      <c r="MY36" s="31"/>
      <c r="MZ36" s="31"/>
      <c r="NA36" s="31"/>
      <c r="NB36" s="31"/>
      <c r="NC36" s="31"/>
      <c r="ND36" s="31"/>
      <c r="NE36" s="31"/>
      <c r="NF36" s="31"/>
      <c r="NG36" s="31"/>
      <c r="NH36" s="31"/>
      <c r="NI36" s="31"/>
      <c r="NJ36" s="31"/>
      <c r="NK36" s="31"/>
      <c r="NL36" s="31"/>
      <c r="NM36" s="31"/>
      <c r="NN36" s="31"/>
      <c r="NO36" s="31"/>
      <c r="NP36" s="31"/>
      <c r="NQ36" s="31"/>
      <c r="NR36" s="31"/>
      <c r="NS36" s="31"/>
      <c r="NT36" s="31"/>
      <c r="NU36" s="31"/>
      <c r="NV36" s="31"/>
      <c r="NW36" s="31"/>
      <c r="NX36" s="31"/>
      <c r="NY36" s="31"/>
      <c r="NZ36" s="31"/>
      <c r="OA36" s="31"/>
      <c r="OB36" s="31"/>
      <c r="OC36" s="31"/>
      <c r="OD36" s="31"/>
      <c r="OE36" s="31"/>
      <c r="OF36" s="31"/>
      <c r="OG36" s="31"/>
      <c r="OH36" s="31"/>
      <c r="OI36" s="31"/>
      <c r="OJ36" s="31"/>
      <c r="OK36" s="31"/>
      <c r="OL36" s="31"/>
      <c r="OM36" s="31"/>
      <c r="ON36" s="31"/>
      <c r="OO36" s="31"/>
      <c r="OP36" s="31"/>
      <c r="OQ36" s="31"/>
      <c r="OR36" s="31"/>
      <c r="OS36" s="31"/>
      <c r="OT36" s="31"/>
      <c r="OU36" s="31"/>
      <c r="OV36" s="31"/>
      <c r="OW36" s="31"/>
      <c r="OX36" s="31"/>
    </row>
    <row r="37" spans="2:414" s="25" customFormat="1" ht="15.6">
      <c r="B37" s="25" t="s">
        <v>70</v>
      </c>
      <c r="C37" s="27" t="s">
        <v>17</v>
      </c>
      <c r="D37" s="30" t="s">
        <v>32</v>
      </c>
      <c r="G37" s="42">
        <v>500</v>
      </c>
      <c r="H37" s="89">
        <v>26.109000000000002</v>
      </c>
      <c r="I37" s="38">
        <f t="shared" si="1"/>
        <v>13054.5</v>
      </c>
      <c r="K37" s="42">
        <v>500</v>
      </c>
      <c r="L37" s="90">
        <v>26.849599999999999</v>
      </c>
      <c r="M37" s="38">
        <f t="shared" si="2"/>
        <v>13424.8</v>
      </c>
      <c r="O37" s="38">
        <v>80</v>
      </c>
      <c r="P37" s="38">
        <v>26.728300000000001</v>
      </c>
      <c r="Q37" s="38">
        <f t="shared" si="3"/>
        <v>2138.2640000000001</v>
      </c>
      <c r="R37" s="43">
        <f t="shared" si="16"/>
        <v>1080</v>
      </c>
      <c r="S37" s="38">
        <f t="shared" si="4"/>
        <v>28617.563999999998</v>
      </c>
      <c r="T37" s="49">
        <v>85</v>
      </c>
      <c r="U37" s="42"/>
      <c r="V37" s="38">
        <f t="shared" si="18"/>
        <v>0</v>
      </c>
      <c r="W37" s="42">
        <v>30</v>
      </c>
      <c r="X37" s="42"/>
      <c r="Y37" s="38">
        <f t="shared" si="17"/>
        <v>0</v>
      </c>
      <c r="Z37" s="42">
        <v>250</v>
      </c>
      <c r="AA37" s="42">
        <v>26.9815</v>
      </c>
      <c r="AB37" s="42">
        <f t="shared" si="21"/>
        <v>6745.375</v>
      </c>
      <c r="AD37" s="42">
        <v>30</v>
      </c>
      <c r="AE37" s="42"/>
      <c r="AF37" s="42">
        <f t="shared" si="22"/>
        <v>0</v>
      </c>
      <c r="AG37" s="42"/>
      <c r="AH37" s="42"/>
      <c r="AI37" s="42"/>
      <c r="AJ37" s="38">
        <f t="shared" si="9"/>
        <v>0</v>
      </c>
      <c r="AL37" s="42"/>
      <c r="AM37" s="42"/>
      <c r="AN37" s="38">
        <f t="shared" si="10"/>
        <v>0</v>
      </c>
      <c r="AO37" s="44"/>
      <c r="AP37" s="42"/>
      <c r="AQ37" s="42"/>
      <c r="AR37" s="42"/>
      <c r="AU37" s="98"/>
      <c r="AV37" s="35"/>
      <c r="AW37" s="104"/>
      <c r="AX37" s="42"/>
      <c r="AY37" s="42"/>
      <c r="AZ37" s="42"/>
      <c r="BA37" s="42"/>
      <c r="BB37" s="42"/>
      <c r="BC37" s="42"/>
      <c r="BD37" s="38">
        <f t="shared" si="11"/>
        <v>0</v>
      </c>
      <c r="BE37" s="42"/>
      <c r="BF37" s="42"/>
      <c r="BG37" s="42"/>
      <c r="BH37" s="38">
        <f t="shared" si="12"/>
        <v>0</v>
      </c>
      <c r="BI37" s="42"/>
      <c r="BJ37" s="42"/>
      <c r="BK37" s="42"/>
      <c r="BL37" s="38">
        <f t="shared" si="13"/>
        <v>0</v>
      </c>
      <c r="BM37" s="42"/>
      <c r="BN37" s="42"/>
      <c r="BO37" s="42"/>
      <c r="BP37" s="42"/>
      <c r="BR37" s="42">
        <f t="shared" si="14"/>
        <v>6745.375</v>
      </c>
      <c r="BS37" s="43">
        <f t="shared" si="15"/>
        <v>21872.188999999998</v>
      </c>
      <c r="BT37" s="42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  <c r="IX37" s="31"/>
      <c r="IY37" s="31"/>
      <c r="IZ37" s="31"/>
      <c r="JA37" s="31"/>
      <c r="JB37" s="31"/>
      <c r="JC37" s="31"/>
      <c r="JD37" s="31"/>
      <c r="JE37" s="31"/>
      <c r="JF37" s="31"/>
      <c r="JG37" s="31"/>
      <c r="JH37" s="31"/>
      <c r="JI37" s="31"/>
      <c r="JJ37" s="31"/>
      <c r="JK37" s="31"/>
      <c r="JL37" s="31"/>
      <c r="JM37" s="31"/>
      <c r="JN37" s="31"/>
      <c r="JO37" s="31"/>
      <c r="JP37" s="31"/>
      <c r="JQ37" s="31"/>
      <c r="JR37" s="31"/>
      <c r="JS37" s="31"/>
      <c r="JT37" s="31"/>
      <c r="JU37" s="31"/>
      <c r="JV37" s="31"/>
      <c r="JW37" s="31"/>
      <c r="JX37" s="31"/>
      <c r="JY37" s="31"/>
      <c r="JZ37" s="31"/>
      <c r="KA37" s="31"/>
      <c r="KB37" s="31"/>
      <c r="KC37" s="31"/>
      <c r="KD37" s="31"/>
      <c r="KE37" s="31"/>
      <c r="KF37" s="31"/>
      <c r="KG37" s="31"/>
      <c r="KH37" s="31"/>
      <c r="KI37" s="31"/>
      <c r="KJ37" s="31"/>
      <c r="KK37" s="31"/>
      <c r="KL37" s="31"/>
      <c r="KM37" s="31"/>
      <c r="KN37" s="31"/>
      <c r="KO37" s="31"/>
      <c r="KP37" s="31"/>
      <c r="KQ37" s="31"/>
      <c r="KR37" s="31"/>
      <c r="KS37" s="31"/>
      <c r="KT37" s="31"/>
      <c r="KU37" s="31"/>
      <c r="KV37" s="31"/>
      <c r="KW37" s="31"/>
      <c r="KX37" s="31"/>
      <c r="KY37" s="31"/>
      <c r="KZ37" s="31"/>
      <c r="LA37" s="31"/>
      <c r="LB37" s="31"/>
      <c r="LC37" s="31"/>
      <c r="LD37" s="31"/>
      <c r="LE37" s="31"/>
      <c r="LF37" s="31"/>
      <c r="LG37" s="31"/>
      <c r="LH37" s="31"/>
      <c r="LI37" s="31"/>
      <c r="LJ37" s="31"/>
      <c r="LK37" s="31"/>
      <c r="LL37" s="31"/>
      <c r="LM37" s="31"/>
      <c r="LN37" s="31"/>
      <c r="LO37" s="31"/>
      <c r="LP37" s="31"/>
      <c r="LQ37" s="31"/>
      <c r="LR37" s="31"/>
      <c r="LS37" s="31"/>
      <c r="LT37" s="31"/>
      <c r="LU37" s="31"/>
      <c r="LV37" s="31"/>
      <c r="LW37" s="31"/>
      <c r="LX37" s="31"/>
      <c r="LY37" s="31"/>
      <c r="LZ37" s="31"/>
      <c r="MA37" s="31"/>
      <c r="MB37" s="31"/>
      <c r="MC37" s="31"/>
      <c r="MD37" s="31"/>
      <c r="ME37" s="31"/>
      <c r="MF37" s="31"/>
      <c r="MG37" s="31"/>
      <c r="MH37" s="31"/>
      <c r="MI37" s="31"/>
      <c r="MJ37" s="31"/>
      <c r="MK37" s="31"/>
      <c r="ML37" s="31"/>
      <c r="MM37" s="31"/>
      <c r="MN37" s="31"/>
      <c r="MO37" s="31"/>
      <c r="MP37" s="31"/>
      <c r="MQ37" s="31"/>
      <c r="MR37" s="31"/>
      <c r="MS37" s="31"/>
      <c r="MT37" s="31"/>
      <c r="MU37" s="31"/>
      <c r="MV37" s="31"/>
      <c r="MW37" s="31"/>
      <c r="MX37" s="31"/>
      <c r="MY37" s="31"/>
      <c r="MZ37" s="31"/>
      <c r="NA37" s="31"/>
      <c r="NB37" s="31"/>
      <c r="NC37" s="31"/>
      <c r="ND37" s="31"/>
      <c r="NE37" s="31"/>
      <c r="NF37" s="31"/>
      <c r="NG37" s="31"/>
      <c r="NH37" s="31"/>
      <c r="NI37" s="31"/>
      <c r="NJ37" s="31"/>
      <c r="NK37" s="31"/>
      <c r="NL37" s="31"/>
      <c r="NM37" s="31"/>
      <c r="NN37" s="31"/>
      <c r="NO37" s="31"/>
      <c r="NP37" s="31"/>
      <c r="NQ37" s="31"/>
      <c r="NR37" s="31"/>
      <c r="NS37" s="31"/>
      <c r="NT37" s="31"/>
      <c r="NU37" s="31"/>
      <c r="NV37" s="31"/>
      <c r="NW37" s="31"/>
      <c r="NX37" s="31"/>
      <c r="NY37" s="31"/>
      <c r="NZ37" s="31"/>
      <c r="OA37" s="31"/>
      <c r="OB37" s="31"/>
      <c r="OC37" s="31"/>
      <c r="OD37" s="31"/>
      <c r="OE37" s="31"/>
      <c r="OF37" s="31"/>
      <c r="OG37" s="31"/>
      <c r="OH37" s="31"/>
      <c r="OI37" s="31"/>
      <c r="OJ37" s="31"/>
      <c r="OK37" s="31"/>
      <c r="OL37" s="31"/>
      <c r="OM37" s="31"/>
      <c r="ON37" s="31"/>
      <c r="OO37" s="31"/>
      <c r="OP37" s="31"/>
      <c r="OQ37" s="31"/>
      <c r="OR37" s="31"/>
      <c r="OS37" s="31"/>
      <c r="OT37" s="31"/>
      <c r="OU37" s="31"/>
      <c r="OV37" s="31"/>
      <c r="OW37" s="31"/>
      <c r="OX37" s="31"/>
    </row>
    <row r="38" spans="2:414" s="25" customFormat="1" ht="15.6">
      <c r="B38" s="25" t="s">
        <v>940</v>
      </c>
      <c r="C38" s="27" t="s">
        <v>71</v>
      </c>
      <c r="D38" s="30" t="s">
        <v>32</v>
      </c>
      <c r="G38" s="42">
        <v>500</v>
      </c>
      <c r="H38" s="89">
        <v>26.109000000000002</v>
      </c>
      <c r="I38" s="38">
        <f t="shared" si="1"/>
        <v>13054.5</v>
      </c>
      <c r="K38" s="42">
        <v>500</v>
      </c>
      <c r="L38" s="90">
        <v>26.849599999999999</v>
      </c>
      <c r="M38" s="38">
        <f t="shared" si="2"/>
        <v>13424.8</v>
      </c>
      <c r="O38" s="38">
        <v>80</v>
      </c>
      <c r="P38" s="38">
        <v>26.728300000000001</v>
      </c>
      <c r="Q38" s="38">
        <f t="shared" si="3"/>
        <v>2138.2640000000001</v>
      </c>
      <c r="R38" s="43">
        <f t="shared" si="16"/>
        <v>1080</v>
      </c>
      <c r="S38" s="38">
        <f t="shared" si="4"/>
        <v>28617.563999999998</v>
      </c>
      <c r="T38" s="49">
        <v>85</v>
      </c>
      <c r="U38" s="42">
        <v>26.0579</v>
      </c>
      <c r="V38" s="38">
        <f t="shared" si="18"/>
        <v>2214.9214999999999</v>
      </c>
      <c r="W38" s="42">
        <v>100</v>
      </c>
      <c r="X38" s="42">
        <v>26.0579</v>
      </c>
      <c r="Y38" s="38">
        <f t="shared" si="17"/>
        <v>2605.79</v>
      </c>
      <c r="Z38" s="42">
        <v>100</v>
      </c>
      <c r="AA38" s="42">
        <v>26.0579</v>
      </c>
      <c r="AB38" s="42">
        <f t="shared" si="21"/>
        <v>2605.79</v>
      </c>
      <c r="AD38" s="42">
        <v>110</v>
      </c>
      <c r="AE38" s="42">
        <v>26.641200000000001</v>
      </c>
      <c r="AF38" s="42">
        <f t="shared" si="22"/>
        <v>2930.5320000000002</v>
      </c>
      <c r="AG38" s="42"/>
      <c r="AH38" s="42">
        <v>100</v>
      </c>
      <c r="AI38" s="42">
        <v>26.641200000000001</v>
      </c>
      <c r="AJ38" s="38">
        <f t="shared" si="9"/>
        <v>2664.1200000000003</v>
      </c>
      <c r="AL38" s="42">
        <v>200</v>
      </c>
      <c r="AM38" s="42">
        <v>26.803799999999999</v>
      </c>
      <c r="AN38" s="38">
        <f t="shared" si="10"/>
        <v>5360.76</v>
      </c>
      <c r="AO38" s="44"/>
      <c r="AP38" s="42">
        <v>100</v>
      </c>
      <c r="AQ38" s="42">
        <v>26.7683</v>
      </c>
      <c r="AR38" s="42"/>
      <c r="AU38" s="98"/>
      <c r="AV38" s="35"/>
      <c r="AW38" s="104"/>
      <c r="AX38" s="42"/>
      <c r="AY38" s="42"/>
      <c r="AZ38" s="42"/>
      <c r="BA38" s="42"/>
      <c r="BB38" s="42"/>
      <c r="BC38" s="42"/>
      <c r="BD38" s="38">
        <f t="shared" si="11"/>
        <v>0</v>
      </c>
      <c r="BE38" s="42"/>
      <c r="BF38" s="42"/>
      <c r="BG38" s="42"/>
      <c r="BH38" s="38">
        <f t="shared" si="12"/>
        <v>0</v>
      </c>
      <c r="BI38" s="42"/>
      <c r="BJ38" s="42"/>
      <c r="BK38" s="42"/>
      <c r="BL38" s="38">
        <f t="shared" si="13"/>
        <v>0</v>
      </c>
      <c r="BM38" s="42"/>
      <c r="BN38" s="42"/>
      <c r="BO38" s="42"/>
      <c r="BP38" s="42"/>
      <c r="BR38" s="42">
        <f t="shared" si="14"/>
        <v>18381.913500000002</v>
      </c>
      <c r="BS38" s="43">
        <f t="shared" si="15"/>
        <v>10235.650499999996</v>
      </c>
      <c r="BT38" s="42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  <c r="IX38" s="31"/>
      <c r="IY38" s="31"/>
      <c r="IZ38" s="31"/>
      <c r="JA38" s="31"/>
      <c r="JB38" s="31"/>
      <c r="JC38" s="31"/>
      <c r="JD38" s="31"/>
      <c r="JE38" s="31"/>
      <c r="JF38" s="31"/>
      <c r="JG38" s="31"/>
      <c r="JH38" s="31"/>
      <c r="JI38" s="31"/>
      <c r="JJ38" s="31"/>
      <c r="JK38" s="31"/>
      <c r="JL38" s="31"/>
      <c r="JM38" s="31"/>
      <c r="JN38" s="31"/>
      <c r="JO38" s="31"/>
      <c r="JP38" s="31"/>
      <c r="JQ38" s="31"/>
      <c r="JR38" s="31"/>
      <c r="JS38" s="31"/>
      <c r="JT38" s="31"/>
      <c r="JU38" s="31"/>
      <c r="JV38" s="31"/>
      <c r="JW38" s="31"/>
      <c r="JX38" s="31"/>
      <c r="JY38" s="31"/>
      <c r="JZ38" s="31"/>
      <c r="KA38" s="31"/>
      <c r="KB38" s="31"/>
      <c r="KC38" s="31"/>
      <c r="KD38" s="31"/>
      <c r="KE38" s="31"/>
      <c r="KF38" s="31"/>
      <c r="KG38" s="31"/>
      <c r="KH38" s="31"/>
      <c r="KI38" s="31"/>
      <c r="KJ38" s="31"/>
      <c r="KK38" s="31"/>
      <c r="KL38" s="31"/>
      <c r="KM38" s="31"/>
      <c r="KN38" s="31"/>
      <c r="KO38" s="31"/>
      <c r="KP38" s="31"/>
      <c r="KQ38" s="31"/>
      <c r="KR38" s="31"/>
      <c r="KS38" s="31"/>
      <c r="KT38" s="31"/>
      <c r="KU38" s="31"/>
      <c r="KV38" s="31"/>
      <c r="KW38" s="31"/>
      <c r="KX38" s="31"/>
      <c r="KY38" s="31"/>
      <c r="KZ38" s="31"/>
      <c r="LA38" s="31"/>
      <c r="LB38" s="31"/>
      <c r="LC38" s="31"/>
      <c r="LD38" s="31"/>
      <c r="LE38" s="31"/>
      <c r="LF38" s="31"/>
      <c r="LG38" s="31"/>
      <c r="LH38" s="31"/>
      <c r="LI38" s="31"/>
      <c r="LJ38" s="31"/>
      <c r="LK38" s="31"/>
      <c r="LL38" s="31"/>
      <c r="LM38" s="31"/>
      <c r="LN38" s="31"/>
      <c r="LO38" s="31"/>
      <c r="LP38" s="31"/>
      <c r="LQ38" s="31"/>
      <c r="LR38" s="31"/>
      <c r="LS38" s="31"/>
      <c r="LT38" s="31"/>
      <c r="LU38" s="31"/>
      <c r="LV38" s="31"/>
      <c r="LW38" s="31"/>
      <c r="LX38" s="31"/>
      <c r="LY38" s="31"/>
      <c r="LZ38" s="31"/>
      <c r="MA38" s="31"/>
      <c r="MB38" s="31"/>
      <c r="MC38" s="31"/>
      <c r="MD38" s="31"/>
      <c r="ME38" s="31"/>
      <c r="MF38" s="31"/>
      <c r="MG38" s="31"/>
      <c r="MH38" s="31"/>
      <c r="MI38" s="31"/>
      <c r="MJ38" s="31"/>
      <c r="MK38" s="31"/>
      <c r="ML38" s="31"/>
      <c r="MM38" s="31"/>
      <c r="MN38" s="31"/>
      <c r="MO38" s="31"/>
      <c r="MP38" s="31"/>
      <c r="MQ38" s="31"/>
      <c r="MR38" s="31"/>
      <c r="MS38" s="31"/>
      <c r="MT38" s="31"/>
      <c r="MU38" s="31"/>
      <c r="MV38" s="31"/>
      <c r="MW38" s="31"/>
      <c r="MX38" s="31"/>
      <c r="MY38" s="31"/>
      <c r="MZ38" s="31"/>
      <c r="NA38" s="31"/>
      <c r="NB38" s="31"/>
      <c r="NC38" s="31"/>
      <c r="ND38" s="31"/>
      <c r="NE38" s="31"/>
      <c r="NF38" s="31"/>
      <c r="NG38" s="31"/>
      <c r="NH38" s="31"/>
      <c r="NI38" s="31"/>
      <c r="NJ38" s="31"/>
      <c r="NK38" s="31"/>
      <c r="NL38" s="31"/>
      <c r="NM38" s="31"/>
      <c r="NN38" s="31"/>
      <c r="NO38" s="31"/>
      <c r="NP38" s="31"/>
      <c r="NQ38" s="31"/>
      <c r="NR38" s="31"/>
      <c r="NS38" s="31"/>
      <c r="NT38" s="31"/>
      <c r="NU38" s="31"/>
      <c r="NV38" s="31"/>
      <c r="NW38" s="31"/>
      <c r="NX38" s="31"/>
      <c r="NY38" s="31"/>
      <c r="NZ38" s="31"/>
      <c r="OA38" s="31"/>
      <c r="OB38" s="31"/>
      <c r="OC38" s="31"/>
      <c r="OD38" s="31"/>
      <c r="OE38" s="31"/>
      <c r="OF38" s="31"/>
      <c r="OG38" s="31"/>
      <c r="OH38" s="31"/>
      <c r="OI38" s="31"/>
      <c r="OJ38" s="31"/>
      <c r="OK38" s="31"/>
      <c r="OL38" s="31"/>
      <c r="OM38" s="31"/>
      <c r="ON38" s="31"/>
      <c r="OO38" s="31"/>
      <c r="OP38" s="31"/>
      <c r="OQ38" s="31"/>
      <c r="OR38" s="31"/>
      <c r="OS38" s="31"/>
      <c r="OT38" s="31"/>
      <c r="OU38" s="31"/>
      <c r="OV38" s="31"/>
      <c r="OW38" s="31"/>
      <c r="OX38" s="31"/>
    </row>
    <row r="39" spans="2:414" s="25" customFormat="1" ht="15.6">
      <c r="B39" s="25" t="s">
        <v>28</v>
      </c>
      <c r="C39" s="27" t="s">
        <v>72</v>
      </c>
      <c r="D39" s="30" t="s">
        <v>32</v>
      </c>
      <c r="G39" s="42">
        <v>500</v>
      </c>
      <c r="H39" s="89">
        <v>26.109000000000002</v>
      </c>
      <c r="I39" s="38">
        <f t="shared" si="1"/>
        <v>13054.5</v>
      </c>
      <c r="K39" s="42">
        <v>500</v>
      </c>
      <c r="L39" s="90">
        <v>26.849599999999999</v>
      </c>
      <c r="M39" s="38">
        <f t="shared" si="2"/>
        <v>13424.8</v>
      </c>
      <c r="O39" s="38">
        <v>80</v>
      </c>
      <c r="P39" s="38">
        <v>26.728300000000001</v>
      </c>
      <c r="Q39" s="38">
        <f t="shared" si="3"/>
        <v>2138.2640000000001</v>
      </c>
      <c r="R39" s="43">
        <f t="shared" si="16"/>
        <v>1080</v>
      </c>
      <c r="S39" s="38">
        <f t="shared" si="4"/>
        <v>28617.563999999998</v>
      </c>
      <c r="T39" s="49">
        <v>85</v>
      </c>
      <c r="U39" s="42">
        <v>26.283100000000001</v>
      </c>
      <c r="V39" s="38">
        <f t="shared" si="18"/>
        <v>2234.0635000000002</v>
      </c>
      <c r="W39" s="42">
        <v>100</v>
      </c>
      <c r="X39" s="42">
        <v>26.283100000000001</v>
      </c>
      <c r="Y39" s="38">
        <f t="shared" si="17"/>
        <v>2628.31</v>
      </c>
      <c r="Z39" s="42">
        <v>165</v>
      </c>
      <c r="AA39" s="42">
        <v>26.641200000000001</v>
      </c>
      <c r="AB39" s="42">
        <f t="shared" si="21"/>
        <v>4395.7979999999998</v>
      </c>
      <c r="AD39" s="42">
        <v>150</v>
      </c>
      <c r="AE39" s="42">
        <v>26.283100000000001</v>
      </c>
      <c r="AF39" s="42">
        <f t="shared" si="22"/>
        <v>3942.4650000000001</v>
      </c>
      <c r="AG39" s="42"/>
      <c r="AH39" s="42">
        <v>400</v>
      </c>
      <c r="AI39" s="42">
        <v>26.9312</v>
      </c>
      <c r="AJ39" s="38">
        <f t="shared" si="9"/>
        <v>10772.48</v>
      </c>
      <c r="AL39" s="42">
        <v>100</v>
      </c>
      <c r="AM39" s="42">
        <v>26.9529</v>
      </c>
      <c r="AN39" s="38">
        <f t="shared" si="10"/>
        <v>2695.29</v>
      </c>
      <c r="AO39" s="44"/>
      <c r="AP39" s="42"/>
      <c r="AQ39" s="42"/>
      <c r="AR39" s="42"/>
      <c r="AU39" s="98"/>
      <c r="AV39" s="35"/>
      <c r="AW39" s="104"/>
      <c r="AX39" s="42"/>
      <c r="AY39" s="42"/>
      <c r="AZ39" s="42"/>
      <c r="BA39" s="42"/>
      <c r="BB39" s="42"/>
      <c r="BC39" s="42"/>
      <c r="BD39" s="38">
        <f t="shared" si="11"/>
        <v>0</v>
      </c>
      <c r="BE39" s="42"/>
      <c r="BF39" s="42"/>
      <c r="BG39" s="42"/>
      <c r="BH39" s="38">
        <f t="shared" si="12"/>
        <v>0</v>
      </c>
      <c r="BI39" s="42"/>
      <c r="BJ39" s="42"/>
      <c r="BK39" s="42"/>
      <c r="BL39" s="38">
        <f t="shared" si="13"/>
        <v>0</v>
      </c>
      <c r="BM39" s="42"/>
      <c r="BN39" s="42"/>
      <c r="BO39" s="42"/>
      <c r="BP39" s="42"/>
      <c r="BR39" s="42">
        <f t="shared" si="14"/>
        <v>26668.406500000001</v>
      </c>
      <c r="BS39" s="43">
        <f t="shared" si="15"/>
        <v>1949.1574999999975</v>
      </c>
      <c r="BT39" s="42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  <c r="IX39" s="31"/>
      <c r="IY39" s="31"/>
      <c r="IZ39" s="31"/>
      <c r="JA39" s="31"/>
      <c r="JB39" s="31"/>
      <c r="JC39" s="31"/>
      <c r="JD39" s="31"/>
      <c r="JE39" s="31"/>
      <c r="JF39" s="31"/>
      <c r="JG39" s="31"/>
      <c r="JH39" s="31"/>
      <c r="JI39" s="31"/>
      <c r="JJ39" s="31"/>
      <c r="JK39" s="31"/>
      <c r="JL39" s="31"/>
      <c r="JM39" s="31"/>
      <c r="JN39" s="31"/>
      <c r="JO39" s="31"/>
      <c r="JP39" s="31"/>
      <c r="JQ39" s="31"/>
      <c r="JR39" s="31"/>
      <c r="JS39" s="31"/>
      <c r="JT39" s="31"/>
      <c r="JU39" s="31"/>
      <c r="JV39" s="31"/>
      <c r="JW39" s="31"/>
      <c r="JX39" s="31"/>
      <c r="JY39" s="31"/>
      <c r="JZ39" s="31"/>
      <c r="KA39" s="31"/>
      <c r="KB39" s="31"/>
      <c r="KC39" s="31"/>
      <c r="KD39" s="31"/>
      <c r="KE39" s="31"/>
      <c r="KF39" s="31"/>
      <c r="KG39" s="31"/>
      <c r="KH39" s="31"/>
      <c r="KI39" s="31"/>
      <c r="KJ39" s="31"/>
      <c r="KK39" s="31"/>
      <c r="KL39" s="31"/>
      <c r="KM39" s="31"/>
      <c r="KN39" s="31"/>
      <c r="KO39" s="31"/>
      <c r="KP39" s="31"/>
      <c r="KQ39" s="31"/>
      <c r="KR39" s="31"/>
      <c r="KS39" s="31"/>
      <c r="KT39" s="31"/>
      <c r="KU39" s="31"/>
      <c r="KV39" s="31"/>
      <c r="KW39" s="31"/>
      <c r="KX39" s="31"/>
      <c r="KY39" s="31"/>
      <c r="KZ39" s="31"/>
      <c r="LA39" s="31"/>
      <c r="LB39" s="31"/>
      <c r="LC39" s="31"/>
      <c r="LD39" s="31"/>
      <c r="LE39" s="31"/>
      <c r="LF39" s="31"/>
      <c r="LG39" s="31"/>
      <c r="LH39" s="31"/>
      <c r="LI39" s="31"/>
      <c r="LJ39" s="31"/>
      <c r="LK39" s="31"/>
      <c r="LL39" s="31"/>
      <c r="LM39" s="31"/>
      <c r="LN39" s="31"/>
      <c r="LO39" s="31"/>
      <c r="LP39" s="31"/>
      <c r="LQ39" s="31"/>
      <c r="LR39" s="31"/>
      <c r="LS39" s="31"/>
      <c r="LT39" s="31"/>
      <c r="LU39" s="31"/>
      <c r="LV39" s="31"/>
      <c r="LW39" s="31"/>
      <c r="LX39" s="31"/>
      <c r="LY39" s="31"/>
      <c r="LZ39" s="31"/>
      <c r="MA39" s="31"/>
      <c r="MB39" s="31"/>
      <c r="MC39" s="31"/>
      <c r="MD39" s="31"/>
      <c r="ME39" s="31"/>
      <c r="MF39" s="31"/>
      <c r="MG39" s="31"/>
      <c r="MH39" s="31"/>
      <c r="MI39" s="31"/>
      <c r="MJ39" s="31"/>
      <c r="MK39" s="31"/>
      <c r="ML39" s="31"/>
      <c r="MM39" s="31"/>
      <c r="MN39" s="31"/>
      <c r="MO39" s="31"/>
      <c r="MP39" s="31"/>
      <c r="MQ39" s="31"/>
      <c r="MR39" s="31"/>
      <c r="MS39" s="31"/>
      <c r="MT39" s="31"/>
      <c r="MU39" s="31"/>
      <c r="MV39" s="31"/>
      <c r="MW39" s="31"/>
      <c r="MX39" s="31"/>
      <c r="MY39" s="31"/>
      <c r="MZ39" s="31"/>
      <c r="NA39" s="31"/>
      <c r="NB39" s="31"/>
      <c r="NC39" s="31"/>
      <c r="ND39" s="31"/>
      <c r="NE39" s="31"/>
      <c r="NF39" s="31"/>
      <c r="NG39" s="31"/>
      <c r="NH39" s="31"/>
      <c r="NI39" s="31"/>
      <c r="NJ39" s="31"/>
      <c r="NK39" s="31"/>
      <c r="NL39" s="31"/>
      <c r="NM39" s="31"/>
      <c r="NN39" s="31"/>
      <c r="NO39" s="31"/>
      <c r="NP39" s="31"/>
      <c r="NQ39" s="31"/>
      <c r="NR39" s="31"/>
      <c r="NS39" s="31"/>
      <c r="NT39" s="31"/>
      <c r="NU39" s="31"/>
      <c r="NV39" s="31"/>
      <c r="NW39" s="31"/>
      <c r="NX39" s="31"/>
      <c r="NY39" s="31"/>
      <c r="NZ39" s="31"/>
      <c r="OA39" s="31"/>
      <c r="OB39" s="31"/>
      <c r="OC39" s="31"/>
      <c r="OD39" s="31"/>
      <c r="OE39" s="31"/>
      <c r="OF39" s="31"/>
      <c r="OG39" s="31"/>
      <c r="OH39" s="31"/>
      <c r="OI39" s="31"/>
      <c r="OJ39" s="31"/>
      <c r="OK39" s="31"/>
      <c r="OL39" s="31"/>
      <c r="OM39" s="31"/>
      <c r="ON39" s="31"/>
      <c r="OO39" s="31"/>
      <c r="OP39" s="31"/>
      <c r="OQ39" s="31"/>
      <c r="OR39" s="31"/>
      <c r="OS39" s="31"/>
      <c r="OT39" s="31"/>
      <c r="OU39" s="31"/>
      <c r="OV39" s="31"/>
      <c r="OW39" s="31"/>
      <c r="OX39" s="31"/>
    </row>
    <row r="40" spans="2:414" s="25" customFormat="1" ht="15.6">
      <c r="B40" s="25" t="s">
        <v>73</v>
      </c>
      <c r="C40" s="27" t="s">
        <v>16</v>
      </c>
      <c r="D40" s="30" t="s">
        <v>32</v>
      </c>
      <c r="G40" s="42">
        <v>500</v>
      </c>
      <c r="H40" s="89">
        <v>26.109000000000002</v>
      </c>
      <c r="I40" s="38">
        <f t="shared" si="1"/>
        <v>13054.5</v>
      </c>
      <c r="K40" s="42">
        <v>500</v>
      </c>
      <c r="L40" s="90">
        <v>26.849599999999999</v>
      </c>
      <c r="M40" s="38">
        <f t="shared" si="2"/>
        <v>13424.8</v>
      </c>
      <c r="O40" s="38">
        <v>80</v>
      </c>
      <c r="P40" s="38">
        <v>26.728300000000001</v>
      </c>
      <c r="Q40" s="38">
        <f t="shared" si="3"/>
        <v>2138.2640000000001</v>
      </c>
      <c r="R40" s="43">
        <f t="shared" si="16"/>
        <v>1080</v>
      </c>
      <c r="S40" s="38">
        <f t="shared" si="4"/>
        <v>28617.563999999998</v>
      </c>
      <c r="T40" s="49">
        <v>415</v>
      </c>
      <c r="U40" s="42">
        <v>25.826699999999999</v>
      </c>
      <c r="V40" s="38">
        <f t="shared" si="18"/>
        <v>10718.0805</v>
      </c>
      <c r="W40" s="42">
        <v>85</v>
      </c>
      <c r="X40" s="42">
        <v>26.290299999999998</v>
      </c>
      <c r="Y40" s="38">
        <f t="shared" si="17"/>
        <v>2234.6754999999998</v>
      </c>
      <c r="Z40" s="42">
        <v>300</v>
      </c>
      <c r="AA40" s="42">
        <v>26.8962</v>
      </c>
      <c r="AB40" s="42">
        <f t="shared" si="21"/>
        <v>8068.86</v>
      </c>
      <c r="AD40" s="42">
        <v>85</v>
      </c>
      <c r="AE40" s="42">
        <v>26.952500000000001</v>
      </c>
      <c r="AF40" s="42">
        <f t="shared" si="22"/>
        <v>2290.9625000000001</v>
      </c>
      <c r="AG40" s="42"/>
      <c r="AH40" s="42"/>
      <c r="AI40" s="42"/>
      <c r="AJ40" s="38">
        <f t="shared" si="9"/>
        <v>0</v>
      </c>
      <c r="AL40" s="42"/>
      <c r="AM40" s="42"/>
      <c r="AN40" s="38">
        <f t="shared" si="10"/>
        <v>0</v>
      </c>
      <c r="AO40" s="44"/>
      <c r="AP40" s="42"/>
      <c r="AQ40" s="42"/>
      <c r="AR40" s="42"/>
      <c r="AU40" s="98"/>
      <c r="AV40" s="35"/>
      <c r="AW40" s="104"/>
      <c r="AX40" s="42"/>
      <c r="AY40" s="42"/>
      <c r="AZ40" s="42"/>
      <c r="BA40" s="42"/>
      <c r="BB40" s="42"/>
      <c r="BC40" s="42"/>
      <c r="BD40" s="38">
        <f t="shared" si="11"/>
        <v>0</v>
      </c>
      <c r="BE40" s="42"/>
      <c r="BF40" s="42"/>
      <c r="BG40" s="42"/>
      <c r="BH40" s="38">
        <f t="shared" si="12"/>
        <v>0</v>
      </c>
      <c r="BI40" s="42"/>
      <c r="BJ40" s="42"/>
      <c r="BK40" s="42"/>
      <c r="BL40" s="38">
        <f t="shared" si="13"/>
        <v>0</v>
      </c>
      <c r="BM40" s="42"/>
      <c r="BN40" s="42"/>
      <c r="BO40" s="42"/>
      <c r="BP40" s="42"/>
      <c r="BR40" s="42">
        <f t="shared" si="14"/>
        <v>23312.5785</v>
      </c>
      <c r="BS40" s="43">
        <f t="shared" si="15"/>
        <v>5304.9854999999989</v>
      </c>
      <c r="BT40" s="42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  <c r="IX40" s="31"/>
      <c r="IY40" s="31"/>
      <c r="IZ40" s="31"/>
      <c r="JA40" s="31"/>
      <c r="JB40" s="31"/>
      <c r="JC40" s="31"/>
      <c r="JD40" s="31"/>
      <c r="JE40" s="31"/>
      <c r="JF40" s="31"/>
      <c r="JG40" s="31"/>
      <c r="JH40" s="31"/>
      <c r="JI40" s="31"/>
      <c r="JJ40" s="31"/>
      <c r="JK40" s="31"/>
      <c r="JL40" s="31"/>
      <c r="JM40" s="31"/>
      <c r="JN40" s="31"/>
      <c r="JO40" s="31"/>
      <c r="JP40" s="31"/>
      <c r="JQ40" s="31"/>
      <c r="JR40" s="31"/>
      <c r="JS40" s="31"/>
      <c r="JT40" s="31"/>
      <c r="JU40" s="31"/>
      <c r="JV40" s="31"/>
      <c r="JW40" s="31"/>
      <c r="JX40" s="31"/>
      <c r="JY40" s="31"/>
      <c r="JZ40" s="31"/>
      <c r="KA40" s="31"/>
      <c r="KB40" s="31"/>
      <c r="KC40" s="31"/>
      <c r="KD40" s="31"/>
      <c r="KE40" s="31"/>
      <c r="KF40" s="31"/>
      <c r="KG40" s="31"/>
      <c r="KH40" s="31"/>
      <c r="KI40" s="31"/>
      <c r="KJ40" s="31"/>
      <c r="KK40" s="31"/>
      <c r="KL40" s="31"/>
      <c r="KM40" s="31"/>
      <c r="KN40" s="31"/>
      <c r="KO40" s="31"/>
      <c r="KP40" s="31"/>
      <c r="KQ40" s="31"/>
      <c r="KR40" s="31"/>
      <c r="KS40" s="31"/>
      <c r="KT40" s="31"/>
      <c r="KU40" s="31"/>
      <c r="KV40" s="31"/>
      <c r="KW40" s="31"/>
      <c r="KX40" s="31"/>
      <c r="KY40" s="31"/>
      <c r="KZ40" s="31"/>
      <c r="LA40" s="31"/>
      <c r="LB40" s="31"/>
      <c r="LC40" s="31"/>
      <c r="LD40" s="31"/>
      <c r="LE40" s="31"/>
      <c r="LF40" s="31"/>
      <c r="LG40" s="31"/>
      <c r="LH40" s="31"/>
      <c r="LI40" s="31"/>
      <c r="LJ40" s="31"/>
      <c r="LK40" s="31"/>
      <c r="LL40" s="31"/>
      <c r="LM40" s="31"/>
      <c r="LN40" s="31"/>
      <c r="LO40" s="31"/>
      <c r="LP40" s="31"/>
      <c r="LQ40" s="31"/>
      <c r="LR40" s="31"/>
      <c r="LS40" s="31"/>
      <c r="LT40" s="31"/>
      <c r="LU40" s="31"/>
      <c r="LV40" s="31"/>
      <c r="LW40" s="31"/>
      <c r="LX40" s="31"/>
      <c r="LY40" s="31"/>
      <c r="LZ40" s="31"/>
      <c r="MA40" s="31"/>
      <c r="MB40" s="31"/>
      <c r="MC40" s="31"/>
      <c r="MD40" s="31"/>
      <c r="ME40" s="31"/>
      <c r="MF40" s="31"/>
      <c r="MG40" s="31"/>
      <c r="MH40" s="31"/>
      <c r="MI40" s="31"/>
      <c r="MJ40" s="31"/>
      <c r="MK40" s="31"/>
      <c r="ML40" s="31"/>
      <c r="MM40" s="31"/>
      <c r="MN40" s="31"/>
      <c r="MO40" s="31"/>
      <c r="MP40" s="31"/>
      <c r="MQ40" s="31"/>
      <c r="MR40" s="31"/>
      <c r="MS40" s="31"/>
      <c r="MT40" s="31"/>
      <c r="MU40" s="31"/>
      <c r="MV40" s="31"/>
      <c r="MW40" s="31"/>
      <c r="MX40" s="31"/>
      <c r="MY40" s="31"/>
      <c r="MZ40" s="31"/>
      <c r="NA40" s="31"/>
      <c r="NB40" s="31"/>
      <c r="NC40" s="31"/>
      <c r="ND40" s="31"/>
      <c r="NE40" s="31"/>
      <c r="NF40" s="31"/>
      <c r="NG40" s="31"/>
      <c r="NH40" s="31"/>
      <c r="NI40" s="31"/>
      <c r="NJ40" s="31"/>
      <c r="NK40" s="31"/>
      <c r="NL40" s="31"/>
      <c r="NM40" s="31"/>
      <c r="NN40" s="31"/>
      <c r="NO40" s="31"/>
      <c r="NP40" s="31"/>
      <c r="NQ40" s="31"/>
      <c r="NR40" s="31"/>
      <c r="NS40" s="31"/>
      <c r="NT40" s="31"/>
      <c r="NU40" s="31"/>
      <c r="NV40" s="31"/>
      <c r="NW40" s="31"/>
      <c r="NX40" s="31"/>
      <c r="NY40" s="31"/>
      <c r="NZ40" s="31"/>
      <c r="OA40" s="31"/>
      <c r="OB40" s="31"/>
      <c r="OC40" s="31"/>
      <c r="OD40" s="31"/>
      <c r="OE40" s="31"/>
      <c r="OF40" s="31"/>
      <c r="OG40" s="31"/>
      <c r="OH40" s="31"/>
      <c r="OI40" s="31"/>
      <c r="OJ40" s="31"/>
      <c r="OK40" s="31"/>
      <c r="OL40" s="31"/>
      <c r="OM40" s="31"/>
      <c r="ON40" s="31"/>
      <c r="OO40" s="31"/>
      <c r="OP40" s="31"/>
      <c r="OQ40" s="31"/>
      <c r="OR40" s="31"/>
      <c r="OS40" s="31"/>
      <c r="OT40" s="31"/>
      <c r="OU40" s="31"/>
      <c r="OV40" s="31"/>
      <c r="OW40" s="31"/>
      <c r="OX40" s="31"/>
    </row>
    <row r="41" spans="2:414" s="25" customFormat="1" ht="15.6">
      <c r="B41" s="25" t="s">
        <v>75</v>
      </c>
      <c r="C41" s="27" t="s">
        <v>74</v>
      </c>
      <c r="D41" s="30" t="s">
        <v>32</v>
      </c>
      <c r="G41" s="42">
        <v>500</v>
      </c>
      <c r="H41" s="89">
        <v>26.109000000000002</v>
      </c>
      <c r="I41" s="38">
        <f t="shared" si="1"/>
        <v>13054.5</v>
      </c>
      <c r="K41" s="42">
        <v>500</v>
      </c>
      <c r="L41" s="90">
        <v>26.849599999999999</v>
      </c>
      <c r="M41" s="38">
        <f t="shared" si="2"/>
        <v>13424.8</v>
      </c>
      <c r="O41" s="38">
        <v>80</v>
      </c>
      <c r="P41" s="38">
        <v>26.728300000000001</v>
      </c>
      <c r="Q41" s="38">
        <f t="shared" si="3"/>
        <v>2138.2640000000001</v>
      </c>
      <c r="R41" s="43">
        <f t="shared" si="16"/>
        <v>1080</v>
      </c>
      <c r="S41" s="38">
        <f t="shared" si="4"/>
        <v>28617.563999999998</v>
      </c>
      <c r="T41" s="49">
        <v>85</v>
      </c>
      <c r="U41" s="42"/>
      <c r="V41" s="38">
        <f t="shared" si="18"/>
        <v>0</v>
      </c>
      <c r="W41" s="42">
        <v>300</v>
      </c>
      <c r="X41" s="42">
        <v>26.271599999999999</v>
      </c>
      <c r="Y41" s="38">
        <f t="shared" si="17"/>
        <v>7881.48</v>
      </c>
      <c r="Z41" s="42">
        <v>118</v>
      </c>
      <c r="AA41" s="42">
        <v>26.869499999999999</v>
      </c>
      <c r="AB41" s="42">
        <f t="shared" si="21"/>
        <v>3170.6009999999997</v>
      </c>
      <c r="AD41" s="42"/>
      <c r="AE41" s="42">
        <v>26.869499999999999</v>
      </c>
      <c r="AF41" s="42">
        <v>7000</v>
      </c>
      <c r="AG41" s="42"/>
      <c r="AH41" s="42"/>
      <c r="AI41" s="42">
        <v>26.820799999999998</v>
      </c>
      <c r="AJ41" s="42">
        <v>7058</v>
      </c>
      <c r="AL41" s="42"/>
      <c r="AM41" s="42"/>
      <c r="AN41" s="38">
        <f t="shared" si="10"/>
        <v>0</v>
      </c>
      <c r="AO41" s="44"/>
      <c r="AP41" s="42"/>
      <c r="AQ41" s="42"/>
      <c r="AR41" s="42"/>
      <c r="AU41" s="98"/>
      <c r="AV41" s="35"/>
      <c r="AW41" s="104"/>
      <c r="AX41" s="42"/>
      <c r="AY41" s="42"/>
      <c r="AZ41" s="42"/>
      <c r="BA41" s="42"/>
      <c r="BB41" s="42"/>
      <c r="BC41" s="42"/>
      <c r="BD41" s="38">
        <f t="shared" si="11"/>
        <v>0</v>
      </c>
      <c r="BE41" s="42"/>
      <c r="BF41" s="42"/>
      <c r="BG41" s="42"/>
      <c r="BH41" s="38">
        <f t="shared" si="12"/>
        <v>0</v>
      </c>
      <c r="BI41" s="42"/>
      <c r="BJ41" s="42"/>
      <c r="BK41" s="42"/>
      <c r="BL41" s="38">
        <f t="shared" si="13"/>
        <v>0</v>
      </c>
      <c r="BM41" s="42"/>
      <c r="BN41" s="42"/>
      <c r="BO41" s="42"/>
      <c r="BP41" s="42"/>
      <c r="BR41" s="42">
        <f t="shared" si="14"/>
        <v>25110.080999999998</v>
      </c>
      <c r="BS41" s="43">
        <f t="shared" si="15"/>
        <v>3507.4830000000002</v>
      </c>
      <c r="BT41" s="42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  <c r="IX41" s="31"/>
      <c r="IY41" s="31"/>
      <c r="IZ41" s="31"/>
      <c r="JA41" s="31"/>
      <c r="JB41" s="31"/>
      <c r="JC41" s="31"/>
      <c r="JD41" s="31"/>
      <c r="JE41" s="31"/>
      <c r="JF41" s="31"/>
      <c r="JG41" s="31"/>
      <c r="JH41" s="31"/>
      <c r="JI41" s="31"/>
      <c r="JJ41" s="31"/>
      <c r="JK41" s="31"/>
      <c r="JL41" s="31"/>
      <c r="JM41" s="31"/>
      <c r="JN41" s="31"/>
      <c r="JO41" s="31"/>
      <c r="JP41" s="31"/>
      <c r="JQ41" s="31"/>
      <c r="JR41" s="31"/>
      <c r="JS41" s="31"/>
      <c r="JT41" s="31"/>
      <c r="JU41" s="31"/>
      <c r="JV41" s="31"/>
      <c r="JW41" s="31"/>
      <c r="JX41" s="31"/>
      <c r="JY41" s="31"/>
      <c r="JZ41" s="31"/>
      <c r="KA41" s="31"/>
      <c r="KB41" s="31"/>
      <c r="KC41" s="31"/>
      <c r="KD41" s="31"/>
      <c r="KE41" s="31"/>
      <c r="KF41" s="31"/>
      <c r="KG41" s="31"/>
      <c r="KH41" s="31"/>
      <c r="KI41" s="31"/>
      <c r="KJ41" s="31"/>
      <c r="KK41" s="31"/>
      <c r="KL41" s="31"/>
      <c r="KM41" s="31"/>
      <c r="KN41" s="31"/>
      <c r="KO41" s="31"/>
      <c r="KP41" s="31"/>
      <c r="KQ41" s="31"/>
      <c r="KR41" s="31"/>
      <c r="KS41" s="31"/>
      <c r="KT41" s="31"/>
      <c r="KU41" s="31"/>
      <c r="KV41" s="31"/>
      <c r="KW41" s="31"/>
      <c r="KX41" s="31"/>
      <c r="KY41" s="31"/>
      <c r="KZ41" s="31"/>
      <c r="LA41" s="31"/>
      <c r="LB41" s="31"/>
      <c r="LC41" s="31"/>
      <c r="LD41" s="31"/>
      <c r="LE41" s="31"/>
      <c r="LF41" s="31"/>
      <c r="LG41" s="31"/>
      <c r="LH41" s="31"/>
      <c r="LI41" s="31"/>
      <c r="LJ41" s="31"/>
      <c r="LK41" s="31"/>
      <c r="LL41" s="31"/>
      <c r="LM41" s="31"/>
      <c r="LN41" s="31"/>
      <c r="LO41" s="31"/>
      <c r="LP41" s="31"/>
      <c r="LQ41" s="31"/>
      <c r="LR41" s="31"/>
      <c r="LS41" s="31"/>
      <c r="LT41" s="31"/>
      <c r="LU41" s="31"/>
      <c r="LV41" s="31"/>
      <c r="LW41" s="31"/>
      <c r="LX41" s="31"/>
      <c r="LY41" s="31"/>
      <c r="LZ41" s="31"/>
      <c r="MA41" s="31"/>
      <c r="MB41" s="31"/>
      <c r="MC41" s="31"/>
      <c r="MD41" s="31"/>
      <c r="ME41" s="31"/>
      <c r="MF41" s="31"/>
      <c r="MG41" s="31"/>
      <c r="MH41" s="31"/>
      <c r="MI41" s="31"/>
      <c r="MJ41" s="31"/>
      <c r="MK41" s="31"/>
      <c r="ML41" s="31"/>
      <c r="MM41" s="31"/>
      <c r="MN41" s="31"/>
      <c r="MO41" s="31"/>
      <c r="MP41" s="31"/>
      <c r="MQ41" s="31"/>
      <c r="MR41" s="31"/>
      <c r="MS41" s="31"/>
      <c r="MT41" s="31"/>
      <c r="MU41" s="31"/>
      <c r="MV41" s="31"/>
      <c r="MW41" s="31"/>
      <c r="MX41" s="31"/>
      <c r="MY41" s="31"/>
      <c r="MZ41" s="31"/>
      <c r="NA41" s="31"/>
      <c r="NB41" s="31"/>
      <c r="NC41" s="31"/>
      <c r="ND41" s="31"/>
      <c r="NE41" s="31"/>
      <c r="NF41" s="31"/>
      <c r="NG41" s="31"/>
      <c r="NH41" s="31"/>
      <c r="NI41" s="31"/>
      <c r="NJ41" s="31"/>
      <c r="NK41" s="31"/>
      <c r="NL41" s="31"/>
      <c r="NM41" s="31"/>
      <c r="NN41" s="31"/>
      <c r="NO41" s="31"/>
      <c r="NP41" s="31"/>
      <c r="NQ41" s="31"/>
      <c r="NR41" s="31"/>
      <c r="NS41" s="31"/>
      <c r="NT41" s="31"/>
      <c r="NU41" s="31"/>
      <c r="NV41" s="31"/>
      <c r="NW41" s="31"/>
      <c r="NX41" s="31"/>
      <c r="NY41" s="31"/>
      <c r="NZ41" s="31"/>
      <c r="OA41" s="31"/>
      <c r="OB41" s="31"/>
      <c r="OC41" s="31"/>
      <c r="OD41" s="31"/>
      <c r="OE41" s="31"/>
      <c r="OF41" s="31"/>
      <c r="OG41" s="31"/>
      <c r="OH41" s="31"/>
      <c r="OI41" s="31"/>
      <c r="OJ41" s="31"/>
      <c r="OK41" s="31"/>
      <c r="OL41" s="31"/>
      <c r="OM41" s="31"/>
      <c r="ON41" s="31"/>
      <c r="OO41" s="31"/>
      <c r="OP41" s="31"/>
      <c r="OQ41" s="31"/>
      <c r="OR41" s="31"/>
      <c r="OS41" s="31"/>
      <c r="OT41" s="31"/>
      <c r="OU41" s="31"/>
      <c r="OV41" s="31"/>
      <c r="OW41" s="31"/>
      <c r="OX41" s="31"/>
    </row>
    <row r="42" spans="2:414" s="25" customFormat="1" ht="15.6">
      <c r="B42" s="25" t="s">
        <v>76</v>
      </c>
      <c r="C42" s="27" t="s">
        <v>77</v>
      </c>
      <c r="D42" s="30" t="s">
        <v>32</v>
      </c>
      <c r="G42" s="42">
        <v>500</v>
      </c>
      <c r="H42" s="89">
        <v>26.109000000000002</v>
      </c>
      <c r="I42" s="38">
        <f t="shared" si="1"/>
        <v>13054.5</v>
      </c>
      <c r="K42" s="42">
        <v>500</v>
      </c>
      <c r="L42" s="90">
        <v>26.849599999999999</v>
      </c>
      <c r="M42" s="38">
        <f t="shared" si="2"/>
        <v>13424.8</v>
      </c>
      <c r="O42" s="38">
        <v>80</v>
      </c>
      <c r="P42" s="38">
        <v>26.728300000000001</v>
      </c>
      <c r="Q42" s="38">
        <f t="shared" si="3"/>
        <v>2138.2640000000001</v>
      </c>
      <c r="R42" s="43">
        <f t="shared" si="16"/>
        <v>1080</v>
      </c>
      <c r="S42" s="38">
        <f t="shared" si="4"/>
        <v>28617.563999999998</v>
      </c>
      <c r="T42" s="49">
        <v>415</v>
      </c>
      <c r="U42" s="42">
        <v>26.3386</v>
      </c>
      <c r="V42" s="38">
        <f t="shared" si="18"/>
        <v>10930.519</v>
      </c>
      <c r="W42" s="42">
        <v>85</v>
      </c>
      <c r="X42" s="42">
        <v>26.3386</v>
      </c>
      <c r="Y42" s="38">
        <f t="shared" si="17"/>
        <v>2238.7809999999999</v>
      </c>
      <c r="Z42" s="42">
        <v>415</v>
      </c>
      <c r="AA42" s="42">
        <v>26.8719</v>
      </c>
      <c r="AB42" s="42">
        <f t="shared" si="21"/>
        <v>11151.8385</v>
      </c>
      <c r="AD42" s="42">
        <v>85</v>
      </c>
      <c r="AE42" s="42">
        <v>26.8719</v>
      </c>
      <c r="AF42" s="42">
        <f>AD42*AE42</f>
        <v>2284.1115</v>
      </c>
      <c r="AG42" s="42"/>
      <c r="AH42" s="42"/>
      <c r="AI42" s="42"/>
      <c r="AJ42" s="42">
        <f>AH42*AI42</f>
        <v>0</v>
      </c>
      <c r="AL42" s="42"/>
      <c r="AM42" s="42"/>
      <c r="AN42" s="38">
        <f t="shared" si="10"/>
        <v>0</v>
      </c>
      <c r="AO42" s="46"/>
      <c r="AP42" s="42"/>
      <c r="AQ42" s="42"/>
      <c r="AR42" s="42"/>
      <c r="AU42" s="98"/>
      <c r="AV42" s="35"/>
      <c r="AW42" s="104"/>
      <c r="AX42" s="42"/>
      <c r="AY42" s="42"/>
      <c r="AZ42" s="42"/>
      <c r="BA42" s="42"/>
      <c r="BB42" s="42"/>
      <c r="BC42" s="42"/>
      <c r="BD42" s="38">
        <f t="shared" si="11"/>
        <v>0</v>
      </c>
      <c r="BE42" s="42"/>
      <c r="BF42" s="42"/>
      <c r="BG42" s="42"/>
      <c r="BH42" s="38">
        <f t="shared" si="12"/>
        <v>0</v>
      </c>
      <c r="BI42" s="42"/>
      <c r="BJ42" s="42"/>
      <c r="BK42" s="42"/>
      <c r="BL42" s="38">
        <f t="shared" si="13"/>
        <v>0</v>
      </c>
      <c r="BM42" s="42"/>
      <c r="BN42" s="42"/>
      <c r="BO42" s="42"/>
      <c r="BP42" s="42"/>
      <c r="BR42" s="42">
        <f t="shared" si="14"/>
        <v>26605.25</v>
      </c>
      <c r="BS42" s="43">
        <f t="shared" si="15"/>
        <v>2012.3139999999985</v>
      </c>
      <c r="BT42" s="42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  <c r="IX42" s="31"/>
      <c r="IY42" s="31"/>
      <c r="IZ42" s="31"/>
      <c r="JA42" s="31"/>
      <c r="JB42" s="31"/>
      <c r="JC42" s="31"/>
      <c r="JD42" s="31"/>
      <c r="JE42" s="31"/>
      <c r="JF42" s="31"/>
      <c r="JG42" s="31"/>
      <c r="JH42" s="31"/>
      <c r="JI42" s="31"/>
      <c r="JJ42" s="31"/>
      <c r="JK42" s="31"/>
      <c r="JL42" s="31"/>
      <c r="JM42" s="31"/>
      <c r="JN42" s="31"/>
      <c r="JO42" s="31"/>
      <c r="JP42" s="31"/>
      <c r="JQ42" s="31"/>
      <c r="JR42" s="31"/>
      <c r="JS42" s="31"/>
      <c r="JT42" s="31"/>
      <c r="JU42" s="31"/>
      <c r="JV42" s="31"/>
      <c r="JW42" s="31"/>
      <c r="JX42" s="31"/>
      <c r="JY42" s="31"/>
      <c r="JZ42" s="31"/>
      <c r="KA42" s="31"/>
      <c r="KB42" s="31"/>
      <c r="KC42" s="31"/>
      <c r="KD42" s="31"/>
      <c r="KE42" s="31"/>
      <c r="KF42" s="31"/>
      <c r="KG42" s="31"/>
      <c r="KH42" s="31"/>
      <c r="KI42" s="31"/>
      <c r="KJ42" s="31"/>
      <c r="KK42" s="31"/>
      <c r="KL42" s="31"/>
      <c r="KM42" s="31"/>
      <c r="KN42" s="31"/>
      <c r="KO42" s="31"/>
      <c r="KP42" s="31"/>
      <c r="KQ42" s="31"/>
      <c r="KR42" s="31"/>
      <c r="KS42" s="31"/>
      <c r="KT42" s="31"/>
      <c r="KU42" s="31"/>
      <c r="KV42" s="31"/>
      <c r="KW42" s="31"/>
      <c r="KX42" s="31"/>
      <c r="KY42" s="31"/>
      <c r="KZ42" s="31"/>
      <c r="LA42" s="31"/>
      <c r="LB42" s="31"/>
      <c r="LC42" s="31"/>
      <c r="LD42" s="31"/>
      <c r="LE42" s="31"/>
      <c r="LF42" s="31"/>
      <c r="LG42" s="31"/>
      <c r="LH42" s="31"/>
      <c r="LI42" s="31"/>
      <c r="LJ42" s="31"/>
      <c r="LK42" s="31"/>
      <c r="LL42" s="31"/>
      <c r="LM42" s="31"/>
      <c r="LN42" s="31"/>
      <c r="LO42" s="31"/>
      <c r="LP42" s="31"/>
      <c r="LQ42" s="31"/>
      <c r="LR42" s="31"/>
      <c r="LS42" s="31"/>
      <c r="LT42" s="31"/>
      <c r="LU42" s="31"/>
      <c r="LV42" s="31"/>
      <c r="LW42" s="31"/>
      <c r="LX42" s="31"/>
      <c r="LY42" s="31"/>
      <c r="LZ42" s="31"/>
      <c r="MA42" s="31"/>
      <c r="MB42" s="31"/>
      <c r="MC42" s="31"/>
      <c r="MD42" s="31"/>
      <c r="ME42" s="31"/>
      <c r="MF42" s="31"/>
      <c r="MG42" s="31"/>
      <c r="MH42" s="31"/>
      <c r="MI42" s="31"/>
      <c r="MJ42" s="31"/>
      <c r="MK42" s="31"/>
      <c r="ML42" s="31"/>
      <c r="MM42" s="31"/>
      <c r="MN42" s="31"/>
      <c r="MO42" s="31"/>
      <c r="MP42" s="31"/>
      <c r="MQ42" s="31"/>
      <c r="MR42" s="31"/>
      <c r="MS42" s="31"/>
      <c r="MT42" s="31"/>
      <c r="MU42" s="31"/>
      <c r="MV42" s="31"/>
      <c r="MW42" s="31"/>
      <c r="MX42" s="31"/>
      <c r="MY42" s="31"/>
      <c r="MZ42" s="31"/>
      <c r="NA42" s="31"/>
      <c r="NB42" s="31"/>
      <c r="NC42" s="31"/>
      <c r="ND42" s="31"/>
      <c r="NE42" s="31"/>
      <c r="NF42" s="31"/>
      <c r="NG42" s="31"/>
      <c r="NH42" s="31"/>
      <c r="NI42" s="31"/>
      <c r="NJ42" s="31"/>
      <c r="NK42" s="31"/>
      <c r="NL42" s="31"/>
      <c r="NM42" s="31"/>
      <c r="NN42" s="31"/>
      <c r="NO42" s="31"/>
      <c r="NP42" s="31"/>
      <c r="NQ42" s="31"/>
      <c r="NR42" s="31"/>
      <c r="NS42" s="31"/>
      <c r="NT42" s="31"/>
      <c r="NU42" s="31"/>
      <c r="NV42" s="31"/>
      <c r="NW42" s="31"/>
      <c r="NX42" s="31"/>
      <c r="NY42" s="31"/>
      <c r="NZ42" s="31"/>
      <c r="OA42" s="31"/>
      <c r="OB42" s="31"/>
      <c r="OC42" s="31"/>
      <c r="OD42" s="31"/>
      <c r="OE42" s="31"/>
      <c r="OF42" s="31"/>
      <c r="OG42" s="31"/>
      <c r="OH42" s="31"/>
      <c r="OI42" s="31"/>
      <c r="OJ42" s="31"/>
      <c r="OK42" s="31"/>
      <c r="OL42" s="31"/>
      <c r="OM42" s="31"/>
      <c r="ON42" s="31"/>
      <c r="OO42" s="31"/>
      <c r="OP42" s="31"/>
      <c r="OQ42" s="31"/>
      <c r="OR42" s="31"/>
      <c r="OS42" s="31"/>
      <c r="OT42" s="31"/>
      <c r="OU42" s="31"/>
      <c r="OV42" s="31"/>
      <c r="OW42" s="31"/>
      <c r="OX42" s="31"/>
    </row>
    <row r="43" spans="2:414" s="25" customFormat="1" ht="15.6">
      <c r="B43" s="25" t="s">
        <v>79</v>
      </c>
      <c r="C43" s="27" t="s">
        <v>78</v>
      </c>
      <c r="D43" s="30" t="s">
        <v>32</v>
      </c>
      <c r="G43" s="42">
        <v>500</v>
      </c>
      <c r="H43" s="89">
        <v>26.109000000000002</v>
      </c>
      <c r="I43" s="38">
        <f t="shared" si="1"/>
        <v>13054.5</v>
      </c>
      <c r="K43" s="42">
        <v>500</v>
      </c>
      <c r="L43" s="90">
        <v>26.849599999999999</v>
      </c>
      <c r="M43" s="38">
        <f t="shared" si="2"/>
        <v>13424.8</v>
      </c>
      <c r="O43" s="38">
        <v>80</v>
      </c>
      <c r="P43" s="38">
        <v>26.728300000000001</v>
      </c>
      <c r="Q43" s="38">
        <f t="shared" si="3"/>
        <v>2138.2640000000001</v>
      </c>
      <c r="R43" s="43">
        <f t="shared" si="16"/>
        <v>1080</v>
      </c>
      <c r="S43" s="38">
        <f t="shared" si="4"/>
        <v>28617.563999999998</v>
      </c>
      <c r="T43" s="49">
        <v>85</v>
      </c>
      <c r="U43" s="42">
        <v>26.3386</v>
      </c>
      <c r="V43" s="38">
        <f t="shared" si="18"/>
        <v>2238.7809999999999</v>
      </c>
      <c r="W43" s="42">
        <v>332</v>
      </c>
      <c r="X43" s="42">
        <v>26.3386</v>
      </c>
      <c r="Y43" s="38">
        <f t="shared" si="17"/>
        <v>8744.4151999999995</v>
      </c>
      <c r="Z43" s="42"/>
      <c r="AA43" s="42">
        <v>26.3386</v>
      </c>
      <c r="AB43" s="42">
        <v>2250</v>
      </c>
      <c r="AD43" s="42">
        <v>85</v>
      </c>
      <c r="AE43" s="42">
        <v>26.8401</v>
      </c>
      <c r="AF43" s="42">
        <f t="shared" ref="AF43:AF80" si="23">AD43*AE43</f>
        <v>2281.4085</v>
      </c>
      <c r="AG43" s="42"/>
      <c r="AH43" s="42">
        <v>335</v>
      </c>
      <c r="AI43" s="42">
        <v>26.8401</v>
      </c>
      <c r="AJ43" s="42">
        <f t="shared" ref="AJ43:AJ62" si="24">AH43*AI43</f>
        <v>8991.4334999999992</v>
      </c>
      <c r="AL43" s="42"/>
      <c r="AM43" s="42">
        <v>26.8401</v>
      </c>
      <c r="AN43" s="42">
        <v>2160</v>
      </c>
      <c r="AO43" s="44"/>
      <c r="AP43" s="42"/>
      <c r="AQ43" s="42"/>
      <c r="AR43" s="42"/>
      <c r="AU43" s="98"/>
      <c r="AV43" s="35"/>
      <c r="AW43" s="104"/>
      <c r="AX43" s="42"/>
      <c r="AY43" s="42"/>
      <c r="AZ43" s="42"/>
      <c r="BA43" s="42"/>
      <c r="BB43" s="42"/>
      <c r="BC43" s="42"/>
      <c r="BD43" s="38">
        <f t="shared" si="11"/>
        <v>0</v>
      </c>
      <c r="BE43" s="42"/>
      <c r="BF43" s="42"/>
      <c r="BG43" s="42"/>
      <c r="BH43" s="38">
        <f t="shared" si="12"/>
        <v>0</v>
      </c>
      <c r="BI43" s="42"/>
      <c r="BJ43" s="42"/>
      <c r="BK43" s="42"/>
      <c r="BL43" s="38">
        <f t="shared" si="13"/>
        <v>0</v>
      </c>
      <c r="BM43" s="42"/>
      <c r="BN43" s="42"/>
      <c r="BO43" s="42"/>
      <c r="BP43" s="42"/>
      <c r="BR43" s="42">
        <f t="shared" si="14"/>
        <v>26666.038199999995</v>
      </c>
      <c r="BS43" s="43">
        <f t="shared" si="15"/>
        <v>1951.5258000000031</v>
      </c>
      <c r="BT43" s="42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  <c r="IX43" s="31"/>
      <c r="IY43" s="31"/>
      <c r="IZ43" s="31"/>
      <c r="JA43" s="31"/>
      <c r="JB43" s="31"/>
      <c r="JC43" s="31"/>
      <c r="JD43" s="31"/>
      <c r="JE43" s="31"/>
      <c r="JF43" s="31"/>
      <c r="JG43" s="31"/>
      <c r="JH43" s="31"/>
      <c r="JI43" s="31"/>
      <c r="JJ43" s="31"/>
      <c r="JK43" s="31"/>
      <c r="JL43" s="31"/>
      <c r="JM43" s="31"/>
      <c r="JN43" s="31"/>
      <c r="JO43" s="31"/>
      <c r="JP43" s="31"/>
      <c r="JQ43" s="31"/>
      <c r="JR43" s="31"/>
      <c r="JS43" s="31"/>
      <c r="JT43" s="31"/>
      <c r="JU43" s="31"/>
      <c r="JV43" s="31"/>
      <c r="JW43" s="31"/>
      <c r="JX43" s="31"/>
      <c r="JY43" s="31"/>
      <c r="JZ43" s="31"/>
      <c r="KA43" s="31"/>
      <c r="KB43" s="31"/>
      <c r="KC43" s="31"/>
      <c r="KD43" s="31"/>
      <c r="KE43" s="31"/>
      <c r="KF43" s="31"/>
      <c r="KG43" s="31"/>
      <c r="KH43" s="31"/>
      <c r="KI43" s="31"/>
      <c r="KJ43" s="31"/>
      <c r="KK43" s="31"/>
      <c r="KL43" s="31"/>
      <c r="KM43" s="31"/>
      <c r="KN43" s="31"/>
      <c r="KO43" s="31"/>
      <c r="KP43" s="31"/>
      <c r="KQ43" s="31"/>
      <c r="KR43" s="31"/>
      <c r="KS43" s="31"/>
      <c r="KT43" s="31"/>
      <c r="KU43" s="31"/>
      <c r="KV43" s="31"/>
      <c r="KW43" s="31"/>
      <c r="KX43" s="31"/>
      <c r="KY43" s="31"/>
      <c r="KZ43" s="31"/>
      <c r="LA43" s="31"/>
      <c r="LB43" s="31"/>
      <c r="LC43" s="31"/>
      <c r="LD43" s="31"/>
      <c r="LE43" s="31"/>
      <c r="LF43" s="31"/>
      <c r="LG43" s="31"/>
      <c r="LH43" s="31"/>
      <c r="LI43" s="31"/>
      <c r="LJ43" s="31"/>
      <c r="LK43" s="31"/>
      <c r="LL43" s="31"/>
      <c r="LM43" s="31"/>
      <c r="LN43" s="31"/>
      <c r="LO43" s="31"/>
      <c r="LP43" s="31"/>
      <c r="LQ43" s="31"/>
      <c r="LR43" s="31"/>
      <c r="LS43" s="31"/>
      <c r="LT43" s="31"/>
      <c r="LU43" s="31"/>
      <c r="LV43" s="31"/>
      <c r="LW43" s="31"/>
      <c r="LX43" s="31"/>
      <c r="LY43" s="31"/>
      <c r="LZ43" s="31"/>
      <c r="MA43" s="31"/>
      <c r="MB43" s="31"/>
      <c r="MC43" s="31"/>
      <c r="MD43" s="31"/>
      <c r="ME43" s="31"/>
      <c r="MF43" s="31"/>
      <c r="MG43" s="31"/>
      <c r="MH43" s="31"/>
      <c r="MI43" s="31"/>
      <c r="MJ43" s="31"/>
      <c r="MK43" s="31"/>
      <c r="ML43" s="31"/>
      <c r="MM43" s="31"/>
      <c r="MN43" s="31"/>
      <c r="MO43" s="31"/>
      <c r="MP43" s="31"/>
      <c r="MQ43" s="31"/>
      <c r="MR43" s="31"/>
      <c r="MS43" s="31"/>
      <c r="MT43" s="31"/>
      <c r="MU43" s="31"/>
      <c r="MV43" s="31"/>
      <c r="MW43" s="31"/>
      <c r="MX43" s="31"/>
      <c r="MY43" s="31"/>
      <c r="MZ43" s="31"/>
      <c r="NA43" s="31"/>
      <c r="NB43" s="31"/>
      <c r="NC43" s="31"/>
      <c r="ND43" s="31"/>
      <c r="NE43" s="31"/>
      <c r="NF43" s="31"/>
      <c r="NG43" s="31"/>
      <c r="NH43" s="31"/>
      <c r="NI43" s="31"/>
      <c r="NJ43" s="31"/>
      <c r="NK43" s="31"/>
      <c r="NL43" s="31"/>
      <c r="NM43" s="31"/>
      <c r="NN43" s="31"/>
      <c r="NO43" s="31"/>
      <c r="NP43" s="31"/>
      <c r="NQ43" s="31"/>
      <c r="NR43" s="31"/>
      <c r="NS43" s="31"/>
      <c r="NT43" s="31"/>
      <c r="NU43" s="31"/>
      <c r="NV43" s="31"/>
      <c r="NW43" s="31"/>
      <c r="NX43" s="31"/>
      <c r="NY43" s="31"/>
      <c r="NZ43" s="31"/>
      <c r="OA43" s="31"/>
      <c r="OB43" s="31"/>
      <c r="OC43" s="31"/>
      <c r="OD43" s="31"/>
      <c r="OE43" s="31"/>
      <c r="OF43" s="31"/>
      <c r="OG43" s="31"/>
      <c r="OH43" s="31"/>
      <c r="OI43" s="31"/>
      <c r="OJ43" s="31"/>
      <c r="OK43" s="31"/>
      <c r="OL43" s="31"/>
      <c r="OM43" s="31"/>
      <c r="ON43" s="31"/>
      <c r="OO43" s="31"/>
      <c r="OP43" s="31"/>
      <c r="OQ43" s="31"/>
      <c r="OR43" s="31"/>
      <c r="OS43" s="31"/>
      <c r="OT43" s="31"/>
      <c r="OU43" s="31"/>
      <c r="OV43" s="31"/>
      <c r="OW43" s="31"/>
      <c r="OX43" s="31"/>
    </row>
    <row r="44" spans="2:414" s="25" customFormat="1" ht="15.6">
      <c r="B44" s="25" t="s">
        <v>80</v>
      </c>
      <c r="C44" s="27" t="s">
        <v>81</v>
      </c>
      <c r="D44" s="30" t="s">
        <v>32</v>
      </c>
      <c r="G44" s="42">
        <v>500</v>
      </c>
      <c r="H44" s="89">
        <v>26.109000000000002</v>
      </c>
      <c r="I44" s="38">
        <f t="shared" si="1"/>
        <v>13054.5</v>
      </c>
      <c r="K44" s="42">
        <v>500</v>
      </c>
      <c r="L44" s="90">
        <v>26.849599999999999</v>
      </c>
      <c r="M44" s="38">
        <f t="shared" si="2"/>
        <v>13424.8</v>
      </c>
      <c r="O44" s="38">
        <v>80</v>
      </c>
      <c r="P44" s="38">
        <v>26.728300000000001</v>
      </c>
      <c r="Q44" s="38">
        <f t="shared" si="3"/>
        <v>2138.2640000000001</v>
      </c>
      <c r="R44" s="43">
        <f t="shared" si="16"/>
        <v>1080</v>
      </c>
      <c r="S44" s="38">
        <f t="shared" si="4"/>
        <v>28617.563999999998</v>
      </c>
      <c r="T44" s="49">
        <v>415</v>
      </c>
      <c r="U44" s="42">
        <v>26.321200000000001</v>
      </c>
      <c r="V44" s="38">
        <f t="shared" si="18"/>
        <v>10923.298000000001</v>
      </c>
      <c r="W44" s="42">
        <v>85</v>
      </c>
      <c r="X44" s="42">
        <v>26.321200000000001</v>
      </c>
      <c r="Y44" s="38">
        <f t="shared" si="17"/>
        <v>2237.3020000000001</v>
      </c>
      <c r="Z44" s="42">
        <v>500</v>
      </c>
      <c r="AA44" s="42">
        <v>26.849599999999999</v>
      </c>
      <c r="AB44" s="42">
        <f>Z44*AA44</f>
        <v>13424.8</v>
      </c>
      <c r="AD44" s="42"/>
      <c r="AE44" s="42"/>
      <c r="AF44" s="42">
        <f t="shared" si="23"/>
        <v>0</v>
      </c>
      <c r="AG44" s="42"/>
      <c r="AH44" s="42"/>
      <c r="AI44" s="42"/>
      <c r="AJ44" s="42">
        <f t="shared" si="24"/>
        <v>0</v>
      </c>
      <c r="AL44" s="42"/>
      <c r="AM44" s="42"/>
      <c r="AN44" s="42"/>
      <c r="AO44" s="44"/>
      <c r="AP44" s="42"/>
      <c r="AQ44" s="42"/>
      <c r="AR44" s="42"/>
      <c r="AU44" s="98"/>
      <c r="AV44" s="35"/>
      <c r="AW44" s="104"/>
      <c r="AX44" s="42"/>
      <c r="AY44" s="42"/>
      <c r="AZ44" s="42"/>
      <c r="BA44" s="42"/>
      <c r="BB44" s="42"/>
      <c r="BC44" s="42"/>
      <c r="BD44" s="38">
        <f t="shared" si="11"/>
        <v>0</v>
      </c>
      <c r="BE44" s="42"/>
      <c r="BF44" s="42"/>
      <c r="BG44" s="42"/>
      <c r="BH44" s="38">
        <f t="shared" si="12"/>
        <v>0</v>
      </c>
      <c r="BI44" s="42"/>
      <c r="BJ44" s="42"/>
      <c r="BK44" s="42"/>
      <c r="BL44" s="38">
        <f t="shared" si="13"/>
        <v>0</v>
      </c>
      <c r="BM44" s="42"/>
      <c r="BN44" s="42"/>
      <c r="BO44" s="42"/>
      <c r="BP44" s="42"/>
      <c r="BQ44" s="42"/>
      <c r="BR44" s="42">
        <f t="shared" si="14"/>
        <v>26585.4</v>
      </c>
      <c r="BS44" s="43">
        <f t="shared" si="15"/>
        <v>2032.163999999997</v>
      </c>
      <c r="BT44" s="42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  <c r="JH44" s="31"/>
      <c r="JI44" s="31"/>
      <c r="JJ44" s="31"/>
      <c r="JK44" s="31"/>
      <c r="JL44" s="31"/>
      <c r="JM44" s="31"/>
      <c r="JN44" s="31"/>
      <c r="JO44" s="31"/>
      <c r="JP44" s="31"/>
      <c r="JQ44" s="31"/>
      <c r="JR44" s="31"/>
      <c r="JS44" s="31"/>
      <c r="JT44" s="31"/>
      <c r="JU44" s="31"/>
      <c r="JV44" s="31"/>
      <c r="JW44" s="31"/>
      <c r="JX44" s="31"/>
      <c r="JY44" s="31"/>
      <c r="JZ44" s="31"/>
      <c r="KA44" s="31"/>
      <c r="KB44" s="31"/>
      <c r="KC44" s="31"/>
      <c r="KD44" s="31"/>
      <c r="KE44" s="31"/>
      <c r="KF44" s="31"/>
      <c r="KG44" s="31"/>
      <c r="KH44" s="31"/>
      <c r="KI44" s="31"/>
      <c r="KJ44" s="31"/>
      <c r="KK44" s="31"/>
      <c r="KL44" s="31"/>
      <c r="KM44" s="31"/>
      <c r="KN44" s="31"/>
      <c r="KO44" s="31"/>
      <c r="KP44" s="31"/>
      <c r="KQ44" s="31"/>
      <c r="KR44" s="31"/>
      <c r="KS44" s="31"/>
      <c r="KT44" s="31"/>
      <c r="KU44" s="31"/>
      <c r="KV44" s="31"/>
      <c r="KW44" s="31"/>
      <c r="KX44" s="31"/>
      <c r="KY44" s="31"/>
      <c r="KZ44" s="31"/>
      <c r="LA44" s="31"/>
      <c r="LB44" s="31"/>
      <c r="LC44" s="31"/>
      <c r="LD44" s="31"/>
      <c r="LE44" s="31"/>
      <c r="LF44" s="31"/>
      <c r="LG44" s="31"/>
      <c r="LH44" s="31"/>
      <c r="LI44" s="31"/>
      <c r="LJ44" s="31"/>
      <c r="LK44" s="31"/>
      <c r="LL44" s="31"/>
      <c r="LM44" s="31"/>
      <c r="LN44" s="31"/>
      <c r="LO44" s="31"/>
      <c r="LP44" s="31"/>
      <c r="LQ44" s="31"/>
      <c r="LR44" s="31"/>
      <c r="LS44" s="31"/>
      <c r="LT44" s="31"/>
      <c r="LU44" s="31"/>
      <c r="LV44" s="31"/>
      <c r="LW44" s="31"/>
      <c r="LX44" s="31"/>
      <c r="LY44" s="31"/>
      <c r="LZ44" s="31"/>
      <c r="MA44" s="31"/>
      <c r="MB44" s="31"/>
      <c r="MC44" s="31"/>
      <c r="MD44" s="31"/>
      <c r="ME44" s="31"/>
      <c r="MF44" s="31"/>
      <c r="MG44" s="31"/>
      <c r="MH44" s="31"/>
      <c r="MI44" s="31"/>
      <c r="MJ44" s="31"/>
      <c r="MK44" s="31"/>
      <c r="ML44" s="31"/>
      <c r="MM44" s="31"/>
      <c r="MN44" s="31"/>
      <c r="MO44" s="31"/>
      <c r="MP44" s="31"/>
      <c r="MQ44" s="31"/>
      <c r="MR44" s="31"/>
      <c r="MS44" s="31"/>
      <c r="MT44" s="31"/>
      <c r="MU44" s="31"/>
      <c r="MV44" s="31"/>
      <c r="MW44" s="31"/>
      <c r="MX44" s="31"/>
      <c r="MY44" s="31"/>
      <c r="MZ44" s="31"/>
      <c r="NA44" s="31"/>
      <c r="NB44" s="31"/>
      <c r="NC44" s="31"/>
      <c r="ND44" s="31"/>
      <c r="NE44" s="31"/>
      <c r="NF44" s="31"/>
      <c r="NG44" s="31"/>
      <c r="NH44" s="31"/>
      <c r="NI44" s="31"/>
      <c r="NJ44" s="31"/>
      <c r="NK44" s="31"/>
      <c r="NL44" s="31"/>
      <c r="NM44" s="31"/>
      <c r="NN44" s="31"/>
      <c r="NO44" s="31"/>
      <c r="NP44" s="31"/>
      <c r="NQ44" s="31"/>
      <c r="NR44" s="31"/>
      <c r="NS44" s="31"/>
      <c r="NT44" s="31"/>
      <c r="NU44" s="31"/>
      <c r="NV44" s="31"/>
      <c r="NW44" s="31"/>
      <c r="NX44" s="31"/>
      <c r="NY44" s="31"/>
      <c r="NZ44" s="31"/>
      <c r="OA44" s="31"/>
      <c r="OB44" s="31"/>
      <c r="OC44" s="31"/>
      <c r="OD44" s="31"/>
      <c r="OE44" s="31"/>
      <c r="OF44" s="31"/>
      <c r="OG44" s="31"/>
      <c r="OH44" s="31"/>
      <c r="OI44" s="31"/>
      <c r="OJ44" s="31"/>
      <c r="OK44" s="31"/>
      <c r="OL44" s="31"/>
      <c r="OM44" s="31"/>
      <c r="ON44" s="31"/>
      <c r="OO44" s="31"/>
      <c r="OP44" s="31"/>
      <c r="OQ44" s="31"/>
      <c r="OR44" s="31"/>
      <c r="OS44" s="31"/>
      <c r="OT44" s="31"/>
      <c r="OU44" s="31"/>
      <c r="OV44" s="31"/>
      <c r="OW44" s="31"/>
      <c r="OX44" s="31"/>
    </row>
    <row r="45" spans="2:414" s="25" customFormat="1" ht="15.6">
      <c r="B45" s="25" t="s">
        <v>83</v>
      </c>
      <c r="C45" s="27" t="s">
        <v>82</v>
      </c>
      <c r="D45" s="30" t="s">
        <v>32</v>
      </c>
      <c r="G45" s="42">
        <v>500</v>
      </c>
      <c r="H45" s="89">
        <v>26.109000000000002</v>
      </c>
      <c r="I45" s="38">
        <f t="shared" si="1"/>
        <v>13054.5</v>
      </c>
      <c r="K45" s="42">
        <v>500</v>
      </c>
      <c r="L45" s="90">
        <v>26.849599999999999</v>
      </c>
      <c r="M45" s="38">
        <f t="shared" si="2"/>
        <v>13424.8</v>
      </c>
      <c r="O45" s="38">
        <v>80</v>
      </c>
      <c r="P45" s="38">
        <v>26.728300000000001</v>
      </c>
      <c r="Q45" s="38">
        <f t="shared" si="3"/>
        <v>2138.2640000000001</v>
      </c>
      <c r="R45" s="43">
        <f t="shared" si="16"/>
        <v>1080</v>
      </c>
      <c r="S45" s="38">
        <f t="shared" si="4"/>
        <v>28617.563999999998</v>
      </c>
      <c r="T45" s="49">
        <v>415</v>
      </c>
      <c r="U45" s="42">
        <v>26.261399999999998</v>
      </c>
      <c r="V45" s="38">
        <f t="shared" si="18"/>
        <v>10898.481</v>
      </c>
      <c r="W45" s="42">
        <v>85</v>
      </c>
      <c r="X45" s="42">
        <v>26.283100000000001</v>
      </c>
      <c r="Y45" s="38">
        <f t="shared" si="17"/>
        <v>2234.0635000000002</v>
      </c>
      <c r="Z45" s="42">
        <v>100</v>
      </c>
      <c r="AA45" s="42">
        <v>26.8719</v>
      </c>
      <c r="AB45" s="42">
        <f>Z45*AA45</f>
        <v>2687.19</v>
      </c>
      <c r="AD45" s="42">
        <v>100</v>
      </c>
      <c r="AE45" s="42">
        <v>26.99</v>
      </c>
      <c r="AF45" s="42">
        <f t="shared" si="23"/>
        <v>2699</v>
      </c>
      <c r="AG45" s="42"/>
      <c r="AH45" s="42">
        <v>150</v>
      </c>
      <c r="AI45" s="42">
        <v>26.956099999999999</v>
      </c>
      <c r="AJ45" s="42">
        <f t="shared" si="24"/>
        <v>4043.415</v>
      </c>
      <c r="AL45" s="42">
        <v>150</v>
      </c>
      <c r="AM45" s="42">
        <v>26.8064</v>
      </c>
      <c r="AN45" s="42">
        <f>AL45*AM45</f>
        <v>4020.96</v>
      </c>
      <c r="AO45" s="44"/>
      <c r="AP45" s="42"/>
      <c r="AQ45" s="42"/>
      <c r="AR45" s="42"/>
      <c r="AU45" s="98"/>
      <c r="AV45" s="35"/>
      <c r="AW45" s="104"/>
      <c r="AX45" s="42"/>
      <c r="AY45" s="42"/>
      <c r="AZ45" s="42"/>
      <c r="BA45" s="42"/>
      <c r="BB45" s="42"/>
      <c r="BC45" s="42"/>
      <c r="BD45" s="38">
        <f t="shared" si="11"/>
        <v>0</v>
      </c>
      <c r="BE45" s="42"/>
      <c r="BF45" s="42"/>
      <c r="BG45" s="42"/>
      <c r="BH45" s="38">
        <f t="shared" si="12"/>
        <v>0</v>
      </c>
      <c r="BI45" s="42"/>
      <c r="BJ45" s="42"/>
      <c r="BK45" s="42"/>
      <c r="BL45" s="38">
        <f t="shared" si="13"/>
        <v>0</v>
      </c>
      <c r="BM45" s="42"/>
      <c r="BN45" s="42"/>
      <c r="BO45" s="42"/>
      <c r="BP45" s="42"/>
      <c r="BR45" s="42">
        <f t="shared" si="14"/>
        <v>26583.109499999999</v>
      </c>
      <c r="BS45" s="43">
        <f t="shared" si="15"/>
        <v>2034.4544999999998</v>
      </c>
      <c r="BT45" s="42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  <c r="IL45" s="31"/>
      <c r="IM45" s="31"/>
      <c r="IN45" s="31"/>
      <c r="IO45" s="31"/>
      <c r="IP45" s="31"/>
      <c r="IQ45" s="31"/>
      <c r="IR45" s="31"/>
      <c r="IS45" s="31"/>
      <c r="IT45" s="31"/>
      <c r="IU45" s="31"/>
      <c r="IV45" s="31"/>
      <c r="IW45" s="31"/>
      <c r="IX45" s="31"/>
      <c r="IY45" s="31"/>
      <c r="IZ45" s="31"/>
      <c r="JA45" s="31"/>
      <c r="JB45" s="31"/>
      <c r="JC45" s="31"/>
      <c r="JD45" s="31"/>
      <c r="JE45" s="31"/>
      <c r="JF45" s="31"/>
      <c r="JG45" s="31"/>
      <c r="JH45" s="31"/>
      <c r="JI45" s="31"/>
      <c r="JJ45" s="31"/>
      <c r="JK45" s="31"/>
      <c r="JL45" s="31"/>
      <c r="JM45" s="31"/>
      <c r="JN45" s="31"/>
      <c r="JO45" s="31"/>
      <c r="JP45" s="31"/>
      <c r="JQ45" s="31"/>
      <c r="JR45" s="31"/>
      <c r="JS45" s="31"/>
      <c r="JT45" s="31"/>
      <c r="JU45" s="31"/>
      <c r="JV45" s="31"/>
      <c r="JW45" s="31"/>
      <c r="JX45" s="31"/>
      <c r="JY45" s="31"/>
      <c r="JZ45" s="31"/>
      <c r="KA45" s="31"/>
      <c r="KB45" s="31"/>
      <c r="KC45" s="31"/>
      <c r="KD45" s="31"/>
      <c r="KE45" s="31"/>
      <c r="KF45" s="31"/>
      <c r="KG45" s="31"/>
      <c r="KH45" s="31"/>
      <c r="KI45" s="31"/>
      <c r="KJ45" s="31"/>
      <c r="KK45" s="31"/>
      <c r="KL45" s="31"/>
      <c r="KM45" s="31"/>
      <c r="KN45" s="31"/>
      <c r="KO45" s="31"/>
      <c r="KP45" s="31"/>
      <c r="KQ45" s="31"/>
      <c r="KR45" s="31"/>
      <c r="KS45" s="31"/>
      <c r="KT45" s="31"/>
      <c r="KU45" s="31"/>
      <c r="KV45" s="31"/>
      <c r="KW45" s="31"/>
      <c r="KX45" s="31"/>
      <c r="KY45" s="31"/>
      <c r="KZ45" s="31"/>
      <c r="LA45" s="31"/>
      <c r="LB45" s="31"/>
      <c r="LC45" s="31"/>
      <c r="LD45" s="31"/>
      <c r="LE45" s="31"/>
      <c r="LF45" s="31"/>
      <c r="LG45" s="31"/>
      <c r="LH45" s="31"/>
      <c r="LI45" s="31"/>
      <c r="LJ45" s="31"/>
      <c r="LK45" s="31"/>
      <c r="LL45" s="31"/>
      <c r="LM45" s="31"/>
      <c r="LN45" s="31"/>
      <c r="LO45" s="31"/>
      <c r="LP45" s="31"/>
      <c r="LQ45" s="31"/>
      <c r="LR45" s="31"/>
      <c r="LS45" s="31"/>
      <c r="LT45" s="31"/>
      <c r="LU45" s="31"/>
      <c r="LV45" s="31"/>
      <c r="LW45" s="31"/>
      <c r="LX45" s="31"/>
      <c r="LY45" s="31"/>
      <c r="LZ45" s="31"/>
      <c r="MA45" s="31"/>
      <c r="MB45" s="31"/>
      <c r="MC45" s="31"/>
      <c r="MD45" s="31"/>
      <c r="ME45" s="31"/>
      <c r="MF45" s="31"/>
      <c r="MG45" s="31"/>
      <c r="MH45" s="31"/>
      <c r="MI45" s="31"/>
      <c r="MJ45" s="31"/>
      <c r="MK45" s="31"/>
      <c r="ML45" s="31"/>
      <c r="MM45" s="31"/>
      <c r="MN45" s="31"/>
      <c r="MO45" s="31"/>
      <c r="MP45" s="31"/>
      <c r="MQ45" s="31"/>
      <c r="MR45" s="31"/>
      <c r="MS45" s="31"/>
      <c r="MT45" s="31"/>
      <c r="MU45" s="31"/>
      <c r="MV45" s="31"/>
      <c r="MW45" s="31"/>
      <c r="MX45" s="31"/>
      <c r="MY45" s="31"/>
      <c r="MZ45" s="31"/>
      <c r="NA45" s="31"/>
      <c r="NB45" s="31"/>
      <c r="NC45" s="31"/>
      <c r="ND45" s="31"/>
      <c r="NE45" s="31"/>
      <c r="NF45" s="31"/>
      <c r="NG45" s="31"/>
      <c r="NH45" s="31"/>
      <c r="NI45" s="31"/>
      <c r="NJ45" s="31"/>
      <c r="NK45" s="31"/>
      <c r="NL45" s="31"/>
      <c r="NM45" s="31"/>
      <c r="NN45" s="31"/>
      <c r="NO45" s="31"/>
      <c r="NP45" s="31"/>
      <c r="NQ45" s="31"/>
      <c r="NR45" s="31"/>
      <c r="NS45" s="31"/>
      <c r="NT45" s="31"/>
      <c r="NU45" s="31"/>
      <c r="NV45" s="31"/>
      <c r="NW45" s="31"/>
      <c r="NX45" s="31"/>
      <c r="NY45" s="31"/>
      <c r="NZ45" s="31"/>
      <c r="OA45" s="31"/>
      <c r="OB45" s="31"/>
      <c r="OC45" s="31"/>
      <c r="OD45" s="31"/>
      <c r="OE45" s="31"/>
      <c r="OF45" s="31"/>
      <c r="OG45" s="31"/>
      <c r="OH45" s="31"/>
      <c r="OI45" s="31"/>
      <c r="OJ45" s="31"/>
      <c r="OK45" s="31"/>
      <c r="OL45" s="31"/>
      <c r="OM45" s="31"/>
      <c r="ON45" s="31"/>
      <c r="OO45" s="31"/>
      <c r="OP45" s="31"/>
      <c r="OQ45" s="31"/>
      <c r="OR45" s="31"/>
      <c r="OS45" s="31"/>
      <c r="OT45" s="31"/>
      <c r="OU45" s="31"/>
      <c r="OV45" s="31"/>
      <c r="OW45" s="31"/>
      <c r="OX45" s="31"/>
    </row>
    <row r="46" spans="2:414" s="25" customFormat="1" ht="15.6">
      <c r="B46" s="25" t="s">
        <v>18</v>
      </c>
      <c r="C46" s="27" t="s">
        <v>84</v>
      </c>
      <c r="D46" s="30" t="s">
        <v>32</v>
      </c>
      <c r="G46" s="42">
        <v>225</v>
      </c>
      <c r="H46" s="89">
        <v>26.109000000000002</v>
      </c>
      <c r="I46" s="38">
        <f t="shared" si="1"/>
        <v>5874.5250000000005</v>
      </c>
      <c r="K46" s="42">
        <v>225</v>
      </c>
      <c r="L46" s="90">
        <v>26.849599999999999</v>
      </c>
      <c r="M46" s="38">
        <f t="shared" si="2"/>
        <v>6041.16</v>
      </c>
      <c r="O46" s="38">
        <v>80</v>
      </c>
      <c r="P46" s="38">
        <v>26.728300000000001</v>
      </c>
      <c r="Q46" s="38">
        <f t="shared" si="3"/>
        <v>2138.2640000000001</v>
      </c>
      <c r="R46" s="43">
        <f t="shared" si="16"/>
        <v>530</v>
      </c>
      <c r="S46" s="38">
        <f t="shared" si="4"/>
        <v>14053.949000000001</v>
      </c>
      <c r="T46" s="49">
        <v>100</v>
      </c>
      <c r="U46" s="42">
        <v>26.389500000000002</v>
      </c>
      <c r="V46" s="38">
        <f t="shared" si="18"/>
        <v>2638.9500000000003</v>
      </c>
      <c r="W46" s="42">
        <v>100</v>
      </c>
      <c r="X46" s="42">
        <v>26.389500000000002</v>
      </c>
      <c r="Y46" s="38">
        <f t="shared" si="17"/>
        <v>2638.9500000000003</v>
      </c>
      <c r="Z46" s="42"/>
      <c r="AA46" s="42"/>
      <c r="AB46" s="42">
        <f t="shared" ref="AB46:AB59" si="25">Z46*AA46</f>
        <v>0</v>
      </c>
      <c r="AD46" s="42">
        <v>85</v>
      </c>
      <c r="AE46" s="42"/>
      <c r="AF46" s="42">
        <f t="shared" si="23"/>
        <v>0</v>
      </c>
      <c r="AG46" s="42"/>
      <c r="AH46" s="42">
        <v>85</v>
      </c>
      <c r="AI46" s="42"/>
      <c r="AJ46" s="42">
        <f t="shared" si="24"/>
        <v>0</v>
      </c>
      <c r="AL46" s="42"/>
      <c r="AM46" s="42"/>
      <c r="AN46" s="42"/>
      <c r="AO46" s="44"/>
      <c r="AP46" s="42"/>
      <c r="AQ46" s="42"/>
      <c r="AR46" s="42"/>
      <c r="AU46" s="98"/>
      <c r="AV46" s="35"/>
      <c r="AW46" s="104"/>
      <c r="AX46" s="42"/>
      <c r="AY46" s="42"/>
      <c r="AZ46" s="42"/>
      <c r="BA46" s="42"/>
      <c r="BB46" s="42"/>
      <c r="BC46" s="42"/>
      <c r="BD46" s="38">
        <f t="shared" si="11"/>
        <v>0</v>
      </c>
      <c r="BE46" s="42"/>
      <c r="BF46" s="42"/>
      <c r="BG46" s="42"/>
      <c r="BH46" s="38">
        <f t="shared" si="12"/>
        <v>0</v>
      </c>
      <c r="BI46" s="42"/>
      <c r="BJ46" s="42"/>
      <c r="BK46" s="42"/>
      <c r="BL46" s="38">
        <f t="shared" si="13"/>
        <v>0</v>
      </c>
      <c r="BM46" s="42"/>
      <c r="BN46" s="42"/>
      <c r="BO46" s="42"/>
      <c r="BP46" s="42"/>
      <c r="BR46" s="42">
        <f t="shared" si="14"/>
        <v>5277.9000000000005</v>
      </c>
      <c r="BS46" s="43">
        <f t="shared" si="15"/>
        <v>8776.0489999999991</v>
      </c>
      <c r="BT46" s="42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  <c r="JH46" s="31"/>
      <c r="JI46" s="31"/>
      <c r="JJ46" s="31"/>
      <c r="JK46" s="31"/>
      <c r="JL46" s="31"/>
      <c r="JM46" s="31"/>
      <c r="JN46" s="31"/>
      <c r="JO46" s="31"/>
      <c r="JP46" s="31"/>
      <c r="JQ46" s="31"/>
      <c r="JR46" s="31"/>
      <c r="JS46" s="31"/>
      <c r="JT46" s="31"/>
      <c r="JU46" s="31"/>
      <c r="JV46" s="31"/>
      <c r="JW46" s="31"/>
      <c r="JX46" s="31"/>
      <c r="JY46" s="31"/>
      <c r="JZ46" s="31"/>
      <c r="KA46" s="31"/>
      <c r="KB46" s="31"/>
      <c r="KC46" s="31"/>
      <c r="KD46" s="31"/>
      <c r="KE46" s="31"/>
      <c r="KF46" s="31"/>
      <c r="KG46" s="31"/>
      <c r="KH46" s="31"/>
      <c r="KI46" s="31"/>
      <c r="KJ46" s="31"/>
      <c r="KK46" s="31"/>
      <c r="KL46" s="31"/>
      <c r="KM46" s="31"/>
      <c r="KN46" s="31"/>
      <c r="KO46" s="31"/>
      <c r="KP46" s="31"/>
      <c r="KQ46" s="31"/>
      <c r="KR46" s="31"/>
      <c r="KS46" s="31"/>
      <c r="KT46" s="31"/>
      <c r="KU46" s="31"/>
      <c r="KV46" s="31"/>
      <c r="KW46" s="31"/>
      <c r="KX46" s="31"/>
      <c r="KY46" s="31"/>
      <c r="KZ46" s="31"/>
      <c r="LA46" s="31"/>
      <c r="LB46" s="31"/>
      <c r="LC46" s="31"/>
      <c r="LD46" s="31"/>
      <c r="LE46" s="31"/>
      <c r="LF46" s="31"/>
      <c r="LG46" s="31"/>
      <c r="LH46" s="31"/>
      <c r="LI46" s="31"/>
      <c r="LJ46" s="31"/>
      <c r="LK46" s="31"/>
      <c r="LL46" s="31"/>
      <c r="LM46" s="31"/>
      <c r="LN46" s="31"/>
      <c r="LO46" s="31"/>
      <c r="LP46" s="31"/>
      <c r="LQ46" s="31"/>
      <c r="LR46" s="31"/>
      <c r="LS46" s="31"/>
      <c r="LT46" s="31"/>
      <c r="LU46" s="31"/>
      <c r="LV46" s="31"/>
      <c r="LW46" s="31"/>
      <c r="LX46" s="31"/>
      <c r="LY46" s="31"/>
      <c r="LZ46" s="31"/>
      <c r="MA46" s="31"/>
      <c r="MB46" s="31"/>
      <c r="MC46" s="31"/>
      <c r="MD46" s="31"/>
      <c r="ME46" s="31"/>
      <c r="MF46" s="31"/>
      <c r="MG46" s="31"/>
      <c r="MH46" s="31"/>
      <c r="MI46" s="31"/>
      <c r="MJ46" s="31"/>
      <c r="MK46" s="31"/>
      <c r="ML46" s="31"/>
      <c r="MM46" s="31"/>
      <c r="MN46" s="31"/>
      <c r="MO46" s="31"/>
      <c r="MP46" s="31"/>
      <c r="MQ46" s="31"/>
      <c r="MR46" s="31"/>
      <c r="MS46" s="31"/>
      <c r="MT46" s="31"/>
      <c r="MU46" s="31"/>
      <c r="MV46" s="31"/>
      <c r="MW46" s="31"/>
      <c r="MX46" s="31"/>
      <c r="MY46" s="31"/>
      <c r="MZ46" s="31"/>
      <c r="NA46" s="31"/>
      <c r="NB46" s="31"/>
      <c r="NC46" s="31"/>
      <c r="ND46" s="31"/>
      <c r="NE46" s="31"/>
      <c r="NF46" s="31"/>
      <c r="NG46" s="31"/>
      <c r="NH46" s="31"/>
      <c r="NI46" s="31"/>
      <c r="NJ46" s="31"/>
      <c r="NK46" s="31"/>
      <c r="NL46" s="31"/>
      <c r="NM46" s="31"/>
      <c r="NN46" s="31"/>
      <c r="NO46" s="31"/>
      <c r="NP46" s="31"/>
      <c r="NQ46" s="31"/>
      <c r="NR46" s="31"/>
      <c r="NS46" s="31"/>
      <c r="NT46" s="31"/>
      <c r="NU46" s="31"/>
      <c r="NV46" s="31"/>
      <c r="NW46" s="31"/>
      <c r="NX46" s="31"/>
      <c r="NY46" s="31"/>
      <c r="NZ46" s="31"/>
      <c r="OA46" s="31"/>
      <c r="OB46" s="31"/>
      <c r="OC46" s="31"/>
      <c r="OD46" s="31"/>
      <c r="OE46" s="31"/>
      <c r="OF46" s="31"/>
      <c r="OG46" s="31"/>
      <c r="OH46" s="31"/>
      <c r="OI46" s="31"/>
      <c r="OJ46" s="31"/>
      <c r="OK46" s="31"/>
      <c r="OL46" s="31"/>
      <c r="OM46" s="31"/>
      <c r="ON46" s="31"/>
      <c r="OO46" s="31"/>
      <c r="OP46" s="31"/>
      <c r="OQ46" s="31"/>
      <c r="OR46" s="31"/>
      <c r="OS46" s="31"/>
      <c r="OT46" s="31"/>
      <c r="OU46" s="31"/>
      <c r="OV46" s="31"/>
      <c r="OW46" s="31"/>
      <c r="OX46" s="31"/>
    </row>
    <row r="47" spans="2:414" s="25" customFormat="1" ht="15.6">
      <c r="B47" s="25" t="s">
        <v>85</v>
      </c>
      <c r="C47" s="27" t="s">
        <v>19</v>
      </c>
      <c r="D47" s="30" t="s">
        <v>32</v>
      </c>
      <c r="G47" s="42">
        <v>500</v>
      </c>
      <c r="H47" s="89">
        <v>26.109000000000002</v>
      </c>
      <c r="I47" s="38">
        <f t="shared" si="1"/>
        <v>13054.5</v>
      </c>
      <c r="K47" s="42">
        <v>500</v>
      </c>
      <c r="L47" s="90">
        <v>26.849599999999999</v>
      </c>
      <c r="M47" s="38">
        <f t="shared" si="2"/>
        <v>13424.8</v>
      </c>
      <c r="O47" s="38">
        <v>80</v>
      </c>
      <c r="P47" s="38">
        <v>26.728300000000001</v>
      </c>
      <c r="Q47" s="38">
        <f t="shared" si="3"/>
        <v>2138.2640000000001</v>
      </c>
      <c r="R47" s="43">
        <f t="shared" ref="R47:R78" si="26">G47+K47+O47</f>
        <v>1080</v>
      </c>
      <c r="S47" s="38">
        <f t="shared" si="4"/>
        <v>28617.563999999998</v>
      </c>
      <c r="T47" s="49">
        <v>500</v>
      </c>
      <c r="U47" s="42">
        <v>26.3813</v>
      </c>
      <c r="V47" s="38">
        <f t="shared" si="18"/>
        <v>13190.65</v>
      </c>
      <c r="W47" s="42">
        <v>415</v>
      </c>
      <c r="X47" s="42">
        <v>26.869499999999999</v>
      </c>
      <c r="Y47" s="38">
        <f t="shared" si="17"/>
        <v>11150.842499999999</v>
      </c>
      <c r="Z47" s="42">
        <v>85</v>
      </c>
      <c r="AA47" s="42">
        <v>26.773199999999999</v>
      </c>
      <c r="AB47" s="42">
        <f t="shared" si="25"/>
        <v>2275.7219999999998</v>
      </c>
      <c r="AD47" s="42"/>
      <c r="AE47" s="42"/>
      <c r="AF47" s="42">
        <f t="shared" si="23"/>
        <v>0</v>
      </c>
      <c r="AG47" s="42"/>
      <c r="AH47" s="42"/>
      <c r="AI47" s="42"/>
      <c r="AJ47" s="42">
        <f t="shared" si="24"/>
        <v>0</v>
      </c>
      <c r="AL47" s="42"/>
      <c r="AM47" s="42"/>
      <c r="AN47" s="42"/>
      <c r="AO47" s="44"/>
      <c r="AP47" s="42"/>
      <c r="AQ47" s="42"/>
      <c r="AR47" s="42"/>
      <c r="AU47" s="98"/>
      <c r="AV47" s="35"/>
      <c r="AW47" s="104"/>
      <c r="AX47" s="42"/>
      <c r="AY47" s="42"/>
      <c r="AZ47" s="42"/>
      <c r="BA47" s="42"/>
      <c r="BB47" s="42"/>
      <c r="BC47" s="42"/>
      <c r="BD47" s="38">
        <f t="shared" si="11"/>
        <v>0</v>
      </c>
      <c r="BE47" s="42"/>
      <c r="BF47" s="42"/>
      <c r="BG47" s="42"/>
      <c r="BH47" s="38">
        <f t="shared" si="12"/>
        <v>0</v>
      </c>
      <c r="BI47" s="42"/>
      <c r="BJ47" s="42"/>
      <c r="BK47" s="42"/>
      <c r="BL47" s="38">
        <f t="shared" si="13"/>
        <v>0</v>
      </c>
      <c r="BM47" s="42"/>
      <c r="BN47" s="42"/>
      <c r="BO47" s="42"/>
      <c r="BP47" s="42"/>
      <c r="BR47" s="42">
        <f t="shared" si="14"/>
        <v>26617.214500000002</v>
      </c>
      <c r="BS47" s="43">
        <f t="shared" si="15"/>
        <v>2000.3494999999966</v>
      </c>
      <c r="BT47" s="42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  <c r="IL47" s="31"/>
      <c r="IM47" s="31"/>
      <c r="IN47" s="31"/>
      <c r="IO47" s="31"/>
      <c r="IP47" s="31"/>
      <c r="IQ47" s="31"/>
      <c r="IR47" s="31"/>
      <c r="IS47" s="31"/>
      <c r="IT47" s="31"/>
      <c r="IU47" s="31"/>
      <c r="IV47" s="31"/>
      <c r="IW47" s="31"/>
      <c r="IX47" s="31"/>
      <c r="IY47" s="31"/>
      <c r="IZ47" s="31"/>
      <c r="JA47" s="31"/>
      <c r="JB47" s="31"/>
      <c r="JC47" s="31"/>
      <c r="JD47" s="31"/>
      <c r="JE47" s="31"/>
      <c r="JF47" s="31"/>
      <c r="JG47" s="31"/>
      <c r="JH47" s="31"/>
      <c r="JI47" s="31"/>
      <c r="JJ47" s="31"/>
      <c r="JK47" s="31"/>
      <c r="JL47" s="31"/>
      <c r="JM47" s="31"/>
      <c r="JN47" s="31"/>
      <c r="JO47" s="31"/>
      <c r="JP47" s="31"/>
      <c r="JQ47" s="31"/>
      <c r="JR47" s="31"/>
      <c r="JS47" s="31"/>
      <c r="JT47" s="31"/>
      <c r="JU47" s="31"/>
      <c r="JV47" s="31"/>
      <c r="JW47" s="31"/>
      <c r="JX47" s="31"/>
      <c r="JY47" s="31"/>
      <c r="JZ47" s="31"/>
      <c r="KA47" s="31"/>
      <c r="KB47" s="31"/>
      <c r="KC47" s="31"/>
      <c r="KD47" s="31"/>
      <c r="KE47" s="31"/>
      <c r="KF47" s="31"/>
      <c r="KG47" s="31"/>
      <c r="KH47" s="31"/>
      <c r="KI47" s="31"/>
      <c r="KJ47" s="31"/>
      <c r="KK47" s="31"/>
      <c r="KL47" s="31"/>
      <c r="KM47" s="31"/>
      <c r="KN47" s="31"/>
      <c r="KO47" s="31"/>
      <c r="KP47" s="31"/>
      <c r="KQ47" s="31"/>
      <c r="KR47" s="31"/>
      <c r="KS47" s="31"/>
      <c r="KT47" s="31"/>
      <c r="KU47" s="31"/>
      <c r="KV47" s="31"/>
      <c r="KW47" s="31"/>
      <c r="KX47" s="31"/>
      <c r="KY47" s="31"/>
      <c r="KZ47" s="31"/>
      <c r="LA47" s="31"/>
      <c r="LB47" s="31"/>
      <c r="LC47" s="31"/>
      <c r="LD47" s="31"/>
      <c r="LE47" s="31"/>
      <c r="LF47" s="31"/>
      <c r="LG47" s="31"/>
      <c r="LH47" s="31"/>
      <c r="LI47" s="31"/>
      <c r="LJ47" s="31"/>
      <c r="LK47" s="31"/>
      <c r="LL47" s="31"/>
      <c r="LM47" s="31"/>
      <c r="LN47" s="31"/>
      <c r="LO47" s="31"/>
      <c r="LP47" s="31"/>
      <c r="LQ47" s="31"/>
      <c r="LR47" s="31"/>
      <c r="LS47" s="31"/>
      <c r="LT47" s="31"/>
      <c r="LU47" s="31"/>
      <c r="LV47" s="31"/>
      <c r="LW47" s="31"/>
      <c r="LX47" s="31"/>
      <c r="LY47" s="31"/>
      <c r="LZ47" s="31"/>
      <c r="MA47" s="31"/>
      <c r="MB47" s="31"/>
      <c r="MC47" s="31"/>
      <c r="MD47" s="31"/>
      <c r="ME47" s="31"/>
      <c r="MF47" s="31"/>
      <c r="MG47" s="31"/>
      <c r="MH47" s="31"/>
      <c r="MI47" s="31"/>
      <c r="MJ47" s="31"/>
      <c r="MK47" s="31"/>
      <c r="ML47" s="31"/>
      <c r="MM47" s="31"/>
      <c r="MN47" s="31"/>
      <c r="MO47" s="31"/>
      <c r="MP47" s="31"/>
      <c r="MQ47" s="31"/>
      <c r="MR47" s="31"/>
      <c r="MS47" s="31"/>
      <c r="MT47" s="31"/>
      <c r="MU47" s="31"/>
      <c r="MV47" s="31"/>
      <c r="MW47" s="31"/>
      <c r="MX47" s="31"/>
      <c r="MY47" s="31"/>
      <c r="MZ47" s="31"/>
      <c r="NA47" s="31"/>
      <c r="NB47" s="31"/>
      <c r="NC47" s="31"/>
      <c r="ND47" s="31"/>
      <c r="NE47" s="31"/>
      <c r="NF47" s="31"/>
      <c r="NG47" s="31"/>
      <c r="NH47" s="31"/>
      <c r="NI47" s="31"/>
      <c r="NJ47" s="31"/>
      <c r="NK47" s="31"/>
      <c r="NL47" s="31"/>
      <c r="NM47" s="31"/>
      <c r="NN47" s="31"/>
      <c r="NO47" s="31"/>
      <c r="NP47" s="31"/>
      <c r="NQ47" s="31"/>
      <c r="NR47" s="31"/>
      <c r="NS47" s="31"/>
      <c r="NT47" s="31"/>
      <c r="NU47" s="31"/>
      <c r="NV47" s="31"/>
      <c r="NW47" s="31"/>
      <c r="NX47" s="31"/>
      <c r="NY47" s="31"/>
      <c r="NZ47" s="31"/>
      <c r="OA47" s="31"/>
      <c r="OB47" s="31"/>
      <c r="OC47" s="31"/>
      <c r="OD47" s="31"/>
      <c r="OE47" s="31"/>
      <c r="OF47" s="31"/>
      <c r="OG47" s="31"/>
      <c r="OH47" s="31"/>
      <c r="OI47" s="31"/>
      <c r="OJ47" s="31"/>
      <c r="OK47" s="31"/>
      <c r="OL47" s="31"/>
      <c r="OM47" s="31"/>
      <c r="ON47" s="31"/>
      <c r="OO47" s="31"/>
      <c r="OP47" s="31"/>
      <c r="OQ47" s="31"/>
      <c r="OR47" s="31"/>
      <c r="OS47" s="31"/>
      <c r="OT47" s="31"/>
      <c r="OU47" s="31"/>
      <c r="OV47" s="31"/>
      <c r="OW47" s="31"/>
      <c r="OX47" s="31"/>
    </row>
    <row r="48" spans="2:414" s="25" customFormat="1" ht="15.6">
      <c r="B48" s="25" t="s">
        <v>86</v>
      </c>
      <c r="C48" s="27" t="s">
        <v>87</v>
      </c>
      <c r="D48" s="30" t="s">
        <v>32</v>
      </c>
      <c r="G48" s="42">
        <v>500</v>
      </c>
      <c r="H48" s="89">
        <v>26.109000000000002</v>
      </c>
      <c r="I48" s="38">
        <f t="shared" si="1"/>
        <v>13054.5</v>
      </c>
      <c r="K48" s="42">
        <v>500</v>
      </c>
      <c r="L48" s="90">
        <v>26.849599999999999</v>
      </c>
      <c r="M48" s="38">
        <f t="shared" si="2"/>
        <v>13424.8</v>
      </c>
      <c r="O48" s="38">
        <v>80</v>
      </c>
      <c r="P48" s="38">
        <v>26.728300000000001</v>
      </c>
      <c r="Q48" s="38">
        <f t="shared" si="3"/>
        <v>2138.2640000000001</v>
      </c>
      <c r="R48" s="43">
        <f t="shared" si="26"/>
        <v>1080</v>
      </c>
      <c r="S48" s="38">
        <f t="shared" si="4"/>
        <v>28617.563999999998</v>
      </c>
      <c r="T48" s="49"/>
      <c r="U48" s="42"/>
      <c r="V48" s="38">
        <f t="shared" si="18"/>
        <v>0</v>
      </c>
      <c r="W48" s="42"/>
      <c r="X48" s="42"/>
      <c r="Y48" s="38">
        <f t="shared" si="17"/>
        <v>0</v>
      </c>
      <c r="Z48" s="42"/>
      <c r="AA48" s="42"/>
      <c r="AB48" s="42">
        <f t="shared" si="25"/>
        <v>0</v>
      </c>
      <c r="AD48" s="42"/>
      <c r="AE48" s="42"/>
      <c r="AF48" s="42">
        <f t="shared" si="23"/>
        <v>0</v>
      </c>
      <c r="AG48" s="42"/>
      <c r="AH48" s="42"/>
      <c r="AI48" s="42"/>
      <c r="AJ48" s="42">
        <f t="shared" si="24"/>
        <v>0</v>
      </c>
      <c r="AL48" s="42"/>
      <c r="AM48" s="42"/>
      <c r="AN48" s="42"/>
      <c r="AO48" s="44"/>
      <c r="AP48" s="42"/>
      <c r="AQ48" s="42"/>
      <c r="AR48" s="42"/>
      <c r="AU48" s="98"/>
      <c r="AV48" s="35"/>
      <c r="AW48" s="104"/>
      <c r="AX48" s="42"/>
      <c r="AY48" s="42"/>
      <c r="AZ48" s="42"/>
      <c r="BA48" s="42"/>
      <c r="BB48" s="42"/>
      <c r="BC48" s="42"/>
      <c r="BD48" s="38">
        <f t="shared" si="11"/>
        <v>0</v>
      </c>
      <c r="BE48" s="42"/>
      <c r="BF48" s="42"/>
      <c r="BG48" s="42"/>
      <c r="BH48" s="38">
        <f t="shared" si="12"/>
        <v>0</v>
      </c>
      <c r="BI48" s="42"/>
      <c r="BJ48" s="42"/>
      <c r="BK48" s="42"/>
      <c r="BL48" s="38">
        <f t="shared" si="13"/>
        <v>0</v>
      </c>
      <c r="BM48" s="42"/>
      <c r="BN48" s="42"/>
      <c r="BO48" s="42"/>
      <c r="BP48" s="42"/>
      <c r="BR48" s="42">
        <f t="shared" si="14"/>
        <v>0</v>
      </c>
      <c r="BS48" s="43">
        <f t="shared" si="15"/>
        <v>28617.563999999998</v>
      </c>
      <c r="BT48" s="42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  <c r="IL48" s="31"/>
      <c r="IM48" s="31"/>
      <c r="IN48" s="31"/>
      <c r="IO48" s="31"/>
      <c r="IP48" s="31"/>
      <c r="IQ48" s="31"/>
      <c r="IR48" s="31"/>
      <c r="IS48" s="31"/>
      <c r="IT48" s="31"/>
      <c r="IU48" s="31"/>
      <c r="IV48" s="31"/>
      <c r="IW48" s="31"/>
      <c r="IX48" s="31"/>
      <c r="IY48" s="31"/>
      <c r="IZ48" s="31"/>
      <c r="JA48" s="31"/>
      <c r="JB48" s="31"/>
      <c r="JC48" s="31"/>
      <c r="JD48" s="31"/>
      <c r="JE48" s="31"/>
      <c r="JF48" s="31"/>
      <c r="JG48" s="31"/>
      <c r="JH48" s="31"/>
      <c r="JI48" s="31"/>
      <c r="JJ48" s="31"/>
      <c r="JK48" s="31"/>
      <c r="JL48" s="31"/>
      <c r="JM48" s="31"/>
      <c r="JN48" s="31"/>
      <c r="JO48" s="31"/>
      <c r="JP48" s="31"/>
      <c r="JQ48" s="31"/>
      <c r="JR48" s="31"/>
      <c r="JS48" s="31"/>
      <c r="JT48" s="31"/>
      <c r="JU48" s="31"/>
      <c r="JV48" s="31"/>
      <c r="JW48" s="31"/>
      <c r="JX48" s="31"/>
      <c r="JY48" s="31"/>
      <c r="JZ48" s="31"/>
      <c r="KA48" s="31"/>
      <c r="KB48" s="31"/>
      <c r="KC48" s="31"/>
      <c r="KD48" s="31"/>
      <c r="KE48" s="31"/>
      <c r="KF48" s="31"/>
      <c r="KG48" s="31"/>
      <c r="KH48" s="31"/>
      <c r="KI48" s="31"/>
      <c r="KJ48" s="31"/>
      <c r="KK48" s="31"/>
      <c r="KL48" s="31"/>
      <c r="KM48" s="31"/>
      <c r="KN48" s="31"/>
      <c r="KO48" s="31"/>
      <c r="KP48" s="31"/>
      <c r="KQ48" s="31"/>
      <c r="KR48" s="31"/>
      <c r="KS48" s="31"/>
      <c r="KT48" s="31"/>
      <c r="KU48" s="31"/>
      <c r="KV48" s="31"/>
      <c r="KW48" s="31"/>
      <c r="KX48" s="31"/>
      <c r="KY48" s="31"/>
      <c r="KZ48" s="31"/>
      <c r="LA48" s="31"/>
      <c r="LB48" s="31"/>
      <c r="LC48" s="31"/>
      <c r="LD48" s="31"/>
      <c r="LE48" s="31"/>
      <c r="LF48" s="31"/>
      <c r="LG48" s="31"/>
      <c r="LH48" s="31"/>
      <c r="LI48" s="31"/>
      <c r="LJ48" s="31"/>
      <c r="LK48" s="31"/>
      <c r="LL48" s="31"/>
      <c r="LM48" s="31"/>
      <c r="LN48" s="31"/>
      <c r="LO48" s="31"/>
      <c r="LP48" s="31"/>
      <c r="LQ48" s="31"/>
      <c r="LR48" s="31"/>
      <c r="LS48" s="31"/>
      <c r="LT48" s="31"/>
      <c r="LU48" s="31"/>
      <c r="LV48" s="31"/>
      <c r="LW48" s="31"/>
      <c r="LX48" s="31"/>
      <c r="LY48" s="31"/>
      <c r="LZ48" s="31"/>
      <c r="MA48" s="31"/>
      <c r="MB48" s="31"/>
      <c r="MC48" s="31"/>
      <c r="MD48" s="31"/>
      <c r="ME48" s="31"/>
      <c r="MF48" s="31"/>
      <c r="MG48" s="31"/>
      <c r="MH48" s="31"/>
      <c r="MI48" s="31"/>
      <c r="MJ48" s="31"/>
      <c r="MK48" s="31"/>
      <c r="ML48" s="31"/>
      <c r="MM48" s="31"/>
      <c r="MN48" s="31"/>
      <c r="MO48" s="31"/>
      <c r="MP48" s="31"/>
      <c r="MQ48" s="31"/>
      <c r="MR48" s="31"/>
      <c r="MS48" s="31"/>
      <c r="MT48" s="31"/>
      <c r="MU48" s="31"/>
      <c r="MV48" s="31"/>
      <c r="MW48" s="31"/>
      <c r="MX48" s="31"/>
      <c r="MY48" s="31"/>
      <c r="MZ48" s="31"/>
      <c r="NA48" s="31"/>
      <c r="NB48" s="31"/>
      <c r="NC48" s="31"/>
      <c r="ND48" s="31"/>
      <c r="NE48" s="31"/>
      <c r="NF48" s="31"/>
      <c r="NG48" s="31"/>
      <c r="NH48" s="31"/>
      <c r="NI48" s="31"/>
      <c r="NJ48" s="31"/>
      <c r="NK48" s="31"/>
      <c r="NL48" s="31"/>
      <c r="NM48" s="31"/>
      <c r="NN48" s="31"/>
      <c r="NO48" s="31"/>
      <c r="NP48" s="31"/>
      <c r="NQ48" s="31"/>
      <c r="NR48" s="31"/>
      <c r="NS48" s="31"/>
      <c r="NT48" s="31"/>
      <c r="NU48" s="31"/>
      <c r="NV48" s="31"/>
      <c r="NW48" s="31"/>
      <c r="NX48" s="31"/>
      <c r="NY48" s="31"/>
      <c r="NZ48" s="31"/>
      <c r="OA48" s="31"/>
      <c r="OB48" s="31"/>
      <c r="OC48" s="31"/>
      <c r="OD48" s="31"/>
      <c r="OE48" s="31"/>
      <c r="OF48" s="31"/>
      <c r="OG48" s="31"/>
      <c r="OH48" s="31"/>
      <c r="OI48" s="31"/>
      <c r="OJ48" s="31"/>
      <c r="OK48" s="31"/>
      <c r="OL48" s="31"/>
      <c r="OM48" s="31"/>
      <c r="ON48" s="31"/>
      <c r="OO48" s="31"/>
      <c r="OP48" s="31"/>
      <c r="OQ48" s="31"/>
      <c r="OR48" s="31"/>
      <c r="OS48" s="31"/>
      <c r="OT48" s="31"/>
      <c r="OU48" s="31"/>
      <c r="OV48" s="31"/>
      <c r="OW48" s="31"/>
      <c r="OX48" s="31"/>
    </row>
    <row r="49" spans="2:414" s="25" customFormat="1" ht="15.6">
      <c r="B49" s="25" t="s">
        <v>88</v>
      </c>
      <c r="C49" s="27" t="s">
        <v>89</v>
      </c>
      <c r="D49" s="30" t="s">
        <v>32</v>
      </c>
      <c r="G49" s="42">
        <v>500</v>
      </c>
      <c r="H49" s="89">
        <v>26.109000000000002</v>
      </c>
      <c r="I49" s="38">
        <f t="shared" si="1"/>
        <v>13054.5</v>
      </c>
      <c r="K49" s="42">
        <v>500</v>
      </c>
      <c r="L49" s="90">
        <v>26.849599999999999</v>
      </c>
      <c r="M49" s="38">
        <f t="shared" si="2"/>
        <v>13424.8</v>
      </c>
      <c r="O49" s="38">
        <v>80</v>
      </c>
      <c r="P49" s="38">
        <v>26.728300000000001</v>
      </c>
      <c r="Q49" s="38">
        <f t="shared" si="3"/>
        <v>2138.2640000000001</v>
      </c>
      <c r="R49" s="43">
        <f t="shared" si="26"/>
        <v>1080</v>
      </c>
      <c r="S49" s="38">
        <f t="shared" si="4"/>
        <v>28617.563999999998</v>
      </c>
      <c r="T49" s="49">
        <v>500</v>
      </c>
      <c r="U49" s="42">
        <v>26.3813</v>
      </c>
      <c r="V49" s="38">
        <f t="shared" si="18"/>
        <v>13190.65</v>
      </c>
      <c r="W49" s="42">
        <v>500</v>
      </c>
      <c r="X49" s="42">
        <v>26.8719</v>
      </c>
      <c r="Y49" s="38">
        <f t="shared" si="17"/>
        <v>13435.95</v>
      </c>
      <c r="Z49" s="42"/>
      <c r="AA49" s="42"/>
      <c r="AB49" s="42">
        <f t="shared" si="25"/>
        <v>0</v>
      </c>
      <c r="AD49" s="42"/>
      <c r="AE49" s="42"/>
      <c r="AF49" s="42">
        <f t="shared" si="23"/>
        <v>0</v>
      </c>
      <c r="AG49" s="42"/>
      <c r="AH49" s="42"/>
      <c r="AI49" s="42"/>
      <c r="AJ49" s="42">
        <f t="shared" si="24"/>
        <v>0</v>
      </c>
      <c r="AL49" s="42"/>
      <c r="AM49" s="42"/>
      <c r="AN49" s="42"/>
      <c r="AO49" s="44"/>
      <c r="AP49" s="42"/>
      <c r="AQ49" s="42"/>
      <c r="AR49" s="42"/>
      <c r="AU49" s="98"/>
      <c r="AV49" s="35"/>
      <c r="AW49" s="104"/>
      <c r="AX49" s="42"/>
      <c r="AY49" s="42"/>
      <c r="AZ49" s="42"/>
      <c r="BA49" s="42"/>
      <c r="BB49" s="42"/>
      <c r="BC49" s="42"/>
      <c r="BD49" s="38">
        <f t="shared" si="11"/>
        <v>0</v>
      </c>
      <c r="BE49" s="42"/>
      <c r="BF49" s="42"/>
      <c r="BG49" s="42"/>
      <c r="BH49" s="38">
        <f t="shared" si="12"/>
        <v>0</v>
      </c>
      <c r="BI49" s="42"/>
      <c r="BJ49" s="42"/>
      <c r="BK49" s="42"/>
      <c r="BL49" s="38">
        <f t="shared" si="13"/>
        <v>0</v>
      </c>
      <c r="BM49" s="42"/>
      <c r="BN49" s="42"/>
      <c r="BO49" s="42"/>
      <c r="BP49" s="42"/>
      <c r="BR49" s="42">
        <f t="shared" si="14"/>
        <v>26626.6</v>
      </c>
      <c r="BS49" s="43">
        <f t="shared" si="15"/>
        <v>1990.9639999999999</v>
      </c>
      <c r="BT49" s="42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  <c r="IL49" s="31"/>
      <c r="IM49" s="31"/>
      <c r="IN49" s="31"/>
      <c r="IO49" s="31"/>
      <c r="IP49" s="31"/>
      <c r="IQ49" s="31"/>
      <c r="IR49" s="31"/>
      <c r="IS49" s="31"/>
      <c r="IT49" s="31"/>
      <c r="IU49" s="31"/>
      <c r="IV49" s="31"/>
      <c r="IW49" s="31"/>
      <c r="IX49" s="31"/>
      <c r="IY49" s="31"/>
      <c r="IZ49" s="31"/>
      <c r="JA49" s="31"/>
      <c r="JB49" s="31"/>
      <c r="JC49" s="31"/>
      <c r="JD49" s="31"/>
      <c r="JE49" s="31"/>
      <c r="JF49" s="31"/>
      <c r="JG49" s="31"/>
      <c r="JH49" s="31"/>
      <c r="JI49" s="31"/>
      <c r="JJ49" s="31"/>
      <c r="JK49" s="31"/>
      <c r="JL49" s="31"/>
      <c r="JM49" s="31"/>
      <c r="JN49" s="31"/>
      <c r="JO49" s="31"/>
      <c r="JP49" s="31"/>
      <c r="JQ49" s="31"/>
      <c r="JR49" s="31"/>
      <c r="JS49" s="31"/>
      <c r="JT49" s="31"/>
      <c r="JU49" s="31"/>
      <c r="JV49" s="31"/>
      <c r="JW49" s="31"/>
      <c r="JX49" s="31"/>
      <c r="JY49" s="31"/>
      <c r="JZ49" s="31"/>
      <c r="KA49" s="31"/>
      <c r="KB49" s="31"/>
      <c r="KC49" s="31"/>
      <c r="KD49" s="31"/>
      <c r="KE49" s="31"/>
      <c r="KF49" s="31"/>
      <c r="KG49" s="31"/>
      <c r="KH49" s="31"/>
      <c r="KI49" s="31"/>
      <c r="KJ49" s="31"/>
      <c r="KK49" s="31"/>
      <c r="KL49" s="31"/>
      <c r="KM49" s="31"/>
      <c r="KN49" s="31"/>
      <c r="KO49" s="31"/>
      <c r="KP49" s="31"/>
      <c r="KQ49" s="31"/>
      <c r="KR49" s="31"/>
      <c r="KS49" s="31"/>
      <c r="KT49" s="31"/>
      <c r="KU49" s="31"/>
      <c r="KV49" s="31"/>
      <c r="KW49" s="31"/>
      <c r="KX49" s="31"/>
      <c r="KY49" s="31"/>
      <c r="KZ49" s="31"/>
      <c r="LA49" s="31"/>
      <c r="LB49" s="31"/>
      <c r="LC49" s="31"/>
      <c r="LD49" s="31"/>
      <c r="LE49" s="31"/>
      <c r="LF49" s="31"/>
      <c r="LG49" s="31"/>
      <c r="LH49" s="31"/>
      <c r="LI49" s="31"/>
      <c r="LJ49" s="31"/>
      <c r="LK49" s="31"/>
      <c r="LL49" s="31"/>
      <c r="LM49" s="31"/>
      <c r="LN49" s="31"/>
      <c r="LO49" s="31"/>
      <c r="LP49" s="31"/>
      <c r="LQ49" s="31"/>
      <c r="LR49" s="31"/>
      <c r="LS49" s="31"/>
      <c r="LT49" s="31"/>
      <c r="LU49" s="31"/>
      <c r="LV49" s="31"/>
      <c r="LW49" s="31"/>
      <c r="LX49" s="31"/>
      <c r="LY49" s="31"/>
      <c r="LZ49" s="31"/>
      <c r="MA49" s="31"/>
      <c r="MB49" s="31"/>
      <c r="MC49" s="31"/>
      <c r="MD49" s="31"/>
      <c r="ME49" s="31"/>
      <c r="MF49" s="31"/>
      <c r="MG49" s="31"/>
      <c r="MH49" s="31"/>
      <c r="MI49" s="31"/>
      <c r="MJ49" s="31"/>
      <c r="MK49" s="31"/>
      <c r="ML49" s="31"/>
      <c r="MM49" s="31"/>
      <c r="MN49" s="31"/>
      <c r="MO49" s="31"/>
      <c r="MP49" s="31"/>
      <c r="MQ49" s="31"/>
      <c r="MR49" s="31"/>
      <c r="MS49" s="31"/>
      <c r="MT49" s="31"/>
      <c r="MU49" s="31"/>
      <c r="MV49" s="31"/>
      <c r="MW49" s="31"/>
      <c r="MX49" s="31"/>
      <c r="MY49" s="31"/>
      <c r="MZ49" s="31"/>
      <c r="NA49" s="31"/>
      <c r="NB49" s="31"/>
      <c r="NC49" s="31"/>
      <c r="ND49" s="31"/>
      <c r="NE49" s="31"/>
      <c r="NF49" s="31"/>
      <c r="NG49" s="31"/>
      <c r="NH49" s="31"/>
      <c r="NI49" s="31"/>
      <c r="NJ49" s="31"/>
      <c r="NK49" s="31"/>
      <c r="NL49" s="31"/>
      <c r="NM49" s="31"/>
      <c r="NN49" s="31"/>
      <c r="NO49" s="31"/>
      <c r="NP49" s="31"/>
      <c r="NQ49" s="31"/>
      <c r="NR49" s="31"/>
      <c r="NS49" s="31"/>
      <c r="NT49" s="31"/>
      <c r="NU49" s="31"/>
      <c r="NV49" s="31"/>
      <c r="NW49" s="31"/>
      <c r="NX49" s="31"/>
      <c r="NY49" s="31"/>
      <c r="NZ49" s="31"/>
      <c r="OA49" s="31"/>
      <c r="OB49" s="31"/>
      <c r="OC49" s="31"/>
      <c r="OD49" s="31"/>
      <c r="OE49" s="31"/>
      <c r="OF49" s="31"/>
      <c r="OG49" s="31"/>
      <c r="OH49" s="31"/>
      <c r="OI49" s="31"/>
      <c r="OJ49" s="31"/>
      <c r="OK49" s="31"/>
      <c r="OL49" s="31"/>
      <c r="OM49" s="31"/>
      <c r="ON49" s="31"/>
      <c r="OO49" s="31"/>
      <c r="OP49" s="31"/>
      <c r="OQ49" s="31"/>
      <c r="OR49" s="31"/>
      <c r="OS49" s="31"/>
      <c r="OT49" s="31"/>
      <c r="OU49" s="31"/>
      <c r="OV49" s="31"/>
      <c r="OW49" s="31"/>
      <c r="OX49" s="31"/>
    </row>
    <row r="50" spans="2:414" s="25" customFormat="1" ht="15.6">
      <c r="B50" s="25" t="s">
        <v>90</v>
      </c>
      <c r="C50" s="27" t="s">
        <v>25</v>
      </c>
      <c r="D50" s="30" t="s">
        <v>32</v>
      </c>
      <c r="G50" s="42">
        <v>500</v>
      </c>
      <c r="H50" s="89">
        <v>26.109000000000002</v>
      </c>
      <c r="I50" s="38">
        <f t="shared" si="1"/>
        <v>13054.5</v>
      </c>
      <c r="K50" s="42">
        <v>500</v>
      </c>
      <c r="L50" s="90">
        <v>26.849599999999999</v>
      </c>
      <c r="M50" s="38">
        <f t="shared" si="2"/>
        <v>13424.8</v>
      </c>
      <c r="O50" s="38">
        <v>80</v>
      </c>
      <c r="P50" s="38">
        <v>26.728300000000001</v>
      </c>
      <c r="Q50" s="38">
        <f t="shared" si="3"/>
        <v>2138.2640000000001</v>
      </c>
      <c r="R50" s="43">
        <f t="shared" si="26"/>
        <v>1080</v>
      </c>
      <c r="S50" s="38">
        <f t="shared" si="4"/>
        <v>28617.563999999998</v>
      </c>
      <c r="T50" s="49">
        <v>415</v>
      </c>
      <c r="U50" s="42">
        <v>26.603200000000001</v>
      </c>
      <c r="V50" s="38">
        <f t="shared" si="18"/>
        <v>11040.328000000001</v>
      </c>
      <c r="W50" s="42">
        <v>85</v>
      </c>
      <c r="X50" s="42">
        <v>26.412600000000001</v>
      </c>
      <c r="Y50" s="38">
        <f t="shared" si="17"/>
        <v>2245.0709999999999</v>
      </c>
      <c r="Z50" s="42">
        <v>85</v>
      </c>
      <c r="AA50" s="42">
        <v>26.940100000000001</v>
      </c>
      <c r="AB50" s="42">
        <f t="shared" si="25"/>
        <v>2289.9085</v>
      </c>
      <c r="AD50" s="42">
        <v>415</v>
      </c>
      <c r="AE50" s="42">
        <v>26.8719</v>
      </c>
      <c r="AF50" s="42">
        <f t="shared" si="23"/>
        <v>11151.8385</v>
      </c>
      <c r="AG50" s="42"/>
      <c r="AH50" s="42"/>
      <c r="AI50" s="42"/>
      <c r="AJ50" s="42">
        <f t="shared" si="24"/>
        <v>0</v>
      </c>
      <c r="AL50" s="42"/>
      <c r="AM50" s="42"/>
      <c r="AN50" s="42"/>
      <c r="AO50" s="44"/>
      <c r="AP50" s="42"/>
      <c r="AQ50" s="42"/>
      <c r="AR50" s="42"/>
      <c r="AU50" s="98"/>
      <c r="AV50" s="35"/>
      <c r="AW50" s="104"/>
      <c r="AX50" s="42"/>
      <c r="AY50" s="42"/>
      <c r="AZ50" s="42"/>
      <c r="BA50" s="42"/>
      <c r="BB50" s="42"/>
      <c r="BC50" s="42"/>
      <c r="BD50" s="38">
        <f t="shared" si="11"/>
        <v>0</v>
      </c>
      <c r="BE50" s="42"/>
      <c r="BF50" s="42"/>
      <c r="BG50" s="42"/>
      <c r="BH50" s="38">
        <f t="shared" si="12"/>
        <v>0</v>
      </c>
      <c r="BI50" s="42"/>
      <c r="BJ50" s="42"/>
      <c r="BK50" s="42"/>
      <c r="BL50" s="38">
        <f t="shared" si="13"/>
        <v>0</v>
      </c>
      <c r="BM50" s="42"/>
      <c r="BN50" s="42"/>
      <c r="BO50" s="42"/>
      <c r="BP50" s="42"/>
      <c r="BR50" s="42">
        <f t="shared" si="14"/>
        <v>26727.146000000001</v>
      </c>
      <c r="BS50" s="43">
        <f t="shared" si="15"/>
        <v>1890.4179999999978</v>
      </c>
      <c r="BT50" s="42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  <c r="IL50" s="31"/>
      <c r="IM50" s="31"/>
      <c r="IN50" s="31"/>
      <c r="IO50" s="31"/>
      <c r="IP50" s="31"/>
      <c r="IQ50" s="31"/>
      <c r="IR50" s="31"/>
      <c r="IS50" s="31"/>
      <c r="IT50" s="31"/>
      <c r="IU50" s="31"/>
      <c r="IV50" s="31"/>
      <c r="IW50" s="31"/>
      <c r="IX50" s="31"/>
      <c r="IY50" s="31"/>
      <c r="IZ50" s="31"/>
      <c r="JA50" s="31"/>
      <c r="JB50" s="31"/>
      <c r="JC50" s="31"/>
      <c r="JD50" s="31"/>
      <c r="JE50" s="31"/>
      <c r="JF50" s="31"/>
      <c r="JG50" s="31"/>
      <c r="JH50" s="31"/>
      <c r="JI50" s="31"/>
      <c r="JJ50" s="31"/>
      <c r="JK50" s="31"/>
      <c r="JL50" s="31"/>
      <c r="JM50" s="31"/>
      <c r="JN50" s="31"/>
      <c r="JO50" s="31"/>
      <c r="JP50" s="31"/>
      <c r="JQ50" s="31"/>
      <c r="JR50" s="31"/>
      <c r="JS50" s="31"/>
      <c r="JT50" s="31"/>
      <c r="JU50" s="31"/>
      <c r="JV50" s="31"/>
      <c r="JW50" s="31"/>
      <c r="JX50" s="31"/>
      <c r="JY50" s="31"/>
      <c r="JZ50" s="31"/>
      <c r="KA50" s="31"/>
      <c r="KB50" s="31"/>
      <c r="KC50" s="31"/>
      <c r="KD50" s="31"/>
      <c r="KE50" s="31"/>
      <c r="KF50" s="31"/>
      <c r="KG50" s="31"/>
      <c r="KH50" s="31"/>
      <c r="KI50" s="31"/>
      <c r="KJ50" s="31"/>
      <c r="KK50" s="31"/>
      <c r="KL50" s="31"/>
      <c r="KM50" s="31"/>
      <c r="KN50" s="31"/>
      <c r="KO50" s="31"/>
      <c r="KP50" s="31"/>
      <c r="KQ50" s="31"/>
      <c r="KR50" s="31"/>
      <c r="KS50" s="31"/>
      <c r="KT50" s="31"/>
      <c r="KU50" s="31"/>
      <c r="KV50" s="31"/>
      <c r="KW50" s="31"/>
      <c r="KX50" s="31"/>
      <c r="KY50" s="31"/>
      <c r="KZ50" s="31"/>
      <c r="LA50" s="31"/>
      <c r="LB50" s="31"/>
      <c r="LC50" s="31"/>
      <c r="LD50" s="31"/>
      <c r="LE50" s="31"/>
      <c r="LF50" s="31"/>
      <c r="LG50" s="31"/>
      <c r="LH50" s="31"/>
      <c r="LI50" s="31"/>
      <c r="LJ50" s="31"/>
      <c r="LK50" s="31"/>
      <c r="LL50" s="31"/>
      <c r="LM50" s="31"/>
      <c r="LN50" s="31"/>
      <c r="LO50" s="31"/>
      <c r="LP50" s="31"/>
      <c r="LQ50" s="31"/>
      <c r="LR50" s="31"/>
      <c r="LS50" s="31"/>
      <c r="LT50" s="31"/>
      <c r="LU50" s="31"/>
      <c r="LV50" s="31"/>
      <c r="LW50" s="31"/>
      <c r="LX50" s="31"/>
      <c r="LY50" s="31"/>
      <c r="LZ50" s="31"/>
      <c r="MA50" s="31"/>
      <c r="MB50" s="31"/>
      <c r="MC50" s="31"/>
      <c r="MD50" s="31"/>
      <c r="ME50" s="31"/>
      <c r="MF50" s="31"/>
      <c r="MG50" s="31"/>
      <c r="MH50" s="31"/>
      <c r="MI50" s="31"/>
      <c r="MJ50" s="31"/>
      <c r="MK50" s="31"/>
      <c r="ML50" s="31"/>
      <c r="MM50" s="31"/>
      <c r="MN50" s="31"/>
      <c r="MO50" s="31"/>
      <c r="MP50" s="31"/>
      <c r="MQ50" s="31"/>
      <c r="MR50" s="31"/>
      <c r="MS50" s="31"/>
      <c r="MT50" s="31"/>
      <c r="MU50" s="31"/>
      <c r="MV50" s="31"/>
      <c r="MW50" s="31"/>
      <c r="MX50" s="31"/>
      <c r="MY50" s="31"/>
      <c r="MZ50" s="31"/>
      <c r="NA50" s="31"/>
      <c r="NB50" s="31"/>
      <c r="NC50" s="31"/>
      <c r="ND50" s="31"/>
      <c r="NE50" s="31"/>
      <c r="NF50" s="31"/>
      <c r="NG50" s="31"/>
      <c r="NH50" s="31"/>
      <c r="NI50" s="31"/>
      <c r="NJ50" s="31"/>
      <c r="NK50" s="31"/>
      <c r="NL50" s="31"/>
      <c r="NM50" s="31"/>
      <c r="NN50" s="31"/>
      <c r="NO50" s="31"/>
      <c r="NP50" s="31"/>
      <c r="NQ50" s="31"/>
      <c r="NR50" s="31"/>
      <c r="NS50" s="31"/>
      <c r="NT50" s="31"/>
      <c r="NU50" s="31"/>
      <c r="NV50" s="31"/>
      <c r="NW50" s="31"/>
      <c r="NX50" s="31"/>
      <c r="NY50" s="31"/>
      <c r="NZ50" s="31"/>
      <c r="OA50" s="31"/>
      <c r="OB50" s="31"/>
      <c r="OC50" s="31"/>
      <c r="OD50" s="31"/>
      <c r="OE50" s="31"/>
      <c r="OF50" s="31"/>
      <c r="OG50" s="31"/>
      <c r="OH50" s="31"/>
      <c r="OI50" s="31"/>
      <c r="OJ50" s="31"/>
      <c r="OK50" s="31"/>
      <c r="OL50" s="31"/>
      <c r="OM50" s="31"/>
      <c r="ON50" s="31"/>
      <c r="OO50" s="31"/>
      <c r="OP50" s="31"/>
      <c r="OQ50" s="31"/>
      <c r="OR50" s="31"/>
      <c r="OS50" s="31"/>
      <c r="OT50" s="31"/>
      <c r="OU50" s="31"/>
      <c r="OV50" s="31"/>
      <c r="OW50" s="31"/>
      <c r="OX50" s="31"/>
    </row>
    <row r="51" spans="2:414" s="25" customFormat="1" ht="15.6">
      <c r="B51" s="25" t="s">
        <v>1128</v>
      </c>
      <c r="C51" s="27" t="s">
        <v>91</v>
      </c>
      <c r="D51" s="30" t="s">
        <v>32</v>
      </c>
      <c r="G51" s="42">
        <v>500</v>
      </c>
      <c r="H51" s="89">
        <v>26.109000000000002</v>
      </c>
      <c r="I51" s="38">
        <f t="shared" si="1"/>
        <v>13054.5</v>
      </c>
      <c r="K51" s="42">
        <v>500</v>
      </c>
      <c r="L51" s="90">
        <v>26.849599999999999</v>
      </c>
      <c r="M51" s="38">
        <f t="shared" si="2"/>
        <v>13424.8</v>
      </c>
      <c r="O51" s="38">
        <v>80</v>
      </c>
      <c r="P51" s="38">
        <v>26.728300000000001</v>
      </c>
      <c r="Q51" s="38">
        <f t="shared" si="3"/>
        <v>2138.2640000000001</v>
      </c>
      <c r="R51" s="43">
        <f t="shared" si="26"/>
        <v>1080</v>
      </c>
      <c r="S51" s="38">
        <f t="shared" si="4"/>
        <v>28617.563999999998</v>
      </c>
      <c r="T51" s="49">
        <v>85</v>
      </c>
      <c r="U51" s="42">
        <v>26.450800000000001</v>
      </c>
      <c r="V51" s="38">
        <f t="shared" si="18"/>
        <v>2248.3180000000002</v>
      </c>
      <c r="W51" s="42"/>
      <c r="X51" s="42"/>
      <c r="Y51" s="38">
        <f t="shared" si="17"/>
        <v>0</v>
      </c>
      <c r="Z51" s="42"/>
      <c r="AA51" s="42"/>
      <c r="AB51" s="42">
        <f t="shared" si="25"/>
        <v>0</v>
      </c>
      <c r="AD51" s="42">
        <v>85</v>
      </c>
      <c r="AE51" s="42"/>
      <c r="AF51" s="42">
        <f t="shared" si="23"/>
        <v>0</v>
      </c>
      <c r="AG51" s="42"/>
      <c r="AH51" s="42"/>
      <c r="AI51" s="42"/>
      <c r="AJ51" s="42">
        <f t="shared" si="24"/>
        <v>0</v>
      </c>
      <c r="AL51" s="42"/>
      <c r="AM51" s="42"/>
      <c r="AN51" s="42"/>
      <c r="AO51" s="44"/>
      <c r="AP51" s="42"/>
      <c r="AQ51" s="42"/>
      <c r="AR51" s="42"/>
      <c r="AU51" s="98"/>
      <c r="AV51" s="35"/>
      <c r="AW51" s="104"/>
      <c r="AX51" s="42"/>
      <c r="AY51" s="42"/>
      <c r="AZ51" s="42"/>
      <c r="BA51" s="42"/>
      <c r="BB51" s="42"/>
      <c r="BC51" s="42"/>
      <c r="BD51" s="38">
        <f t="shared" si="11"/>
        <v>0</v>
      </c>
      <c r="BE51" s="42"/>
      <c r="BF51" s="42"/>
      <c r="BG51" s="42"/>
      <c r="BH51" s="38">
        <f t="shared" si="12"/>
        <v>0</v>
      </c>
      <c r="BI51" s="42"/>
      <c r="BJ51" s="42"/>
      <c r="BK51" s="42"/>
      <c r="BL51" s="38">
        <f t="shared" si="13"/>
        <v>0</v>
      </c>
      <c r="BM51" s="42"/>
      <c r="BN51" s="42"/>
      <c r="BO51" s="42"/>
      <c r="BP51" s="42"/>
      <c r="BR51" s="42">
        <f t="shared" si="14"/>
        <v>2248.3180000000002</v>
      </c>
      <c r="BS51" s="43">
        <f t="shared" si="15"/>
        <v>26369.245999999999</v>
      </c>
      <c r="BT51" s="42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  <c r="IL51" s="31"/>
      <c r="IM51" s="31"/>
      <c r="IN51" s="31"/>
      <c r="IO51" s="31"/>
      <c r="IP51" s="31"/>
      <c r="IQ51" s="31"/>
      <c r="IR51" s="31"/>
      <c r="IS51" s="31"/>
      <c r="IT51" s="31"/>
      <c r="IU51" s="31"/>
      <c r="IV51" s="31"/>
      <c r="IW51" s="31"/>
      <c r="IX51" s="31"/>
      <c r="IY51" s="31"/>
      <c r="IZ51" s="31"/>
      <c r="JA51" s="31"/>
      <c r="JB51" s="31"/>
      <c r="JC51" s="31"/>
      <c r="JD51" s="31"/>
      <c r="JE51" s="31"/>
      <c r="JF51" s="31"/>
      <c r="JG51" s="31"/>
      <c r="JH51" s="31"/>
      <c r="JI51" s="31"/>
      <c r="JJ51" s="31"/>
      <c r="JK51" s="31"/>
      <c r="JL51" s="31"/>
      <c r="JM51" s="31"/>
      <c r="JN51" s="31"/>
      <c r="JO51" s="31"/>
      <c r="JP51" s="31"/>
      <c r="JQ51" s="31"/>
      <c r="JR51" s="31"/>
      <c r="JS51" s="31"/>
      <c r="JT51" s="31"/>
      <c r="JU51" s="31"/>
      <c r="JV51" s="31"/>
      <c r="JW51" s="31"/>
      <c r="JX51" s="31"/>
      <c r="JY51" s="31"/>
      <c r="JZ51" s="31"/>
      <c r="KA51" s="31"/>
      <c r="KB51" s="31"/>
      <c r="KC51" s="31"/>
      <c r="KD51" s="31"/>
      <c r="KE51" s="31"/>
      <c r="KF51" s="31"/>
      <c r="KG51" s="31"/>
      <c r="KH51" s="31"/>
      <c r="KI51" s="31"/>
      <c r="KJ51" s="31"/>
      <c r="KK51" s="31"/>
      <c r="KL51" s="31"/>
      <c r="KM51" s="31"/>
      <c r="KN51" s="31"/>
      <c r="KO51" s="31"/>
      <c r="KP51" s="31"/>
      <c r="KQ51" s="31"/>
      <c r="KR51" s="31"/>
      <c r="KS51" s="31"/>
      <c r="KT51" s="31"/>
      <c r="KU51" s="31"/>
      <c r="KV51" s="31"/>
      <c r="KW51" s="31"/>
      <c r="KX51" s="31"/>
      <c r="KY51" s="31"/>
      <c r="KZ51" s="31"/>
      <c r="LA51" s="31"/>
      <c r="LB51" s="31"/>
      <c r="LC51" s="31"/>
      <c r="LD51" s="31"/>
      <c r="LE51" s="31"/>
      <c r="LF51" s="31"/>
      <c r="LG51" s="31"/>
      <c r="LH51" s="31"/>
      <c r="LI51" s="31"/>
      <c r="LJ51" s="31"/>
      <c r="LK51" s="31"/>
      <c r="LL51" s="31"/>
      <c r="LM51" s="31"/>
      <c r="LN51" s="31"/>
      <c r="LO51" s="31"/>
      <c r="LP51" s="31"/>
      <c r="LQ51" s="31"/>
      <c r="LR51" s="31"/>
      <c r="LS51" s="31"/>
      <c r="LT51" s="31"/>
      <c r="LU51" s="31"/>
      <c r="LV51" s="31"/>
      <c r="LW51" s="31"/>
      <c r="LX51" s="31"/>
      <c r="LY51" s="31"/>
      <c r="LZ51" s="31"/>
      <c r="MA51" s="31"/>
      <c r="MB51" s="31"/>
      <c r="MC51" s="31"/>
      <c r="MD51" s="31"/>
      <c r="ME51" s="31"/>
      <c r="MF51" s="31"/>
      <c r="MG51" s="31"/>
      <c r="MH51" s="31"/>
      <c r="MI51" s="31"/>
      <c r="MJ51" s="31"/>
      <c r="MK51" s="31"/>
      <c r="ML51" s="31"/>
      <c r="MM51" s="31"/>
      <c r="MN51" s="31"/>
      <c r="MO51" s="31"/>
      <c r="MP51" s="31"/>
      <c r="MQ51" s="31"/>
      <c r="MR51" s="31"/>
      <c r="MS51" s="31"/>
      <c r="MT51" s="31"/>
      <c r="MU51" s="31"/>
      <c r="MV51" s="31"/>
      <c r="MW51" s="31"/>
      <c r="MX51" s="31"/>
      <c r="MY51" s="31"/>
      <c r="MZ51" s="31"/>
      <c r="NA51" s="31"/>
      <c r="NB51" s="31"/>
      <c r="NC51" s="31"/>
      <c r="ND51" s="31"/>
      <c r="NE51" s="31"/>
      <c r="NF51" s="31"/>
      <c r="NG51" s="31"/>
      <c r="NH51" s="31"/>
      <c r="NI51" s="31"/>
      <c r="NJ51" s="31"/>
      <c r="NK51" s="31"/>
      <c r="NL51" s="31"/>
      <c r="NM51" s="31"/>
      <c r="NN51" s="31"/>
      <c r="NO51" s="31"/>
      <c r="NP51" s="31"/>
      <c r="NQ51" s="31"/>
      <c r="NR51" s="31"/>
      <c r="NS51" s="31"/>
      <c r="NT51" s="31"/>
      <c r="NU51" s="31"/>
      <c r="NV51" s="31"/>
      <c r="NW51" s="31"/>
      <c r="NX51" s="31"/>
      <c r="NY51" s="31"/>
      <c r="NZ51" s="31"/>
      <c r="OA51" s="31"/>
      <c r="OB51" s="31"/>
      <c r="OC51" s="31"/>
      <c r="OD51" s="31"/>
      <c r="OE51" s="31"/>
      <c r="OF51" s="31"/>
      <c r="OG51" s="31"/>
      <c r="OH51" s="31"/>
      <c r="OI51" s="31"/>
      <c r="OJ51" s="31"/>
      <c r="OK51" s="31"/>
      <c r="OL51" s="31"/>
      <c r="OM51" s="31"/>
      <c r="ON51" s="31"/>
      <c r="OO51" s="31"/>
      <c r="OP51" s="31"/>
      <c r="OQ51" s="31"/>
      <c r="OR51" s="31"/>
      <c r="OS51" s="31"/>
      <c r="OT51" s="31"/>
      <c r="OU51" s="31"/>
      <c r="OV51" s="31"/>
      <c r="OW51" s="31"/>
      <c r="OX51" s="31"/>
    </row>
    <row r="52" spans="2:414" s="25" customFormat="1" ht="15.6">
      <c r="B52" s="25" t="s">
        <v>93</v>
      </c>
      <c r="C52" s="27" t="s">
        <v>92</v>
      </c>
      <c r="D52" s="30" t="s">
        <v>32</v>
      </c>
      <c r="G52" s="42">
        <v>500</v>
      </c>
      <c r="H52" s="89">
        <v>26.109000000000002</v>
      </c>
      <c r="I52" s="38">
        <f t="shared" si="1"/>
        <v>13054.5</v>
      </c>
      <c r="K52" s="42">
        <v>500</v>
      </c>
      <c r="L52" s="90">
        <v>26.849599999999999</v>
      </c>
      <c r="M52" s="38">
        <f t="shared" si="2"/>
        <v>13424.8</v>
      </c>
      <c r="O52" s="38">
        <v>80</v>
      </c>
      <c r="P52" s="38">
        <v>26.728300000000001</v>
      </c>
      <c r="Q52" s="38">
        <f t="shared" si="3"/>
        <v>2138.2640000000001</v>
      </c>
      <c r="R52" s="43">
        <f t="shared" si="26"/>
        <v>1080</v>
      </c>
      <c r="S52" s="38">
        <f t="shared" si="4"/>
        <v>28617.563999999998</v>
      </c>
      <c r="T52" s="49">
        <v>332</v>
      </c>
      <c r="U52" s="42">
        <v>26.448399999999999</v>
      </c>
      <c r="V52" s="38">
        <f t="shared" si="18"/>
        <v>8780.8688000000002</v>
      </c>
      <c r="W52" s="42">
        <v>85</v>
      </c>
      <c r="X52" s="42">
        <v>26.464200000000002</v>
      </c>
      <c r="Y52" s="38">
        <f t="shared" si="17"/>
        <v>2249.4570000000003</v>
      </c>
      <c r="Z52" s="42">
        <v>83</v>
      </c>
      <c r="AA52" s="42">
        <v>26.484400000000001</v>
      </c>
      <c r="AB52" s="42">
        <f t="shared" si="25"/>
        <v>2198.2051999999999</v>
      </c>
      <c r="AD52" s="42">
        <v>500</v>
      </c>
      <c r="AE52" s="42">
        <v>26.856000000000002</v>
      </c>
      <c r="AF52" s="42">
        <f t="shared" si="23"/>
        <v>13428</v>
      </c>
      <c r="AG52" s="42"/>
      <c r="AH52" s="42"/>
      <c r="AI52" s="42"/>
      <c r="AJ52" s="42">
        <f t="shared" si="24"/>
        <v>0</v>
      </c>
      <c r="AL52" s="42"/>
      <c r="AM52" s="42"/>
      <c r="AN52" s="42"/>
      <c r="AO52" s="44"/>
      <c r="AP52" s="42"/>
      <c r="AQ52" s="42"/>
      <c r="AR52" s="42"/>
      <c r="AU52" s="98"/>
      <c r="AV52" s="35"/>
      <c r="AW52" s="104"/>
      <c r="AX52" s="42"/>
      <c r="AY52" s="42"/>
      <c r="AZ52" s="42"/>
      <c r="BA52" s="42"/>
      <c r="BB52" s="42"/>
      <c r="BC52" s="42"/>
      <c r="BD52" s="38">
        <f t="shared" si="11"/>
        <v>0</v>
      </c>
      <c r="BE52" s="42"/>
      <c r="BF52" s="42"/>
      <c r="BG52" s="42"/>
      <c r="BH52" s="38">
        <f t="shared" si="12"/>
        <v>0</v>
      </c>
      <c r="BI52" s="42"/>
      <c r="BJ52" s="42"/>
      <c r="BK52" s="42"/>
      <c r="BL52" s="38">
        <f t="shared" si="13"/>
        <v>0</v>
      </c>
      <c r="BM52" s="42"/>
      <c r="BN52" s="42"/>
      <c r="BO52" s="42"/>
      <c r="BP52" s="42"/>
      <c r="BR52" s="42">
        <f t="shared" si="14"/>
        <v>26656.531000000003</v>
      </c>
      <c r="BS52" s="43">
        <f t="shared" si="15"/>
        <v>1961.0329999999958</v>
      </c>
      <c r="BT52" s="42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  <c r="JH52" s="31"/>
      <c r="JI52" s="31"/>
      <c r="JJ52" s="31"/>
      <c r="JK52" s="31"/>
      <c r="JL52" s="31"/>
      <c r="JM52" s="31"/>
      <c r="JN52" s="31"/>
      <c r="JO52" s="31"/>
      <c r="JP52" s="31"/>
      <c r="JQ52" s="31"/>
      <c r="JR52" s="31"/>
      <c r="JS52" s="31"/>
      <c r="JT52" s="31"/>
      <c r="JU52" s="31"/>
      <c r="JV52" s="31"/>
      <c r="JW52" s="31"/>
      <c r="JX52" s="31"/>
      <c r="JY52" s="31"/>
      <c r="JZ52" s="31"/>
      <c r="KA52" s="31"/>
      <c r="KB52" s="31"/>
      <c r="KC52" s="31"/>
      <c r="KD52" s="31"/>
      <c r="KE52" s="31"/>
      <c r="KF52" s="31"/>
      <c r="KG52" s="31"/>
      <c r="KH52" s="31"/>
      <c r="KI52" s="31"/>
      <c r="KJ52" s="31"/>
      <c r="KK52" s="31"/>
      <c r="KL52" s="31"/>
      <c r="KM52" s="31"/>
      <c r="KN52" s="31"/>
      <c r="KO52" s="31"/>
      <c r="KP52" s="31"/>
      <c r="KQ52" s="31"/>
      <c r="KR52" s="31"/>
      <c r="KS52" s="31"/>
      <c r="KT52" s="31"/>
      <c r="KU52" s="31"/>
      <c r="KV52" s="31"/>
      <c r="KW52" s="31"/>
      <c r="KX52" s="31"/>
      <c r="KY52" s="31"/>
      <c r="KZ52" s="31"/>
      <c r="LA52" s="31"/>
      <c r="LB52" s="31"/>
      <c r="LC52" s="31"/>
      <c r="LD52" s="31"/>
      <c r="LE52" s="31"/>
      <c r="LF52" s="31"/>
      <c r="LG52" s="31"/>
      <c r="LH52" s="31"/>
      <c r="LI52" s="31"/>
      <c r="LJ52" s="31"/>
      <c r="LK52" s="31"/>
      <c r="LL52" s="31"/>
      <c r="LM52" s="31"/>
      <c r="LN52" s="31"/>
      <c r="LO52" s="31"/>
      <c r="LP52" s="31"/>
      <c r="LQ52" s="31"/>
      <c r="LR52" s="31"/>
      <c r="LS52" s="31"/>
      <c r="LT52" s="31"/>
      <c r="LU52" s="31"/>
      <c r="LV52" s="31"/>
      <c r="LW52" s="31"/>
      <c r="LX52" s="31"/>
      <c r="LY52" s="31"/>
      <c r="LZ52" s="31"/>
      <c r="MA52" s="31"/>
      <c r="MB52" s="31"/>
      <c r="MC52" s="31"/>
      <c r="MD52" s="31"/>
      <c r="ME52" s="31"/>
      <c r="MF52" s="31"/>
      <c r="MG52" s="31"/>
      <c r="MH52" s="31"/>
      <c r="MI52" s="31"/>
      <c r="MJ52" s="31"/>
      <c r="MK52" s="31"/>
      <c r="ML52" s="31"/>
      <c r="MM52" s="31"/>
      <c r="MN52" s="31"/>
      <c r="MO52" s="31"/>
      <c r="MP52" s="31"/>
      <c r="MQ52" s="31"/>
      <c r="MR52" s="31"/>
      <c r="MS52" s="31"/>
      <c r="MT52" s="31"/>
      <c r="MU52" s="31"/>
      <c r="MV52" s="31"/>
      <c r="MW52" s="31"/>
      <c r="MX52" s="31"/>
      <c r="MY52" s="31"/>
      <c r="MZ52" s="31"/>
      <c r="NA52" s="31"/>
      <c r="NB52" s="31"/>
      <c r="NC52" s="31"/>
      <c r="ND52" s="31"/>
      <c r="NE52" s="31"/>
      <c r="NF52" s="31"/>
      <c r="NG52" s="31"/>
      <c r="NH52" s="31"/>
      <c r="NI52" s="31"/>
      <c r="NJ52" s="31"/>
      <c r="NK52" s="31"/>
      <c r="NL52" s="31"/>
      <c r="NM52" s="31"/>
      <c r="NN52" s="31"/>
      <c r="NO52" s="31"/>
      <c r="NP52" s="31"/>
      <c r="NQ52" s="31"/>
      <c r="NR52" s="31"/>
      <c r="NS52" s="31"/>
      <c r="NT52" s="31"/>
      <c r="NU52" s="31"/>
      <c r="NV52" s="31"/>
      <c r="NW52" s="31"/>
      <c r="NX52" s="31"/>
      <c r="NY52" s="31"/>
      <c r="NZ52" s="31"/>
      <c r="OA52" s="31"/>
      <c r="OB52" s="31"/>
      <c r="OC52" s="31"/>
      <c r="OD52" s="31"/>
      <c r="OE52" s="31"/>
      <c r="OF52" s="31"/>
      <c r="OG52" s="31"/>
      <c r="OH52" s="31"/>
      <c r="OI52" s="31"/>
      <c r="OJ52" s="31"/>
      <c r="OK52" s="31"/>
      <c r="OL52" s="31"/>
      <c r="OM52" s="31"/>
      <c r="ON52" s="31"/>
      <c r="OO52" s="31"/>
      <c r="OP52" s="31"/>
      <c r="OQ52" s="31"/>
      <c r="OR52" s="31"/>
      <c r="OS52" s="31"/>
      <c r="OT52" s="31"/>
      <c r="OU52" s="31"/>
      <c r="OV52" s="31"/>
      <c r="OW52" s="31"/>
      <c r="OX52" s="31"/>
    </row>
    <row r="53" spans="2:414" s="25" customFormat="1" ht="15.6">
      <c r="B53" s="25" t="s">
        <v>95</v>
      </c>
      <c r="C53" s="27" t="s">
        <v>94</v>
      </c>
      <c r="D53" s="30" t="s">
        <v>32</v>
      </c>
      <c r="G53" s="42">
        <v>500</v>
      </c>
      <c r="H53" s="89">
        <v>26.109000000000002</v>
      </c>
      <c r="I53" s="38">
        <f t="shared" si="1"/>
        <v>13054.5</v>
      </c>
      <c r="K53" s="42">
        <v>500</v>
      </c>
      <c r="L53" s="90">
        <v>26.849599999999999</v>
      </c>
      <c r="M53" s="38">
        <f t="shared" si="2"/>
        <v>13424.8</v>
      </c>
      <c r="O53" s="38">
        <v>80</v>
      </c>
      <c r="P53" s="38">
        <v>26.728300000000001</v>
      </c>
      <c r="Q53" s="38">
        <f t="shared" si="3"/>
        <v>2138.2640000000001</v>
      </c>
      <c r="R53" s="43">
        <f t="shared" si="26"/>
        <v>1080</v>
      </c>
      <c r="S53" s="38">
        <f t="shared" si="4"/>
        <v>28617.563999999998</v>
      </c>
      <c r="T53" s="49">
        <v>230</v>
      </c>
      <c r="U53" s="42">
        <v>26.6813</v>
      </c>
      <c r="V53" s="38">
        <f t="shared" si="18"/>
        <v>6136.6989999999996</v>
      </c>
      <c r="W53" s="42">
        <v>115</v>
      </c>
      <c r="X53" s="42">
        <v>26.6813</v>
      </c>
      <c r="Y53" s="38">
        <f t="shared" si="17"/>
        <v>3068.3494999999998</v>
      </c>
      <c r="Z53" s="42">
        <v>100</v>
      </c>
      <c r="AA53" s="42">
        <v>26.991800000000001</v>
      </c>
      <c r="AB53" s="42">
        <f t="shared" si="25"/>
        <v>2699.1800000000003</v>
      </c>
      <c r="AD53" s="42">
        <v>85</v>
      </c>
      <c r="AE53" s="42">
        <v>26.958300000000001</v>
      </c>
      <c r="AF53" s="42">
        <f t="shared" si="23"/>
        <v>2291.4555</v>
      </c>
      <c r="AG53" s="42"/>
      <c r="AH53" s="42">
        <v>70</v>
      </c>
      <c r="AI53" s="42">
        <v>26.8827</v>
      </c>
      <c r="AJ53" s="42">
        <f t="shared" si="24"/>
        <v>1881.789</v>
      </c>
      <c r="AL53" s="42">
        <v>200</v>
      </c>
      <c r="AM53" s="42">
        <v>26.887899999999998</v>
      </c>
      <c r="AN53" s="42">
        <f>AL53*AM53</f>
        <v>5377.58</v>
      </c>
      <c r="AO53" s="44"/>
      <c r="AP53" s="42">
        <v>120</v>
      </c>
      <c r="AQ53" s="42">
        <v>26.788399999999999</v>
      </c>
      <c r="AR53" s="42"/>
      <c r="AT53" s="25">
        <v>25</v>
      </c>
      <c r="AU53" s="98">
        <v>26.790600000000001</v>
      </c>
      <c r="AV53" s="35">
        <f>AT53*AU53</f>
        <v>669.76499999999999</v>
      </c>
      <c r="AW53" s="104"/>
      <c r="AX53" s="42"/>
      <c r="AY53" s="42"/>
      <c r="AZ53" s="42"/>
      <c r="BA53" s="42"/>
      <c r="BB53" s="42"/>
      <c r="BC53" s="42"/>
      <c r="BD53" s="38">
        <f t="shared" si="11"/>
        <v>0</v>
      </c>
      <c r="BE53" s="42"/>
      <c r="BF53" s="42"/>
      <c r="BG53" s="42"/>
      <c r="BH53" s="38">
        <f t="shared" si="12"/>
        <v>0</v>
      </c>
      <c r="BI53" s="42"/>
      <c r="BJ53" s="42"/>
      <c r="BK53" s="42"/>
      <c r="BL53" s="38">
        <f t="shared" si="13"/>
        <v>0</v>
      </c>
      <c r="BM53" s="42"/>
      <c r="BN53" s="42"/>
      <c r="BO53" s="42"/>
      <c r="BP53" s="42"/>
      <c r="BR53" s="42">
        <f t="shared" si="14"/>
        <v>22124.817999999999</v>
      </c>
      <c r="BS53" s="43">
        <f t="shared" si="15"/>
        <v>6492.7459999999992</v>
      </c>
      <c r="BT53" s="42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  <c r="IL53" s="31"/>
      <c r="IM53" s="31"/>
      <c r="IN53" s="31"/>
      <c r="IO53" s="31"/>
      <c r="IP53" s="31"/>
      <c r="IQ53" s="31"/>
      <c r="IR53" s="31"/>
      <c r="IS53" s="31"/>
      <c r="IT53" s="31"/>
      <c r="IU53" s="31"/>
      <c r="IV53" s="31"/>
      <c r="IW53" s="31"/>
      <c r="IX53" s="31"/>
      <c r="IY53" s="31"/>
      <c r="IZ53" s="31"/>
      <c r="JA53" s="31"/>
      <c r="JB53" s="31"/>
      <c r="JC53" s="31"/>
      <c r="JD53" s="31"/>
      <c r="JE53" s="31"/>
      <c r="JF53" s="31"/>
      <c r="JG53" s="31"/>
      <c r="JH53" s="31"/>
      <c r="JI53" s="31"/>
      <c r="JJ53" s="31"/>
      <c r="JK53" s="31"/>
      <c r="JL53" s="31"/>
      <c r="JM53" s="31"/>
      <c r="JN53" s="31"/>
      <c r="JO53" s="31"/>
      <c r="JP53" s="31"/>
      <c r="JQ53" s="31"/>
      <c r="JR53" s="31"/>
      <c r="JS53" s="31"/>
      <c r="JT53" s="31"/>
      <c r="JU53" s="31"/>
      <c r="JV53" s="31"/>
      <c r="JW53" s="31"/>
      <c r="JX53" s="31"/>
      <c r="JY53" s="31"/>
      <c r="JZ53" s="31"/>
      <c r="KA53" s="31"/>
      <c r="KB53" s="31"/>
      <c r="KC53" s="31"/>
      <c r="KD53" s="31"/>
      <c r="KE53" s="31"/>
      <c r="KF53" s="31"/>
      <c r="KG53" s="31"/>
      <c r="KH53" s="31"/>
      <c r="KI53" s="31"/>
      <c r="KJ53" s="31"/>
      <c r="KK53" s="31"/>
      <c r="KL53" s="31"/>
      <c r="KM53" s="31"/>
      <c r="KN53" s="31"/>
      <c r="KO53" s="31"/>
      <c r="KP53" s="31"/>
      <c r="KQ53" s="31"/>
      <c r="KR53" s="31"/>
      <c r="KS53" s="31"/>
      <c r="KT53" s="31"/>
      <c r="KU53" s="31"/>
      <c r="KV53" s="31"/>
      <c r="KW53" s="31"/>
      <c r="KX53" s="31"/>
      <c r="KY53" s="31"/>
      <c r="KZ53" s="31"/>
      <c r="LA53" s="31"/>
      <c r="LB53" s="31"/>
      <c r="LC53" s="31"/>
      <c r="LD53" s="31"/>
      <c r="LE53" s="31"/>
      <c r="LF53" s="31"/>
      <c r="LG53" s="31"/>
      <c r="LH53" s="31"/>
      <c r="LI53" s="31"/>
      <c r="LJ53" s="31"/>
      <c r="LK53" s="31"/>
      <c r="LL53" s="31"/>
      <c r="LM53" s="31"/>
      <c r="LN53" s="31"/>
      <c r="LO53" s="31"/>
      <c r="LP53" s="31"/>
      <c r="LQ53" s="31"/>
      <c r="LR53" s="31"/>
      <c r="LS53" s="31"/>
      <c r="LT53" s="31"/>
      <c r="LU53" s="31"/>
      <c r="LV53" s="31"/>
      <c r="LW53" s="31"/>
      <c r="LX53" s="31"/>
      <c r="LY53" s="31"/>
      <c r="LZ53" s="31"/>
      <c r="MA53" s="31"/>
      <c r="MB53" s="31"/>
      <c r="MC53" s="31"/>
      <c r="MD53" s="31"/>
      <c r="ME53" s="31"/>
      <c r="MF53" s="31"/>
      <c r="MG53" s="31"/>
      <c r="MH53" s="31"/>
      <c r="MI53" s="31"/>
      <c r="MJ53" s="31"/>
      <c r="MK53" s="31"/>
      <c r="ML53" s="31"/>
      <c r="MM53" s="31"/>
      <c r="MN53" s="31"/>
      <c r="MO53" s="31"/>
      <c r="MP53" s="31"/>
      <c r="MQ53" s="31"/>
      <c r="MR53" s="31"/>
      <c r="MS53" s="31"/>
      <c r="MT53" s="31"/>
      <c r="MU53" s="31"/>
      <c r="MV53" s="31"/>
      <c r="MW53" s="31"/>
      <c r="MX53" s="31"/>
      <c r="MY53" s="31"/>
      <c r="MZ53" s="31"/>
      <c r="NA53" s="31"/>
      <c r="NB53" s="31"/>
      <c r="NC53" s="31"/>
      <c r="ND53" s="31"/>
      <c r="NE53" s="31"/>
      <c r="NF53" s="31"/>
      <c r="NG53" s="31"/>
      <c r="NH53" s="31"/>
      <c r="NI53" s="31"/>
      <c r="NJ53" s="31"/>
      <c r="NK53" s="31"/>
      <c r="NL53" s="31"/>
      <c r="NM53" s="31"/>
      <c r="NN53" s="31"/>
      <c r="NO53" s="31"/>
      <c r="NP53" s="31"/>
      <c r="NQ53" s="31"/>
      <c r="NR53" s="31"/>
      <c r="NS53" s="31"/>
      <c r="NT53" s="31"/>
      <c r="NU53" s="31"/>
      <c r="NV53" s="31"/>
      <c r="NW53" s="31"/>
      <c r="NX53" s="31"/>
      <c r="NY53" s="31"/>
      <c r="NZ53" s="31"/>
      <c r="OA53" s="31"/>
      <c r="OB53" s="31"/>
      <c r="OC53" s="31"/>
      <c r="OD53" s="31"/>
      <c r="OE53" s="31"/>
      <c r="OF53" s="31"/>
      <c r="OG53" s="31"/>
      <c r="OH53" s="31"/>
      <c r="OI53" s="31"/>
      <c r="OJ53" s="31"/>
      <c r="OK53" s="31"/>
      <c r="OL53" s="31"/>
      <c r="OM53" s="31"/>
      <c r="ON53" s="31"/>
      <c r="OO53" s="31"/>
      <c r="OP53" s="31"/>
      <c r="OQ53" s="31"/>
      <c r="OR53" s="31"/>
      <c r="OS53" s="31"/>
      <c r="OT53" s="31"/>
      <c r="OU53" s="31"/>
      <c r="OV53" s="31"/>
      <c r="OW53" s="31"/>
      <c r="OX53" s="31"/>
    </row>
    <row r="54" spans="2:414" s="25" customFormat="1" ht="15.6">
      <c r="B54" s="25" t="s">
        <v>96</v>
      </c>
      <c r="C54" s="27" t="s">
        <v>97</v>
      </c>
      <c r="D54" s="30" t="s">
        <v>32</v>
      </c>
      <c r="G54" s="42">
        <v>500</v>
      </c>
      <c r="H54" s="89">
        <v>26.109000000000002</v>
      </c>
      <c r="I54" s="38">
        <f t="shared" si="1"/>
        <v>13054.5</v>
      </c>
      <c r="K54" s="42">
        <v>500</v>
      </c>
      <c r="L54" s="90">
        <v>26.849599999999999</v>
      </c>
      <c r="M54" s="38">
        <f t="shared" si="2"/>
        <v>13424.8</v>
      </c>
      <c r="O54" s="38">
        <v>80</v>
      </c>
      <c r="P54" s="38">
        <v>26.728300000000001</v>
      </c>
      <c r="Q54" s="38">
        <f t="shared" si="3"/>
        <v>2138.2640000000001</v>
      </c>
      <c r="R54" s="43">
        <f t="shared" si="26"/>
        <v>1080</v>
      </c>
      <c r="S54" s="38">
        <f t="shared" si="4"/>
        <v>28617.563999999998</v>
      </c>
      <c r="T54" s="49">
        <v>500</v>
      </c>
      <c r="U54" s="42">
        <v>26.663399999999999</v>
      </c>
      <c r="V54" s="38">
        <f t="shared" si="18"/>
        <v>13331.699999999999</v>
      </c>
      <c r="W54" s="42">
        <v>200</v>
      </c>
      <c r="X54" s="42">
        <v>26.903700000000001</v>
      </c>
      <c r="Y54" s="38">
        <f t="shared" si="17"/>
        <v>5380.74</v>
      </c>
      <c r="Z54" s="42">
        <v>85</v>
      </c>
      <c r="AA54" s="42">
        <v>26.956099999999999</v>
      </c>
      <c r="AB54" s="42">
        <f t="shared" si="25"/>
        <v>2291.2685000000001</v>
      </c>
      <c r="AD54" s="42">
        <v>15</v>
      </c>
      <c r="AE54" s="42">
        <v>26.956099999999999</v>
      </c>
      <c r="AF54" s="42">
        <f t="shared" si="23"/>
        <v>404.3415</v>
      </c>
      <c r="AG54" s="42"/>
      <c r="AH54" s="42"/>
      <c r="AI54" s="42"/>
      <c r="AJ54" s="42">
        <f t="shared" si="24"/>
        <v>0</v>
      </c>
      <c r="AL54" s="42"/>
      <c r="AM54" s="42"/>
      <c r="AN54" s="42"/>
      <c r="AO54" s="44"/>
      <c r="AP54" s="42"/>
      <c r="AQ54" s="42"/>
      <c r="AR54" s="42"/>
      <c r="AU54" s="98"/>
      <c r="AV54" s="35"/>
      <c r="AW54" s="104"/>
      <c r="AX54" s="42"/>
      <c r="AY54" s="42"/>
      <c r="AZ54" s="42"/>
      <c r="BA54" s="42"/>
      <c r="BB54" s="42"/>
      <c r="BC54" s="42"/>
      <c r="BD54" s="38">
        <f t="shared" si="11"/>
        <v>0</v>
      </c>
      <c r="BE54" s="42"/>
      <c r="BF54" s="42"/>
      <c r="BG54" s="42"/>
      <c r="BH54" s="38">
        <f t="shared" si="12"/>
        <v>0</v>
      </c>
      <c r="BI54" s="42"/>
      <c r="BJ54" s="42"/>
      <c r="BK54" s="42"/>
      <c r="BL54" s="38">
        <f t="shared" si="13"/>
        <v>0</v>
      </c>
      <c r="BM54" s="42"/>
      <c r="BN54" s="42"/>
      <c r="BO54" s="42"/>
      <c r="BP54" s="42"/>
      <c r="BR54" s="42">
        <f t="shared" si="14"/>
        <v>21408.05</v>
      </c>
      <c r="BS54" s="43">
        <f t="shared" si="15"/>
        <v>7209.5139999999992</v>
      </c>
      <c r="BT54" s="42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  <c r="IL54" s="31"/>
      <c r="IM54" s="31"/>
      <c r="IN54" s="31"/>
      <c r="IO54" s="31"/>
      <c r="IP54" s="31"/>
      <c r="IQ54" s="31"/>
      <c r="IR54" s="31"/>
      <c r="IS54" s="31"/>
      <c r="IT54" s="31"/>
      <c r="IU54" s="31"/>
      <c r="IV54" s="31"/>
      <c r="IW54" s="31"/>
      <c r="IX54" s="31"/>
      <c r="IY54" s="31"/>
      <c r="IZ54" s="31"/>
      <c r="JA54" s="31"/>
      <c r="JB54" s="31"/>
      <c r="JC54" s="31"/>
      <c r="JD54" s="31"/>
      <c r="JE54" s="31"/>
      <c r="JF54" s="31"/>
      <c r="JG54" s="31"/>
      <c r="JH54" s="31"/>
      <c r="JI54" s="31"/>
      <c r="JJ54" s="31"/>
      <c r="JK54" s="31"/>
      <c r="JL54" s="31"/>
      <c r="JM54" s="31"/>
      <c r="JN54" s="31"/>
      <c r="JO54" s="31"/>
      <c r="JP54" s="31"/>
      <c r="JQ54" s="31"/>
      <c r="JR54" s="31"/>
      <c r="JS54" s="31"/>
      <c r="JT54" s="31"/>
      <c r="JU54" s="31"/>
      <c r="JV54" s="31"/>
      <c r="JW54" s="31"/>
      <c r="JX54" s="31"/>
      <c r="JY54" s="31"/>
      <c r="JZ54" s="31"/>
      <c r="KA54" s="31"/>
      <c r="KB54" s="31"/>
      <c r="KC54" s="31"/>
      <c r="KD54" s="31"/>
      <c r="KE54" s="31"/>
      <c r="KF54" s="31"/>
      <c r="KG54" s="31"/>
      <c r="KH54" s="31"/>
      <c r="KI54" s="31"/>
      <c r="KJ54" s="31"/>
      <c r="KK54" s="31"/>
      <c r="KL54" s="31"/>
      <c r="KM54" s="31"/>
      <c r="KN54" s="31"/>
      <c r="KO54" s="31"/>
      <c r="KP54" s="31"/>
      <c r="KQ54" s="31"/>
      <c r="KR54" s="31"/>
      <c r="KS54" s="31"/>
      <c r="KT54" s="31"/>
      <c r="KU54" s="31"/>
      <c r="KV54" s="31"/>
      <c r="KW54" s="31"/>
      <c r="KX54" s="31"/>
      <c r="KY54" s="31"/>
      <c r="KZ54" s="31"/>
      <c r="LA54" s="31"/>
      <c r="LB54" s="31"/>
      <c r="LC54" s="31"/>
      <c r="LD54" s="31"/>
      <c r="LE54" s="31"/>
      <c r="LF54" s="31"/>
      <c r="LG54" s="31"/>
      <c r="LH54" s="31"/>
      <c r="LI54" s="31"/>
      <c r="LJ54" s="31"/>
      <c r="LK54" s="31"/>
      <c r="LL54" s="31"/>
      <c r="LM54" s="31"/>
      <c r="LN54" s="31"/>
      <c r="LO54" s="31"/>
      <c r="LP54" s="31"/>
      <c r="LQ54" s="31"/>
      <c r="LR54" s="31"/>
      <c r="LS54" s="31"/>
      <c r="LT54" s="31"/>
      <c r="LU54" s="31"/>
      <c r="LV54" s="31"/>
      <c r="LW54" s="31"/>
      <c r="LX54" s="31"/>
      <c r="LY54" s="31"/>
      <c r="LZ54" s="31"/>
      <c r="MA54" s="31"/>
      <c r="MB54" s="31"/>
      <c r="MC54" s="31"/>
      <c r="MD54" s="31"/>
      <c r="ME54" s="31"/>
      <c r="MF54" s="31"/>
      <c r="MG54" s="31"/>
      <c r="MH54" s="31"/>
      <c r="MI54" s="31"/>
      <c r="MJ54" s="31"/>
      <c r="MK54" s="31"/>
      <c r="ML54" s="31"/>
      <c r="MM54" s="31"/>
      <c r="MN54" s="31"/>
      <c r="MO54" s="31"/>
      <c r="MP54" s="31"/>
      <c r="MQ54" s="31"/>
      <c r="MR54" s="31"/>
      <c r="MS54" s="31"/>
      <c r="MT54" s="31"/>
      <c r="MU54" s="31"/>
      <c r="MV54" s="31"/>
      <c r="MW54" s="31"/>
      <c r="MX54" s="31"/>
      <c r="MY54" s="31"/>
      <c r="MZ54" s="31"/>
      <c r="NA54" s="31"/>
      <c r="NB54" s="31"/>
      <c r="NC54" s="31"/>
      <c r="ND54" s="31"/>
      <c r="NE54" s="31"/>
      <c r="NF54" s="31"/>
      <c r="NG54" s="31"/>
      <c r="NH54" s="31"/>
      <c r="NI54" s="31"/>
      <c r="NJ54" s="31"/>
      <c r="NK54" s="31"/>
      <c r="NL54" s="31"/>
      <c r="NM54" s="31"/>
      <c r="NN54" s="31"/>
      <c r="NO54" s="31"/>
      <c r="NP54" s="31"/>
      <c r="NQ54" s="31"/>
      <c r="NR54" s="31"/>
      <c r="NS54" s="31"/>
      <c r="NT54" s="31"/>
      <c r="NU54" s="31"/>
      <c r="NV54" s="31"/>
      <c r="NW54" s="31"/>
      <c r="NX54" s="31"/>
      <c r="NY54" s="31"/>
      <c r="NZ54" s="31"/>
      <c r="OA54" s="31"/>
      <c r="OB54" s="31"/>
      <c r="OC54" s="31"/>
      <c r="OD54" s="31"/>
      <c r="OE54" s="31"/>
      <c r="OF54" s="31"/>
      <c r="OG54" s="31"/>
      <c r="OH54" s="31"/>
      <c r="OI54" s="31"/>
      <c r="OJ54" s="31"/>
      <c r="OK54" s="31"/>
      <c r="OL54" s="31"/>
      <c r="OM54" s="31"/>
      <c r="ON54" s="31"/>
      <c r="OO54" s="31"/>
      <c r="OP54" s="31"/>
      <c r="OQ54" s="31"/>
      <c r="OR54" s="31"/>
      <c r="OS54" s="31"/>
      <c r="OT54" s="31"/>
      <c r="OU54" s="31"/>
      <c r="OV54" s="31"/>
      <c r="OW54" s="31"/>
      <c r="OX54" s="31"/>
    </row>
    <row r="55" spans="2:414" s="25" customFormat="1" ht="15.6">
      <c r="B55" s="25" t="s">
        <v>99</v>
      </c>
      <c r="C55" s="27" t="s">
        <v>98</v>
      </c>
      <c r="D55" s="30" t="s">
        <v>32</v>
      </c>
      <c r="G55" s="42">
        <v>500</v>
      </c>
      <c r="H55" s="89">
        <v>26.109000000000002</v>
      </c>
      <c r="I55" s="38">
        <f t="shared" si="1"/>
        <v>13054.5</v>
      </c>
      <c r="K55" s="42">
        <v>500</v>
      </c>
      <c r="L55" s="90">
        <v>26.849599999999999</v>
      </c>
      <c r="M55" s="38">
        <f t="shared" si="2"/>
        <v>13424.8</v>
      </c>
      <c r="O55" s="38">
        <v>80</v>
      </c>
      <c r="P55" s="38">
        <v>26.728300000000001</v>
      </c>
      <c r="Q55" s="38">
        <f t="shared" si="3"/>
        <v>2138.2640000000001</v>
      </c>
      <c r="R55" s="43">
        <f t="shared" si="26"/>
        <v>1080</v>
      </c>
      <c r="S55" s="38">
        <f t="shared" si="4"/>
        <v>28617.563999999998</v>
      </c>
      <c r="T55" s="49">
        <v>215</v>
      </c>
      <c r="U55" s="42">
        <v>26.648599999999998</v>
      </c>
      <c r="V55" s="38">
        <f t="shared" si="18"/>
        <v>5729.4489999999996</v>
      </c>
      <c r="W55" s="42">
        <v>85</v>
      </c>
      <c r="X55" s="42">
        <v>26.648599999999998</v>
      </c>
      <c r="Y55" s="38">
        <f t="shared" si="17"/>
        <v>2265.1309999999999</v>
      </c>
      <c r="Z55" s="42">
        <v>85</v>
      </c>
      <c r="AA55" s="42">
        <v>26.921299999999999</v>
      </c>
      <c r="AB55" s="42">
        <f t="shared" si="25"/>
        <v>2288.3105</v>
      </c>
      <c r="AD55" s="42">
        <v>215</v>
      </c>
      <c r="AE55" s="42">
        <v>26.945699999999999</v>
      </c>
      <c r="AF55" s="42">
        <f t="shared" si="23"/>
        <v>5793.3254999999999</v>
      </c>
      <c r="AG55" s="42"/>
      <c r="AH55" s="42">
        <v>200</v>
      </c>
      <c r="AI55" s="42">
        <v>26.7498</v>
      </c>
      <c r="AJ55" s="42">
        <f t="shared" si="24"/>
        <v>5349.96</v>
      </c>
      <c r="AL55" s="42"/>
      <c r="AM55" s="42"/>
      <c r="AN55" s="42"/>
      <c r="AO55" s="44"/>
      <c r="AP55" s="42"/>
      <c r="AQ55" s="42"/>
      <c r="AR55" s="42"/>
      <c r="AU55" s="98"/>
      <c r="AV55" s="35"/>
      <c r="AW55" s="104"/>
      <c r="AX55" s="42"/>
      <c r="AY55" s="42"/>
      <c r="AZ55" s="42"/>
      <c r="BA55" s="42"/>
      <c r="BB55" s="42"/>
      <c r="BC55" s="42"/>
      <c r="BD55" s="38">
        <f t="shared" si="11"/>
        <v>0</v>
      </c>
      <c r="BE55" s="42"/>
      <c r="BF55" s="42"/>
      <c r="BG55" s="42"/>
      <c r="BH55" s="38">
        <f t="shared" si="12"/>
        <v>0</v>
      </c>
      <c r="BI55" s="42"/>
      <c r="BJ55" s="42"/>
      <c r="BK55" s="42"/>
      <c r="BL55" s="38">
        <f t="shared" si="13"/>
        <v>0</v>
      </c>
      <c r="BM55" s="42"/>
      <c r="BN55" s="42"/>
      <c r="BO55" s="42"/>
      <c r="BP55" s="42"/>
      <c r="BR55" s="42">
        <f t="shared" si="14"/>
        <v>21426.175999999999</v>
      </c>
      <c r="BS55" s="43">
        <f t="shared" si="15"/>
        <v>7191.387999999999</v>
      </c>
      <c r="BT55" s="42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1"/>
      <c r="JD55" s="31"/>
      <c r="JE55" s="31"/>
      <c r="JF55" s="31"/>
      <c r="JG55" s="31"/>
      <c r="JH55" s="31"/>
      <c r="JI55" s="31"/>
      <c r="JJ55" s="31"/>
      <c r="JK55" s="31"/>
      <c r="JL55" s="31"/>
      <c r="JM55" s="31"/>
      <c r="JN55" s="31"/>
      <c r="JO55" s="31"/>
      <c r="JP55" s="31"/>
      <c r="JQ55" s="31"/>
      <c r="JR55" s="31"/>
      <c r="JS55" s="31"/>
      <c r="JT55" s="31"/>
      <c r="JU55" s="31"/>
      <c r="JV55" s="31"/>
      <c r="JW55" s="31"/>
      <c r="JX55" s="31"/>
      <c r="JY55" s="31"/>
      <c r="JZ55" s="31"/>
      <c r="KA55" s="31"/>
      <c r="KB55" s="31"/>
      <c r="KC55" s="31"/>
      <c r="KD55" s="31"/>
      <c r="KE55" s="31"/>
      <c r="KF55" s="31"/>
      <c r="KG55" s="31"/>
      <c r="KH55" s="31"/>
      <c r="KI55" s="31"/>
      <c r="KJ55" s="31"/>
      <c r="KK55" s="31"/>
      <c r="KL55" s="31"/>
      <c r="KM55" s="31"/>
      <c r="KN55" s="31"/>
      <c r="KO55" s="31"/>
      <c r="KP55" s="31"/>
      <c r="KQ55" s="31"/>
      <c r="KR55" s="31"/>
      <c r="KS55" s="31"/>
      <c r="KT55" s="31"/>
      <c r="KU55" s="31"/>
      <c r="KV55" s="31"/>
      <c r="KW55" s="31"/>
      <c r="KX55" s="31"/>
      <c r="KY55" s="31"/>
      <c r="KZ55" s="31"/>
      <c r="LA55" s="31"/>
      <c r="LB55" s="31"/>
      <c r="LC55" s="31"/>
      <c r="LD55" s="31"/>
      <c r="LE55" s="31"/>
      <c r="LF55" s="31"/>
      <c r="LG55" s="31"/>
      <c r="LH55" s="31"/>
      <c r="LI55" s="31"/>
      <c r="LJ55" s="31"/>
      <c r="LK55" s="31"/>
      <c r="LL55" s="31"/>
      <c r="LM55" s="31"/>
      <c r="LN55" s="31"/>
      <c r="LO55" s="31"/>
      <c r="LP55" s="31"/>
      <c r="LQ55" s="31"/>
      <c r="LR55" s="31"/>
      <c r="LS55" s="31"/>
      <c r="LT55" s="31"/>
      <c r="LU55" s="31"/>
      <c r="LV55" s="31"/>
      <c r="LW55" s="31"/>
      <c r="LX55" s="31"/>
      <c r="LY55" s="31"/>
      <c r="LZ55" s="31"/>
      <c r="MA55" s="31"/>
      <c r="MB55" s="31"/>
      <c r="MC55" s="31"/>
      <c r="MD55" s="31"/>
      <c r="ME55" s="31"/>
      <c r="MF55" s="31"/>
      <c r="MG55" s="31"/>
      <c r="MH55" s="31"/>
      <c r="MI55" s="31"/>
      <c r="MJ55" s="31"/>
      <c r="MK55" s="31"/>
      <c r="ML55" s="31"/>
      <c r="MM55" s="31"/>
      <c r="MN55" s="31"/>
      <c r="MO55" s="31"/>
      <c r="MP55" s="31"/>
      <c r="MQ55" s="31"/>
      <c r="MR55" s="31"/>
      <c r="MS55" s="31"/>
      <c r="MT55" s="31"/>
      <c r="MU55" s="31"/>
      <c r="MV55" s="31"/>
      <c r="MW55" s="31"/>
      <c r="MX55" s="31"/>
      <c r="MY55" s="31"/>
      <c r="MZ55" s="31"/>
      <c r="NA55" s="31"/>
      <c r="NB55" s="31"/>
      <c r="NC55" s="31"/>
      <c r="ND55" s="31"/>
      <c r="NE55" s="31"/>
      <c r="NF55" s="31"/>
      <c r="NG55" s="31"/>
      <c r="NH55" s="31"/>
      <c r="NI55" s="31"/>
      <c r="NJ55" s="31"/>
      <c r="NK55" s="31"/>
      <c r="NL55" s="31"/>
      <c r="NM55" s="31"/>
      <c r="NN55" s="31"/>
      <c r="NO55" s="31"/>
      <c r="NP55" s="31"/>
      <c r="NQ55" s="31"/>
      <c r="NR55" s="31"/>
      <c r="NS55" s="31"/>
      <c r="NT55" s="31"/>
      <c r="NU55" s="31"/>
      <c r="NV55" s="31"/>
      <c r="NW55" s="31"/>
      <c r="NX55" s="31"/>
      <c r="NY55" s="31"/>
      <c r="NZ55" s="31"/>
      <c r="OA55" s="31"/>
      <c r="OB55" s="31"/>
      <c r="OC55" s="31"/>
      <c r="OD55" s="31"/>
      <c r="OE55" s="31"/>
      <c r="OF55" s="31"/>
      <c r="OG55" s="31"/>
      <c r="OH55" s="31"/>
      <c r="OI55" s="31"/>
      <c r="OJ55" s="31"/>
      <c r="OK55" s="31"/>
      <c r="OL55" s="31"/>
      <c r="OM55" s="31"/>
      <c r="ON55" s="31"/>
      <c r="OO55" s="31"/>
      <c r="OP55" s="31"/>
      <c r="OQ55" s="31"/>
      <c r="OR55" s="31"/>
      <c r="OS55" s="31"/>
      <c r="OT55" s="31"/>
      <c r="OU55" s="31"/>
      <c r="OV55" s="31"/>
      <c r="OW55" s="31"/>
      <c r="OX55" s="31"/>
    </row>
    <row r="56" spans="2:414" s="25" customFormat="1" ht="15.6">
      <c r="B56" s="25" t="s">
        <v>100</v>
      </c>
      <c r="C56" s="27" t="s">
        <v>20</v>
      </c>
      <c r="D56" s="30" t="s">
        <v>32</v>
      </c>
      <c r="G56" s="42">
        <v>500</v>
      </c>
      <c r="H56" s="89">
        <v>26.109000000000002</v>
      </c>
      <c r="I56" s="38">
        <f t="shared" si="1"/>
        <v>13054.5</v>
      </c>
      <c r="K56" s="42">
        <v>500</v>
      </c>
      <c r="L56" s="90">
        <v>26.849599999999999</v>
      </c>
      <c r="M56" s="38">
        <f t="shared" si="2"/>
        <v>13424.8</v>
      </c>
      <c r="O56" s="38">
        <v>80</v>
      </c>
      <c r="P56" s="38">
        <v>26.728300000000001</v>
      </c>
      <c r="Q56" s="38">
        <f t="shared" si="3"/>
        <v>2138.2640000000001</v>
      </c>
      <c r="R56" s="43">
        <f t="shared" si="26"/>
        <v>1080</v>
      </c>
      <c r="S56" s="38">
        <f t="shared" si="4"/>
        <v>28617.563999999998</v>
      </c>
      <c r="T56" s="49">
        <v>300</v>
      </c>
      <c r="U56" s="42">
        <v>26.501200000000001</v>
      </c>
      <c r="V56" s="38">
        <f t="shared" si="18"/>
        <v>7950.3600000000006</v>
      </c>
      <c r="W56" s="42">
        <v>200</v>
      </c>
      <c r="X56" s="42">
        <v>26.940100000000001</v>
      </c>
      <c r="Y56" s="38">
        <f t="shared" si="17"/>
        <v>5388.02</v>
      </c>
      <c r="Z56" s="42">
        <v>100</v>
      </c>
      <c r="AA56" s="42">
        <v>26.921299999999999</v>
      </c>
      <c r="AB56" s="42">
        <f t="shared" si="25"/>
        <v>2692.1299999999997</v>
      </c>
      <c r="AD56" s="42">
        <v>200</v>
      </c>
      <c r="AE56" s="42">
        <v>26.9529</v>
      </c>
      <c r="AF56" s="42">
        <f t="shared" si="23"/>
        <v>5390.58</v>
      </c>
      <c r="AG56" s="42"/>
      <c r="AH56" s="42">
        <v>200</v>
      </c>
      <c r="AI56" s="42">
        <v>26.9529</v>
      </c>
      <c r="AJ56" s="42">
        <f t="shared" si="24"/>
        <v>5390.58</v>
      </c>
      <c r="AL56" s="42"/>
      <c r="AM56" s="42"/>
      <c r="AN56" s="42"/>
      <c r="AO56" s="44"/>
      <c r="AP56" s="42"/>
      <c r="AQ56" s="42"/>
      <c r="AR56" s="42"/>
      <c r="AU56" s="98"/>
      <c r="AV56" s="35"/>
      <c r="AW56" s="104"/>
      <c r="AX56" s="42"/>
      <c r="AY56" s="42"/>
      <c r="AZ56" s="42"/>
      <c r="BA56" s="42"/>
      <c r="BB56" s="42"/>
      <c r="BC56" s="42"/>
      <c r="BD56" s="38">
        <f t="shared" si="11"/>
        <v>0</v>
      </c>
      <c r="BE56" s="42"/>
      <c r="BF56" s="42"/>
      <c r="BG56" s="42"/>
      <c r="BH56" s="38">
        <f t="shared" si="12"/>
        <v>0</v>
      </c>
      <c r="BI56" s="42"/>
      <c r="BJ56" s="42"/>
      <c r="BK56" s="42"/>
      <c r="BL56" s="38">
        <f t="shared" si="13"/>
        <v>0</v>
      </c>
      <c r="BM56" s="42"/>
      <c r="BN56" s="42"/>
      <c r="BO56" s="42"/>
      <c r="BP56" s="42"/>
      <c r="BR56" s="42">
        <f t="shared" si="14"/>
        <v>26811.67</v>
      </c>
      <c r="BS56" s="43">
        <f t="shared" si="15"/>
        <v>1805.8940000000002</v>
      </c>
      <c r="BT56" s="42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  <c r="IL56" s="31"/>
      <c r="IM56" s="31"/>
      <c r="IN56" s="31"/>
      <c r="IO56" s="31"/>
      <c r="IP56" s="31"/>
      <c r="IQ56" s="31"/>
      <c r="IR56" s="31"/>
      <c r="IS56" s="31"/>
      <c r="IT56" s="31"/>
      <c r="IU56" s="31"/>
      <c r="IV56" s="31"/>
      <c r="IW56" s="31"/>
      <c r="IX56" s="31"/>
      <c r="IY56" s="31"/>
      <c r="IZ56" s="31"/>
      <c r="JA56" s="31"/>
      <c r="JB56" s="31"/>
      <c r="JC56" s="31"/>
      <c r="JD56" s="31"/>
      <c r="JE56" s="31"/>
      <c r="JF56" s="31"/>
      <c r="JG56" s="31"/>
      <c r="JH56" s="31"/>
      <c r="JI56" s="31"/>
      <c r="JJ56" s="31"/>
      <c r="JK56" s="31"/>
      <c r="JL56" s="31"/>
      <c r="JM56" s="31"/>
      <c r="JN56" s="31"/>
      <c r="JO56" s="31"/>
      <c r="JP56" s="31"/>
      <c r="JQ56" s="31"/>
      <c r="JR56" s="31"/>
      <c r="JS56" s="31"/>
      <c r="JT56" s="31"/>
      <c r="JU56" s="31"/>
      <c r="JV56" s="31"/>
      <c r="JW56" s="31"/>
      <c r="JX56" s="31"/>
      <c r="JY56" s="31"/>
      <c r="JZ56" s="31"/>
      <c r="KA56" s="31"/>
      <c r="KB56" s="31"/>
      <c r="KC56" s="31"/>
      <c r="KD56" s="31"/>
      <c r="KE56" s="31"/>
      <c r="KF56" s="31"/>
      <c r="KG56" s="31"/>
      <c r="KH56" s="31"/>
      <c r="KI56" s="31"/>
      <c r="KJ56" s="31"/>
      <c r="KK56" s="31"/>
      <c r="KL56" s="31"/>
      <c r="KM56" s="31"/>
      <c r="KN56" s="31"/>
      <c r="KO56" s="31"/>
      <c r="KP56" s="31"/>
      <c r="KQ56" s="31"/>
      <c r="KR56" s="31"/>
      <c r="KS56" s="31"/>
      <c r="KT56" s="31"/>
      <c r="KU56" s="31"/>
      <c r="KV56" s="31"/>
      <c r="KW56" s="31"/>
      <c r="KX56" s="31"/>
      <c r="KY56" s="31"/>
      <c r="KZ56" s="31"/>
      <c r="LA56" s="31"/>
      <c r="LB56" s="31"/>
      <c r="LC56" s="31"/>
      <c r="LD56" s="31"/>
      <c r="LE56" s="31"/>
      <c r="LF56" s="31"/>
      <c r="LG56" s="31"/>
      <c r="LH56" s="31"/>
      <c r="LI56" s="31"/>
      <c r="LJ56" s="31"/>
      <c r="LK56" s="31"/>
      <c r="LL56" s="31"/>
      <c r="LM56" s="31"/>
      <c r="LN56" s="31"/>
      <c r="LO56" s="31"/>
      <c r="LP56" s="31"/>
      <c r="LQ56" s="31"/>
      <c r="LR56" s="31"/>
      <c r="LS56" s="31"/>
      <c r="LT56" s="31"/>
      <c r="LU56" s="31"/>
      <c r="LV56" s="31"/>
      <c r="LW56" s="31"/>
      <c r="LX56" s="31"/>
      <c r="LY56" s="31"/>
      <c r="LZ56" s="31"/>
      <c r="MA56" s="31"/>
      <c r="MB56" s="31"/>
      <c r="MC56" s="31"/>
      <c r="MD56" s="31"/>
      <c r="ME56" s="31"/>
      <c r="MF56" s="31"/>
      <c r="MG56" s="31"/>
      <c r="MH56" s="31"/>
      <c r="MI56" s="31"/>
      <c r="MJ56" s="31"/>
      <c r="MK56" s="31"/>
      <c r="ML56" s="31"/>
      <c r="MM56" s="31"/>
      <c r="MN56" s="31"/>
      <c r="MO56" s="31"/>
      <c r="MP56" s="31"/>
      <c r="MQ56" s="31"/>
      <c r="MR56" s="31"/>
      <c r="MS56" s="31"/>
      <c r="MT56" s="31"/>
      <c r="MU56" s="31"/>
      <c r="MV56" s="31"/>
      <c r="MW56" s="31"/>
      <c r="MX56" s="31"/>
      <c r="MY56" s="31"/>
      <c r="MZ56" s="31"/>
      <c r="NA56" s="31"/>
      <c r="NB56" s="31"/>
      <c r="NC56" s="31"/>
      <c r="ND56" s="31"/>
      <c r="NE56" s="31"/>
      <c r="NF56" s="31"/>
      <c r="NG56" s="31"/>
      <c r="NH56" s="31"/>
      <c r="NI56" s="31"/>
      <c r="NJ56" s="31"/>
      <c r="NK56" s="31"/>
      <c r="NL56" s="31"/>
      <c r="NM56" s="31"/>
      <c r="NN56" s="31"/>
      <c r="NO56" s="31"/>
      <c r="NP56" s="31"/>
      <c r="NQ56" s="31"/>
      <c r="NR56" s="31"/>
      <c r="NS56" s="31"/>
      <c r="NT56" s="31"/>
      <c r="NU56" s="31"/>
      <c r="NV56" s="31"/>
      <c r="NW56" s="31"/>
      <c r="NX56" s="31"/>
      <c r="NY56" s="31"/>
      <c r="NZ56" s="31"/>
      <c r="OA56" s="31"/>
      <c r="OB56" s="31"/>
      <c r="OC56" s="31"/>
      <c r="OD56" s="31"/>
      <c r="OE56" s="31"/>
      <c r="OF56" s="31"/>
      <c r="OG56" s="31"/>
      <c r="OH56" s="31"/>
      <c r="OI56" s="31"/>
      <c r="OJ56" s="31"/>
      <c r="OK56" s="31"/>
      <c r="OL56" s="31"/>
      <c r="OM56" s="31"/>
      <c r="ON56" s="31"/>
      <c r="OO56" s="31"/>
      <c r="OP56" s="31"/>
      <c r="OQ56" s="31"/>
      <c r="OR56" s="31"/>
      <c r="OS56" s="31"/>
      <c r="OT56" s="31"/>
      <c r="OU56" s="31"/>
      <c r="OV56" s="31"/>
      <c r="OW56" s="31"/>
      <c r="OX56" s="31"/>
    </row>
    <row r="57" spans="2:414" s="25" customFormat="1" ht="15.6">
      <c r="B57" s="25" t="s">
        <v>101</v>
      </c>
      <c r="C57" s="27" t="s">
        <v>102</v>
      </c>
      <c r="D57" s="30" t="s">
        <v>32</v>
      </c>
      <c r="G57" s="42">
        <v>500</v>
      </c>
      <c r="H57" s="89">
        <v>26.109000000000002</v>
      </c>
      <c r="I57" s="38">
        <f t="shared" si="1"/>
        <v>13054.5</v>
      </c>
      <c r="K57" s="42">
        <v>500</v>
      </c>
      <c r="L57" s="90">
        <v>26.849599999999999</v>
      </c>
      <c r="M57" s="38">
        <f t="shared" si="2"/>
        <v>13424.8</v>
      </c>
      <c r="O57" s="38">
        <v>80</v>
      </c>
      <c r="P57" s="38">
        <v>26.728300000000001</v>
      </c>
      <c r="Q57" s="38">
        <f t="shared" si="3"/>
        <v>2138.2640000000001</v>
      </c>
      <c r="R57" s="43">
        <f t="shared" si="26"/>
        <v>1080</v>
      </c>
      <c r="S57" s="38">
        <f t="shared" si="4"/>
        <v>28617.563999999998</v>
      </c>
      <c r="T57" s="49">
        <v>85</v>
      </c>
      <c r="U57" s="42">
        <v>26.464200000000002</v>
      </c>
      <c r="V57" s="38">
        <f t="shared" si="18"/>
        <v>2249.4570000000003</v>
      </c>
      <c r="W57" s="42">
        <v>115</v>
      </c>
      <c r="X57" s="42">
        <v>26.706900000000001</v>
      </c>
      <c r="Y57" s="38">
        <f t="shared" si="17"/>
        <v>3071.2935000000002</v>
      </c>
      <c r="Z57" s="42">
        <v>100</v>
      </c>
      <c r="AA57" s="42">
        <v>26.790600000000001</v>
      </c>
      <c r="AB57" s="42">
        <f t="shared" si="25"/>
        <v>2679.06</v>
      </c>
      <c r="AD57" s="42">
        <v>200</v>
      </c>
      <c r="AE57" s="42">
        <v>26.7683</v>
      </c>
      <c r="AF57" s="42">
        <f t="shared" si="23"/>
        <v>5353.66</v>
      </c>
      <c r="AG57" s="42"/>
      <c r="AH57" s="42"/>
      <c r="AI57" s="42"/>
      <c r="AJ57" s="42">
        <f t="shared" si="24"/>
        <v>0</v>
      </c>
      <c r="AL57" s="42"/>
      <c r="AM57" s="42"/>
      <c r="AN57" s="42"/>
      <c r="AO57" s="44"/>
      <c r="AP57" s="42"/>
      <c r="AQ57" s="42"/>
      <c r="AR57" s="42"/>
      <c r="AU57" s="98"/>
      <c r="AV57" s="35"/>
      <c r="AW57" s="104"/>
      <c r="AX57" s="42">
        <v>200</v>
      </c>
      <c r="AY57" s="42">
        <v>26.89</v>
      </c>
      <c r="AZ57" s="42">
        <f>AX57*AY57</f>
        <v>5378</v>
      </c>
      <c r="BA57" s="42"/>
      <c r="BB57" s="42"/>
      <c r="BC57" s="42"/>
      <c r="BD57" s="38">
        <f t="shared" si="11"/>
        <v>0</v>
      </c>
      <c r="BE57" s="42"/>
      <c r="BF57" s="42"/>
      <c r="BG57" s="42"/>
      <c r="BH57" s="38">
        <f t="shared" si="12"/>
        <v>0</v>
      </c>
      <c r="BI57" s="42"/>
      <c r="BJ57" s="42"/>
      <c r="BK57" s="42"/>
      <c r="BL57" s="38">
        <f t="shared" si="13"/>
        <v>0</v>
      </c>
      <c r="BM57" s="42"/>
      <c r="BN57" s="42"/>
      <c r="BO57" s="42"/>
      <c r="BP57" s="42"/>
      <c r="BR57" s="42">
        <f t="shared" si="14"/>
        <v>18731.470499999999</v>
      </c>
      <c r="BS57" s="43">
        <f t="shared" si="15"/>
        <v>9886.093499999999</v>
      </c>
      <c r="BT57" s="42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  <c r="JH57" s="31"/>
      <c r="JI57" s="31"/>
      <c r="JJ57" s="31"/>
      <c r="JK57" s="31"/>
      <c r="JL57" s="31"/>
      <c r="JM57" s="31"/>
      <c r="JN57" s="31"/>
      <c r="JO57" s="31"/>
      <c r="JP57" s="31"/>
      <c r="JQ57" s="31"/>
      <c r="JR57" s="31"/>
      <c r="JS57" s="31"/>
      <c r="JT57" s="31"/>
      <c r="JU57" s="31"/>
      <c r="JV57" s="31"/>
      <c r="JW57" s="31"/>
      <c r="JX57" s="31"/>
      <c r="JY57" s="31"/>
      <c r="JZ57" s="31"/>
      <c r="KA57" s="31"/>
      <c r="KB57" s="31"/>
      <c r="KC57" s="31"/>
      <c r="KD57" s="31"/>
      <c r="KE57" s="31"/>
      <c r="KF57" s="31"/>
      <c r="KG57" s="31"/>
      <c r="KH57" s="31"/>
      <c r="KI57" s="31"/>
      <c r="KJ57" s="31"/>
      <c r="KK57" s="31"/>
      <c r="KL57" s="31"/>
      <c r="KM57" s="31"/>
      <c r="KN57" s="31"/>
      <c r="KO57" s="31"/>
      <c r="KP57" s="31"/>
      <c r="KQ57" s="31"/>
      <c r="KR57" s="31"/>
      <c r="KS57" s="31"/>
      <c r="KT57" s="31"/>
      <c r="KU57" s="31"/>
      <c r="KV57" s="31"/>
      <c r="KW57" s="31"/>
      <c r="KX57" s="31"/>
      <c r="KY57" s="31"/>
      <c r="KZ57" s="31"/>
      <c r="LA57" s="31"/>
      <c r="LB57" s="31"/>
      <c r="LC57" s="31"/>
      <c r="LD57" s="31"/>
      <c r="LE57" s="31"/>
      <c r="LF57" s="31"/>
      <c r="LG57" s="31"/>
      <c r="LH57" s="31"/>
      <c r="LI57" s="31"/>
      <c r="LJ57" s="31"/>
      <c r="LK57" s="31"/>
      <c r="LL57" s="31"/>
      <c r="LM57" s="31"/>
      <c r="LN57" s="31"/>
      <c r="LO57" s="31"/>
      <c r="LP57" s="31"/>
      <c r="LQ57" s="31"/>
      <c r="LR57" s="31"/>
      <c r="LS57" s="31"/>
      <c r="LT57" s="31"/>
      <c r="LU57" s="31"/>
      <c r="LV57" s="31"/>
      <c r="LW57" s="31"/>
      <c r="LX57" s="31"/>
      <c r="LY57" s="31"/>
      <c r="LZ57" s="31"/>
      <c r="MA57" s="31"/>
      <c r="MB57" s="31"/>
      <c r="MC57" s="31"/>
      <c r="MD57" s="31"/>
      <c r="ME57" s="31"/>
      <c r="MF57" s="31"/>
      <c r="MG57" s="31"/>
      <c r="MH57" s="31"/>
      <c r="MI57" s="31"/>
      <c r="MJ57" s="31"/>
      <c r="MK57" s="31"/>
      <c r="ML57" s="31"/>
      <c r="MM57" s="31"/>
      <c r="MN57" s="31"/>
      <c r="MO57" s="31"/>
      <c r="MP57" s="31"/>
      <c r="MQ57" s="31"/>
      <c r="MR57" s="31"/>
      <c r="MS57" s="31"/>
      <c r="MT57" s="31"/>
      <c r="MU57" s="31"/>
      <c r="MV57" s="31"/>
      <c r="MW57" s="31"/>
      <c r="MX57" s="31"/>
      <c r="MY57" s="31"/>
      <c r="MZ57" s="31"/>
      <c r="NA57" s="31"/>
      <c r="NB57" s="31"/>
      <c r="NC57" s="31"/>
      <c r="ND57" s="31"/>
      <c r="NE57" s="31"/>
      <c r="NF57" s="31"/>
      <c r="NG57" s="31"/>
      <c r="NH57" s="31"/>
      <c r="NI57" s="31"/>
      <c r="NJ57" s="31"/>
      <c r="NK57" s="31"/>
      <c r="NL57" s="31"/>
      <c r="NM57" s="31"/>
      <c r="NN57" s="31"/>
      <c r="NO57" s="31"/>
      <c r="NP57" s="31"/>
      <c r="NQ57" s="31"/>
      <c r="NR57" s="31"/>
      <c r="NS57" s="31"/>
      <c r="NT57" s="31"/>
      <c r="NU57" s="31"/>
      <c r="NV57" s="31"/>
      <c r="NW57" s="31"/>
      <c r="NX57" s="31"/>
      <c r="NY57" s="31"/>
      <c r="NZ57" s="31"/>
      <c r="OA57" s="31"/>
      <c r="OB57" s="31"/>
      <c r="OC57" s="31"/>
      <c r="OD57" s="31"/>
      <c r="OE57" s="31"/>
      <c r="OF57" s="31"/>
      <c r="OG57" s="31"/>
      <c r="OH57" s="31"/>
      <c r="OI57" s="31"/>
      <c r="OJ57" s="31"/>
      <c r="OK57" s="31"/>
      <c r="OL57" s="31"/>
      <c r="OM57" s="31"/>
      <c r="ON57" s="31"/>
      <c r="OO57" s="31"/>
      <c r="OP57" s="31"/>
      <c r="OQ57" s="31"/>
      <c r="OR57" s="31"/>
      <c r="OS57" s="31"/>
      <c r="OT57" s="31"/>
      <c r="OU57" s="31"/>
      <c r="OV57" s="31"/>
      <c r="OW57" s="31"/>
      <c r="OX57" s="31"/>
    </row>
    <row r="58" spans="2:414" s="25" customFormat="1" ht="15.6">
      <c r="B58" s="25" t="s">
        <v>106</v>
      </c>
      <c r="C58" s="27" t="s">
        <v>107</v>
      </c>
      <c r="D58" s="30" t="s">
        <v>105</v>
      </c>
      <c r="G58" s="42">
        <v>500</v>
      </c>
      <c r="H58" s="89">
        <v>26.109000000000002</v>
      </c>
      <c r="I58" s="38">
        <f t="shared" si="1"/>
        <v>13054.5</v>
      </c>
      <c r="K58" s="42">
        <v>500</v>
      </c>
      <c r="L58" s="90">
        <v>26.849599999999999</v>
      </c>
      <c r="M58" s="38">
        <f t="shared" si="2"/>
        <v>13424.8</v>
      </c>
      <c r="O58" s="38">
        <v>80</v>
      </c>
      <c r="P58" s="38">
        <v>26.728300000000001</v>
      </c>
      <c r="Q58" s="38">
        <f t="shared" si="3"/>
        <v>2138.2640000000001</v>
      </c>
      <c r="R58" s="43">
        <f t="shared" si="26"/>
        <v>1080</v>
      </c>
      <c r="S58" s="38">
        <f t="shared" si="4"/>
        <v>28617.563999999998</v>
      </c>
      <c r="T58" s="49">
        <v>415</v>
      </c>
      <c r="U58" s="42">
        <v>26.0579</v>
      </c>
      <c r="V58" s="38">
        <f t="shared" si="18"/>
        <v>10814.0285</v>
      </c>
      <c r="W58" s="42">
        <v>85</v>
      </c>
      <c r="X58" s="42">
        <v>26.0579</v>
      </c>
      <c r="Y58" s="38">
        <f t="shared" si="17"/>
        <v>2214.9214999999999</v>
      </c>
      <c r="Z58" s="42">
        <v>400</v>
      </c>
      <c r="AA58" s="42">
        <v>26.864000000000001</v>
      </c>
      <c r="AB58" s="42">
        <f t="shared" si="25"/>
        <v>10745.6</v>
      </c>
      <c r="AD58" s="42">
        <v>100</v>
      </c>
      <c r="AE58" s="42">
        <v>26.945699999999999</v>
      </c>
      <c r="AF58" s="42">
        <f t="shared" si="23"/>
        <v>2694.5699999999997</v>
      </c>
      <c r="AG58" s="42"/>
      <c r="AH58" s="42"/>
      <c r="AI58" s="42"/>
      <c r="AJ58" s="42">
        <f t="shared" si="24"/>
        <v>0</v>
      </c>
      <c r="AK58" s="44"/>
      <c r="AL58" s="42"/>
      <c r="AM58" s="42"/>
      <c r="AN58" s="42"/>
      <c r="AO58" s="44"/>
      <c r="AP58" s="42"/>
      <c r="AQ58" s="42"/>
      <c r="AR58" s="42"/>
      <c r="AU58" s="98"/>
      <c r="AV58" s="35"/>
      <c r="AW58" s="104"/>
      <c r="AX58" s="42"/>
      <c r="AY58" s="42"/>
      <c r="AZ58" s="42">
        <f t="shared" ref="AZ58:AZ121" si="27">AX58*AY58</f>
        <v>0</v>
      </c>
      <c r="BA58" s="42"/>
      <c r="BB58" s="42"/>
      <c r="BC58" s="42"/>
      <c r="BD58" s="38">
        <f t="shared" si="11"/>
        <v>0</v>
      </c>
      <c r="BE58" s="42"/>
      <c r="BF58" s="42"/>
      <c r="BG58" s="42"/>
      <c r="BH58" s="38">
        <f t="shared" si="12"/>
        <v>0</v>
      </c>
      <c r="BI58" s="42"/>
      <c r="BJ58" s="42"/>
      <c r="BK58" s="42"/>
      <c r="BL58" s="38">
        <f t="shared" si="13"/>
        <v>0</v>
      </c>
      <c r="BM58" s="42"/>
      <c r="BN58" s="42"/>
      <c r="BO58" s="42"/>
      <c r="BP58" s="42"/>
      <c r="BR58" s="42">
        <f t="shared" si="14"/>
        <v>26469.120000000003</v>
      </c>
      <c r="BS58" s="43">
        <f t="shared" si="15"/>
        <v>2148.4439999999959</v>
      </c>
      <c r="BT58" s="42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  <c r="IL58" s="31"/>
      <c r="IM58" s="31"/>
      <c r="IN58" s="31"/>
      <c r="IO58" s="31"/>
      <c r="IP58" s="31"/>
      <c r="IQ58" s="31"/>
      <c r="IR58" s="31"/>
      <c r="IS58" s="31"/>
      <c r="IT58" s="31"/>
      <c r="IU58" s="31"/>
      <c r="IV58" s="31"/>
      <c r="IW58" s="31"/>
      <c r="IX58" s="31"/>
      <c r="IY58" s="31"/>
      <c r="IZ58" s="31"/>
      <c r="JA58" s="31"/>
      <c r="JB58" s="31"/>
      <c r="JC58" s="31"/>
      <c r="JD58" s="31"/>
      <c r="JE58" s="31"/>
      <c r="JF58" s="31"/>
      <c r="JG58" s="31"/>
      <c r="JH58" s="31"/>
      <c r="JI58" s="31"/>
      <c r="JJ58" s="31"/>
      <c r="JK58" s="31"/>
      <c r="JL58" s="31"/>
      <c r="JM58" s="31"/>
      <c r="JN58" s="31"/>
      <c r="JO58" s="31"/>
      <c r="JP58" s="31"/>
      <c r="JQ58" s="31"/>
      <c r="JR58" s="31"/>
      <c r="JS58" s="31"/>
      <c r="JT58" s="31"/>
      <c r="JU58" s="31"/>
      <c r="JV58" s="31"/>
      <c r="JW58" s="31"/>
      <c r="JX58" s="31"/>
      <c r="JY58" s="31"/>
      <c r="JZ58" s="31"/>
      <c r="KA58" s="31"/>
      <c r="KB58" s="31"/>
      <c r="KC58" s="31"/>
      <c r="KD58" s="31"/>
      <c r="KE58" s="31"/>
      <c r="KF58" s="31"/>
      <c r="KG58" s="31"/>
      <c r="KH58" s="31"/>
      <c r="KI58" s="31"/>
      <c r="KJ58" s="31"/>
      <c r="KK58" s="31"/>
      <c r="KL58" s="31"/>
      <c r="KM58" s="31"/>
      <c r="KN58" s="31"/>
      <c r="KO58" s="31"/>
      <c r="KP58" s="31"/>
      <c r="KQ58" s="31"/>
      <c r="KR58" s="31"/>
      <c r="KS58" s="31"/>
      <c r="KT58" s="31"/>
      <c r="KU58" s="31"/>
      <c r="KV58" s="31"/>
      <c r="KW58" s="31"/>
      <c r="KX58" s="31"/>
      <c r="KY58" s="31"/>
      <c r="KZ58" s="31"/>
      <c r="LA58" s="31"/>
      <c r="LB58" s="31"/>
      <c r="LC58" s="31"/>
      <c r="LD58" s="31"/>
      <c r="LE58" s="31"/>
      <c r="LF58" s="31"/>
      <c r="LG58" s="31"/>
      <c r="LH58" s="31"/>
      <c r="LI58" s="31"/>
      <c r="LJ58" s="31"/>
      <c r="LK58" s="31"/>
      <c r="LL58" s="31"/>
      <c r="LM58" s="31"/>
      <c r="LN58" s="31"/>
      <c r="LO58" s="31"/>
      <c r="LP58" s="31"/>
      <c r="LQ58" s="31"/>
      <c r="LR58" s="31"/>
      <c r="LS58" s="31"/>
      <c r="LT58" s="31"/>
      <c r="LU58" s="31"/>
      <c r="LV58" s="31"/>
      <c r="LW58" s="31"/>
      <c r="LX58" s="31"/>
      <c r="LY58" s="31"/>
      <c r="LZ58" s="31"/>
      <c r="MA58" s="31"/>
      <c r="MB58" s="31"/>
      <c r="MC58" s="31"/>
      <c r="MD58" s="31"/>
      <c r="ME58" s="31"/>
      <c r="MF58" s="31"/>
      <c r="MG58" s="31"/>
      <c r="MH58" s="31"/>
      <c r="MI58" s="31"/>
      <c r="MJ58" s="31"/>
      <c r="MK58" s="31"/>
      <c r="ML58" s="31"/>
      <c r="MM58" s="31"/>
      <c r="MN58" s="31"/>
      <c r="MO58" s="31"/>
      <c r="MP58" s="31"/>
      <c r="MQ58" s="31"/>
      <c r="MR58" s="31"/>
      <c r="MS58" s="31"/>
      <c r="MT58" s="31"/>
      <c r="MU58" s="31"/>
      <c r="MV58" s="31"/>
      <c r="MW58" s="31"/>
      <c r="MX58" s="31"/>
      <c r="MY58" s="31"/>
      <c r="MZ58" s="31"/>
      <c r="NA58" s="31"/>
      <c r="NB58" s="31"/>
      <c r="NC58" s="31"/>
      <c r="ND58" s="31"/>
      <c r="NE58" s="31"/>
      <c r="NF58" s="31"/>
      <c r="NG58" s="31"/>
      <c r="NH58" s="31"/>
      <c r="NI58" s="31"/>
      <c r="NJ58" s="31"/>
      <c r="NK58" s="31"/>
      <c r="NL58" s="31"/>
      <c r="NM58" s="31"/>
      <c r="NN58" s="31"/>
      <c r="NO58" s="31"/>
      <c r="NP58" s="31"/>
      <c r="NQ58" s="31"/>
      <c r="NR58" s="31"/>
      <c r="NS58" s="31"/>
      <c r="NT58" s="31"/>
      <c r="NU58" s="31"/>
      <c r="NV58" s="31"/>
      <c r="NW58" s="31"/>
      <c r="NX58" s="31"/>
      <c r="NY58" s="31"/>
      <c r="NZ58" s="31"/>
      <c r="OA58" s="31"/>
      <c r="OB58" s="31"/>
      <c r="OC58" s="31"/>
      <c r="OD58" s="31"/>
      <c r="OE58" s="31"/>
      <c r="OF58" s="31"/>
      <c r="OG58" s="31"/>
      <c r="OH58" s="31"/>
      <c r="OI58" s="31"/>
      <c r="OJ58" s="31"/>
      <c r="OK58" s="31"/>
      <c r="OL58" s="31"/>
      <c r="OM58" s="31"/>
      <c r="ON58" s="31"/>
      <c r="OO58" s="31"/>
      <c r="OP58" s="31"/>
      <c r="OQ58" s="31"/>
      <c r="OR58" s="31"/>
      <c r="OS58" s="31"/>
      <c r="OT58" s="31"/>
      <c r="OU58" s="31"/>
      <c r="OV58" s="31"/>
      <c r="OW58" s="31"/>
      <c r="OX58" s="31"/>
    </row>
    <row r="59" spans="2:414" s="25" customFormat="1" ht="15.6">
      <c r="B59" s="25" t="s">
        <v>108</v>
      </c>
      <c r="C59" s="27" t="s">
        <v>109</v>
      </c>
      <c r="D59" s="30" t="s">
        <v>105</v>
      </c>
      <c r="G59" s="42">
        <v>500</v>
      </c>
      <c r="H59" s="89">
        <v>26.109000000000002</v>
      </c>
      <c r="I59" s="38">
        <f t="shared" si="1"/>
        <v>13054.5</v>
      </c>
      <c r="K59" s="42">
        <v>500</v>
      </c>
      <c r="L59" s="90">
        <v>26.849599999999999</v>
      </c>
      <c r="M59" s="38">
        <f t="shared" si="2"/>
        <v>13424.8</v>
      </c>
      <c r="O59" s="38">
        <v>80</v>
      </c>
      <c r="P59" s="38">
        <v>26.728300000000001</v>
      </c>
      <c r="Q59" s="38">
        <f t="shared" si="3"/>
        <v>2138.2640000000001</v>
      </c>
      <c r="R59" s="43">
        <f t="shared" si="26"/>
        <v>1080</v>
      </c>
      <c r="S59" s="38">
        <f t="shared" si="4"/>
        <v>28617.563999999998</v>
      </c>
      <c r="T59" s="49">
        <v>415</v>
      </c>
      <c r="U59" s="42">
        <v>25.834800000000001</v>
      </c>
      <c r="V59" s="38">
        <f t="shared" si="18"/>
        <v>10721.442000000001</v>
      </c>
      <c r="W59" s="42">
        <v>85</v>
      </c>
      <c r="X59" s="42">
        <v>25.834800000000001</v>
      </c>
      <c r="Y59" s="38">
        <f t="shared" si="17"/>
        <v>2195.9580000000001</v>
      </c>
      <c r="Z59" s="42">
        <v>500</v>
      </c>
      <c r="AA59" s="42">
        <v>26.819299999999998</v>
      </c>
      <c r="AB59" s="42">
        <f t="shared" si="25"/>
        <v>13409.65</v>
      </c>
      <c r="AD59" s="42"/>
      <c r="AE59" s="42"/>
      <c r="AF59" s="42">
        <f t="shared" si="23"/>
        <v>0</v>
      </c>
      <c r="AG59" s="42"/>
      <c r="AH59" s="42"/>
      <c r="AI59" s="42"/>
      <c r="AJ59" s="42">
        <f t="shared" si="24"/>
        <v>0</v>
      </c>
      <c r="AL59" s="42"/>
      <c r="AM59" s="42"/>
      <c r="AN59" s="42"/>
      <c r="AO59" s="44"/>
      <c r="AP59" s="42"/>
      <c r="AQ59" s="42"/>
      <c r="AR59" s="42"/>
      <c r="AU59" s="98"/>
      <c r="AV59" s="35"/>
      <c r="AW59" s="104"/>
      <c r="AX59" s="42"/>
      <c r="AY59" s="42"/>
      <c r="AZ59" s="42">
        <f t="shared" si="27"/>
        <v>0</v>
      </c>
      <c r="BA59" s="42"/>
      <c r="BB59" s="42"/>
      <c r="BC59" s="42"/>
      <c r="BD59" s="38">
        <f t="shared" si="11"/>
        <v>0</v>
      </c>
      <c r="BE59" s="42"/>
      <c r="BF59" s="42"/>
      <c r="BG59" s="42"/>
      <c r="BH59" s="38">
        <f t="shared" si="12"/>
        <v>0</v>
      </c>
      <c r="BI59" s="42"/>
      <c r="BJ59" s="42"/>
      <c r="BK59" s="42"/>
      <c r="BL59" s="38">
        <f t="shared" si="13"/>
        <v>0</v>
      </c>
      <c r="BM59" s="42"/>
      <c r="BN59" s="42"/>
      <c r="BO59" s="42"/>
      <c r="BP59" s="42"/>
      <c r="BR59" s="42">
        <f t="shared" si="14"/>
        <v>26327.050000000003</v>
      </c>
      <c r="BS59" s="43">
        <f t="shared" si="15"/>
        <v>2290.5139999999956</v>
      </c>
      <c r="BT59" s="42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  <c r="IL59" s="31"/>
      <c r="IM59" s="31"/>
      <c r="IN59" s="31"/>
      <c r="IO59" s="31"/>
      <c r="IP59" s="31"/>
      <c r="IQ59" s="31"/>
      <c r="IR59" s="31"/>
      <c r="IS59" s="31"/>
      <c r="IT59" s="31"/>
      <c r="IU59" s="31"/>
      <c r="IV59" s="31"/>
      <c r="IW59" s="31"/>
      <c r="IX59" s="31"/>
      <c r="IY59" s="31"/>
      <c r="IZ59" s="31"/>
      <c r="JA59" s="31"/>
      <c r="JB59" s="31"/>
      <c r="JC59" s="31"/>
      <c r="JD59" s="31"/>
      <c r="JE59" s="31"/>
      <c r="JF59" s="31"/>
      <c r="JG59" s="31"/>
      <c r="JH59" s="31"/>
      <c r="JI59" s="31"/>
      <c r="JJ59" s="31"/>
      <c r="JK59" s="31"/>
      <c r="JL59" s="31"/>
      <c r="JM59" s="31"/>
      <c r="JN59" s="31"/>
      <c r="JO59" s="31"/>
      <c r="JP59" s="31"/>
      <c r="JQ59" s="31"/>
      <c r="JR59" s="31"/>
      <c r="JS59" s="31"/>
      <c r="JT59" s="31"/>
      <c r="JU59" s="31"/>
      <c r="JV59" s="31"/>
      <c r="JW59" s="31"/>
      <c r="JX59" s="31"/>
      <c r="JY59" s="31"/>
      <c r="JZ59" s="31"/>
      <c r="KA59" s="31"/>
      <c r="KB59" s="31"/>
      <c r="KC59" s="31"/>
      <c r="KD59" s="31"/>
      <c r="KE59" s="31"/>
      <c r="KF59" s="31"/>
      <c r="KG59" s="31"/>
      <c r="KH59" s="31"/>
      <c r="KI59" s="31"/>
      <c r="KJ59" s="31"/>
      <c r="KK59" s="31"/>
      <c r="KL59" s="31"/>
      <c r="KM59" s="31"/>
      <c r="KN59" s="31"/>
      <c r="KO59" s="31"/>
      <c r="KP59" s="31"/>
      <c r="KQ59" s="31"/>
      <c r="KR59" s="31"/>
      <c r="KS59" s="31"/>
      <c r="KT59" s="31"/>
      <c r="KU59" s="31"/>
      <c r="KV59" s="31"/>
      <c r="KW59" s="31"/>
      <c r="KX59" s="31"/>
      <c r="KY59" s="31"/>
      <c r="KZ59" s="31"/>
      <c r="LA59" s="31"/>
      <c r="LB59" s="31"/>
      <c r="LC59" s="31"/>
      <c r="LD59" s="31"/>
      <c r="LE59" s="31"/>
      <c r="LF59" s="31"/>
      <c r="LG59" s="31"/>
      <c r="LH59" s="31"/>
      <c r="LI59" s="31"/>
      <c r="LJ59" s="31"/>
      <c r="LK59" s="31"/>
      <c r="LL59" s="31"/>
      <c r="LM59" s="31"/>
      <c r="LN59" s="31"/>
      <c r="LO59" s="31"/>
      <c r="LP59" s="31"/>
      <c r="LQ59" s="31"/>
      <c r="LR59" s="31"/>
      <c r="LS59" s="31"/>
      <c r="LT59" s="31"/>
      <c r="LU59" s="31"/>
      <c r="LV59" s="31"/>
      <c r="LW59" s="31"/>
      <c r="LX59" s="31"/>
      <c r="LY59" s="31"/>
      <c r="LZ59" s="31"/>
      <c r="MA59" s="31"/>
      <c r="MB59" s="31"/>
      <c r="MC59" s="31"/>
      <c r="MD59" s="31"/>
      <c r="ME59" s="31"/>
      <c r="MF59" s="31"/>
      <c r="MG59" s="31"/>
      <c r="MH59" s="31"/>
      <c r="MI59" s="31"/>
      <c r="MJ59" s="31"/>
      <c r="MK59" s="31"/>
      <c r="ML59" s="31"/>
      <c r="MM59" s="31"/>
      <c r="MN59" s="31"/>
      <c r="MO59" s="31"/>
      <c r="MP59" s="31"/>
      <c r="MQ59" s="31"/>
      <c r="MR59" s="31"/>
      <c r="MS59" s="31"/>
      <c r="MT59" s="31"/>
      <c r="MU59" s="31"/>
      <c r="MV59" s="31"/>
      <c r="MW59" s="31"/>
      <c r="MX59" s="31"/>
      <c r="MY59" s="31"/>
      <c r="MZ59" s="31"/>
      <c r="NA59" s="31"/>
      <c r="NB59" s="31"/>
      <c r="NC59" s="31"/>
      <c r="ND59" s="31"/>
      <c r="NE59" s="31"/>
      <c r="NF59" s="31"/>
      <c r="NG59" s="31"/>
      <c r="NH59" s="31"/>
      <c r="NI59" s="31"/>
      <c r="NJ59" s="31"/>
      <c r="NK59" s="31"/>
      <c r="NL59" s="31"/>
      <c r="NM59" s="31"/>
      <c r="NN59" s="31"/>
      <c r="NO59" s="31"/>
      <c r="NP59" s="31"/>
      <c r="NQ59" s="31"/>
      <c r="NR59" s="31"/>
      <c r="NS59" s="31"/>
      <c r="NT59" s="31"/>
      <c r="NU59" s="31"/>
      <c r="NV59" s="31"/>
      <c r="NW59" s="31"/>
      <c r="NX59" s="31"/>
      <c r="NY59" s="31"/>
      <c r="NZ59" s="31"/>
      <c r="OA59" s="31"/>
      <c r="OB59" s="31"/>
      <c r="OC59" s="31"/>
      <c r="OD59" s="31"/>
      <c r="OE59" s="31"/>
      <c r="OF59" s="31"/>
      <c r="OG59" s="31"/>
      <c r="OH59" s="31"/>
      <c r="OI59" s="31"/>
      <c r="OJ59" s="31"/>
      <c r="OK59" s="31"/>
      <c r="OL59" s="31"/>
      <c r="OM59" s="31"/>
      <c r="ON59" s="31"/>
      <c r="OO59" s="31"/>
      <c r="OP59" s="31"/>
      <c r="OQ59" s="31"/>
      <c r="OR59" s="31"/>
      <c r="OS59" s="31"/>
      <c r="OT59" s="31"/>
      <c r="OU59" s="31"/>
      <c r="OV59" s="31"/>
      <c r="OW59" s="31"/>
      <c r="OX59" s="31"/>
    </row>
    <row r="60" spans="2:414" s="25" customFormat="1" ht="15.6">
      <c r="B60" s="25" t="s">
        <v>110</v>
      </c>
      <c r="C60" s="27" t="s">
        <v>111</v>
      </c>
      <c r="D60" s="30" t="s">
        <v>105</v>
      </c>
      <c r="G60" s="42">
        <v>500</v>
      </c>
      <c r="H60" s="89">
        <v>26.109000000000002</v>
      </c>
      <c r="I60" s="38">
        <f t="shared" si="1"/>
        <v>13054.5</v>
      </c>
      <c r="K60" s="42">
        <v>500</v>
      </c>
      <c r="L60" s="90">
        <v>26.849599999999999</v>
      </c>
      <c r="M60" s="38">
        <f t="shared" si="2"/>
        <v>13424.8</v>
      </c>
      <c r="O60" s="38">
        <v>80</v>
      </c>
      <c r="P60" s="38">
        <v>26.728300000000001</v>
      </c>
      <c r="Q60" s="38">
        <f t="shared" si="3"/>
        <v>2138.2640000000001</v>
      </c>
      <c r="R60" s="43">
        <f t="shared" si="26"/>
        <v>1080</v>
      </c>
      <c r="S60" s="38">
        <f t="shared" si="4"/>
        <v>28617.563999999998</v>
      </c>
      <c r="T60" s="49">
        <v>85</v>
      </c>
      <c r="U60" s="42"/>
      <c r="V60" s="38">
        <f t="shared" si="18"/>
        <v>0</v>
      </c>
      <c r="W60" s="42">
        <v>160</v>
      </c>
      <c r="X60" s="42">
        <v>26.109000000000002</v>
      </c>
      <c r="Y60" s="38">
        <f t="shared" si="17"/>
        <v>4177.4400000000005</v>
      </c>
      <c r="Z60" s="42"/>
      <c r="AA60" s="42">
        <v>26.109000000000002</v>
      </c>
      <c r="AB60" s="42">
        <v>2700</v>
      </c>
      <c r="AD60" s="42">
        <v>155</v>
      </c>
      <c r="AE60" s="42">
        <v>26.109000000000002</v>
      </c>
      <c r="AF60" s="42">
        <f t="shared" si="23"/>
        <v>4046.8950000000004</v>
      </c>
      <c r="AG60" s="42"/>
      <c r="AH60" s="42">
        <v>400</v>
      </c>
      <c r="AI60" s="42">
        <v>26.820399999999999</v>
      </c>
      <c r="AJ60" s="42">
        <f t="shared" si="24"/>
        <v>10728.16</v>
      </c>
      <c r="AL60" s="42"/>
      <c r="AM60" s="42"/>
      <c r="AN60" s="42">
        <v>2800</v>
      </c>
      <c r="AO60" s="44"/>
      <c r="AP60" s="42"/>
      <c r="AQ60" s="42"/>
      <c r="AR60" s="42"/>
      <c r="AU60" s="98"/>
      <c r="AV60" s="35"/>
      <c r="AW60" s="104"/>
      <c r="AX60" s="42"/>
      <c r="AY60" s="42"/>
      <c r="AZ60" s="42">
        <f t="shared" si="27"/>
        <v>0</v>
      </c>
      <c r="BA60" s="42"/>
      <c r="BB60" s="42"/>
      <c r="BC60" s="42"/>
      <c r="BD60" s="38">
        <f t="shared" si="11"/>
        <v>0</v>
      </c>
      <c r="BE60" s="42"/>
      <c r="BF60" s="42"/>
      <c r="BG60" s="42"/>
      <c r="BH60" s="38">
        <f t="shared" si="12"/>
        <v>0</v>
      </c>
      <c r="BI60" s="42"/>
      <c r="BJ60" s="42"/>
      <c r="BK60" s="42"/>
      <c r="BL60" s="38">
        <f t="shared" si="13"/>
        <v>0</v>
      </c>
      <c r="BM60" s="42"/>
      <c r="BN60" s="42"/>
      <c r="BO60" s="42"/>
      <c r="BP60" s="42"/>
      <c r="BR60" s="42">
        <f t="shared" si="14"/>
        <v>24452.495000000003</v>
      </c>
      <c r="BS60" s="43">
        <f t="shared" si="15"/>
        <v>4165.0689999999959</v>
      </c>
      <c r="BT60" s="42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  <c r="JH60" s="31"/>
      <c r="JI60" s="31"/>
      <c r="JJ60" s="31"/>
      <c r="JK60" s="31"/>
      <c r="JL60" s="31"/>
      <c r="JM60" s="31"/>
      <c r="JN60" s="31"/>
      <c r="JO60" s="31"/>
      <c r="JP60" s="31"/>
      <c r="JQ60" s="31"/>
      <c r="JR60" s="31"/>
      <c r="JS60" s="31"/>
      <c r="JT60" s="31"/>
      <c r="JU60" s="31"/>
      <c r="JV60" s="31"/>
      <c r="JW60" s="31"/>
      <c r="JX60" s="31"/>
      <c r="JY60" s="31"/>
      <c r="JZ60" s="31"/>
      <c r="KA60" s="31"/>
      <c r="KB60" s="31"/>
      <c r="KC60" s="31"/>
      <c r="KD60" s="31"/>
      <c r="KE60" s="31"/>
      <c r="KF60" s="31"/>
      <c r="KG60" s="31"/>
      <c r="KH60" s="31"/>
      <c r="KI60" s="31"/>
      <c r="KJ60" s="31"/>
      <c r="KK60" s="31"/>
      <c r="KL60" s="31"/>
      <c r="KM60" s="31"/>
      <c r="KN60" s="31"/>
      <c r="KO60" s="31"/>
      <c r="KP60" s="31"/>
      <c r="KQ60" s="31"/>
      <c r="KR60" s="31"/>
      <c r="KS60" s="31"/>
      <c r="KT60" s="31"/>
      <c r="KU60" s="31"/>
      <c r="KV60" s="31"/>
      <c r="KW60" s="31"/>
      <c r="KX60" s="31"/>
      <c r="KY60" s="31"/>
      <c r="KZ60" s="31"/>
      <c r="LA60" s="31"/>
      <c r="LB60" s="31"/>
      <c r="LC60" s="31"/>
      <c r="LD60" s="31"/>
      <c r="LE60" s="31"/>
      <c r="LF60" s="31"/>
      <c r="LG60" s="31"/>
      <c r="LH60" s="31"/>
      <c r="LI60" s="31"/>
      <c r="LJ60" s="31"/>
      <c r="LK60" s="31"/>
      <c r="LL60" s="31"/>
      <c r="LM60" s="31"/>
      <c r="LN60" s="31"/>
      <c r="LO60" s="31"/>
      <c r="LP60" s="31"/>
      <c r="LQ60" s="31"/>
      <c r="LR60" s="31"/>
      <c r="LS60" s="31"/>
      <c r="LT60" s="31"/>
      <c r="LU60" s="31"/>
      <c r="LV60" s="31"/>
      <c r="LW60" s="31"/>
      <c r="LX60" s="31"/>
      <c r="LY60" s="31"/>
      <c r="LZ60" s="31"/>
      <c r="MA60" s="31"/>
      <c r="MB60" s="31"/>
      <c r="MC60" s="31"/>
      <c r="MD60" s="31"/>
      <c r="ME60" s="31"/>
      <c r="MF60" s="31"/>
      <c r="MG60" s="31"/>
      <c r="MH60" s="31"/>
      <c r="MI60" s="31"/>
      <c r="MJ60" s="31"/>
      <c r="MK60" s="31"/>
      <c r="ML60" s="31"/>
      <c r="MM60" s="31"/>
      <c r="MN60" s="31"/>
      <c r="MO60" s="31"/>
      <c r="MP60" s="31"/>
      <c r="MQ60" s="31"/>
      <c r="MR60" s="31"/>
      <c r="MS60" s="31"/>
      <c r="MT60" s="31"/>
      <c r="MU60" s="31"/>
      <c r="MV60" s="31"/>
      <c r="MW60" s="31"/>
      <c r="MX60" s="31"/>
      <c r="MY60" s="31"/>
      <c r="MZ60" s="31"/>
      <c r="NA60" s="31"/>
      <c r="NB60" s="31"/>
      <c r="NC60" s="31"/>
      <c r="ND60" s="31"/>
      <c r="NE60" s="31"/>
      <c r="NF60" s="31"/>
      <c r="NG60" s="31"/>
      <c r="NH60" s="31"/>
      <c r="NI60" s="31"/>
      <c r="NJ60" s="31"/>
      <c r="NK60" s="31"/>
      <c r="NL60" s="31"/>
      <c r="NM60" s="31"/>
      <c r="NN60" s="31"/>
      <c r="NO60" s="31"/>
      <c r="NP60" s="31"/>
      <c r="NQ60" s="31"/>
      <c r="NR60" s="31"/>
      <c r="NS60" s="31"/>
      <c r="NT60" s="31"/>
      <c r="NU60" s="31"/>
      <c r="NV60" s="31"/>
      <c r="NW60" s="31"/>
      <c r="NX60" s="31"/>
      <c r="NY60" s="31"/>
      <c r="NZ60" s="31"/>
      <c r="OA60" s="31"/>
      <c r="OB60" s="31"/>
      <c r="OC60" s="31"/>
      <c r="OD60" s="31"/>
      <c r="OE60" s="31"/>
      <c r="OF60" s="31"/>
      <c r="OG60" s="31"/>
      <c r="OH60" s="31"/>
      <c r="OI60" s="31"/>
      <c r="OJ60" s="31"/>
      <c r="OK60" s="31"/>
      <c r="OL60" s="31"/>
      <c r="OM60" s="31"/>
      <c r="ON60" s="31"/>
      <c r="OO60" s="31"/>
      <c r="OP60" s="31"/>
      <c r="OQ60" s="31"/>
      <c r="OR60" s="31"/>
      <c r="OS60" s="31"/>
      <c r="OT60" s="31"/>
      <c r="OU60" s="31"/>
      <c r="OV60" s="31"/>
      <c r="OW60" s="31"/>
      <c r="OX60" s="31"/>
    </row>
    <row r="61" spans="2:414" s="25" customFormat="1" ht="15.6">
      <c r="B61" s="25" t="s">
        <v>112</v>
      </c>
      <c r="C61" s="27" t="s">
        <v>113</v>
      </c>
      <c r="D61" s="30" t="s">
        <v>105</v>
      </c>
      <c r="G61" s="42">
        <v>500</v>
      </c>
      <c r="H61" s="89">
        <v>26.109000000000002</v>
      </c>
      <c r="I61" s="38">
        <f t="shared" si="1"/>
        <v>13054.5</v>
      </c>
      <c r="K61" s="42">
        <v>500</v>
      </c>
      <c r="L61" s="90">
        <v>26.849599999999999</v>
      </c>
      <c r="M61" s="38">
        <f t="shared" si="2"/>
        <v>13424.8</v>
      </c>
      <c r="O61" s="38">
        <v>80</v>
      </c>
      <c r="P61" s="38">
        <v>26.728300000000001</v>
      </c>
      <c r="Q61" s="38">
        <f t="shared" si="3"/>
        <v>2138.2640000000001</v>
      </c>
      <c r="R61" s="43">
        <f t="shared" si="26"/>
        <v>1080</v>
      </c>
      <c r="S61" s="38">
        <f t="shared" si="4"/>
        <v>28617.563999999998</v>
      </c>
      <c r="T61" s="49">
        <v>415</v>
      </c>
      <c r="U61" s="42">
        <v>26.283100000000001</v>
      </c>
      <c r="V61" s="38">
        <f t="shared" si="18"/>
        <v>10907.486500000001</v>
      </c>
      <c r="W61" s="42">
        <v>85</v>
      </c>
      <c r="X61" s="42">
        <v>26.182200000000002</v>
      </c>
      <c r="Y61" s="38">
        <f t="shared" si="17"/>
        <v>2225.4870000000001</v>
      </c>
      <c r="Z61" s="42">
        <v>350</v>
      </c>
      <c r="AA61" s="42">
        <v>26.861899999999999</v>
      </c>
      <c r="AB61" s="42">
        <f>Z61*AA61</f>
        <v>9401.6649999999991</v>
      </c>
      <c r="AD61" s="42">
        <v>150</v>
      </c>
      <c r="AE61" s="42">
        <v>26.9102</v>
      </c>
      <c r="AF61" s="42">
        <f t="shared" si="23"/>
        <v>4036.5299999999997</v>
      </c>
      <c r="AG61" s="42"/>
      <c r="AH61" s="42"/>
      <c r="AI61" s="42"/>
      <c r="AJ61" s="42">
        <f t="shared" si="24"/>
        <v>0</v>
      </c>
      <c r="AL61" s="42"/>
      <c r="AM61" s="42"/>
      <c r="AN61" s="42"/>
      <c r="AO61" s="46"/>
      <c r="AP61" s="42"/>
      <c r="AQ61" s="42"/>
      <c r="AR61" s="42"/>
      <c r="AU61" s="98"/>
      <c r="AV61" s="35"/>
      <c r="AW61" s="104"/>
      <c r="AX61" s="42"/>
      <c r="AY61" s="42"/>
      <c r="AZ61" s="42">
        <f t="shared" si="27"/>
        <v>0</v>
      </c>
      <c r="BA61" s="42"/>
      <c r="BB61" s="42"/>
      <c r="BC61" s="42"/>
      <c r="BD61" s="38">
        <f t="shared" si="11"/>
        <v>0</v>
      </c>
      <c r="BE61" s="42"/>
      <c r="BF61" s="42"/>
      <c r="BG61" s="42"/>
      <c r="BH61" s="38">
        <f t="shared" si="12"/>
        <v>0</v>
      </c>
      <c r="BI61" s="42"/>
      <c r="BJ61" s="42"/>
      <c r="BK61" s="42"/>
      <c r="BL61" s="38">
        <f t="shared" si="13"/>
        <v>0</v>
      </c>
      <c r="BM61" s="42"/>
      <c r="BN61" s="42"/>
      <c r="BO61" s="42"/>
      <c r="BP61" s="42"/>
      <c r="BR61" s="42">
        <f t="shared" si="14"/>
        <v>26571.1685</v>
      </c>
      <c r="BS61" s="43">
        <f t="shared" si="15"/>
        <v>2046.3954999999987</v>
      </c>
      <c r="BT61" s="42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  <c r="JH61" s="31"/>
      <c r="JI61" s="31"/>
      <c r="JJ61" s="31"/>
      <c r="JK61" s="31"/>
      <c r="JL61" s="31"/>
      <c r="JM61" s="31"/>
      <c r="JN61" s="31"/>
      <c r="JO61" s="31"/>
      <c r="JP61" s="31"/>
      <c r="JQ61" s="31"/>
      <c r="JR61" s="31"/>
      <c r="JS61" s="31"/>
      <c r="JT61" s="31"/>
      <c r="JU61" s="31"/>
      <c r="JV61" s="31"/>
      <c r="JW61" s="31"/>
      <c r="JX61" s="31"/>
      <c r="JY61" s="31"/>
      <c r="JZ61" s="31"/>
      <c r="KA61" s="31"/>
      <c r="KB61" s="31"/>
      <c r="KC61" s="31"/>
      <c r="KD61" s="31"/>
      <c r="KE61" s="31"/>
      <c r="KF61" s="31"/>
      <c r="KG61" s="31"/>
      <c r="KH61" s="31"/>
      <c r="KI61" s="31"/>
      <c r="KJ61" s="31"/>
      <c r="KK61" s="31"/>
      <c r="KL61" s="31"/>
      <c r="KM61" s="31"/>
      <c r="KN61" s="31"/>
      <c r="KO61" s="31"/>
      <c r="KP61" s="31"/>
      <c r="KQ61" s="31"/>
      <c r="KR61" s="31"/>
      <c r="KS61" s="31"/>
      <c r="KT61" s="31"/>
      <c r="KU61" s="31"/>
      <c r="KV61" s="31"/>
      <c r="KW61" s="31"/>
      <c r="KX61" s="31"/>
      <c r="KY61" s="31"/>
      <c r="KZ61" s="31"/>
      <c r="LA61" s="31"/>
      <c r="LB61" s="31"/>
      <c r="LC61" s="31"/>
      <c r="LD61" s="31"/>
      <c r="LE61" s="31"/>
      <c r="LF61" s="31"/>
      <c r="LG61" s="31"/>
      <c r="LH61" s="31"/>
      <c r="LI61" s="31"/>
      <c r="LJ61" s="31"/>
      <c r="LK61" s="31"/>
      <c r="LL61" s="31"/>
      <c r="LM61" s="31"/>
      <c r="LN61" s="31"/>
      <c r="LO61" s="31"/>
      <c r="LP61" s="31"/>
      <c r="LQ61" s="31"/>
      <c r="LR61" s="31"/>
      <c r="LS61" s="31"/>
      <c r="LT61" s="31"/>
      <c r="LU61" s="31"/>
      <c r="LV61" s="31"/>
      <c r="LW61" s="31"/>
      <c r="LX61" s="31"/>
      <c r="LY61" s="31"/>
      <c r="LZ61" s="31"/>
      <c r="MA61" s="31"/>
      <c r="MB61" s="31"/>
      <c r="MC61" s="31"/>
      <c r="MD61" s="31"/>
      <c r="ME61" s="31"/>
      <c r="MF61" s="31"/>
      <c r="MG61" s="31"/>
      <c r="MH61" s="31"/>
      <c r="MI61" s="31"/>
      <c r="MJ61" s="31"/>
      <c r="MK61" s="31"/>
      <c r="ML61" s="31"/>
      <c r="MM61" s="31"/>
      <c r="MN61" s="31"/>
      <c r="MO61" s="31"/>
      <c r="MP61" s="31"/>
      <c r="MQ61" s="31"/>
      <c r="MR61" s="31"/>
      <c r="MS61" s="31"/>
      <c r="MT61" s="31"/>
      <c r="MU61" s="31"/>
      <c r="MV61" s="31"/>
      <c r="MW61" s="31"/>
      <c r="MX61" s="31"/>
      <c r="MY61" s="31"/>
      <c r="MZ61" s="31"/>
      <c r="NA61" s="31"/>
      <c r="NB61" s="31"/>
      <c r="NC61" s="31"/>
      <c r="ND61" s="31"/>
      <c r="NE61" s="31"/>
      <c r="NF61" s="31"/>
      <c r="NG61" s="31"/>
      <c r="NH61" s="31"/>
      <c r="NI61" s="31"/>
      <c r="NJ61" s="31"/>
      <c r="NK61" s="31"/>
      <c r="NL61" s="31"/>
      <c r="NM61" s="31"/>
      <c r="NN61" s="31"/>
      <c r="NO61" s="31"/>
      <c r="NP61" s="31"/>
      <c r="NQ61" s="31"/>
      <c r="NR61" s="31"/>
      <c r="NS61" s="31"/>
      <c r="NT61" s="31"/>
      <c r="NU61" s="31"/>
      <c r="NV61" s="31"/>
      <c r="NW61" s="31"/>
      <c r="NX61" s="31"/>
      <c r="NY61" s="31"/>
      <c r="NZ61" s="31"/>
      <c r="OA61" s="31"/>
      <c r="OB61" s="31"/>
      <c r="OC61" s="31"/>
      <c r="OD61" s="31"/>
      <c r="OE61" s="31"/>
      <c r="OF61" s="31"/>
      <c r="OG61" s="31"/>
      <c r="OH61" s="31"/>
      <c r="OI61" s="31"/>
      <c r="OJ61" s="31"/>
      <c r="OK61" s="31"/>
      <c r="OL61" s="31"/>
      <c r="OM61" s="31"/>
      <c r="ON61" s="31"/>
      <c r="OO61" s="31"/>
      <c r="OP61" s="31"/>
      <c r="OQ61" s="31"/>
      <c r="OR61" s="31"/>
      <c r="OS61" s="31"/>
      <c r="OT61" s="31"/>
      <c r="OU61" s="31"/>
      <c r="OV61" s="31"/>
      <c r="OW61" s="31"/>
      <c r="OX61" s="31"/>
    </row>
    <row r="62" spans="2:414" s="25" customFormat="1" ht="15.6">
      <c r="B62" s="25" t="s">
        <v>114</v>
      </c>
      <c r="C62" s="27" t="s">
        <v>115</v>
      </c>
      <c r="D62" s="30" t="s">
        <v>105</v>
      </c>
      <c r="G62" s="42">
        <v>500</v>
      </c>
      <c r="H62" s="89">
        <v>26.109000000000002</v>
      </c>
      <c r="I62" s="38">
        <f t="shared" si="1"/>
        <v>13054.5</v>
      </c>
      <c r="K62" s="42">
        <v>500</v>
      </c>
      <c r="L62" s="90">
        <v>26.849599999999999</v>
      </c>
      <c r="M62" s="38">
        <f t="shared" si="2"/>
        <v>13424.8</v>
      </c>
      <c r="O62" s="38">
        <v>80</v>
      </c>
      <c r="P62" s="38">
        <v>26.728300000000001</v>
      </c>
      <c r="Q62" s="38">
        <f t="shared" si="3"/>
        <v>2138.2640000000001</v>
      </c>
      <c r="R62" s="43">
        <f t="shared" si="26"/>
        <v>1080</v>
      </c>
      <c r="S62" s="38">
        <f t="shared" si="4"/>
        <v>28617.563999999998</v>
      </c>
      <c r="T62" s="49">
        <v>500</v>
      </c>
      <c r="U62" s="42">
        <v>25.822600000000001</v>
      </c>
      <c r="V62" s="38">
        <f t="shared" si="18"/>
        <v>12911.300000000001</v>
      </c>
      <c r="W62" s="42">
        <v>300</v>
      </c>
      <c r="X62" s="42">
        <v>26.861899999999999</v>
      </c>
      <c r="Y62" s="38">
        <f t="shared" si="17"/>
        <v>8058.57</v>
      </c>
      <c r="Z62" s="42">
        <v>200</v>
      </c>
      <c r="AA62" s="42">
        <v>26.777999999999999</v>
      </c>
      <c r="AB62" s="42">
        <f t="shared" ref="AB62:AB106" si="28">Z62*AA62</f>
        <v>5355.5999999999995</v>
      </c>
      <c r="AD62" s="42"/>
      <c r="AE62" s="42"/>
      <c r="AF62" s="42">
        <f t="shared" si="23"/>
        <v>0</v>
      </c>
      <c r="AG62" s="42"/>
      <c r="AH62" s="42"/>
      <c r="AI62" s="42"/>
      <c r="AJ62" s="42">
        <f t="shared" si="24"/>
        <v>0</v>
      </c>
      <c r="AL62" s="42"/>
      <c r="AM62" s="42"/>
      <c r="AN62" s="42"/>
      <c r="AO62" s="44"/>
      <c r="AP62" s="42"/>
      <c r="AQ62" s="42"/>
      <c r="AR62" s="42"/>
      <c r="AU62" s="98"/>
      <c r="AV62" s="35"/>
      <c r="AW62" s="104"/>
      <c r="AX62" s="42"/>
      <c r="AY62" s="42"/>
      <c r="AZ62" s="42">
        <f t="shared" si="27"/>
        <v>0</v>
      </c>
      <c r="BA62" s="42"/>
      <c r="BB62" s="42"/>
      <c r="BC62" s="42"/>
      <c r="BD62" s="38">
        <f t="shared" si="11"/>
        <v>0</v>
      </c>
      <c r="BE62" s="42"/>
      <c r="BF62" s="42"/>
      <c r="BG62" s="42"/>
      <c r="BH62" s="38">
        <f t="shared" si="12"/>
        <v>0</v>
      </c>
      <c r="BI62" s="42"/>
      <c r="BJ62" s="42"/>
      <c r="BK62" s="42"/>
      <c r="BL62" s="38">
        <f t="shared" si="13"/>
        <v>0</v>
      </c>
      <c r="BM62" s="42"/>
      <c r="BN62" s="42"/>
      <c r="BO62" s="42"/>
      <c r="BP62" s="42"/>
      <c r="BR62" s="42">
        <f t="shared" si="14"/>
        <v>26325.47</v>
      </c>
      <c r="BS62" s="43">
        <f t="shared" si="15"/>
        <v>2292.0939999999973</v>
      </c>
      <c r="BT62" s="42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  <c r="IL62" s="31"/>
      <c r="IM62" s="31"/>
      <c r="IN62" s="31"/>
      <c r="IO62" s="31"/>
      <c r="IP62" s="31"/>
      <c r="IQ62" s="31"/>
      <c r="IR62" s="31"/>
      <c r="IS62" s="31"/>
      <c r="IT62" s="31"/>
      <c r="IU62" s="31"/>
      <c r="IV62" s="31"/>
      <c r="IW62" s="31"/>
      <c r="IX62" s="31"/>
      <c r="IY62" s="31"/>
      <c r="IZ62" s="31"/>
      <c r="JA62" s="31"/>
      <c r="JB62" s="31"/>
      <c r="JC62" s="31"/>
      <c r="JD62" s="31"/>
      <c r="JE62" s="31"/>
      <c r="JF62" s="31"/>
      <c r="JG62" s="31"/>
      <c r="JH62" s="31"/>
      <c r="JI62" s="31"/>
      <c r="JJ62" s="31"/>
      <c r="JK62" s="31"/>
      <c r="JL62" s="31"/>
      <c r="JM62" s="31"/>
      <c r="JN62" s="31"/>
      <c r="JO62" s="31"/>
      <c r="JP62" s="31"/>
      <c r="JQ62" s="31"/>
      <c r="JR62" s="31"/>
      <c r="JS62" s="31"/>
      <c r="JT62" s="31"/>
      <c r="JU62" s="31"/>
      <c r="JV62" s="31"/>
      <c r="JW62" s="31"/>
      <c r="JX62" s="31"/>
      <c r="JY62" s="31"/>
      <c r="JZ62" s="31"/>
      <c r="KA62" s="31"/>
      <c r="KB62" s="31"/>
      <c r="KC62" s="31"/>
      <c r="KD62" s="31"/>
      <c r="KE62" s="31"/>
      <c r="KF62" s="31"/>
      <c r="KG62" s="31"/>
      <c r="KH62" s="31"/>
      <c r="KI62" s="31"/>
      <c r="KJ62" s="31"/>
      <c r="KK62" s="31"/>
      <c r="KL62" s="31"/>
      <c r="KM62" s="31"/>
      <c r="KN62" s="31"/>
      <c r="KO62" s="31"/>
      <c r="KP62" s="31"/>
      <c r="KQ62" s="31"/>
      <c r="KR62" s="31"/>
      <c r="KS62" s="31"/>
      <c r="KT62" s="31"/>
      <c r="KU62" s="31"/>
      <c r="KV62" s="31"/>
      <c r="KW62" s="31"/>
      <c r="KX62" s="31"/>
      <c r="KY62" s="31"/>
      <c r="KZ62" s="31"/>
      <c r="LA62" s="31"/>
      <c r="LB62" s="31"/>
      <c r="LC62" s="31"/>
      <c r="LD62" s="31"/>
      <c r="LE62" s="31"/>
      <c r="LF62" s="31"/>
      <c r="LG62" s="31"/>
      <c r="LH62" s="31"/>
      <c r="LI62" s="31"/>
      <c r="LJ62" s="31"/>
      <c r="LK62" s="31"/>
      <c r="LL62" s="31"/>
      <c r="LM62" s="31"/>
      <c r="LN62" s="31"/>
      <c r="LO62" s="31"/>
      <c r="LP62" s="31"/>
      <c r="LQ62" s="31"/>
      <c r="LR62" s="31"/>
      <c r="LS62" s="31"/>
      <c r="LT62" s="31"/>
      <c r="LU62" s="31"/>
      <c r="LV62" s="31"/>
      <c r="LW62" s="31"/>
      <c r="LX62" s="31"/>
      <c r="LY62" s="31"/>
      <c r="LZ62" s="31"/>
      <c r="MA62" s="31"/>
      <c r="MB62" s="31"/>
      <c r="MC62" s="31"/>
      <c r="MD62" s="31"/>
      <c r="ME62" s="31"/>
      <c r="MF62" s="31"/>
      <c r="MG62" s="31"/>
      <c r="MH62" s="31"/>
      <c r="MI62" s="31"/>
      <c r="MJ62" s="31"/>
      <c r="MK62" s="31"/>
      <c r="ML62" s="31"/>
      <c r="MM62" s="31"/>
      <c r="MN62" s="31"/>
      <c r="MO62" s="31"/>
      <c r="MP62" s="31"/>
      <c r="MQ62" s="31"/>
      <c r="MR62" s="31"/>
      <c r="MS62" s="31"/>
      <c r="MT62" s="31"/>
      <c r="MU62" s="31"/>
      <c r="MV62" s="31"/>
      <c r="MW62" s="31"/>
      <c r="MX62" s="31"/>
      <c r="MY62" s="31"/>
      <c r="MZ62" s="31"/>
      <c r="NA62" s="31"/>
      <c r="NB62" s="31"/>
      <c r="NC62" s="31"/>
      <c r="ND62" s="31"/>
      <c r="NE62" s="31"/>
      <c r="NF62" s="31"/>
      <c r="NG62" s="31"/>
      <c r="NH62" s="31"/>
      <c r="NI62" s="31"/>
      <c r="NJ62" s="31"/>
      <c r="NK62" s="31"/>
      <c r="NL62" s="31"/>
      <c r="NM62" s="31"/>
      <c r="NN62" s="31"/>
      <c r="NO62" s="31"/>
      <c r="NP62" s="31"/>
      <c r="NQ62" s="31"/>
      <c r="NR62" s="31"/>
      <c r="NS62" s="31"/>
      <c r="NT62" s="31"/>
      <c r="NU62" s="31"/>
      <c r="NV62" s="31"/>
      <c r="NW62" s="31"/>
      <c r="NX62" s="31"/>
      <c r="NY62" s="31"/>
      <c r="NZ62" s="31"/>
      <c r="OA62" s="31"/>
      <c r="OB62" s="31"/>
      <c r="OC62" s="31"/>
      <c r="OD62" s="31"/>
      <c r="OE62" s="31"/>
      <c r="OF62" s="31"/>
      <c r="OG62" s="31"/>
      <c r="OH62" s="31"/>
      <c r="OI62" s="31"/>
      <c r="OJ62" s="31"/>
      <c r="OK62" s="31"/>
      <c r="OL62" s="31"/>
      <c r="OM62" s="31"/>
      <c r="ON62" s="31"/>
      <c r="OO62" s="31"/>
      <c r="OP62" s="31"/>
      <c r="OQ62" s="31"/>
      <c r="OR62" s="31"/>
      <c r="OS62" s="31"/>
      <c r="OT62" s="31"/>
      <c r="OU62" s="31"/>
      <c r="OV62" s="31"/>
      <c r="OW62" s="31"/>
      <c r="OX62" s="31"/>
    </row>
    <row r="63" spans="2:414" s="25" customFormat="1" ht="15.6">
      <c r="B63" s="25" t="s">
        <v>116</v>
      </c>
      <c r="C63" s="27" t="s">
        <v>117</v>
      </c>
      <c r="D63" s="30" t="s">
        <v>105</v>
      </c>
      <c r="G63" s="42">
        <v>500</v>
      </c>
      <c r="H63" s="89">
        <v>26.109000000000002</v>
      </c>
      <c r="I63" s="38">
        <f t="shared" si="1"/>
        <v>13054.5</v>
      </c>
      <c r="K63" s="42">
        <v>500</v>
      </c>
      <c r="L63" s="90">
        <v>26.849599999999999</v>
      </c>
      <c r="M63" s="38">
        <f t="shared" si="2"/>
        <v>13424.8</v>
      </c>
      <c r="O63" s="38">
        <v>80</v>
      </c>
      <c r="P63" s="38">
        <v>26.728300000000001</v>
      </c>
      <c r="Q63" s="38">
        <f t="shared" si="3"/>
        <v>2138.2640000000001</v>
      </c>
      <c r="R63" s="43">
        <f t="shared" si="26"/>
        <v>1080</v>
      </c>
      <c r="S63" s="38">
        <f t="shared" si="4"/>
        <v>28617.563999999998</v>
      </c>
      <c r="T63" s="49">
        <v>415</v>
      </c>
      <c r="U63" s="42">
        <v>25.883199999999999</v>
      </c>
      <c r="V63" s="38">
        <f t="shared" si="18"/>
        <v>10741.528</v>
      </c>
      <c r="W63" s="42">
        <v>85</v>
      </c>
      <c r="X63" s="42">
        <v>25.883199999999999</v>
      </c>
      <c r="Y63" s="38">
        <f t="shared" si="17"/>
        <v>2200.0719999999997</v>
      </c>
      <c r="Z63" s="42">
        <v>315</v>
      </c>
      <c r="AA63" s="42">
        <v>26.8307</v>
      </c>
      <c r="AB63" s="42">
        <f t="shared" si="28"/>
        <v>8451.6705000000002</v>
      </c>
      <c r="AD63" s="42">
        <v>26.819299999999998</v>
      </c>
      <c r="AE63" s="42"/>
      <c r="AF63" s="42">
        <f t="shared" si="23"/>
        <v>0</v>
      </c>
      <c r="AG63" s="42"/>
      <c r="AH63" s="42"/>
      <c r="AI63" s="42"/>
      <c r="AJ63" s="42">
        <v>2821</v>
      </c>
      <c r="AL63" s="42"/>
      <c r="AM63" s="42"/>
      <c r="AN63" s="42"/>
      <c r="AO63" s="44"/>
      <c r="AP63" s="42"/>
      <c r="AQ63" s="42"/>
      <c r="AR63" s="42"/>
      <c r="AU63" s="98"/>
      <c r="AV63" s="35"/>
      <c r="AW63" s="104"/>
      <c r="AX63" s="42"/>
      <c r="AY63" s="42"/>
      <c r="AZ63" s="42">
        <f t="shared" si="27"/>
        <v>0</v>
      </c>
      <c r="BA63" s="42"/>
      <c r="BB63" s="42"/>
      <c r="BC63" s="42"/>
      <c r="BD63" s="38">
        <f t="shared" si="11"/>
        <v>0</v>
      </c>
      <c r="BE63" s="42"/>
      <c r="BF63" s="42"/>
      <c r="BG63" s="42"/>
      <c r="BH63" s="38">
        <f t="shared" si="12"/>
        <v>0</v>
      </c>
      <c r="BI63" s="42"/>
      <c r="BJ63" s="42"/>
      <c r="BK63" s="42"/>
      <c r="BL63" s="38">
        <f t="shared" si="13"/>
        <v>0</v>
      </c>
      <c r="BM63" s="42"/>
      <c r="BN63" s="42"/>
      <c r="BO63" s="42"/>
      <c r="BP63" s="42"/>
      <c r="BR63" s="42">
        <f t="shared" si="14"/>
        <v>24214.270499999999</v>
      </c>
      <c r="BS63" s="43">
        <f t="shared" si="15"/>
        <v>4403.2934999999998</v>
      </c>
      <c r="BT63" s="42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  <c r="IL63" s="31"/>
      <c r="IM63" s="31"/>
      <c r="IN63" s="31"/>
      <c r="IO63" s="31"/>
      <c r="IP63" s="31"/>
      <c r="IQ63" s="31"/>
      <c r="IR63" s="31"/>
      <c r="IS63" s="31"/>
      <c r="IT63" s="31"/>
      <c r="IU63" s="31"/>
      <c r="IV63" s="31"/>
      <c r="IW63" s="31"/>
      <c r="IX63" s="31"/>
      <c r="IY63" s="31"/>
      <c r="IZ63" s="31"/>
      <c r="JA63" s="31"/>
      <c r="JB63" s="31"/>
      <c r="JC63" s="31"/>
      <c r="JD63" s="31"/>
      <c r="JE63" s="31"/>
      <c r="JF63" s="31"/>
      <c r="JG63" s="31"/>
      <c r="JH63" s="31"/>
      <c r="JI63" s="31"/>
      <c r="JJ63" s="31"/>
      <c r="JK63" s="31"/>
      <c r="JL63" s="31"/>
      <c r="JM63" s="31"/>
      <c r="JN63" s="31"/>
      <c r="JO63" s="31"/>
      <c r="JP63" s="31"/>
      <c r="JQ63" s="31"/>
      <c r="JR63" s="31"/>
      <c r="JS63" s="31"/>
      <c r="JT63" s="31"/>
      <c r="JU63" s="31"/>
      <c r="JV63" s="31"/>
      <c r="JW63" s="31"/>
      <c r="JX63" s="31"/>
      <c r="JY63" s="31"/>
      <c r="JZ63" s="31"/>
      <c r="KA63" s="31"/>
      <c r="KB63" s="31"/>
      <c r="KC63" s="31"/>
      <c r="KD63" s="31"/>
      <c r="KE63" s="31"/>
      <c r="KF63" s="31"/>
      <c r="KG63" s="31"/>
      <c r="KH63" s="31"/>
      <c r="KI63" s="31"/>
      <c r="KJ63" s="31"/>
      <c r="KK63" s="31"/>
      <c r="KL63" s="31"/>
      <c r="KM63" s="31"/>
      <c r="KN63" s="31"/>
      <c r="KO63" s="31"/>
      <c r="KP63" s="31"/>
      <c r="KQ63" s="31"/>
      <c r="KR63" s="31"/>
      <c r="KS63" s="31"/>
      <c r="KT63" s="31"/>
      <c r="KU63" s="31"/>
      <c r="KV63" s="31"/>
      <c r="KW63" s="31"/>
      <c r="KX63" s="31"/>
      <c r="KY63" s="31"/>
      <c r="KZ63" s="31"/>
      <c r="LA63" s="31"/>
      <c r="LB63" s="31"/>
      <c r="LC63" s="31"/>
      <c r="LD63" s="31"/>
      <c r="LE63" s="31"/>
      <c r="LF63" s="31"/>
      <c r="LG63" s="31"/>
      <c r="LH63" s="31"/>
      <c r="LI63" s="31"/>
      <c r="LJ63" s="31"/>
      <c r="LK63" s="31"/>
      <c r="LL63" s="31"/>
      <c r="LM63" s="31"/>
      <c r="LN63" s="31"/>
      <c r="LO63" s="31"/>
      <c r="LP63" s="31"/>
      <c r="LQ63" s="31"/>
      <c r="LR63" s="31"/>
      <c r="LS63" s="31"/>
      <c r="LT63" s="31"/>
      <c r="LU63" s="31"/>
      <c r="LV63" s="31"/>
      <c r="LW63" s="31"/>
      <c r="LX63" s="31"/>
      <c r="LY63" s="31"/>
      <c r="LZ63" s="31"/>
      <c r="MA63" s="31"/>
      <c r="MB63" s="31"/>
      <c r="MC63" s="31"/>
      <c r="MD63" s="31"/>
      <c r="ME63" s="31"/>
      <c r="MF63" s="31"/>
      <c r="MG63" s="31"/>
      <c r="MH63" s="31"/>
      <c r="MI63" s="31"/>
      <c r="MJ63" s="31"/>
      <c r="MK63" s="31"/>
      <c r="ML63" s="31"/>
      <c r="MM63" s="31"/>
      <c r="MN63" s="31"/>
      <c r="MO63" s="31"/>
      <c r="MP63" s="31"/>
      <c r="MQ63" s="31"/>
      <c r="MR63" s="31"/>
      <c r="MS63" s="31"/>
      <c r="MT63" s="31"/>
      <c r="MU63" s="31"/>
      <c r="MV63" s="31"/>
      <c r="MW63" s="31"/>
      <c r="MX63" s="31"/>
      <c r="MY63" s="31"/>
      <c r="MZ63" s="31"/>
      <c r="NA63" s="31"/>
      <c r="NB63" s="31"/>
      <c r="NC63" s="31"/>
      <c r="ND63" s="31"/>
      <c r="NE63" s="31"/>
      <c r="NF63" s="31"/>
      <c r="NG63" s="31"/>
      <c r="NH63" s="31"/>
      <c r="NI63" s="31"/>
      <c r="NJ63" s="31"/>
      <c r="NK63" s="31"/>
      <c r="NL63" s="31"/>
      <c r="NM63" s="31"/>
      <c r="NN63" s="31"/>
      <c r="NO63" s="31"/>
      <c r="NP63" s="31"/>
      <c r="NQ63" s="31"/>
      <c r="NR63" s="31"/>
      <c r="NS63" s="31"/>
      <c r="NT63" s="31"/>
      <c r="NU63" s="31"/>
      <c r="NV63" s="31"/>
      <c r="NW63" s="31"/>
      <c r="NX63" s="31"/>
      <c r="NY63" s="31"/>
      <c r="NZ63" s="31"/>
      <c r="OA63" s="31"/>
      <c r="OB63" s="31"/>
      <c r="OC63" s="31"/>
      <c r="OD63" s="31"/>
      <c r="OE63" s="31"/>
      <c r="OF63" s="31"/>
      <c r="OG63" s="31"/>
      <c r="OH63" s="31"/>
      <c r="OI63" s="31"/>
      <c r="OJ63" s="31"/>
      <c r="OK63" s="31"/>
      <c r="OL63" s="31"/>
      <c r="OM63" s="31"/>
      <c r="ON63" s="31"/>
      <c r="OO63" s="31"/>
      <c r="OP63" s="31"/>
      <c r="OQ63" s="31"/>
      <c r="OR63" s="31"/>
      <c r="OS63" s="31"/>
      <c r="OT63" s="31"/>
      <c r="OU63" s="31"/>
      <c r="OV63" s="31"/>
      <c r="OW63" s="31"/>
      <c r="OX63" s="31"/>
    </row>
    <row r="64" spans="2:414" s="25" customFormat="1" ht="15.6">
      <c r="B64" s="25" t="s">
        <v>118</v>
      </c>
      <c r="C64" s="27" t="s">
        <v>119</v>
      </c>
      <c r="D64" s="30" t="s">
        <v>105</v>
      </c>
      <c r="G64" s="42">
        <v>500</v>
      </c>
      <c r="H64" s="89">
        <v>26.109000000000002</v>
      </c>
      <c r="I64" s="38">
        <f t="shared" si="1"/>
        <v>13054.5</v>
      </c>
      <c r="K64" s="42">
        <v>500</v>
      </c>
      <c r="L64" s="90">
        <v>26.849599999999999</v>
      </c>
      <c r="M64" s="38">
        <f t="shared" si="2"/>
        <v>13424.8</v>
      </c>
      <c r="O64" s="38">
        <v>80</v>
      </c>
      <c r="P64" s="38">
        <v>26.728300000000001</v>
      </c>
      <c r="Q64" s="38">
        <f t="shared" si="3"/>
        <v>2138.2640000000001</v>
      </c>
      <c r="R64" s="43">
        <f t="shared" si="26"/>
        <v>1080</v>
      </c>
      <c r="S64" s="38">
        <f t="shared" si="4"/>
        <v>28617.563999999998</v>
      </c>
      <c r="T64" s="49">
        <v>415</v>
      </c>
      <c r="U64" s="42">
        <v>26.0579</v>
      </c>
      <c r="V64" s="38">
        <f t="shared" si="18"/>
        <v>10814.0285</v>
      </c>
      <c r="W64" s="42">
        <v>85</v>
      </c>
      <c r="X64" s="42">
        <v>25.826699999999999</v>
      </c>
      <c r="Y64" s="38">
        <f t="shared" si="17"/>
        <v>2195.2694999999999</v>
      </c>
      <c r="Z64" s="42">
        <v>250</v>
      </c>
      <c r="AA64" s="42">
        <v>26.778500000000001</v>
      </c>
      <c r="AB64" s="42">
        <f t="shared" si="28"/>
        <v>6694.625</v>
      </c>
      <c r="AD64" s="42">
        <v>100</v>
      </c>
      <c r="AE64" s="42">
        <v>26.805099999999999</v>
      </c>
      <c r="AF64" s="42">
        <f t="shared" si="23"/>
        <v>2680.5099999999998</v>
      </c>
      <c r="AG64" s="42"/>
      <c r="AH64" s="42">
        <v>85</v>
      </c>
      <c r="AI64" s="42">
        <v>26.849599999999999</v>
      </c>
      <c r="AJ64" s="42">
        <f>AH64*AI64</f>
        <v>2282.2159999999999</v>
      </c>
      <c r="AL64" s="42"/>
      <c r="AM64" s="42"/>
      <c r="AN64" s="42"/>
      <c r="AO64" s="44"/>
      <c r="AP64" s="42"/>
      <c r="AQ64" s="42"/>
      <c r="AR64" s="42"/>
      <c r="AU64" s="98"/>
      <c r="AV64" s="35"/>
      <c r="AW64" s="104"/>
      <c r="AX64" s="42"/>
      <c r="AY64" s="42"/>
      <c r="AZ64" s="42">
        <f t="shared" si="27"/>
        <v>0</v>
      </c>
      <c r="BA64" s="42"/>
      <c r="BB64" s="42"/>
      <c r="BC64" s="42"/>
      <c r="BD64" s="38">
        <f t="shared" si="11"/>
        <v>0</v>
      </c>
      <c r="BE64" s="42"/>
      <c r="BF64" s="42"/>
      <c r="BG64" s="42"/>
      <c r="BH64" s="38">
        <f t="shared" si="12"/>
        <v>0</v>
      </c>
      <c r="BI64" s="42"/>
      <c r="BJ64" s="42"/>
      <c r="BK64" s="42"/>
      <c r="BL64" s="38">
        <f t="shared" si="13"/>
        <v>0</v>
      </c>
      <c r="BM64" s="42"/>
      <c r="BN64" s="42"/>
      <c r="BO64" s="42"/>
      <c r="BP64" s="42"/>
      <c r="BR64" s="42">
        <f t="shared" si="14"/>
        <v>24666.649000000001</v>
      </c>
      <c r="BS64" s="43">
        <f t="shared" si="15"/>
        <v>3950.9149999999972</v>
      </c>
      <c r="BT64" s="42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  <c r="JH64" s="31"/>
      <c r="JI64" s="31"/>
      <c r="JJ64" s="31"/>
      <c r="JK64" s="31"/>
      <c r="JL64" s="31"/>
      <c r="JM64" s="31"/>
      <c r="JN64" s="31"/>
      <c r="JO64" s="31"/>
      <c r="JP64" s="31"/>
      <c r="JQ64" s="31"/>
      <c r="JR64" s="31"/>
      <c r="JS64" s="31"/>
      <c r="JT64" s="31"/>
      <c r="JU64" s="31"/>
      <c r="JV64" s="31"/>
      <c r="JW64" s="31"/>
      <c r="JX64" s="31"/>
      <c r="JY64" s="31"/>
      <c r="JZ64" s="31"/>
      <c r="KA64" s="31"/>
      <c r="KB64" s="31"/>
      <c r="KC64" s="31"/>
      <c r="KD64" s="31"/>
      <c r="KE64" s="31"/>
      <c r="KF64" s="31"/>
      <c r="KG64" s="31"/>
      <c r="KH64" s="31"/>
      <c r="KI64" s="31"/>
      <c r="KJ64" s="31"/>
      <c r="KK64" s="31"/>
      <c r="KL64" s="31"/>
      <c r="KM64" s="31"/>
      <c r="KN64" s="31"/>
      <c r="KO64" s="31"/>
      <c r="KP64" s="31"/>
      <c r="KQ64" s="31"/>
      <c r="KR64" s="31"/>
      <c r="KS64" s="31"/>
      <c r="KT64" s="31"/>
      <c r="KU64" s="31"/>
      <c r="KV64" s="31"/>
      <c r="KW64" s="31"/>
      <c r="KX64" s="31"/>
      <c r="KY64" s="31"/>
      <c r="KZ64" s="31"/>
      <c r="LA64" s="31"/>
      <c r="LB64" s="31"/>
      <c r="LC64" s="31"/>
      <c r="LD64" s="31"/>
      <c r="LE64" s="31"/>
      <c r="LF64" s="31"/>
      <c r="LG64" s="31"/>
      <c r="LH64" s="31"/>
      <c r="LI64" s="31"/>
      <c r="LJ64" s="31"/>
      <c r="LK64" s="31"/>
      <c r="LL64" s="31"/>
      <c r="LM64" s="31"/>
      <c r="LN64" s="31"/>
      <c r="LO64" s="31"/>
      <c r="LP64" s="31"/>
      <c r="LQ64" s="31"/>
      <c r="LR64" s="31"/>
      <c r="LS64" s="31"/>
      <c r="LT64" s="31"/>
      <c r="LU64" s="31"/>
      <c r="LV64" s="31"/>
      <c r="LW64" s="31"/>
      <c r="LX64" s="31"/>
      <c r="LY64" s="31"/>
      <c r="LZ64" s="31"/>
      <c r="MA64" s="31"/>
      <c r="MB64" s="31"/>
      <c r="MC64" s="31"/>
      <c r="MD64" s="31"/>
      <c r="ME64" s="31"/>
      <c r="MF64" s="31"/>
      <c r="MG64" s="31"/>
      <c r="MH64" s="31"/>
      <c r="MI64" s="31"/>
      <c r="MJ64" s="31"/>
      <c r="MK64" s="31"/>
      <c r="ML64" s="31"/>
      <c r="MM64" s="31"/>
      <c r="MN64" s="31"/>
      <c r="MO64" s="31"/>
      <c r="MP64" s="31"/>
      <c r="MQ64" s="31"/>
      <c r="MR64" s="31"/>
      <c r="MS64" s="31"/>
      <c r="MT64" s="31"/>
      <c r="MU64" s="31"/>
      <c r="MV64" s="31"/>
      <c r="MW64" s="31"/>
      <c r="MX64" s="31"/>
      <c r="MY64" s="31"/>
      <c r="MZ64" s="31"/>
      <c r="NA64" s="31"/>
      <c r="NB64" s="31"/>
      <c r="NC64" s="31"/>
      <c r="ND64" s="31"/>
      <c r="NE64" s="31"/>
      <c r="NF64" s="31"/>
      <c r="NG64" s="31"/>
      <c r="NH64" s="31"/>
      <c r="NI64" s="31"/>
      <c r="NJ64" s="31"/>
      <c r="NK64" s="31"/>
      <c r="NL64" s="31"/>
      <c r="NM64" s="31"/>
      <c r="NN64" s="31"/>
      <c r="NO64" s="31"/>
      <c r="NP64" s="31"/>
      <c r="NQ64" s="31"/>
      <c r="NR64" s="31"/>
      <c r="NS64" s="31"/>
      <c r="NT64" s="31"/>
      <c r="NU64" s="31"/>
      <c r="NV64" s="31"/>
      <c r="NW64" s="31"/>
      <c r="NX64" s="31"/>
      <c r="NY64" s="31"/>
      <c r="NZ64" s="31"/>
      <c r="OA64" s="31"/>
      <c r="OB64" s="31"/>
      <c r="OC64" s="31"/>
      <c r="OD64" s="31"/>
      <c r="OE64" s="31"/>
      <c r="OF64" s="31"/>
      <c r="OG64" s="31"/>
      <c r="OH64" s="31"/>
      <c r="OI64" s="31"/>
      <c r="OJ64" s="31"/>
      <c r="OK64" s="31"/>
      <c r="OL64" s="31"/>
      <c r="OM64" s="31"/>
      <c r="ON64" s="31"/>
      <c r="OO64" s="31"/>
      <c r="OP64" s="31"/>
      <c r="OQ64" s="31"/>
      <c r="OR64" s="31"/>
      <c r="OS64" s="31"/>
      <c r="OT64" s="31"/>
      <c r="OU64" s="31"/>
      <c r="OV64" s="31"/>
      <c r="OW64" s="31"/>
      <c r="OX64" s="31"/>
    </row>
    <row r="65" spans="2:414" s="25" customFormat="1" ht="15.6">
      <c r="B65" s="25" t="s">
        <v>120</v>
      </c>
      <c r="C65" s="27" t="s">
        <v>121</v>
      </c>
      <c r="D65" s="30" t="s">
        <v>105</v>
      </c>
      <c r="G65" s="42">
        <v>500</v>
      </c>
      <c r="H65" s="89">
        <v>26.109000000000002</v>
      </c>
      <c r="I65" s="38">
        <f t="shared" si="1"/>
        <v>13054.5</v>
      </c>
      <c r="K65" s="42">
        <v>500</v>
      </c>
      <c r="L65" s="90">
        <v>26.849599999999999</v>
      </c>
      <c r="M65" s="38">
        <f t="shared" si="2"/>
        <v>13424.8</v>
      </c>
      <c r="O65" s="38">
        <v>80</v>
      </c>
      <c r="P65" s="38">
        <v>26.728300000000001</v>
      </c>
      <c r="Q65" s="38">
        <f t="shared" si="3"/>
        <v>2138.2640000000001</v>
      </c>
      <c r="R65" s="43">
        <f t="shared" si="26"/>
        <v>1080</v>
      </c>
      <c r="S65" s="38">
        <f t="shared" si="4"/>
        <v>28617.563999999998</v>
      </c>
      <c r="T65" s="49">
        <v>415</v>
      </c>
      <c r="U65" s="42">
        <v>26.948</v>
      </c>
      <c r="V65" s="38">
        <f t="shared" si="18"/>
        <v>11183.42</v>
      </c>
      <c r="W65" s="42">
        <v>85</v>
      </c>
      <c r="X65" s="42">
        <v>26.109000000000002</v>
      </c>
      <c r="Y65" s="38">
        <f t="shared" si="17"/>
        <v>2219.2650000000003</v>
      </c>
      <c r="Z65" s="42">
        <v>85</v>
      </c>
      <c r="AA65" s="42">
        <v>26.856000000000002</v>
      </c>
      <c r="AB65" s="42">
        <f t="shared" si="28"/>
        <v>2282.7600000000002</v>
      </c>
      <c r="AD65" s="42">
        <v>415</v>
      </c>
      <c r="AE65" s="42">
        <v>26.856000000000002</v>
      </c>
      <c r="AF65" s="42">
        <f t="shared" si="23"/>
        <v>11145.24</v>
      </c>
      <c r="AG65" s="42"/>
      <c r="AH65" s="42"/>
      <c r="AI65" s="42"/>
      <c r="AJ65" s="42">
        <f t="shared" ref="AJ65:AJ70" si="29">AH65*AI65</f>
        <v>0</v>
      </c>
      <c r="AL65" s="42"/>
      <c r="AM65" s="42"/>
      <c r="AN65" s="42"/>
      <c r="AO65" s="44"/>
      <c r="AP65" s="42"/>
      <c r="AQ65" s="42"/>
      <c r="AR65" s="42"/>
      <c r="AU65" s="98"/>
      <c r="AV65" s="35"/>
      <c r="AW65" s="104"/>
      <c r="AX65" s="42"/>
      <c r="AY65" s="42"/>
      <c r="AZ65" s="42">
        <f t="shared" si="27"/>
        <v>0</v>
      </c>
      <c r="BA65" s="42"/>
      <c r="BB65" s="42"/>
      <c r="BC65" s="42"/>
      <c r="BD65" s="38">
        <f t="shared" si="11"/>
        <v>0</v>
      </c>
      <c r="BE65" s="42"/>
      <c r="BF65" s="42"/>
      <c r="BG65" s="42"/>
      <c r="BH65" s="38">
        <f t="shared" si="12"/>
        <v>0</v>
      </c>
      <c r="BI65" s="42"/>
      <c r="BJ65" s="42"/>
      <c r="BK65" s="42"/>
      <c r="BL65" s="38">
        <f t="shared" si="13"/>
        <v>0</v>
      </c>
      <c r="BM65" s="42"/>
      <c r="BN65" s="42"/>
      <c r="BO65" s="42"/>
      <c r="BP65" s="42"/>
      <c r="BR65" s="42">
        <f t="shared" si="14"/>
        <v>26830.685000000001</v>
      </c>
      <c r="BS65" s="43">
        <f t="shared" si="15"/>
        <v>1786.8789999999972</v>
      </c>
      <c r="BT65" s="42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  <c r="IL65" s="31"/>
      <c r="IM65" s="31"/>
      <c r="IN65" s="31"/>
      <c r="IO65" s="31"/>
      <c r="IP65" s="31"/>
      <c r="IQ65" s="31"/>
      <c r="IR65" s="31"/>
      <c r="IS65" s="31"/>
      <c r="IT65" s="31"/>
      <c r="IU65" s="31"/>
      <c r="IV65" s="31"/>
      <c r="IW65" s="31"/>
      <c r="IX65" s="31"/>
      <c r="IY65" s="31"/>
      <c r="IZ65" s="31"/>
      <c r="JA65" s="31"/>
      <c r="JB65" s="31"/>
      <c r="JC65" s="31"/>
      <c r="JD65" s="31"/>
      <c r="JE65" s="31"/>
      <c r="JF65" s="31"/>
      <c r="JG65" s="31"/>
      <c r="JH65" s="31"/>
      <c r="JI65" s="31"/>
      <c r="JJ65" s="31"/>
      <c r="JK65" s="31"/>
      <c r="JL65" s="31"/>
      <c r="JM65" s="31"/>
      <c r="JN65" s="31"/>
      <c r="JO65" s="31"/>
      <c r="JP65" s="31"/>
      <c r="JQ65" s="31"/>
      <c r="JR65" s="31"/>
      <c r="JS65" s="31"/>
      <c r="JT65" s="31"/>
      <c r="JU65" s="31"/>
      <c r="JV65" s="31"/>
      <c r="JW65" s="31"/>
      <c r="JX65" s="31"/>
      <c r="JY65" s="31"/>
      <c r="JZ65" s="31"/>
      <c r="KA65" s="31"/>
      <c r="KB65" s="31"/>
      <c r="KC65" s="31"/>
      <c r="KD65" s="31"/>
      <c r="KE65" s="31"/>
      <c r="KF65" s="31"/>
      <c r="KG65" s="31"/>
      <c r="KH65" s="31"/>
      <c r="KI65" s="31"/>
      <c r="KJ65" s="31"/>
      <c r="KK65" s="31"/>
      <c r="KL65" s="31"/>
      <c r="KM65" s="31"/>
      <c r="KN65" s="31"/>
      <c r="KO65" s="31"/>
      <c r="KP65" s="31"/>
      <c r="KQ65" s="31"/>
      <c r="KR65" s="31"/>
      <c r="KS65" s="31"/>
      <c r="KT65" s="31"/>
      <c r="KU65" s="31"/>
      <c r="KV65" s="31"/>
      <c r="KW65" s="31"/>
      <c r="KX65" s="31"/>
      <c r="KY65" s="31"/>
      <c r="KZ65" s="31"/>
      <c r="LA65" s="31"/>
      <c r="LB65" s="31"/>
      <c r="LC65" s="31"/>
      <c r="LD65" s="31"/>
      <c r="LE65" s="31"/>
      <c r="LF65" s="31"/>
      <c r="LG65" s="31"/>
      <c r="LH65" s="31"/>
      <c r="LI65" s="31"/>
      <c r="LJ65" s="31"/>
      <c r="LK65" s="31"/>
      <c r="LL65" s="31"/>
      <c r="LM65" s="31"/>
      <c r="LN65" s="31"/>
      <c r="LO65" s="31"/>
      <c r="LP65" s="31"/>
      <c r="LQ65" s="31"/>
      <c r="LR65" s="31"/>
      <c r="LS65" s="31"/>
      <c r="LT65" s="31"/>
      <c r="LU65" s="31"/>
      <c r="LV65" s="31"/>
      <c r="LW65" s="31"/>
      <c r="LX65" s="31"/>
      <c r="LY65" s="31"/>
      <c r="LZ65" s="31"/>
      <c r="MA65" s="31"/>
      <c r="MB65" s="31"/>
      <c r="MC65" s="31"/>
      <c r="MD65" s="31"/>
      <c r="ME65" s="31"/>
      <c r="MF65" s="31"/>
      <c r="MG65" s="31"/>
      <c r="MH65" s="31"/>
      <c r="MI65" s="31"/>
      <c r="MJ65" s="31"/>
      <c r="MK65" s="31"/>
      <c r="ML65" s="31"/>
      <c r="MM65" s="31"/>
      <c r="MN65" s="31"/>
      <c r="MO65" s="31"/>
      <c r="MP65" s="31"/>
      <c r="MQ65" s="31"/>
      <c r="MR65" s="31"/>
      <c r="MS65" s="31"/>
      <c r="MT65" s="31"/>
      <c r="MU65" s="31"/>
      <c r="MV65" s="31"/>
      <c r="MW65" s="31"/>
      <c r="MX65" s="31"/>
      <c r="MY65" s="31"/>
      <c r="MZ65" s="31"/>
      <c r="NA65" s="31"/>
      <c r="NB65" s="31"/>
      <c r="NC65" s="31"/>
      <c r="ND65" s="31"/>
      <c r="NE65" s="31"/>
      <c r="NF65" s="31"/>
      <c r="NG65" s="31"/>
      <c r="NH65" s="31"/>
      <c r="NI65" s="31"/>
      <c r="NJ65" s="31"/>
      <c r="NK65" s="31"/>
      <c r="NL65" s="31"/>
      <c r="NM65" s="31"/>
      <c r="NN65" s="31"/>
      <c r="NO65" s="31"/>
      <c r="NP65" s="31"/>
      <c r="NQ65" s="31"/>
      <c r="NR65" s="31"/>
      <c r="NS65" s="31"/>
      <c r="NT65" s="31"/>
      <c r="NU65" s="31"/>
      <c r="NV65" s="31"/>
      <c r="NW65" s="31"/>
      <c r="NX65" s="31"/>
      <c r="NY65" s="31"/>
      <c r="NZ65" s="31"/>
      <c r="OA65" s="31"/>
      <c r="OB65" s="31"/>
      <c r="OC65" s="31"/>
      <c r="OD65" s="31"/>
      <c r="OE65" s="31"/>
      <c r="OF65" s="31"/>
      <c r="OG65" s="31"/>
      <c r="OH65" s="31"/>
      <c r="OI65" s="31"/>
      <c r="OJ65" s="31"/>
      <c r="OK65" s="31"/>
      <c r="OL65" s="31"/>
      <c r="OM65" s="31"/>
      <c r="ON65" s="31"/>
      <c r="OO65" s="31"/>
      <c r="OP65" s="31"/>
      <c r="OQ65" s="31"/>
      <c r="OR65" s="31"/>
      <c r="OS65" s="31"/>
      <c r="OT65" s="31"/>
      <c r="OU65" s="31"/>
      <c r="OV65" s="31"/>
      <c r="OW65" s="31"/>
      <c r="OX65" s="31"/>
    </row>
    <row r="66" spans="2:414" s="25" customFormat="1" ht="15.6">
      <c r="B66" s="25" t="s">
        <v>112</v>
      </c>
      <c r="C66" s="27" t="s">
        <v>122</v>
      </c>
      <c r="D66" s="30" t="s">
        <v>105</v>
      </c>
      <c r="G66" s="42">
        <v>500</v>
      </c>
      <c r="H66" s="89">
        <v>26.109000000000002</v>
      </c>
      <c r="I66" s="38">
        <f t="shared" si="1"/>
        <v>13054.5</v>
      </c>
      <c r="K66" s="42">
        <v>500</v>
      </c>
      <c r="L66" s="90">
        <v>26.849599999999999</v>
      </c>
      <c r="M66" s="38">
        <f t="shared" si="2"/>
        <v>13424.8</v>
      </c>
      <c r="O66" s="38">
        <v>80</v>
      </c>
      <c r="P66" s="38">
        <v>26.728300000000001</v>
      </c>
      <c r="Q66" s="38">
        <f t="shared" si="3"/>
        <v>2138.2640000000001</v>
      </c>
      <c r="R66" s="43">
        <f t="shared" si="26"/>
        <v>1080</v>
      </c>
      <c r="S66" s="38">
        <f t="shared" si="4"/>
        <v>28617.563999999998</v>
      </c>
      <c r="T66" s="49">
        <v>415</v>
      </c>
      <c r="U66" s="42">
        <v>26.261399999999998</v>
      </c>
      <c r="V66" s="38">
        <f t="shared" si="18"/>
        <v>10898.481</v>
      </c>
      <c r="W66" s="42">
        <v>85</v>
      </c>
      <c r="X66" s="42"/>
      <c r="Y66" s="38">
        <f t="shared" si="17"/>
        <v>0</v>
      </c>
      <c r="Z66" s="42">
        <v>85</v>
      </c>
      <c r="AA66" s="42">
        <v>26.8337</v>
      </c>
      <c r="AB66" s="42">
        <f t="shared" si="28"/>
        <v>2280.8645000000001</v>
      </c>
      <c r="AD66" s="42">
        <v>365</v>
      </c>
      <c r="AE66" s="42">
        <v>26.8337</v>
      </c>
      <c r="AF66" s="42">
        <f t="shared" si="23"/>
        <v>9794.3004999999994</v>
      </c>
      <c r="AG66" s="42"/>
      <c r="AH66" s="42">
        <v>50</v>
      </c>
      <c r="AI66" s="42">
        <v>26.8337</v>
      </c>
      <c r="AJ66" s="42">
        <f t="shared" si="29"/>
        <v>1341.6849999999999</v>
      </c>
      <c r="AL66" s="42"/>
      <c r="AM66" s="42"/>
      <c r="AN66" s="42"/>
      <c r="AO66" s="44"/>
      <c r="AP66" s="42"/>
      <c r="AQ66" s="42"/>
      <c r="AR66" s="42"/>
      <c r="AU66" s="98"/>
      <c r="AV66" s="35"/>
      <c r="AW66" s="104"/>
      <c r="AX66" s="42"/>
      <c r="AY66" s="42"/>
      <c r="AZ66" s="42">
        <f t="shared" si="27"/>
        <v>0</v>
      </c>
      <c r="BA66" s="42"/>
      <c r="BB66" s="42"/>
      <c r="BC66" s="42"/>
      <c r="BD66" s="38">
        <f t="shared" si="11"/>
        <v>0</v>
      </c>
      <c r="BE66" s="42"/>
      <c r="BF66" s="42"/>
      <c r="BG66" s="42"/>
      <c r="BH66" s="38">
        <f t="shared" si="12"/>
        <v>0</v>
      </c>
      <c r="BI66" s="42"/>
      <c r="BJ66" s="42"/>
      <c r="BK66" s="42"/>
      <c r="BL66" s="38">
        <f t="shared" si="13"/>
        <v>0</v>
      </c>
      <c r="BM66" s="42"/>
      <c r="BN66" s="42"/>
      <c r="BO66" s="42"/>
      <c r="BP66" s="42"/>
      <c r="BR66" s="42">
        <f t="shared" si="14"/>
        <v>24315.331000000002</v>
      </c>
      <c r="BS66" s="43">
        <f t="shared" si="15"/>
        <v>4302.2329999999965</v>
      </c>
      <c r="BT66" s="42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  <c r="IL66" s="31"/>
      <c r="IM66" s="31"/>
      <c r="IN66" s="31"/>
      <c r="IO66" s="31"/>
      <c r="IP66" s="31"/>
      <c r="IQ66" s="31"/>
      <c r="IR66" s="31"/>
      <c r="IS66" s="31"/>
      <c r="IT66" s="31"/>
      <c r="IU66" s="31"/>
      <c r="IV66" s="31"/>
      <c r="IW66" s="31"/>
      <c r="IX66" s="31"/>
      <c r="IY66" s="31"/>
      <c r="IZ66" s="31"/>
      <c r="JA66" s="31"/>
      <c r="JB66" s="31"/>
      <c r="JC66" s="31"/>
      <c r="JD66" s="31"/>
      <c r="JE66" s="31"/>
      <c r="JF66" s="31"/>
      <c r="JG66" s="31"/>
      <c r="JH66" s="31"/>
      <c r="JI66" s="31"/>
      <c r="JJ66" s="31"/>
      <c r="JK66" s="31"/>
      <c r="JL66" s="31"/>
      <c r="JM66" s="31"/>
      <c r="JN66" s="31"/>
      <c r="JO66" s="31"/>
      <c r="JP66" s="31"/>
      <c r="JQ66" s="31"/>
      <c r="JR66" s="31"/>
      <c r="JS66" s="31"/>
      <c r="JT66" s="31"/>
      <c r="JU66" s="31"/>
      <c r="JV66" s="31"/>
      <c r="JW66" s="31"/>
      <c r="JX66" s="31"/>
      <c r="JY66" s="31"/>
      <c r="JZ66" s="31"/>
      <c r="KA66" s="31"/>
      <c r="KB66" s="31"/>
      <c r="KC66" s="31"/>
      <c r="KD66" s="31"/>
      <c r="KE66" s="31"/>
      <c r="KF66" s="31"/>
      <c r="KG66" s="31"/>
      <c r="KH66" s="31"/>
      <c r="KI66" s="31"/>
      <c r="KJ66" s="31"/>
      <c r="KK66" s="31"/>
      <c r="KL66" s="31"/>
      <c r="KM66" s="31"/>
      <c r="KN66" s="31"/>
      <c r="KO66" s="31"/>
      <c r="KP66" s="31"/>
      <c r="KQ66" s="31"/>
      <c r="KR66" s="31"/>
      <c r="KS66" s="31"/>
      <c r="KT66" s="31"/>
      <c r="KU66" s="31"/>
      <c r="KV66" s="31"/>
      <c r="KW66" s="31"/>
      <c r="KX66" s="31"/>
      <c r="KY66" s="31"/>
      <c r="KZ66" s="31"/>
      <c r="LA66" s="31"/>
      <c r="LB66" s="31"/>
      <c r="LC66" s="31"/>
      <c r="LD66" s="31"/>
      <c r="LE66" s="31"/>
      <c r="LF66" s="31"/>
      <c r="LG66" s="31"/>
      <c r="LH66" s="31"/>
      <c r="LI66" s="31"/>
      <c r="LJ66" s="31"/>
      <c r="LK66" s="31"/>
      <c r="LL66" s="31"/>
      <c r="LM66" s="31"/>
      <c r="LN66" s="31"/>
      <c r="LO66" s="31"/>
      <c r="LP66" s="31"/>
      <c r="LQ66" s="31"/>
      <c r="LR66" s="31"/>
      <c r="LS66" s="31"/>
      <c r="LT66" s="31"/>
      <c r="LU66" s="31"/>
      <c r="LV66" s="31"/>
      <c r="LW66" s="31"/>
      <c r="LX66" s="31"/>
      <c r="LY66" s="31"/>
      <c r="LZ66" s="31"/>
      <c r="MA66" s="31"/>
      <c r="MB66" s="31"/>
      <c r="MC66" s="31"/>
      <c r="MD66" s="31"/>
      <c r="ME66" s="31"/>
      <c r="MF66" s="31"/>
      <c r="MG66" s="31"/>
      <c r="MH66" s="31"/>
      <c r="MI66" s="31"/>
      <c r="MJ66" s="31"/>
      <c r="MK66" s="31"/>
      <c r="ML66" s="31"/>
      <c r="MM66" s="31"/>
      <c r="MN66" s="31"/>
      <c r="MO66" s="31"/>
      <c r="MP66" s="31"/>
      <c r="MQ66" s="31"/>
      <c r="MR66" s="31"/>
      <c r="MS66" s="31"/>
      <c r="MT66" s="31"/>
      <c r="MU66" s="31"/>
      <c r="MV66" s="31"/>
      <c r="MW66" s="31"/>
      <c r="MX66" s="31"/>
      <c r="MY66" s="31"/>
      <c r="MZ66" s="31"/>
      <c r="NA66" s="31"/>
      <c r="NB66" s="31"/>
      <c r="NC66" s="31"/>
      <c r="ND66" s="31"/>
      <c r="NE66" s="31"/>
      <c r="NF66" s="31"/>
      <c r="NG66" s="31"/>
      <c r="NH66" s="31"/>
      <c r="NI66" s="31"/>
      <c r="NJ66" s="31"/>
      <c r="NK66" s="31"/>
      <c r="NL66" s="31"/>
      <c r="NM66" s="31"/>
      <c r="NN66" s="31"/>
      <c r="NO66" s="31"/>
      <c r="NP66" s="31"/>
      <c r="NQ66" s="31"/>
      <c r="NR66" s="31"/>
      <c r="NS66" s="31"/>
      <c r="NT66" s="31"/>
      <c r="NU66" s="31"/>
      <c r="NV66" s="31"/>
      <c r="NW66" s="31"/>
      <c r="NX66" s="31"/>
      <c r="NY66" s="31"/>
      <c r="NZ66" s="31"/>
      <c r="OA66" s="31"/>
      <c r="OB66" s="31"/>
      <c r="OC66" s="31"/>
      <c r="OD66" s="31"/>
      <c r="OE66" s="31"/>
      <c r="OF66" s="31"/>
      <c r="OG66" s="31"/>
      <c r="OH66" s="31"/>
      <c r="OI66" s="31"/>
      <c r="OJ66" s="31"/>
      <c r="OK66" s="31"/>
      <c r="OL66" s="31"/>
      <c r="OM66" s="31"/>
      <c r="ON66" s="31"/>
      <c r="OO66" s="31"/>
      <c r="OP66" s="31"/>
      <c r="OQ66" s="31"/>
      <c r="OR66" s="31"/>
      <c r="OS66" s="31"/>
      <c r="OT66" s="31"/>
      <c r="OU66" s="31"/>
      <c r="OV66" s="31"/>
      <c r="OW66" s="31"/>
      <c r="OX66" s="31"/>
    </row>
    <row r="67" spans="2:414" s="25" customFormat="1" ht="15.6">
      <c r="B67" s="25" t="s">
        <v>123</v>
      </c>
      <c r="C67" s="27" t="s">
        <v>124</v>
      </c>
      <c r="D67" s="30" t="s">
        <v>105</v>
      </c>
      <c r="G67" s="42">
        <v>500</v>
      </c>
      <c r="H67" s="89">
        <v>26.109000000000002</v>
      </c>
      <c r="I67" s="38">
        <f t="shared" si="1"/>
        <v>13054.5</v>
      </c>
      <c r="K67" s="42">
        <v>500</v>
      </c>
      <c r="L67" s="90">
        <v>26.849599999999999</v>
      </c>
      <c r="M67" s="38">
        <f t="shared" si="2"/>
        <v>13424.8</v>
      </c>
      <c r="O67" s="38">
        <v>80</v>
      </c>
      <c r="P67" s="38">
        <v>26.728300000000001</v>
      </c>
      <c r="Q67" s="38">
        <f t="shared" si="3"/>
        <v>2138.2640000000001</v>
      </c>
      <c r="R67" s="43">
        <f t="shared" si="26"/>
        <v>1080</v>
      </c>
      <c r="S67" s="38">
        <f t="shared" si="4"/>
        <v>28617.563999999998</v>
      </c>
      <c r="T67" s="49">
        <v>415</v>
      </c>
      <c r="U67" s="42">
        <v>25.862400000000001</v>
      </c>
      <c r="V67" s="38">
        <f t="shared" si="18"/>
        <v>10732.896000000001</v>
      </c>
      <c r="W67" s="42">
        <v>85</v>
      </c>
      <c r="X67" s="42"/>
      <c r="Y67" s="38">
        <f t="shared" si="17"/>
        <v>0</v>
      </c>
      <c r="Z67" s="42">
        <v>415</v>
      </c>
      <c r="AA67" s="42">
        <v>26.8401</v>
      </c>
      <c r="AB67" s="42">
        <f t="shared" si="28"/>
        <v>11138.6415</v>
      </c>
      <c r="AD67" s="42">
        <v>85</v>
      </c>
      <c r="AE67" s="42">
        <v>26.8401</v>
      </c>
      <c r="AF67" s="42">
        <f t="shared" si="23"/>
        <v>2281.4085</v>
      </c>
      <c r="AG67" s="42"/>
      <c r="AH67" s="42"/>
      <c r="AI67" s="42"/>
      <c r="AJ67" s="42">
        <f t="shared" si="29"/>
        <v>0</v>
      </c>
      <c r="AL67" s="42"/>
      <c r="AM67" s="42"/>
      <c r="AN67" s="42"/>
      <c r="AO67" s="44"/>
      <c r="AP67" s="42"/>
      <c r="AQ67" s="42"/>
      <c r="AR67" s="42"/>
      <c r="AU67" s="98"/>
      <c r="AV67" s="35"/>
      <c r="AW67" s="104"/>
      <c r="AX67" s="42"/>
      <c r="AY67" s="42"/>
      <c r="AZ67" s="42">
        <f t="shared" si="27"/>
        <v>0</v>
      </c>
      <c r="BA67" s="42"/>
      <c r="BB67" s="42"/>
      <c r="BC67" s="42"/>
      <c r="BD67" s="38">
        <f t="shared" si="11"/>
        <v>0</v>
      </c>
      <c r="BE67" s="42"/>
      <c r="BF67" s="42"/>
      <c r="BG67" s="42"/>
      <c r="BH67" s="38">
        <f t="shared" si="12"/>
        <v>0</v>
      </c>
      <c r="BI67" s="42"/>
      <c r="BJ67" s="42"/>
      <c r="BK67" s="42"/>
      <c r="BL67" s="38">
        <f t="shared" si="13"/>
        <v>0</v>
      </c>
      <c r="BM67" s="42"/>
      <c r="BN67" s="42"/>
      <c r="BO67" s="42"/>
      <c r="BP67" s="42"/>
      <c r="BR67" s="42">
        <f t="shared" si="14"/>
        <v>24152.946</v>
      </c>
      <c r="BS67" s="43">
        <f t="shared" si="15"/>
        <v>4464.6179999999986</v>
      </c>
      <c r="BT67" s="42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1"/>
      <c r="JD67" s="31"/>
      <c r="JE67" s="31"/>
      <c r="JF67" s="31"/>
      <c r="JG67" s="31"/>
      <c r="JH67" s="31"/>
      <c r="JI67" s="31"/>
      <c r="JJ67" s="31"/>
      <c r="JK67" s="31"/>
      <c r="JL67" s="31"/>
      <c r="JM67" s="31"/>
      <c r="JN67" s="31"/>
      <c r="JO67" s="31"/>
      <c r="JP67" s="31"/>
      <c r="JQ67" s="31"/>
      <c r="JR67" s="31"/>
      <c r="JS67" s="31"/>
      <c r="JT67" s="31"/>
      <c r="JU67" s="31"/>
      <c r="JV67" s="31"/>
      <c r="JW67" s="31"/>
      <c r="JX67" s="31"/>
      <c r="JY67" s="31"/>
      <c r="JZ67" s="31"/>
      <c r="KA67" s="31"/>
      <c r="KB67" s="31"/>
      <c r="KC67" s="31"/>
      <c r="KD67" s="31"/>
      <c r="KE67" s="31"/>
      <c r="KF67" s="31"/>
      <c r="KG67" s="31"/>
      <c r="KH67" s="31"/>
      <c r="KI67" s="31"/>
      <c r="KJ67" s="31"/>
      <c r="KK67" s="31"/>
      <c r="KL67" s="31"/>
      <c r="KM67" s="31"/>
      <c r="KN67" s="31"/>
      <c r="KO67" s="31"/>
      <c r="KP67" s="31"/>
      <c r="KQ67" s="31"/>
      <c r="KR67" s="31"/>
      <c r="KS67" s="31"/>
      <c r="KT67" s="31"/>
      <c r="KU67" s="31"/>
      <c r="KV67" s="31"/>
      <c r="KW67" s="31"/>
      <c r="KX67" s="31"/>
      <c r="KY67" s="31"/>
      <c r="KZ67" s="31"/>
      <c r="LA67" s="31"/>
      <c r="LB67" s="31"/>
      <c r="LC67" s="31"/>
      <c r="LD67" s="31"/>
      <c r="LE67" s="31"/>
      <c r="LF67" s="31"/>
      <c r="LG67" s="31"/>
      <c r="LH67" s="31"/>
      <c r="LI67" s="31"/>
      <c r="LJ67" s="31"/>
      <c r="LK67" s="31"/>
      <c r="LL67" s="31"/>
      <c r="LM67" s="31"/>
      <c r="LN67" s="31"/>
      <c r="LO67" s="31"/>
      <c r="LP67" s="31"/>
      <c r="LQ67" s="31"/>
      <c r="LR67" s="31"/>
      <c r="LS67" s="31"/>
      <c r="LT67" s="31"/>
      <c r="LU67" s="31"/>
      <c r="LV67" s="31"/>
      <c r="LW67" s="31"/>
      <c r="LX67" s="31"/>
      <c r="LY67" s="31"/>
      <c r="LZ67" s="31"/>
      <c r="MA67" s="31"/>
      <c r="MB67" s="31"/>
      <c r="MC67" s="31"/>
      <c r="MD67" s="31"/>
      <c r="ME67" s="31"/>
      <c r="MF67" s="31"/>
      <c r="MG67" s="31"/>
      <c r="MH67" s="31"/>
      <c r="MI67" s="31"/>
      <c r="MJ67" s="31"/>
      <c r="MK67" s="31"/>
      <c r="ML67" s="31"/>
      <c r="MM67" s="31"/>
      <c r="MN67" s="31"/>
      <c r="MO67" s="31"/>
      <c r="MP67" s="31"/>
      <c r="MQ67" s="31"/>
      <c r="MR67" s="31"/>
      <c r="MS67" s="31"/>
      <c r="MT67" s="31"/>
      <c r="MU67" s="31"/>
      <c r="MV67" s="31"/>
      <c r="MW67" s="31"/>
      <c r="MX67" s="31"/>
      <c r="MY67" s="31"/>
      <c r="MZ67" s="31"/>
      <c r="NA67" s="31"/>
      <c r="NB67" s="31"/>
      <c r="NC67" s="31"/>
      <c r="ND67" s="31"/>
      <c r="NE67" s="31"/>
      <c r="NF67" s="31"/>
      <c r="NG67" s="31"/>
      <c r="NH67" s="31"/>
      <c r="NI67" s="31"/>
      <c r="NJ67" s="31"/>
      <c r="NK67" s="31"/>
      <c r="NL67" s="31"/>
      <c r="NM67" s="31"/>
      <c r="NN67" s="31"/>
      <c r="NO67" s="31"/>
      <c r="NP67" s="31"/>
      <c r="NQ67" s="31"/>
      <c r="NR67" s="31"/>
      <c r="NS67" s="31"/>
      <c r="NT67" s="31"/>
      <c r="NU67" s="31"/>
      <c r="NV67" s="31"/>
      <c r="NW67" s="31"/>
      <c r="NX67" s="31"/>
      <c r="NY67" s="31"/>
      <c r="NZ67" s="31"/>
      <c r="OA67" s="31"/>
      <c r="OB67" s="31"/>
      <c r="OC67" s="31"/>
      <c r="OD67" s="31"/>
      <c r="OE67" s="31"/>
      <c r="OF67" s="31"/>
      <c r="OG67" s="31"/>
      <c r="OH67" s="31"/>
      <c r="OI67" s="31"/>
      <c r="OJ67" s="31"/>
      <c r="OK67" s="31"/>
      <c r="OL67" s="31"/>
      <c r="OM67" s="31"/>
      <c r="ON67" s="31"/>
      <c r="OO67" s="31"/>
      <c r="OP67" s="31"/>
      <c r="OQ67" s="31"/>
      <c r="OR67" s="31"/>
      <c r="OS67" s="31"/>
      <c r="OT67" s="31"/>
      <c r="OU67" s="31"/>
      <c r="OV67" s="31"/>
      <c r="OW67" s="31"/>
      <c r="OX67" s="31"/>
    </row>
    <row r="68" spans="2:414" s="25" customFormat="1" ht="15.6">
      <c r="B68" s="25" t="s">
        <v>125</v>
      </c>
      <c r="C68" s="27" t="s">
        <v>25</v>
      </c>
      <c r="D68" s="30" t="s">
        <v>105</v>
      </c>
      <c r="G68" s="42">
        <v>500</v>
      </c>
      <c r="H68" s="89">
        <v>26.109000000000002</v>
      </c>
      <c r="I68" s="38">
        <f t="shared" si="1"/>
        <v>13054.5</v>
      </c>
      <c r="K68" s="42">
        <v>500</v>
      </c>
      <c r="L68" s="90">
        <v>26.849599999999999</v>
      </c>
      <c r="M68" s="38">
        <f t="shared" si="2"/>
        <v>13424.8</v>
      </c>
      <c r="O68" s="38">
        <v>80</v>
      </c>
      <c r="P68" s="38">
        <v>26.728300000000001</v>
      </c>
      <c r="Q68" s="38">
        <f t="shared" si="3"/>
        <v>2138.2640000000001</v>
      </c>
      <c r="R68" s="43">
        <f t="shared" si="26"/>
        <v>1080</v>
      </c>
      <c r="S68" s="38">
        <f t="shared" si="4"/>
        <v>28617.563999999998</v>
      </c>
      <c r="T68" s="49">
        <v>85</v>
      </c>
      <c r="U68" s="42">
        <v>26.267499999999998</v>
      </c>
      <c r="V68" s="38">
        <f t="shared" si="18"/>
        <v>2232.7374999999997</v>
      </c>
      <c r="W68" s="42">
        <v>200</v>
      </c>
      <c r="X68" s="42">
        <v>26.261399999999998</v>
      </c>
      <c r="Y68" s="38">
        <f t="shared" si="17"/>
        <v>5252.28</v>
      </c>
      <c r="Z68" s="42">
        <v>105</v>
      </c>
      <c r="AA68" s="42">
        <v>26.261399999999998</v>
      </c>
      <c r="AB68" s="42">
        <f t="shared" si="28"/>
        <v>2757.4469999999997</v>
      </c>
      <c r="AD68" s="42">
        <v>105</v>
      </c>
      <c r="AE68" s="42">
        <v>26.261399999999998</v>
      </c>
      <c r="AF68" s="42">
        <f t="shared" si="23"/>
        <v>2757.4469999999997</v>
      </c>
      <c r="AG68" s="42"/>
      <c r="AH68" s="42">
        <v>100</v>
      </c>
      <c r="AI68" s="42">
        <v>26.891200000000001</v>
      </c>
      <c r="AJ68" s="42">
        <f t="shared" si="29"/>
        <v>2689.1200000000003</v>
      </c>
      <c r="AL68" s="42">
        <v>125</v>
      </c>
      <c r="AM68" s="42">
        <v>26.885300000000001</v>
      </c>
      <c r="AN68" s="42">
        <f>AL68*AM68</f>
        <v>3360.6624999999999</v>
      </c>
      <c r="AO68" s="44"/>
      <c r="AP68" s="42">
        <v>250</v>
      </c>
      <c r="AQ68" s="42">
        <v>26.791499999999999</v>
      </c>
      <c r="AR68" s="42"/>
      <c r="AT68" s="25">
        <v>30</v>
      </c>
      <c r="AU68" s="98">
        <v>26.789400000000001</v>
      </c>
      <c r="AV68" s="35">
        <f>AT68*AU68</f>
        <v>803.68200000000002</v>
      </c>
      <c r="AW68" s="104"/>
      <c r="AX68" s="42"/>
      <c r="AY68" s="42"/>
      <c r="AZ68" s="42">
        <f t="shared" si="27"/>
        <v>0</v>
      </c>
      <c r="BA68" s="42"/>
      <c r="BB68" s="42"/>
      <c r="BC68" s="42"/>
      <c r="BD68" s="38">
        <f t="shared" si="11"/>
        <v>0</v>
      </c>
      <c r="BE68" s="42"/>
      <c r="BF68" s="42"/>
      <c r="BG68" s="42"/>
      <c r="BH68" s="38">
        <f t="shared" si="12"/>
        <v>0</v>
      </c>
      <c r="BI68" s="42"/>
      <c r="BJ68" s="42"/>
      <c r="BK68" s="42"/>
      <c r="BL68" s="38">
        <f t="shared" si="13"/>
        <v>0</v>
      </c>
      <c r="BM68" s="42"/>
      <c r="BN68" s="42"/>
      <c r="BO68" s="42"/>
      <c r="BP68" s="42"/>
      <c r="BR68" s="42">
        <f t="shared" si="14"/>
        <v>19853.376</v>
      </c>
      <c r="BS68" s="43">
        <f t="shared" si="15"/>
        <v>8764.1879999999983</v>
      </c>
      <c r="BT68" s="42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1"/>
      <c r="JD68" s="31"/>
      <c r="JE68" s="31"/>
      <c r="JF68" s="31"/>
      <c r="JG68" s="31"/>
      <c r="JH68" s="31"/>
      <c r="JI68" s="31"/>
      <c r="JJ68" s="31"/>
      <c r="JK68" s="31"/>
      <c r="JL68" s="31"/>
      <c r="JM68" s="31"/>
      <c r="JN68" s="31"/>
      <c r="JO68" s="31"/>
      <c r="JP68" s="31"/>
      <c r="JQ68" s="31"/>
      <c r="JR68" s="31"/>
      <c r="JS68" s="31"/>
      <c r="JT68" s="31"/>
      <c r="JU68" s="31"/>
      <c r="JV68" s="31"/>
      <c r="JW68" s="31"/>
      <c r="JX68" s="31"/>
      <c r="JY68" s="31"/>
      <c r="JZ68" s="31"/>
      <c r="KA68" s="31"/>
      <c r="KB68" s="31"/>
      <c r="KC68" s="31"/>
      <c r="KD68" s="31"/>
      <c r="KE68" s="31"/>
      <c r="KF68" s="31"/>
      <c r="KG68" s="31"/>
      <c r="KH68" s="31"/>
      <c r="KI68" s="31"/>
      <c r="KJ68" s="31"/>
      <c r="KK68" s="31"/>
      <c r="KL68" s="31"/>
      <c r="KM68" s="31"/>
      <c r="KN68" s="31"/>
      <c r="KO68" s="31"/>
      <c r="KP68" s="31"/>
      <c r="KQ68" s="31"/>
      <c r="KR68" s="31"/>
      <c r="KS68" s="31"/>
      <c r="KT68" s="31"/>
      <c r="KU68" s="31"/>
      <c r="KV68" s="31"/>
      <c r="KW68" s="31"/>
      <c r="KX68" s="31"/>
      <c r="KY68" s="31"/>
      <c r="KZ68" s="31"/>
      <c r="LA68" s="31"/>
      <c r="LB68" s="31"/>
      <c r="LC68" s="31"/>
      <c r="LD68" s="31"/>
      <c r="LE68" s="31"/>
      <c r="LF68" s="31"/>
      <c r="LG68" s="31"/>
      <c r="LH68" s="31"/>
      <c r="LI68" s="31"/>
      <c r="LJ68" s="31"/>
      <c r="LK68" s="31"/>
      <c r="LL68" s="31"/>
      <c r="LM68" s="31"/>
      <c r="LN68" s="31"/>
      <c r="LO68" s="31"/>
      <c r="LP68" s="31"/>
      <c r="LQ68" s="31"/>
      <c r="LR68" s="31"/>
      <c r="LS68" s="31"/>
      <c r="LT68" s="31"/>
      <c r="LU68" s="31"/>
      <c r="LV68" s="31"/>
      <c r="LW68" s="31"/>
      <c r="LX68" s="31"/>
      <c r="LY68" s="31"/>
      <c r="LZ68" s="31"/>
      <c r="MA68" s="31"/>
      <c r="MB68" s="31"/>
      <c r="MC68" s="31"/>
      <c r="MD68" s="31"/>
      <c r="ME68" s="31"/>
      <c r="MF68" s="31"/>
      <c r="MG68" s="31"/>
      <c r="MH68" s="31"/>
      <c r="MI68" s="31"/>
      <c r="MJ68" s="31"/>
      <c r="MK68" s="31"/>
      <c r="ML68" s="31"/>
      <c r="MM68" s="31"/>
      <c r="MN68" s="31"/>
      <c r="MO68" s="31"/>
      <c r="MP68" s="31"/>
      <c r="MQ68" s="31"/>
      <c r="MR68" s="31"/>
      <c r="MS68" s="31"/>
      <c r="MT68" s="31"/>
      <c r="MU68" s="31"/>
      <c r="MV68" s="31"/>
      <c r="MW68" s="31"/>
      <c r="MX68" s="31"/>
      <c r="MY68" s="31"/>
      <c r="MZ68" s="31"/>
      <c r="NA68" s="31"/>
      <c r="NB68" s="31"/>
      <c r="NC68" s="31"/>
      <c r="ND68" s="31"/>
      <c r="NE68" s="31"/>
      <c r="NF68" s="31"/>
      <c r="NG68" s="31"/>
      <c r="NH68" s="31"/>
      <c r="NI68" s="31"/>
      <c r="NJ68" s="31"/>
      <c r="NK68" s="31"/>
      <c r="NL68" s="31"/>
      <c r="NM68" s="31"/>
      <c r="NN68" s="31"/>
      <c r="NO68" s="31"/>
      <c r="NP68" s="31"/>
      <c r="NQ68" s="31"/>
      <c r="NR68" s="31"/>
      <c r="NS68" s="31"/>
      <c r="NT68" s="31"/>
      <c r="NU68" s="31"/>
      <c r="NV68" s="31"/>
      <c r="NW68" s="31"/>
      <c r="NX68" s="31"/>
      <c r="NY68" s="31"/>
      <c r="NZ68" s="31"/>
      <c r="OA68" s="31"/>
      <c r="OB68" s="31"/>
      <c r="OC68" s="31"/>
      <c r="OD68" s="31"/>
      <c r="OE68" s="31"/>
      <c r="OF68" s="31"/>
      <c r="OG68" s="31"/>
      <c r="OH68" s="31"/>
      <c r="OI68" s="31"/>
      <c r="OJ68" s="31"/>
      <c r="OK68" s="31"/>
      <c r="OL68" s="31"/>
      <c r="OM68" s="31"/>
      <c r="ON68" s="31"/>
      <c r="OO68" s="31"/>
      <c r="OP68" s="31"/>
      <c r="OQ68" s="31"/>
      <c r="OR68" s="31"/>
      <c r="OS68" s="31"/>
      <c r="OT68" s="31"/>
      <c r="OU68" s="31"/>
      <c r="OV68" s="31"/>
      <c r="OW68" s="31"/>
      <c r="OX68" s="31"/>
    </row>
    <row r="69" spans="2:414" s="25" customFormat="1" ht="15.6">
      <c r="B69" s="25" t="s">
        <v>126</v>
      </c>
      <c r="C69" s="27" t="s">
        <v>127</v>
      </c>
      <c r="D69" s="30" t="s">
        <v>105</v>
      </c>
      <c r="G69" s="42">
        <v>500</v>
      </c>
      <c r="H69" s="89">
        <v>26.109000000000002</v>
      </c>
      <c r="I69" s="38">
        <f t="shared" si="1"/>
        <v>13054.5</v>
      </c>
      <c r="K69" s="42">
        <v>500</v>
      </c>
      <c r="L69" s="90">
        <v>26.849599999999999</v>
      </c>
      <c r="M69" s="38">
        <f t="shared" si="2"/>
        <v>13424.8</v>
      </c>
      <c r="O69" s="38">
        <v>80</v>
      </c>
      <c r="P69" s="38">
        <v>26.728300000000001</v>
      </c>
      <c r="Q69" s="38">
        <f t="shared" si="3"/>
        <v>2138.2640000000001</v>
      </c>
      <c r="R69" s="43">
        <f t="shared" si="26"/>
        <v>1080</v>
      </c>
      <c r="S69" s="38">
        <f t="shared" si="4"/>
        <v>28617.563999999998</v>
      </c>
      <c r="T69" s="49">
        <v>85</v>
      </c>
      <c r="U69" s="42"/>
      <c r="V69" s="38">
        <f t="shared" si="18"/>
        <v>0</v>
      </c>
      <c r="W69" s="42">
        <v>415</v>
      </c>
      <c r="X69" s="42">
        <v>26.261399999999998</v>
      </c>
      <c r="Y69" s="38">
        <f t="shared" si="17"/>
        <v>10898.481</v>
      </c>
      <c r="Z69" s="42">
        <v>415</v>
      </c>
      <c r="AA69" s="42">
        <v>26.849599999999999</v>
      </c>
      <c r="AB69" s="42">
        <f t="shared" si="28"/>
        <v>11142.583999999999</v>
      </c>
      <c r="AD69" s="42">
        <v>85</v>
      </c>
      <c r="AE69" s="42">
        <v>26.849599999999999</v>
      </c>
      <c r="AF69" s="42">
        <f t="shared" si="23"/>
        <v>2282.2159999999999</v>
      </c>
      <c r="AG69" s="42"/>
      <c r="AH69" s="42"/>
      <c r="AI69" s="42"/>
      <c r="AJ69" s="42">
        <f t="shared" si="29"/>
        <v>0</v>
      </c>
      <c r="AL69" s="42"/>
      <c r="AM69" s="42"/>
      <c r="AN69" s="42">
        <f t="shared" ref="AN69:AN132" si="30">AL69*AM69</f>
        <v>0</v>
      </c>
      <c r="AO69" s="44"/>
      <c r="AP69" s="42"/>
      <c r="AQ69" s="42"/>
      <c r="AR69" s="42"/>
      <c r="AU69" s="98"/>
      <c r="AV69" s="35"/>
      <c r="AW69" s="104"/>
      <c r="AX69" s="42"/>
      <c r="AY69" s="42"/>
      <c r="AZ69" s="42">
        <f t="shared" si="27"/>
        <v>0</v>
      </c>
      <c r="BA69" s="42"/>
      <c r="BB69" s="42"/>
      <c r="BC69" s="42"/>
      <c r="BD69" s="38">
        <f t="shared" si="11"/>
        <v>0</v>
      </c>
      <c r="BE69" s="42"/>
      <c r="BF69" s="42"/>
      <c r="BG69" s="42"/>
      <c r="BH69" s="38">
        <f t="shared" si="12"/>
        <v>0</v>
      </c>
      <c r="BI69" s="42"/>
      <c r="BJ69" s="42"/>
      <c r="BK69" s="42"/>
      <c r="BL69" s="38">
        <f t="shared" si="13"/>
        <v>0</v>
      </c>
      <c r="BM69" s="42"/>
      <c r="BN69" s="42"/>
      <c r="BO69" s="42"/>
      <c r="BP69" s="42"/>
      <c r="BR69" s="42">
        <f t="shared" si="14"/>
        <v>24323.280999999999</v>
      </c>
      <c r="BS69" s="43">
        <f t="shared" si="15"/>
        <v>4294.2829999999994</v>
      </c>
      <c r="BT69" s="42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  <c r="IL69" s="31"/>
      <c r="IM69" s="31"/>
      <c r="IN69" s="31"/>
      <c r="IO69" s="31"/>
      <c r="IP69" s="31"/>
      <c r="IQ69" s="31"/>
      <c r="IR69" s="31"/>
      <c r="IS69" s="31"/>
      <c r="IT69" s="31"/>
      <c r="IU69" s="31"/>
      <c r="IV69" s="31"/>
      <c r="IW69" s="31"/>
      <c r="IX69" s="31"/>
      <c r="IY69" s="31"/>
      <c r="IZ69" s="31"/>
      <c r="JA69" s="31"/>
      <c r="JB69" s="31"/>
      <c r="JC69" s="31"/>
      <c r="JD69" s="31"/>
      <c r="JE69" s="31"/>
      <c r="JF69" s="31"/>
      <c r="JG69" s="31"/>
      <c r="JH69" s="31"/>
      <c r="JI69" s="31"/>
      <c r="JJ69" s="31"/>
      <c r="JK69" s="31"/>
      <c r="JL69" s="31"/>
      <c r="JM69" s="31"/>
      <c r="JN69" s="31"/>
      <c r="JO69" s="31"/>
      <c r="JP69" s="31"/>
      <c r="JQ69" s="31"/>
      <c r="JR69" s="31"/>
      <c r="JS69" s="31"/>
      <c r="JT69" s="31"/>
      <c r="JU69" s="31"/>
      <c r="JV69" s="31"/>
      <c r="JW69" s="31"/>
      <c r="JX69" s="31"/>
      <c r="JY69" s="31"/>
      <c r="JZ69" s="31"/>
      <c r="KA69" s="31"/>
      <c r="KB69" s="31"/>
      <c r="KC69" s="31"/>
      <c r="KD69" s="31"/>
      <c r="KE69" s="31"/>
      <c r="KF69" s="31"/>
      <c r="KG69" s="31"/>
      <c r="KH69" s="31"/>
      <c r="KI69" s="31"/>
      <c r="KJ69" s="31"/>
      <c r="KK69" s="31"/>
      <c r="KL69" s="31"/>
      <c r="KM69" s="31"/>
      <c r="KN69" s="31"/>
      <c r="KO69" s="31"/>
      <c r="KP69" s="31"/>
      <c r="KQ69" s="31"/>
      <c r="KR69" s="31"/>
      <c r="KS69" s="31"/>
      <c r="KT69" s="31"/>
      <c r="KU69" s="31"/>
      <c r="KV69" s="31"/>
      <c r="KW69" s="31"/>
      <c r="KX69" s="31"/>
      <c r="KY69" s="31"/>
      <c r="KZ69" s="31"/>
      <c r="LA69" s="31"/>
      <c r="LB69" s="31"/>
      <c r="LC69" s="31"/>
      <c r="LD69" s="31"/>
      <c r="LE69" s="31"/>
      <c r="LF69" s="31"/>
      <c r="LG69" s="31"/>
      <c r="LH69" s="31"/>
      <c r="LI69" s="31"/>
      <c r="LJ69" s="31"/>
      <c r="LK69" s="31"/>
      <c r="LL69" s="31"/>
      <c r="LM69" s="31"/>
      <c r="LN69" s="31"/>
      <c r="LO69" s="31"/>
      <c r="LP69" s="31"/>
      <c r="LQ69" s="31"/>
      <c r="LR69" s="31"/>
      <c r="LS69" s="31"/>
      <c r="LT69" s="31"/>
      <c r="LU69" s="31"/>
      <c r="LV69" s="31"/>
      <c r="LW69" s="31"/>
      <c r="LX69" s="31"/>
      <c r="LY69" s="31"/>
      <c r="LZ69" s="31"/>
      <c r="MA69" s="31"/>
      <c r="MB69" s="31"/>
      <c r="MC69" s="31"/>
      <c r="MD69" s="31"/>
      <c r="ME69" s="31"/>
      <c r="MF69" s="31"/>
      <c r="MG69" s="31"/>
      <c r="MH69" s="31"/>
      <c r="MI69" s="31"/>
      <c r="MJ69" s="31"/>
      <c r="MK69" s="31"/>
      <c r="ML69" s="31"/>
      <c r="MM69" s="31"/>
      <c r="MN69" s="31"/>
      <c r="MO69" s="31"/>
      <c r="MP69" s="31"/>
      <c r="MQ69" s="31"/>
      <c r="MR69" s="31"/>
      <c r="MS69" s="31"/>
      <c r="MT69" s="31"/>
      <c r="MU69" s="31"/>
      <c r="MV69" s="31"/>
      <c r="MW69" s="31"/>
      <c r="MX69" s="31"/>
      <c r="MY69" s="31"/>
      <c r="MZ69" s="31"/>
      <c r="NA69" s="31"/>
      <c r="NB69" s="31"/>
      <c r="NC69" s="31"/>
      <c r="ND69" s="31"/>
      <c r="NE69" s="31"/>
      <c r="NF69" s="31"/>
      <c r="NG69" s="31"/>
      <c r="NH69" s="31"/>
      <c r="NI69" s="31"/>
      <c r="NJ69" s="31"/>
      <c r="NK69" s="31"/>
      <c r="NL69" s="31"/>
      <c r="NM69" s="31"/>
      <c r="NN69" s="31"/>
      <c r="NO69" s="31"/>
      <c r="NP69" s="31"/>
      <c r="NQ69" s="31"/>
      <c r="NR69" s="31"/>
      <c r="NS69" s="31"/>
      <c r="NT69" s="31"/>
      <c r="NU69" s="31"/>
      <c r="NV69" s="31"/>
      <c r="NW69" s="31"/>
      <c r="NX69" s="31"/>
      <c r="NY69" s="31"/>
      <c r="NZ69" s="31"/>
      <c r="OA69" s="31"/>
      <c r="OB69" s="31"/>
      <c r="OC69" s="31"/>
      <c r="OD69" s="31"/>
      <c r="OE69" s="31"/>
      <c r="OF69" s="31"/>
      <c r="OG69" s="31"/>
      <c r="OH69" s="31"/>
      <c r="OI69" s="31"/>
      <c r="OJ69" s="31"/>
      <c r="OK69" s="31"/>
      <c r="OL69" s="31"/>
      <c r="OM69" s="31"/>
      <c r="ON69" s="31"/>
      <c r="OO69" s="31"/>
      <c r="OP69" s="31"/>
      <c r="OQ69" s="31"/>
      <c r="OR69" s="31"/>
      <c r="OS69" s="31"/>
      <c r="OT69" s="31"/>
      <c r="OU69" s="31"/>
      <c r="OV69" s="31"/>
      <c r="OW69" s="31"/>
      <c r="OX69" s="31"/>
    </row>
    <row r="70" spans="2:414" s="25" customFormat="1" ht="15.6">
      <c r="B70" s="25" t="s">
        <v>128</v>
      </c>
      <c r="C70" s="27" t="s">
        <v>129</v>
      </c>
      <c r="D70" s="30" t="s">
        <v>105</v>
      </c>
      <c r="G70" s="42">
        <v>500</v>
      </c>
      <c r="H70" s="89">
        <v>26.109000000000002</v>
      </c>
      <c r="I70" s="38">
        <f t="shared" si="1"/>
        <v>13054.5</v>
      </c>
      <c r="K70" s="42">
        <v>500</v>
      </c>
      <c r="L70" s="90">
        <v>26.849599999999999</v>
      </c>
      <c r="M70" s="38">
        <f t="shared" si="2"/>
        <v>13424.8</v>
      </c>
      <c r="O70" s="38">
        <v>80</v>
      </c>
      <c r="P70" s="38">
        <v>26.728300000000001</v>
      </c>
      <c r="Q70" s="38">
        <f t="shared" si="3"/>
        <v>2138.2640000000001</v>
      </c>
      <c r="R70" s="43">
        <f t="shared" si="26"/>
        <v>1080</v>
      </c>
      <c r="S70" s="38">
        <f t="shared" si="4"/>
        <v>28617.563999999998</v>
      </c>
      <c r="T70" s="49">
        <v>85</v>
      </c>
      <c r="U70" s="42">
        <v>26.261399999999998</v>
      </c>
      <c r="V70" s="38">
        <f t="shared" si="18"/>
        <v>2232.2190000000001</v>
      </c>
      <c r="W70" s="42">
        <v>100</v>
      </c>
      <c r="X70" s="42">
        <v>26.2682</v>
      </c>
      <c r="Y70" s="38">
        <f t="shared" si="17"/>
        <v>2626.82</v>
      </c>
      <c r="Z70" s="42">
        <v>130</v>
      </c>
      <c r="AA70" s="42">
        <v>26.641200000000001</v>
      </c>
      <c r="AB70" s="42">
        <f t="shared" si="28"/>
        <v>3463.3560000000002</v>
      </c>
      <c r="AD70" s="42">
        <v>20</v>
      </c>
      <c r="AE70" s="42">
        <v>26.641200000000001</v>
      </c>
      <c r="AF70" s="42">
        <f t="shared" si="23"/>
        <v>532.82400000000007</v>
      </c>
      <c r="AG70" s="42"/>
      <c r="AH70" s="42">
        <v>50</v>
      </c>
      <c r="AI70" s="42">
        <v>26.271599999999999</v>
      </c>
      <c r="AJ70" s="42">
        <f t="shared" si="29"/>
        <v>1313.58</v>
      </c>
      <c r="AL70" s="42">
        <v>30</v>
      </c>
      <c r="AM70" s="42">
        <v>26.641200000000001</v>
      </c>
      <c r="AN70" s="42">
        <f t="shared" si="30"/>
        <v>799.23599999999999</v>
      </c>
      <c r="AO70" s="44"/>
      <c r="AP70" s="42">
        <v>100</v>
      </c>
      <c r="AQ70" s="42">
        <v>26.827200000000001</v>
      </c>
      <c r="AR70" s="42"/>
      <c r="AT70" s="25">
        <v>60</v>
      </c>
      <c r="AU70" s="98">
        <v>26.6813</v>
      </c>
      <c r="AV70" s="35">
        <f>AT70*AU70</f>
        <v>1600.8779999999999</v>
      </c>
      <c r="AW70" s="104"/>
      <c r="AX70" s="42">
        <v>40</v>
      </c>
      <c r="AY70" s="42">
        <v>26.885300000000001</v>
      </c>
      <c r="AZ70" s="42">
        <f t="shared" si="27"/>
        <v>1075.412</v>
      </c>
      <c r="BA70" s="42"/>
      <c r="BB70" s="42">
        <v>100</v>
      </c>
      <c r="BC70" s="42">
        <v>26.976800000000001</v>
      </c>
      <c r="BD70" s="38">
        <f t="shared" si="11"/>
        <v>2697.6800000000003</v>
      </c>
      <c r="BE70" s="42"/>
      <c r="BF70" s="42">
        <v>70</v>
      </c>
      <c r="BG70" s="42">
        <v>26.840599999999998</v>
      </c>
      <c r="BH70" s="38">
        <f t="shared" si="12"/>
        <v>1878.8419999999999</v>
      </c>
      <c r="BI70" s="42"/>
      <c r="BJ70" s="42">
        <v>70</v>
      </c>
      <c r="BK70" s="42">
        <v>26.801400000000001</v>
      </c>
      <c r="BL70" s="38">
        <f t="shared" si="13"/>
        <v>1876.098</v>
      </c>
      <c r="BM70" s="42"/>
      <c r="BN70" s="42">
        <v>60</v>
      </c>
      <c r="BO70" s="42">
        <v>26.794699999999999</v>
      </c>
      <c r="BP70" s="42">
        <f>BN70*BO70</f>
        <v>1607.682</v>
      </c>
      <c r="BR70" s="42">
        <f t="shared" si="14"/>
        <v>21704.627</v>
      </c>
      <c r="BS70" s="43">
        <f t="shared" si="15"/>
        <v>6912.9369999999981</v>
      </c>
      <c r="BT70" s="43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  <c r="IL70" s="31"/>
      <c r="IM70" s="31"/>
      <c r="IN70" s="31"/>
      <c r="IO70" s="31"/>
      <c r="IP70" s="31"/>
      <c r="IQ70" s="31"/>
      <c r="IR70" s="31"/>
      <c r="IS70" s="31"/>
      <c r="IT70" s="31"/>
      <c r="IU70" s="31"/>
      <c r="IV70" s="31"/>
      <c r="IW70" s="31"/>
      <c r="IX70" s="31"/>
      <c r="IY70" s="31"/>
      <c r="IZ70" s="31"/>
      <c r="JA70" s="31"/>
      <c r="JB70" s="31"/>
      <c r="JC70" s="31"/>
      <c r="JD70" s="31"/>
      <c r="JE70" s="31"/>
      <c r="JF70" s="31"/>
      <c r="JG70" s="31"/>
      <c r="JH70" s="31"/>
      <c r="JI70" s="31"/>
      <c r="JJ70" s="31"/>
      <c r="JK70" s="31"/>
      <c r="JL70" s="31"/>
      <c r="JM70" s="31"/>
      <c r="JN70" s="31"/>
      <c r="JO70" s="31"/>
      <c r="JP70" s="31"/>
      <c r="JQ70" s="31"/>
      <c r="JR70" s="31"/>
      <c r="JS70" s="31"/>
      <c r="JT70" s="31"/>
      <c r="JU70" s="31"/>
      <c r="JV70" s="31"/>
      <c r="JW70" s="31"/>
      <c r="JX70" s="31"/>
      <c r="JY70" s="31"/>
      <c r="JZ70" s="31"/>
      <c r="KA70" s="31"/>
      <c r="KB70" s="31"/>
      <c r="KC70" s="31"/>
      <c r="KD70" s="31"/>
      <c r="KE70" s="31"/>
      <c r="KF70" s="31"/>
      <c r="KG70" s="31"/>
      <c r="KH70" s="31"/>
      <c r="KI70" s="31"/>
      <c r="KJ70" s="31"/>
      <c r="KK70" s="31"/>
      <c r="KL70" s="31"/>
      <c r="KM70" s="31"/>
      <c r="KN70" s="31"/>
      <c r="KO70" s="31"/>
      <c r="KP70" s="31"/>
      <c r="KQ70" s="31"/>
      <c r="KR70" s="31"/>
      <c r="KS70" s="31"/>
      <c r="KT70" s="31"/>
      <c r="KU70" s="31"/>
      <c r="KV70" s="31"/>
      <c r="KW70" s="31"/>
      <c r="KX70" s="31"/>
      <c r="KY70" s="31"/>
      <c r="KZ70" s="31"/>
      <c r="LA70" s="31"/>
      <c r="LB70" s="31"/>
      <c r="LC70" s="31"/>
      <c r="LD70" s="31"/>
      <c r="LE70" s="31"/>
      <c r="LF70" s="31"/>
      <c r="LG70" s="31"/>
      <c r="LH70" s="31"/>
      <c r="LI70" s="31"/>
      <c r="LJ70" s="31"/>
      <c r="LK70" s="31"/>
      <c r="LL70" s="31"/>
      <c r="LM70" s="31"/>
      <c r="LN70" s="31"/>
      <c r="LO70" s="31"/>
      <c r="LP70" s="31"/>
      <c r="LQ70" s="31"/>
      <c r="LR70" s="31"/>
      <c r="LS70" s="31"/>
      <c r="LT70" s="31"/>
      <c r="LU70" s="31"/>
      <c r="LV70" s="31"/>
      <c r="LW70" s="31"/>
      <c r="LX70" s="31"/>
      <c r="LY70" s="31"/>
      <c r="LZ70" s="31"/>
      <c r="MA70" s="31"/>
      <c r="MB70" s="31"/>
      <c r="MC70" s="31"/>
      <c r="MD70" s="31"/>
      <c r="ME70" s="31"/>
      <c r="MF70" s="31"/>
      <c r="MG70" s="31"/>
      <c r="MH70" s="31"/>
      <c r="MI70" s="31"/>
      <c r="MJ70" s="31"/>
      <c r="MK70" s="31"/>
      <c r="ML70" s="31"/>
      <c r="MM70" s="31"/>
      <c r="MN70" s="31"/>
      <c r="MO70" s="31"/>
      <c r="MP70" s="31"/>
      <c r="MQ70" s="31"/>
      <c r="MR70" s="31"/>
      <c r="MS70" s="31"/>
      <c r="MT70" s="31"/>
      <c r="MU70" s="31"/>
      <c r="MV70" s="31"/>
      <c r="MW70" s="31"/>
      <c r="MX70" s="31"/>
      <c r="MY70" s="31"/>
      <c r="MZ70" s="31"/>
      <c r="NA70" s="31"/>
      <c r="NB70" s="31"/>
      <c r="NC70" s="31"/>
      <c r="ND70" s="31"/>
      <c r="NE70" s="31"/>
      <c r="NF70" s="31"/>
      <c r="NG70" s="31"/>
      <c r="NH70" s="31"/>
      <c r="NI70" s="31"/>
      <c r="NJ70" s="31"/>
      <c r="NK70" s="31"/>
      <c r="NL70" s="31"/>
      <c r="NM70" s="31"/>
      <c r="NN70" s="31"/>
      <c r="NO70" s="31"/>
      <c r="NP70" s="31"/>
      <c r="NQ70" s="31"/>
      <c r="NR70" s="31"/>
      <c r="NS70" s="31"/>
      <c r="NT70" s="31"/>
      <c r="NU70" s="31"/>
      <c r="NV70" s="31"/>
      <c r="NW70" s="31"/>
      <c r="NX70" s="31"/>
      <c r="NY70" s="31"/>
      <c r="NZ70" s="31"/>
      <c r="OA70" s="31"/>
      <c r="OB70" s="31"/>
      <c r="OC70" s="31"/>
      <c r="OD70" s="31"/>
      <c r="OE70" s="31"/>
      <c r="OF70" s="31"/>
      <c r="OG70" s="31"/>
      <c r="OH70" s="31"/>
      <c r="OI70" s="31"/>
      <c r="OJ70" s="31"/>
      <c r="OK70" s="31"/>
      <c r="OL70" s="31"/>
      <c r="OM70" s="31"/>
      <c r="ON70" s="31"/>
      <c r="OO70" s="31"/>
      <c r="OP70" s="31"/>
      <c r="OQ70" s="31"/>
      <c r="OR70" s="31"/>
      <c r="OS70" s="31"/>
      <c r="OT70" s="31"/>
      <c r="OU70" s="31"/>
      <c r="OV70" s="31"/>
      <c r="OW70" s="31"/>
      <c r="OX70" s="31"/>
    </row>
    <row r="71" spans="2:414" s="25" customFormat="1" ht="15.6">
      <c r="B71" s="25" t="s">
        <v>130</v>
      </c>
      <c r="C71" s="27" t="s">
        <v>131</v>
      </c>
      <c r="D71" s="30" t="s">
        <v>105</v>
      </c>
      <c r="G71" s="42">
        <v>500</v>
      </c>
      <c r="H71" s="89">
        <v>26.109000000000002</v>
      </c>
      <c r="I71" s="38">
        <f t="shared" si="1"/>
        <v>13054.5</v>
      </c>
      <c r="K71" s="42">
        <v>500</v>
      </c>
      <c r="L71" s="90">
        <v>26.849599999999999</v>
      </c>
      <c r="M71" s="38">
        <f t="shared" si="2"/>
        <v>13424.8</v>
      </c>
      <c r="O71" s="38">
        <v>80</v>
      </c>
      <c r="P71" s="38">
        <v>26.728300000000001</v>
      </c>
      <c r="Q71" s="38">
        <f t="shared" si="3"/>
        <v>2138.2640000000001</v>
      </c>
      <c r="R71" s="43">
        <f t="shared" si="26"/>
        <v>1080</v>
      </c>
      <c r="S71" s="38">
        <f t="shared" si="4"/>
        <v>28617.563999999998</v>
      </c>
      <c r="T71" s="49">
        <v>85</v>
      </c>
      <c r="U71" s="42">
        <v>26.150300000000001</v>
      </c>
      <c r="V71" s="38">
        <f t="shared" si="18"/>
        <v>2222.7755000000002</v>
      </c>
      <c r="W71" s="42">
        <v>415</v>
      </c>
      <c r="X71" s="42">
        <v>26.194800000000001</v>
      </c>
      <c r="Y71" s="38">
        <f t="shared" si="17"/>
        <v>10870.842000000001</v>
      </c>
      <c r="Z71" s="42">
        <v>85</v>
      </c>
      <c r="AA71" s="42">
        <v>26.849599999999999</v>
      </c>
      <c r="AB71" s="42">
        <f t="shared" si="28"/>
        <v>2282.2159999999999</v>
      </c>
      <c r="AD71" s="42">
        <v>315</v>
      </c>
      <c r="AE71" s="42">
        <v>26.827200000000001</v>
      </c>
      <c r="AF71" s="42">
        <f t="shared" si="23"/>
        <v>8450.5680000000011</v>
      </c>
      <c r="AG71" s="42"/>
      <c r="AH71" s="42"/>
      <c r="AI71" s="42"/>
      <c r="AJ71" s="42">
        <v>2749</v>
      </c>
      <c r="AL71" s="42"/>
      <c r="AM71" s="42"/>
      <c r="AN71" s="42">
        <f t="shared" si="30"/>
        <v>0</v>
      </c>
      <c r="AO71" s="44"/>
      <c r="AP71" s="42"/>
      <c r="AQ71" s="42"/>
      <c r="AR71" s="42"/>
      <c r="AU71" s="98"/>
      <c r="AV71" s="35"/>
      <c r="AW71" s="104"/>
      <c r="AX71" s="42"/>
      <c r="AY71" s="42"/>
      <c r="AZ71" s="42">
        <f t="shared" si="27"/>
        <v>0</v>
      </c>
      <c r="BA71" s="42"/>
      <c r="BB71" s="42"/>
      <c r="BC71" s="42"/>
      <c r="BD71" s="38">
        <f t="shared" si="11"/>
        <v>0</v>
      </c>
      <c r="BE71" s="42"/>
      <c r="BF71" s="42"/>
      <c r="BG71" s="42"/>
      <c r="BH71" s="38">
        <f t="shared" si="12"/>
        <v>0</v>
      </c>
      <c r="BI71" s="42"/>
      <c r="BJ71" s="42"/>
      <c r="BK71" s="42"/>
      <c r="BL71" s="38">
        <f t="shared" si="13"/>
        <v>0</v>
      </c>
      <c r="BM71" s="42"/>
      <c r="BN71" s="42"/>
      <c r="BO71" s="42"/>
      <c r="BP71" s="42"/>
      <c r="BR71" s="42">
        <f t="shared" si="14"/>
        <v>26575.4015</v>
      </c>
      <c r="BS71" s="43">
        <f t="shared" si="15"/>
        <v>2042.1624999999985</v>
      </c>
      <c r="BT71" s="42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  <c r="IL71" s="31"/>
      <c r="IM71" s="31"/>
      <c r="IN71" s="31"/>
      <c r="IO71" s="31"/>
      <c r="IP71" s="31"/>
      <c r="IQ71" s="31"/>
      <c r="IR71" s="31"/>
      <c r="IS71" s="31"/>
      <c r="IT71" s="31"/>
      <c r="IU71" s="31"/>
      <c r="IV71" s="31"/>
      <c r="IW71" s="31"/>
      <c r="IX71" s="31"/>
      <c r="IY71" s="31"/>
      <c r="IZ71" s="31"/>
      <c r="JA71" s="31"/>
      <c r="JB71" s="31"/>
      <c r="JC71" s="31"/>
      <c r="JD71" s="31"/>
      <c r="JE71" s="31"/>
      <c r="JF71" s="31"/>
      <c r="JG71" s="31"/>
      <c r="JH71" s="31"/>
      <c r="JI71" s="31"/>
      <c r="JJ71" s="31"/>
      <c r="JK71" s="31"/>
      <c r="JL71" s="31"/>
      <c r="JM71" s="31"/>
      <c r="JN71" s="31"/>
      <c r="JO71" s="31"/>
      <c r="JP71" s="31"/>
      <c r="JQ71" s="31"/>
      <c r="JR71" s="31"/>
      <c r="JS71" s="31"/>
      <c r="JT71" s="31"/>
      <c r="JU71" s="31"/>
      <c r="JV71" s="31"/>
      <c r="JW71" s="31"/>
      <c r="JX71" s="31"/>
      <c r="JY71" s="31"/>
      <c r="JZ71" s="31"/>
      <c r="KA71" s="31"/>
      <c r="KB71" s="31"/>
      <c r="KC71" s="31"/>
      <c r="KD71" s="31"/>
      <c r="KE71" s="31"/>
      <c r="KF71" s="31"/>
      <c r="KG71" s="31"/>
      <c r="KH71" s="31"/>
      <c r="KI71" s="31"/>
      <c r="KJ71" s="31"/>
      <c r="KK71" s="31"/>
      <c r="KL71" s="31"/>
      <c r="KM71" s="31"/>
      <c r="KN71" s="31"/>
      <c r="KO71" s="31"/>
      <c r="KP71" s="31"/>
      <c r="KQ71" s="31"/>
      <c r="KR71" s="31"/>
      <c r="KS71" s="31"/>
      <c r="KT71" s="31"/>
      <c r="KU71" s="31"/>
      <c r="KV71" s="31"/>
      <c r="KW71" s="31"/>
      <c r="KX71" s="31"/>
      <c r="KY71" s="31"/>
      <c r="KZ71" s="31"/>
      <c r="LA71" s="31"/>
      <c r="LB71" s="31"/>
      <c r="LC71" s="31"/>
      <c r="LD71" s="31"/>
      <c r="LE71" s="31"/>
      <c r="LF71" s="31"/>
      <c r="LG71" s="31"/>
      <c r="LH71" s="31"/>
      <c r="LI71" s="31"/>
      <c r="LJ71" s="31"/>
      <c r="LK71" s="31"/>
      <c r="LL71" s="31"/>
      <c r="LM71" s="31"/>
      <c r="LN71" s="31"/>
      <c r="LO71" s="31"/>
      <c r="LP71" s="31"/>
      <c r="LQ71" s="31"/>
      <c r="LR71" s="31"/>
      <c r="LS71" s="31"/>
      <c r="LT71" s="31"/>
      <c r="LU71" s="31"/>
      <c r="LV71" s="31"/>
      <c r="LW71" s="31"/>
      <c r="LX71" s="31"/>
      <c r="LY71" s="31"/>
      <c r="LZ71" s="31"/>
      <c r="MA71" s="31"/>
      <c r="MB71" s="31"/>
      <c r="MC71" s="31"/>
      <c r="MD71" s="31"/>
      <c r="ME71" s="31"/>
      <c r="MF71" s="31"/>
      <c r="MG71" s="31"/>
      <c r="MH71" s="31"/>
      <c r="MI71" s="31"/>
      <c r="MJ71" s="31"/>
      <c r="MK71" s="31"/>
      <c r="ML71" s="31"/>
      <c r="MM71" s="31"/>
      <c r="MN71" s="31"/>
      <c r="MO71" s="31"/>
      <c r="MP71" s="31"/>
      <c r="MQ71" s="31"/>
      <c r="MR71" s="31"/>
      <c r="MS71" s="31"/>
      <c r="MT71" s="31"/>
      <c r="MU71" s="31"/>
      <c r="MV71" s="31"/>
      <c r="MW71" s="31"/>
      <c r="MX71" s="31"/>
      <c r="MY71" s="31"/>
      <c r="MZ71" s="31"/>
      <c r="NA71" s="31"/>
      <c r="NB71" s="31"/>
      <c r="NC71" s="31"/>
      <c r="ND71" s="31"/>
      <c r="NE71" s="31"/>
      <c r="NF71" s="31"/>
      <c r="NG71" s="31"/>
      <c r="NH71" s="31"/>
      <c r="NI71" s="31"/>
      <c r="NJ71" s="31"/>
      <c r="NK71" s="31"/>
      <c r="NL71" s="31"/>
      <c r="NM71" s="31"/>
      <c r="NN71" s="31"/>
      <c r="NO71" s="31"/>
      <c r="NP71" s="31"/>
      <c r="NQ71" s="31"/>
      <c r="NR71" s="31"/>
      <c r="NS71" s="31"/>
      <c r="NT71" s="31"/>
      <c r="NU71" s="31"/>
      <c r="NV71" s="31"/>
      <c r="NW71" s="31"/>
      <c r="NX71" s="31"/>
      <c r="NY71" s="31"/>
      <c r="NZ71" s="31"/>
      <c r="OA71" s="31"/>
      <c r="OB71" s="31"/>
      <c r="OC71" s="31"/>
      <c r="OD71" s="31"/>
      <c r="OE71" s="31"/>
      <c r="OF71" s="31"/>
      <c r="OG71" s="31"/>
      <c r="OH71" s="31"/>
      <c r="OI71" s="31"/>
      <c r="OJ71" s="31"/>
      <c r="OK71" s="31"/>
      <c r="OL71" s="31"/>
      <c r="OM71" s="31"/>
      <c r="ON71" s="31"/>
      <c r="OO71" s="31"/>
      <c r="OP71" s="31"/>
      <c r="OQ71" s="31"/>
      <c r="OR71" s="31"/>
      <c r="OS71" s="31"/>
      <c r="OT71" s="31"/>
      <c r="OU71" s="31"/>
      <c r="OV71" s="31"/>
      <c r="OW71" s="31"/>
      <c r="OX71" s="31"/>
    </row>
    <row r="72" spans="2:414" s="25" customFormat="1" ht="15.6">
      <c r="B72" s="25" t="s">
        <v>132</v>
      </c>
      <c r="C72" s="27" t="s">
        <v>133</v>
      </c>
      <c r="D72" s="30" t="s">
        <v>105</v>
      </c>
      <c r="G72" s="42">
        <v>500</v>
      </c>
      <c r="H72" s="89">
        <v>26.109000000000002</v>
      </c>
      <c r="I72" s="38">
        <f t="shared" si="1"/>
        <v>13054.5</v>
      </c>
      <c r="K72" s="42">
        <v>500</v>
      </c>
      <c r="L72" s="90">
        <v>26.849599999999999</v>
      </c>
      <c r="M72" s="38">
        <f t="shared" si="2"/>
        <v>13424.8</v>
      </c>
      <c r="O72" s="38">
        <v>80</v>
      </c>
      <c r="P72" s="38">
        <v>26.728300000000001</v>
      </c>
      <c r="Q72" s="38">
        <f t="shared" si="3"/>
        <v>2138.2640000000001</v>
      </c>
      <c r="R72" s="43">
        <f t="shared" si="26"/>
        <v>1080</v>
      </c>
      <c r="S72" s="38">
        <f t="shared" si="4"/>
        <v>28617.563999999998</v>
      </c>
      <c r="T72" s="49">
        <v>415</v>
      </c>
      <c r="U72" s="42">
        <v>26.267499999999998</v>
      </c>
      <c r="V72" s="38">
        <f t="shared" si="18"/>
        <v>10901.012499999999</v>
      </c>
      <c r="W72" s="42">
        <v>85</v>
      </c>
      <c r="X72" s="42"/>
      <c r="Y72" s="38">
        <f t="shared" si="17"/>
        <v>0</v>
      </c>
      <c r="Z72" s="42">
        <v>85</v>
      </c>
      <c r="AA72" s="42">
        <v>26.8337</v>
      </c>
      <c r="AB72" s="42">
        <f t="shared" si="28"/>
        <v>2280.8645000000001</v>
      </c>
      <c r="AD72" s="42">
        <v>415</v>
      </c>
      <c r="AE72" s="42">
        <v>26.8337</v>
      </c>
      <c r="AF72" s="42">
        <f t="shared" si="23"/>
        <v>11135.985500000001</v>
      </c>
      <c r="AG72" s="42"/>
      <c r="AH72" s="42"/>
      <c r="AI72" s="42"/>
      <c r="AJ72" s="42">
        <f>AH72*AI72</f>
        <v>0</v>
      </c>
      <c r="AL72" s="42"/>
      <c r="AM72" s="42"/>
      <c r="AN72" s="42">
        <f t="shared" si="30"/>
        <v>0</v>
      </c>
      <c r="AO72" s="44"/>
      <c r="AP72" s="42"/>
      <c r="AQ72" s="42"/>
      <c r="AR72" s="42"/>
      <c r="AU72" s="98"/>
      <c r="AV72" s="35"/>
      <c r="AW72" s="104"/>
      <c r="AX72" s="42"/>
      <c r="AY72" s="42"/>
      <c r="AZ72" s="42">
        <f t="shared" si="27"/>
        <v>0</v>
      </c>
      <c r="BA72" s="42"/>
      <c r="BB72" s="42"/>
      <c r="BC72" s="42"/>
      <c r="BD72" s="38">
        <f t="shared" si="11"/>
        <v>0</v>
      </c>
      <c r="BE72" s="42"/>
      <c r="BF72" s="42"/>
      <c r="BG72" s="42"/>
      <c r="BH72" s="38">
        <f t="shared" si="12"/>
        <v>0</v>
      </c>
      <c r="BI72" s="42"/>
      <c r="BJ72" s="42"/>
      <c r="BK72" s="42"/>
      <c r="BL72" s="38">
        <f t="shared" si="13"/>
        <v>0</v>
      </c>
      <c r="BM72" s="42"/>
      <c r="BN72" s="42"/>
      <c r="BO72" s="42"/>
      <c r="BP72" s="42"/>
      <c r="BR72" s="42">
        <f t="shared" si="14"/>
        <v>24317.862499999999</v>
      </c>
      <c r="BS72" s="43">
        <f t="shared" si="15"/>
        <v>4299.7014999999992</v>
      </c>
      <c r="BT72" s="42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  <c r="IL72" s="31"/>
      <c r="IM72" s="31"/>
      <c r="IN72" s="31"/>
      <c r="IO72" s="31"/>
      <c r="IP72" s="31"/>
      <c r="IQ72" s="31"/>
      <c r="IR72" s="31"/>
      <c r="IS72" s="31"/>
      <c r="IT72" s="31"/>
      <c r="IU72" s="31"/>
      <c r="IV72" s="31"/>
      <c r="IW72" s="31"/>
      <c r="IX72" s="31"/>
      <c r="IY72" s="31"/>
      <c r="IZ72" s="31"/>
      <c r="JA72" s="31"/>
      <c r="JB72" s="31"/>
      <c r="JC72" s="31"/>
      <c r="JD72" s="31"/>
      <c r="JE72" s="31"/>
      <c r="JF72" s="31"/>
      <c r="JG72" s="31"/>
      <c r="JH72" s="31"/>
      <c r="JI72" s="31"/>
      <c r="JJ72" s="31"/>
      <c r="JK72" s="31"/>
      <c r="JL72" s="31"/>
      <c r="JM72" s="31"/>
      <c r="JN72" s="31"/>
      <c r="JO72" s="31"/>
      <c r="JP72" s="31"/>
      <c r="JQ72" s="31"/>
      <c r="JR72" s="31"/>
      <c r="JS72" s="31"/>
      <c r="JT72" s="31"/>
      <c r="JU72" s="31"/>
      <c r="JV72" s="31"/>
      <c r="JW72" s="31"/>
      <c r="JX72" s="31"/>
      <c r="JY72" s="31"/>
      <c r="JZ72" s="31"/>
      <c r="KA72" s="31"/>
      <c r="KB72" s="31"/>
      <c r="KC72" s="31"/>
      <c r="KD72" s="31"/>
      <c r="KE72" s="31"/>
      <c r="KF72" s="31"/>
      <c r="KG72" s="31"/>
      <c r="KH72" s="31"/>
      <c r="KI72" s="31"/>
      <c r="KJ72" s="31"/>
      <c r="KK72" s="31"/>
      <c r="KL72" s="31"/>
      <c r="KM72" s="31"/>
      <c r="KN72" s="31"/>
      <c r="KO72" s="31"/>
      <c r="KP72" s="31"/>
      <c r="KQ72" s="31"/>
      <c r="KR72" s="31"/>
      <c r="KS72" s="31"/>
      <c r="KT72" s="31"/>
      <c r="KU72" s="31"/>
      <c r="KV72" s="31"/>
      <c r="KW72" s="31"/>
      <c r="KX72" s="31"/>
      <c r="KY72" s="31"/>
      <c r="KZ72" s="31"/>
      <c r="LA72" s="31"/>
      <c r="LB72" s="31"/>
      <c r="LC72" s="31"/>
      <c r="LD72" s="31"/>
      <c r="LE72" s="31"/>
      <c r="LF72" s="31"/>
      <c r="LG72" s="31"/>
      <c r="LH72" s="31"/>
      <c r="LI72" s="31"/>
      <c r="LJ72" s="31"/>
      <c r="LK72" s="31"/>
      <c r="LL72" s="31"/>
      <c r="LM72" s="31"/>
      <c r="LN72" s="31"/>
      <c r="LO72" s="31"/>
      <c r="LP72" s="31"/>
      <c r="LQ72" s="31"/>
      <c r="LR72" s="31"/>
      <c r="LS72" s="31"/>
      <c r="LT72" s="31"/>
      <c r="LU72" s="31"/>
      <c r="LV72" s="31"/>
      <c r="LW72" s="31"/>
      <c r="LX72" s="31"/>
      <c r="LY72" s="31"/>
      <c r="LZ72" s="31"/>
      <c r="MA72" s="31"/>
      <c r="MB72" s="31"/>
      <c r="MC72" s="31"/>
      <c r="MD72" s="31"/>
      <c r="ME72" s="31"/>
      <c r="MF72" s="31"/>
      <c r="MG72" s="31"/>
      <c r="MH72" s="31"/>
      <c r="MI72" s="31"/>
      <c r="MJ72" s="31"/>
      <c r="MK72" s="31"/>
      <c r="ML72" s="31"/>
      <c r="MM72" s="31"/>
      <c r="MN72" s="31"/>
      <c r="MO72" s="31"/>
      <c r="MP72" s="31"/>
      <c r="MQ72" s="31"/>
      <c r="MR72" s="31"/>
      <c r="MS72" s="31"/>
      <c r="MT72" s="31"/>
      <c r="MU72" s="31"/>
      <c r="MV72" s="31"/>
      <c r="MW72" s="31"/>
      <c r="MX72" s="31"/>
      <c r="MY72" s="31"/>
      <c r="MZ72" s="31"/>
      <c r="NA72" s="31"/>
      <c r="NB72" s="31"/>
      <c r="NC72" s="31"/>
      <c r="ND72" s="31"/>
      <c r="NE72" s="31"/>
      <c r="NF72" s="31"/>
      <c r="NG72" s="31"/>
      <c r="NH72" s="31"/>
      <c r="NI72" s="31"/>
      <c r="NJ72" s="31"/>
      <c r="NK72" s="31"/>
      <c r="NL72" s="31"/>
      <c r="NM72" s="31"/>
      <c r="NN72" s="31"/>
      <c r="NO72" s="31"/>
      <c r="NP72" s="31"/>
      <c r="NQ72" s="31"/>
      <c r="NR72" s="31"/>
      <c r="NS72" s="31"/>
      <c r="NT72" s="31"/>
      <c r="NU72" s="31"/>
      <c r="NV72" s="31"/>
      <c r="NW72" s="31"/>
      <c r="NX72" s="31"/>
      <c r="NY72" s="31"/>
      <c r="NZ72" s="31"/>
      <c r="OA72" s="31"/>
      <c r="OB72" s="31"/>
      <c r="OC72" s="31"/>
      <c r="OD72" s="31"/>
      <c r="OE72" s="31"/>
      <c r="OF72" s="31"/>
      <c r="OG72" s="31"/>
      <c r="OH72" s="31"/>
      <c r="OI72" s="31"/>
      <c r="OJ72" s="31"/>
      <c r="OK72" s="31"/>
      <c r="OL72" s="31"/>
      <c r="OM72" s="31"/>
      <c r="ON72" s="31"/>
      <c r="OO72" s="31"/>
      <c r="OP72" s="31"/>
      <c r="OQ72" s="31"/>
      <c r="OR72" s="31"/>
      <c r="OS72" s="31"/>
      <c r="OT72" s="31"/>
      <c r="OU72" s="31"/>
      <c r="OV72" s="31"/>
      <c r="OW72" s="31"/>
      <c r="OX72" s="31"/>
    </row>
    <row r="73" spans="2:414" s="25" customFormat="1" ht="15.6">
      <c r="B73" s="25" t="s">
        <v>134</v>
      </c>
      <c r="C73" s="27" t="s">
        <v>24</v>
      </c>
      <c r="D73" s="30" t="s">
        <v>105</v>
      </c>
      <c r="G73" s="42">
        <v>500</v>
      </c>
      <c r="H73" s="89">
        <v>26.109000000000002</v>
      </c>
      <c r="I73" s="38">
        <f t="shared" ref="I73:I136" si="31">G73*H73</f>
        <v>13054.5</v>
      </c>
      <c r="K73" s="42">
        <v>500</v>
      </c>
      <c r="L73" s="90">
        <v>26.849599999999999</v>
      </c>
      <c r="M73" s="38">
        <f t="shared" ref="M73:M136" si="32">K73*L73</f>
        <v>13424.8</v>
      </c>
      <c r="O73" s="38">
        <v>80</v>
      </c>
      <c r="P73" s="38">
        <v>26.728300000000001</v>
      </c>
      <c r="Q73" s="38">
        <f t="shared" ref="Q73:Q136" si="33">O73*P73</f>
        <v>2138.2640000000001</v>
      </c>
      <c r="R73" s="43">
        <f t="shared" si="26"/>
        <v>1080</v>
      </c>
      <c r="S73" s="38">
        <f t="shared" ref="S73:S136" si="34">I73+M73+Q73</f>
        <v>28617.563999999998</v>
      </c>
      <c r="T73" s="49">
        <v>85</v>
      </c>
      <c r="U73" s="42"/>
      <c r="V73" s="38">
        <f t="shared" si="18"/>
        <v>0</v>
      </c>
      <c r="W73" s="42">
        <v>355</v>
      </c>
      <c r="X73" s="42"/>
      <c r="Y73" s="38">
        <f t="shared" si="17"/>
        <v>0</v>
      </c>
      <c r="Z73" s="42">
        <v>60</v>
      </c>
      <c r="AA73" s="42">
        <v>26.976800000000001</v>
      </c>
      <c r="AB73" s="42">
        <f t="shared" si="28"/>
        <v>1618.6079999999999</v>
      </c>
      <c r="AD73" s="42">
        <v>230</v>
      </c>
      <c r="AE73" s="42">
        <v>26.8401</v>
      </c>
      <c r="AF73" s="42">
        <f t="shared" si="23"/>
        <v>6173.223</v>
      </c>
      <c r="AG73" s="42"/>
      <c r="AH73" s="42">
        <v>270</v>
      </c>
      <c r="AI73" s="42">
        <v>26.803799999999999</v>
      </c>
      <c r="AJ73" s="42">
        <f t="shared" ref="AJ73:AJ107" si="35">AH73*AI73</f>
        <v>7237.0259999999998</v>
      </c>
      <c r="AL73" s="42"/>
      <c r="AM73" s="42"/>
      <c r="AN73" s="42">
        <f t="shared" si="30"/>
        <v>0</v>
      </c>
      <c r="AO73" s="44"/>
      <c r="AP73" s="42"/>
      <c r="AQ73" s="42"/>
      <c r="AR73" s="42"/>
      <c r="AU73" s="98"/>
      <c r="AV73" s="35"/>
      <c r="AW73" s="104"/>
      <c r="AX73" s="42"/>
      <c r="AY73" s="42"/>
      <c r="AZ73" s="42">
        <f t="shared" si="27"/>
        <v>0</v>
      </c>
      <c r="BA73" s="42"/>
      <c r="BB73" s="42"/>
      <c r="BC73" s="42"/>
      <c r="BD73" s="38">
        <f t="shared" ref="BD73:BD136" si="36">BB73*BC73</f>
        <v>0</v>
      </c>
      <c r="BE73" s="42"/>
      <c r="BF73" s="42"/>
      <c r="BG73" s="42"/>
      <c r="BH73" s="38">
        <f t="shared" ref="BH73:BH136" si="37">BF73*BG73</f>
        <v>0</v>
      </c>
      <c r="BI73" s="42"/>
      <c r="BJ73" s="42"/>
      <c r="BK73" s="42"/>
      <c r="BL73" s="38">
        <f t="shared" ref="BL73:BL136" si="38">BJ73*BK73</f>
        <v>0</v>
      </c>
      <c r="BM73" s="42"/>
      <c r="BN73" s="42"/>
      <c r="BO73" s="42"/>
      <c r="BP73" s="42"/>
      <c r="BR73" s="42">
        <f t="shared" ref="BR73:BR136" si="39">V73+Y73+AB73+AF73+AJ73+AN73+AR73+AV73+AZ73+BD73+BH73+BL73+BP73</f>
        <v>15028.857</v>
      </c>
      <c r="BS73" s="43">
        <f t="shared" ref="BS73:BS136" si="40">S73-BR73</f>
        <v>13588.706999999999</v>
      </c>
      <c r="BT73" s="42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  <c r="IL73" s="31"/>
      <c r="IM73" s="31"/>
      <c r="IN73" s="31"/>
      <c r="IO73" s="31"/>
      <c r="IP73" s="31"/>
      <c r="IQ73" s="31"/>
      <c r="IR73" s="31"/>
      <c r="IS73" s="31"/>
      <c r="IT73" s="31"/>
      <c r="IU73" s="31"/>
      <c r="IV73" s="31"/>
      <c r="IW73" s="31"/>
      <c r="IX73" s="31"/>
      <c r="IY73" s="31"/>
      <c r="IZ73" s="31"/>
      <c r="JA73" s="31"/>
      <c r="JB73" s="31"/>
      <c r="JC73" s="31"/>
      <c r="JD73" s="31"/>
      <c r="JE73" s="31"/>
      <c r="JF73" s="31"/>
      <c r="JG73" s="31"/>
      <c r="JH73" s="31"/>
      <c r="JI73" s="31"/>
      <c r="JJ73" s="31"/>
      <c r="JK73" s="31"/>
      <c r="JL73" s="31"/>
      <c r="JM73" s="31"/>
      <c r="JN73" s="31"/>
      <c r="JO73" s="31"/>
      <c r="JP73" s="31"/>
      <c r="JQ73" s="31"/>
      <c r="JR73" s="31"/>
      <c r="JS73" s="31"/>
      <c r="JT73" s="31"/>
      <c r="JU73" s="31"/>
      <c r="JV73" s="31"/>
      <c r="JW73" s="31"/>
      <c r="JX73" s="31"/>
      <c r="JY73" s="31"/>
      <c r="JZ73" s="31"/>
      <c r="KA73" s="31"/>
      <c r="KB73" s="31"/>
      <c r="KC73" s="31"/>
      <c r="KD73" s="31"/>
      <c r="KE73" s="31"/>
      <c r="KF73" s="31"/>
      <c r="KG73" s="31"/>
      <c r="KH73" s="31"/>
      <c r="KI73" s="31"/>
      <c r="KJ73" s="31"/>
      <c r="KK73" s="31"/>
      <c r="KL73" s="31"/>
      <c r="KM73" s="31"/>
      <c r="KN73" s="31"/>
      <c r="KO73" s="31"/>
      <c r="KP73" s="31"/>
      <c r="KQ73" s="31"/>
      <c r="KR73" s="31"/>
      <c r="KS73" s="31"/>
      <c r="KT73" s="31"/>
      <c r="KU73" s="31"/>
      <c r="KV73" s="31"/>
      <c r="KW73" s="31"/>
      <c r="KX73" s="31"/>
      <c r="KY73" s="31"/>
      <c r="KZ73" s="31"/>
      <c r="LA73" s="31"/>
      <c r="LB73" s="31"/>
      <c r="LC73" s="31"/>
      <c r="LD73" s="31"/>
      <c r="LE73" s="31"/>
      <c r="LF73" s="31"/>
      <c r="LG73" s="31"/>
      <c r="LH73" s="31"/>
      <c r="LI73" s="31"/>
      <c r="LJ73" s="31"/>
      <c r="LK73" s="31"/>
      <c r="LL73" s="31"/>
      <c r="LM73" s="31"/>
      <c r="LN73" s="31"/>
      <c r="LO73" s="31"/>
      <c r="LP73" s="31"/>
      <c r="LQ73" s="31"/>
      <c r="LR73" s="31"/>
      <c r="LS73" s="31"/>
      <c r="LT73" s="31"/>
      <c r="LU73" s="31"/>
      <c r="LV73" s="31"/>
      <c r="LW73" s="31"/>
      <c r="LX73" s="31"/>
      <c r="LY73" s="31"/>
      <c r="LZ73" s="31"/>
      <c r="MA73" s="31"/>
      <c r="MB73" s="31"/>
      <c r="MC73" s="31"/>
      <c r="MD73" s="31"/>
      <c r="ME73" s="31"/>
      <c r="MF73" s="31"/>
      <c r="MG73" s="31"/>
      <c r="MH73" s="31"/>
      <c r="MI73" s="31"/>
      <c r="MJ73" s="31"/>
      <c r="MK73" s="31"/>
      <c r="ML73" s="31"/>
      <c r="MM73" s="31"/>
      <c r="MN73" s="31"/>
      <c r="MO73" s="31"/>
      <c r="MP73" s="31"/>
      <c r="MQ73" s="31"/>
      <c r="MR73" s="31"/>
      <c r="MS73" s="31"/>
      <c r="MT73" s="31"/>
      <c r="MU73" s="31"/>
      <c r="MV73" s="31"/>
      <c r="MW73" s="31"/>
      <c r="MX73" s="31"/>
      <c r="MY73" s="31"/>
      <c r="MZ73" s="31"/>
      <c r="NA73" s="31"/>
      <c r="NB73" s="31"/>
      <c r="NC73" s="31"/>
      <c r="ND73" s="31"/>
      <c r="NE73" s="31"/>
      <c r="NF73" s="31"/>
      <c r="NG73" s="31"/>
      <c r="NH73" s="31"/>
      <c r="NI73" s="31"/>
      <c r="NJ73" s="31"/>
      <c r="NK73" s="31"/>
      <c r="NL73" s="31"/>
      <c r="NM73" s="31"/>
      <c r="NN73" s="31"/>
      <c r="NO73" s="31"/>
      <c r="NP73" s="31"/>
      <c r="NQ73" s="31"/>
      <c r="NR73" s="31"/>
      <c r="NS73" s="31"/>
      <c r="NT73" s="31"/>
      <c r="NU73" s="31"/>
      <c r="NV73" s="31"/>
      <c r="NW73" s="31"/>
      <c r="NX73" s="31"/>
      <c r="NY73" s="31"/>
      <c r="NZ73" s="31"/>
      <c r="OA73" s="31"/>
      <c r="OB73" s="31"/>
      <c r="OC73" s="31"/>
      <c r="OD73" s="31"/>
      <c r="OE73" s="31"/>
      <c r="OF73" s="31"/>
      <c r="OG73" s="31"/>
      <c r="OH73" s="31"/>
      <c r="OI73" s="31"/>
      <c r="OJ73" s="31"/>
      <c r="OK73" s="31"/>
      <c r="OL73" s="31"/>
      <c r="OM73" s="31"/>
      <c r="ON73" s="31"/>
      <c r="OO73" s="31"/>
      <c r="OP73" s="31"/>
      <c r="OQ73" s="31"/>
      <c r="OR73" s="31"/>
      <c r="OS73" s="31"/>
      <c r="OT73" s="31"/>
      <c r="OU73" s="31"/>
      <c r="OV73" s="31"/>
      <c r="OW73" s="31"/>
      <c r="OX73" s="31"/>
    </row>
    <row r="74" spans="2:414" s="25" customFormat="1" ht="15.6">
      <c r="B74" s="25" t="s">
        <v>135</v>
      </c>
      <c r="C74" s="27" t="s">
        <v>136</v>
      </c>
      <c r="D74" s="30" t="s">
        <v>105</v>
      </c>
      <c r="G74" s="42">
        <v>500</v>
      </c>
      <c r="H74" s="89">
        <v>26.109000000000002</v>
      </c>
      <c r="I74" s="38">
        <f t="shared" si="31"/>
        <v>13054.5</v>
      </c>
      <c r="K74" s="42">
        <v>500</v>
      </c>
      <c r="L74" s="90">
        <v>26.849599999999999</v>
      </c>
      <c r="M74" s="38">
        <f t="shared" si="32"/>
        <v>13424.8</v>
      </c>
      <c r="O74" s="38">
        <v>80</v>
      </c>
      <c r="P74" s="38">
        <v>26.728300000000001</v>
      </c>
      <c r="Q74" s="38">
        <f t="shared" si="33"/>
        <v>2138.2640000000001</v>
      </c>
      <c r="R74" s="43">
        <f t="shared" si="26"/>
        <v>1080</v>
      </c>
      <c r="S74" s="38">
        <f t="shared" si="34"/>
        <v>28617.563999999998</v>
      </c>
      <c r="T74" s="49">
        <v>85</v>
      </c>
      <c r="U74" s="42">
        <v>26.267499999999998</v>
      </c>
      <c r="V74" s="38">
        <f t="shared" si="18"/>
        <v>2232.7374999999997</v>
      </c>
      <c r="W74" s="42">
        <v>300</v>
      </c>
      <c r="X74" s="42">
        <v>26.109000000000002</v>
      </c>
      <c r="Y74" s="38">
        <f t="shared" si="17"/>
        <v>7832.7000000000007</v>
      </c>
      <c r="Z74" s="42">
        <v>80</v>
      </c>
      <c r="AA74" s="42">
        <v>25.826699999999999</v>
      </c>
      <c r="AB74" s="42">
        <f t="shared" si="28"/>
        <v>2066.136</v>
      </c>
      <c r="AD74" s="42">
        <v>25.826699999999999</v>
      </c>
      <c r="AE74" s="42"/>
      <c r="AF74" s="42">
        <f t="shared" si="23"/>
        <v>0</v>
      </c>
      <c r="AG74" s="42"/>
      <c r="AH74" s="42">
        <v>85</v>
      </c>
      <c r="AI74" s="42">
        <v>26.856000000000002</v>
      </c>
      <c r="AJ74" s="42">
        <f t="shared" si="35"/>
        <v>2282.7600000000002</v>
      </c>
      <c r="AL74" s="42">
        <v>420</v>
      </c>
      <c r="AM74" s="42">
        <v>26.856000000000002</v>
      </c>
      <c r="AN74" s="42">
        <f t="shared" si="30"/>
        <v>11279.52</v>
      </c>
      <c r="AO74" s="44"/>
      <c r="AP74" s="42"/>
      <c r="AQ74" s="42"/>
      <c r="AR74" s="42"/>
      <c r="AU74" s="98"/>
      <c r="AV74" s="35"/>
      <c r="AW74" s="104"/>
      <c r="AX74" s="42"/>
      <c r="AY74" s="42"/>
      <c r="AZ74" s="42">
        <f t="shared" si="27"/>
        <v>0</v>
      </c>
      <c r="BA74" s="42"/>
      <c r="BB74" s="42"/>
      <c r="BC74" s="42"/>
      <c r="BD74" s="38">
        <f t="shared" si="36"/>
        <v>0</v>
      </c>
      <c r="BE74" s="42"/>
      <c r="BF74" s="42"/>
      <c r="BG74" s="42"/>
      <c r="BH74" s="38">
        <f t="shared" si="37"/>
        <v>0</v>
      </c>
      <c r="BI74" s="42"/>
      <c r="BJ74" s="42"/>
      <c r="BK74" s="42"/>
      <c r="BL74" s="38">
        <f t="shared" si="38"/>
        <v>0</v>
      </c>
      <c r="BM74" s="42"/>
      <c r="BN74" s="42"/>
      <c r="BO74" s="42"/>
      <c r="BP74" s="42"/>
      <c r="BR74" s="42">
        <f t="shared" si="39"/>
        <v>25693.853500000001</v>
      </c>
      <c r="BS74" s="43">
        <f t="shared" si="40"/>
        <v>2923.7104999999974</v>
      </c>
      <c r="BT74" s="42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  <c r="JH74" s="31"/>
      <c r="JI74" s="31"/>
      <c r="JJ74" s="31"/>
      <c r="JK74" s="31"/>
      <c r="JL74" s="31"/>
      <c r="JM74" s="31"/>
      <c r="JN74" s="31"/>
      <c r="JO74" s="31"/>
      <c r="JP74" s="31"/>
      <c r="JQ74" s="31"/>
      <c r="JR74" s="31"/>
      <c r="JS74" s="31"/>
      <c r="JT74" s="31"/>
      <c r="JU74" s="31"/>
      <c r="JV74" s="31"/>
      <c r="JW74" s="31"/>
      <c r="JX74" s="31"/>
      <c r="JY74" s="31"/>
      <c r="JZ74" s="31"/>
      <c r="KA74" s="31"/>
      <c r="KB74" s="31"/>
      <c r="KC74" s="31"/>
      <c r="KD74" s="31"/>
      <c r="KE74" s="31"/>
      <c r="KF74" s="31"/>
      <c r="KG74" s="31"/>
      <c r="KH74" s="31"/>
      <c r="KI74" s="31"/>
      <c r="KJ74" s="31"/>
      <c r="KK74" s="31"/>
      <c r="KL74" s="31"/>
      <c r="KM74" s="31"/>
      <c r="KN74" s="31"/>
      <c r="KO74" s="31"/>
      <c r="KP74" s="31"/>
      <c r="KQ74" s="31"/>
      <c r="KR74" s="31"/>
      <c r="KS74" s="31"/>
      <c r="KT74" s="31"/>
      <c r="KU74" s="31"/>
      <c r="KV74" s="31"/>
      <c r="KW74" s="31"/>
      <c r="KX74" s="31"/>
      <c r="KY74" s="31"/>
      <c r="KZ74" s="31"/>
      <c r="LA74" s="31"/>
      <c r="LB74" s="31"/>
      <c r="LC74" s="31"/>
      <c r="LD74" s="31"/>
      <c r="LE74" s="31"/>
      <c r="LF74" s="31"/>
      <c r="LG74" s="31"/>
      <c r="LH74" s="31"/>
      <c r="LI74" s="31"/>
      <c r="LJ74" s="31"/>
      <c r="LK74" s="31"/>
      <c r="LL74" s="31"/>
      <c r="LM74" s="31"/>
      <c r="LN74" s="31"/>
      <c r="LO74" s="31"/>
      <c r="LP74" s="31"/>
      <c r="LQ74" s="31"/>
      <c r="LR74" s="31"/>
      <c r="LS74" s="31"/>
      <c r="LT74" s="31"/>
      <c r="LU74" s="31"/>
      <c r="LV74" s="31"/>
      <c r="LW74" s="31"/>
      <c r="LX74" s="31"/>
      <c r="LY74" s="31"/>
      <c r="LZ74" s="31"/>
      <c r="MA74" s="31"/>
      <c r="MB74" s="31"/>
      <c r="MC74" s="31"/>
      <c r="MD74" s="31"/>
      <c r="ME74" s="31"/>
      <c r="MF74" s="31"/>
      <c r="MG74" s="31"/>
      <c r="MH74" s="31"/>
      <c r="MI74" s="31"/>
      <c r="MJ74" s="31"/>
      <c r="MK74" s="31"/>
      <c r="ML74" s="31"/>
      <c r="MM74" s="31"/>
      <c r="MN74" s="31"/>
      <c r="MO74" s="31"/>
      <c r="MP74" s="31"/>
      <c r="MQ74" s="31"/>
      <c r="MR74" s="31"/>
      <c r="MS74" s="31"/>
      <c r="MT74" s="31"/>
      <c r="MU74" s="31"/>
      <c r="MV74" s="31"/>
      <c r="MW74" s="31"/>
      <c r="MX74" s="31"/>
      <c r="MY74" s="31"/>
      <c r="MZ74" s="31"/>
      <c r="NA74" s="31"/>
      <c r="NB74" s="31"/>
      <c r="NC74" s="31"/>
      <c r="ND74" s="31"/>
      <c r="NE74" s="31"/>
      <c r="NF74" s="31"/>
      <c r="NG74" s="31"/>
      <c r="NH74" s="31"/>
      <c r="NI74" s="31"/>
      <c r="NJ74" s="31"/>
      <c r="NK74" s="31"/>
      <c r="NL74" s="31"/>
      <c r="NM74" s="31"/>
      <c r="NN74" s="31"/>
      <c r="NO74" s="31"/>
      <c r="NP74" s="31"/>
      <c r="NQ74" s="31"/>
      <c r="NR74" s="31"/>
      <c r="NS74" s="31"/>
      <c r="NT74" s="31"/>
      <c r="NU74" s="31"/>
      <c r="NV74" s="31"/>
      <c r="NW74" s="31"/>
      <c r="NX74" s="31"/>
      <c r="NY74" s="31"/>
      <c r="NZ74" s="31"/>
      <c r="OA74" s="31"/>
      <c r="OB74" s="31"/>
      <c r="OC74" s="31"/>
      <c r="OD74" s="31"/>
      <c r="OE74" s="31"/>
      <c r="OF74" s="31"/>
      <c r="OG74" s="31"/>
      <c r="OH74" s="31"/>
      <c r="OI74" s="31"/>
      <c r="OJ74" s="31"/>
      <c r="OK74" s="31"/>
      <c r="OL74" s="31"/>
      <c r="OM74" s="31"/>
      <c r="ON74" s="31"/>
      <c r="OO74" s="31"/>
      <c r="OP74" s="31"/>
      <c r="OQ74" s="31"/>
      <c r="OR74" s="31"/>
      <c r="OS74" s="31"/>
      <c r="OT74" s="31"/>
      <c r="OU74" s="31"/>
      <c r="OV74" s="31"/>
      <c r="OW74" s="31"/>
      <c r="OX74" s="31"/>
    </row>
    <row r="75" spans="2:414" s="25" customFormat="1" ht="15.6">
      <c r="B75" s="25" t="s">
        <v>137</v>
      </c>
      <c r="C75" s="27" t="s">
        <v>138</v>
      </c>
      <c r="D75" s="30" t="s">
        <v>105</v>
      </c>
      <c r="G75" s="42">
        <v>500</v>
      </c>
      <c r="H75" s="89">
        <v>26.109000000000002</v>
      </c>
      <c r="I75" s="38">
        <f t="shared" si="31"/>
        <v>13054.5</v>
      </c>
      <c r="K75" s="42">
        <v>500</v>
      </c>
      <c r="L75" s="90">
        <v>26.849599999999999</v>
      </c>
      <c r="M75" s="38">
        <f t="shared" si="32"/>
        <v>13424.8</v>
      </c>
      <c r="O75" s="38">
        <v>80</v>
      </c>
      <c r="P75" s="38">
        <v>26.728300000000001</v>
      </c>
      <c r="Q75" s="38">
        <f t="shared" si="33"/>
        <v>2138.2640000000001</v>
      </c>
      <c r="R75" s="43">
        <f t="shared" si="26"/>
        <v>1080</v>
      </c>
      <c r="S75" s="38">
        <f t="shared" si="34"/>
        <v>28617.563999999998</v>
      </c>
      <c r="T75" s="49">
        <v>415</v>
      </c>
      <c r="U75" s="42">
        <v>26.023700000000002</v>
      </c>
      <c r="V75" s="38">
        <f t="shared" si="18"/>
        <v>10799.835500000001</v>
      </c>
      <c r="W75" s="42">
        <v>85</v>
      </c>
      <c r="X75" s="42">
        <v>26.023700000000002</v>
      </c>
      <c r="Y75" s="38">
        <f t="shared" si="17"/>
        <v>2212.0145000000002</v>
      </c>
      <c r="Z75" s="42">
        <v>415</v>
      </c>
      <c r="AA75" s="42">
        <v>26.861899999999999</v>
      </c>
      <c r="AB75" s="42">
        <f t="shared" si="28"/>
        <v>11147.6885</v>
      </c>
      <c r="AD75" s="42">
        <v>85</v>
      </c>
      <c r="AE75" s="42">
        <v>26.861899999999999</v>
      </c>
      <c r="AF75" s="42">
        <f t="shared" si="23"/>
        <v>2283.2615000000001</v>
      </c>
      <c r="AG75" s="42"/>
      <c r="AH75" s="42"/>
      <c r="AI75" s="42"/>
      <c r="AJ75" s="42">
        <f t="shared" si="35"/>
        <v>0</v>
      </c>
      <c r="AL75" s="42"/>
      <c r="AM75" s="42"/>
      <c r="AN75" s="42">
        <f t="shared" si="30"/>
        <v>0</v>
      </c>
      <c r="AO75" s="44"/>
      <c r="AP75" s="42"/>
      <c r="AQ75" s="42"/>
      <c r="AR75" s="42"/>
      <c r="AU75" s="98"/>
      <c r="AV75" s="35"/>
      <c r="AW75" s="104"/>
      <c r="AX75" s="42"/>
      <c r="AY75" s="42"/>
      <c r="AZ75" s="42">
        <f t="shared" si="27"/>
        <v>0</v>
      </c>
      <c r="BA75" s="42"/>
      <c r="BB75" s="42"/>
      <c r="BC75" s="42"/>
      <c r="BD75" s="38">
        <f t="shared" si="36"/>
        <v>0</v>
      </c>
      <c r="BE75" s="42"/>
      <c r="BF75" s="42"/>
      <c r="BG75" s="42"/>
      <c r="BH75" s="38">
        <f t="shared" si="37"/>
        <v>0</v>
      </c>
      <c r="BI75" s="42"/>
      <c r="BJ75" s="42"/>
      <c r="BK75" s="42"/>
      <c r="BL75" s="38">
        <f t="shared" si="38"/>
        <v>0</v>
      </c>
      <c r="BM75" s="42"/>
      <c r="BN75" s="42"/>
      <c r="BO75" s="42"/>
      <c r="BP75" s="42"/>
      <c r="BR75" s="42">
        <f t="shared" si="39"/>
        <v>26442.800000000003</v>
      </c>
      <c r="BS75" s="43">
        <f t="shared" si="40"/>
        <v>2174.7639999999956</v>
      </c>
      <c r="BT75" s="42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  <c r="JH75" s="31"/>
      <c r="JI75" s="31"/>
      <c r="JJ75" s="31"/>
      <c r="JK75" s="31"/>
      <c r="JL75" s="31"/>
      <c r="JM75" s="31"/>
      <c r="JN75" s="31"/>
      <c r="JO75" s="31"/>
      <c r="JP75" s="31"/>
      <c r="JQ75" s="31"/>
      <c r="JR75" s="31"/>
      <c r="JS75" s="31"/>
      <c r="JT75" s="31"/>
      <c r="JU75" s="31"/>
      <c r="JV75" s="31"/>
      <c r="JW75" s="31"/>
      <c r="JX75" s="31"/>
      <c r="JY75" s="31"/>
      <c r="JZ75" s="31"/>
      <c r="KA75" s="31"/>
      <c r="KB75" s="31"/>
      <c r="KC75" s="31"/>
      <c r="KD75" s="31"/>
      <c r="KE75" s="31"/>
      <c r="KF75" s="31"/>
      <c r="KG75" s="31"/>
      <c r="KH75" s="31"/>
      <c r="KI75" s="31"/>
      <c r="KJ75" s="31"/>
      <c r="KK75" s="31"/>
      <c r="KL75" s="31"/>
      <c r="KM75" s="31"/>
      <c r="KN75" s="31"/>
      <c r="KO75" s="31"/>
      <c r="KP75" s="31"/>
      <c r="KQ75" s="31"/>
      <c r="KR75" s="31"/>
      <c r="KS75" s="31"/>
      <c r="KT75" s="31"/>
      <c r="KU75" s="31"/>
      <c r="KV75" s="31"/>
      <c r="KW75" s="31"/>
      <c r="KX75" s="31"/>
      <c r="KY75" s="31"/>
      <c r="KZ75" s="31"/>
      <c r="LA75" s="31"/>
      <c r="LB75" s="31"/>
      <c r="LC75" s="31"/>
      <c r="LD75" s="31"/>
      <c r="LE75" s="31"/>
      <c r="LF75" s="31"/>
      <c r="LG75" s="31"/>
      <c r="LH75" s="31"/>
      <c r="LI75" s="31"/>
      <c r="LJ75" s="31"/>
      <c r="LK75" s="31"/>
      <c r="LL75" s="31"/>
      <c r="LM75" s="31"/>
      <c r="LN75" s="31"/>
      <c r="LO75" s="31"/>
      <c r="LP75" s="31"/>
      <c r="LQ75" s="31"/>
      <c r="LR75" s="31"/>
      <c r="LS75" s="31"/>
      <c r="LT75" s="31"/>
      <c r="LU75" s="31"/>
      <c r="LV75" s="31"/>
      <c r="LW75" s="31"/>
      <c r="LX75" s="31"/>
      <c r="LY75" s="31"/>
      <c r="LZ75" s="31"/>
      <c r="MA75" s="31"/>
      <c r="MB75" s="31"/>
      <c r="MC75" s="31"/>
      <c r="MD75" s="31"/>
      <c r="ME75" s="31"/>
      <c r="MF75" s="31"/>
      <c r="MG75" s="31"/>
      <c r="MH75" s="31"/>
      <c r="MI75" s="31"/>
      <c r="MJ75" s="31"/>
      <c r="MK75" s="31"/>
      <c r="ML75" s="31"/>
      <c r="MM75" s="31"/>
      <c r="MN75" s="31"/>
      <c r="MO75" s="31"/>
      <c r="MP75" s="31"/>
      <c r="MQ75" s="31"/>
      <c r="MR75" s="31"/>
      <c r="MS75" s="31"/>
      <c r="MT75" s="31"/>
      <c r="MU75" s="31"/>
      <c r="MV75" s="31"/>
      <c r="MW75" s="31"/>
      <c r="MX75" s="31"/>
      <c r="MY75" s="31"/>
      <c r="MZ75" s="31"/>
      <c r="NA75" s="31"/>
      <c r="NB75" s="31"/>
      <c r="NC75" s="31"/>
      <c r="ND75" s="31"/>
      <c r="NE75" s="31"/>
      <c r="NF75" s="31"/>
      <c r="NG75" s="31"/>
      <c r="NH75" s="31"/>
      <c r="NI75" s="31"/>
      <c r="NJ75" s="31"/>
      <c r="NK75" s="31"/>
      <c r="NL75" s="31"/>
      <c r="NM75" s="31"/>
      <c r="NN75" s="31"/>
      <c r="NO75" s="31"/>
      <c r="NP75" s="31"/>
      <c r="NQ75" s="31"/>
      <c r="NR75" s="31"/>
      <c r="NS75" s="31"/>
      <c r="NT75" s="31"/>
      <c r="NU75" s="31"/>
      <c r="NV75" s="31"/>
      <c r="NW75" s="31"/>
      <c r="NX75" s="31"/>
      <c r="NY75" s="31"/>
      <c r="NZ75" s="31"/>
      <c r="OA75" s="31"/>
      <c r="OB75" s="31"/>
      <c r="OC75" s="31"/>
      <c r="OD75" s="31"/>
      <c r="OE75" s="31"/>
      <c r="OF75" s="31"/>
      <c r="OG75" s="31"/>
      <c r="OH75" s="31"/>
      <c r="OI75" s="31"/>
      <c r="OJ75" s="31"/>
      <c r="OK75" s="31"/>
      <c r="OL75" s="31"/>
      <c r="OM75" s="31"/>
      <c r="ON75" s="31"/>
      <c r="OO75" s="31"/>
      <c r="OP75" s="31"/>
      <c r="OQ75" s="31"/>
      <c r="OR75" s="31"/>
      <c r="OS75" s="31"/>
      <c r="OT75" s="31"/>
      <c r="OU75" s="31"/>
      <c r="OV75" s="31"/>
      <c r="OW75" s="31"/>
      <c r="OX75" s="31"/>
    </row>
    <row r="76" spans="2:414" s="25" customFormat="1" ht="15.6">
      <c r="B76" s="25" t="s">
        <v>139</v>
      </c>
      <c r="C76" s="27" t="s">
        <v>140</v>
      </c>
      <c r="D76" s="30" t="s">
        <v>105</v>
      </c>
      <c r="G76" s="42">
        <v>500</v>
      </c>
      <c r="H76" s="89">
        <v>26.109000000000002</v>
      </c>
      <c r="I76" s="38">
        <f t="shared" si="31"/>
        <v>13054.5</v>
      </c>
      <c r="K76" s="42">
        <v>500</v>
      </c>
      <c r="L76" s="90">
        <v>26.849599999999999</v>
      </c>
      <c r="M76" s="38">
        <f t="shared" si="32"/>
        <v>13424.8</v>
      </c>
      <c r="O76" s="38">
        <v>80</v>
      </c>
      <c r="P76" s="38">
        <v>26.728300000000001</v>
      </c>
      <c r="Q76" s="38">
        <f t="shared" si="33"/>
        <v>2138.2640000000001</v>
      </c>
      <c r="R76" s="43">
        <f t="shared" si="26"/>
        <v>1080</v>
      </c>
      <c r="S76" s="38">
        <f t="shared" si="34"/>
        <v>28617.563999999998</v>
      </c>
      <c r="T76" s="49">
        <v>85</v>
      </c>
      <c r="U76" s="42">
        <v>26.283100000000001</v>
      </c>
      <c r="V76" s="38">
        <f t="shared" si="18"/>
        <v>2234.0635000000002</v>
      </c>
      <c r="W76" s="42">
        <v>230</v>
      </c>
      <c r="X76" s="42">
        <v>26.283100000000001</v>
      </c>
      <c r="Y76" s="38">
        <f t="shared" si="17"/>
        <v>6045.1130000000003</v>
      </c>
      <c r="Z76" s="42">
        <v>185</v>
      </c>
      <c r="AA76" s="42">
        <v>26.950199999999999</v>
      </c>
      <c r="AB76" s="42">
        <f t="shared" si="28"/>
        <v>4985.7869999999994</v>
      </c>
      <c r="AC76" s="42"/>
      <c r="AD76" s="42">
        <v>175</v>
      </c>
      <c r="AE76" s="42">
        <v>26.950199999999999</v>
      </c>
      <c r="AF76" s="42">
        <f t="shared" si="23"/>
        <v>4716.2849999999999</v>
      </c>
      <c r="AG76" s="42"/>
      <c r="AH76" s="42">
        <v>100</v>
      </c>
      <c r="AI76" s="42">
        <v>26.8827</v>
      </c>
      <c r="AJ76" s="42">
        <f t="shared" si="35"/>
        <v>2688.27</v>
      </c>
      <c r="AL76" s="42">
        <v>100</v>
      </c>
      <c r="AM76" s="42">
        <v>26.6906</v>
      </c>
      <c r="AN76" s="42">
        <f t="shared" si="30"/>
        <v>2669.06</v>
      </c>
      <c r="AO76" s="44"/>
      <c r="AP76" s="42">
        <v>125</v>
      </c>
      <c r="AQ76" s="42">
        <v>26.795400000000001</v>
      </c>
      <c r="AR76" s="42"/>
      <c r="AU76" s="98"/>
      <c r="AV76" s="35"/>
      <c r="AW76" s="104"/>
      <c r="AX76" s="42"/>
      <c r="AY76" s="42"/>
      <c r="AZ76" s="42">
        <f t="shared" si="27"/>
        <v>0</v>
      </c>
      <c r="BA76" s="42"/>
      <c r="BB76" s="42"/>
      <c r="BC76" s="42"/>
      <c r="BD76" s="38">
        <f t="shared" si="36"/>
        <v>0</v>
      </c>
      <c r="BE76" s="42"/>
      <c r="BF76" s="42"/>
      <c r="BG76" s="42"/>
      <c r="BH76" s="38">
        <f t="shared" si="37"/>
        <v>0</v>
      </c>
      <c r="BI76" s="42"/>
      <c r="BJ76" s="42"/>
      <c r="BK76" s="42"/>
      <c r="BL76" s="38">
        <f t="shared" si="38"/>
        <v>0</v>
      </c>
      <c r="BM76" s="42"/>
      <c r="BN76" s="42"/>
      <c r="BO76" s="42"/>
      <c r="BP76" s="42"/>
      <c r="BR76" s="42">
        <f t="shared" si="39"/>
        <v>23338.578500000003</v>
      </c>
      <c r="BS76" s="43">
        <f t="shared" si="40"/>
        <v>5278.9854999999952</v>
      </c>
      <c r="BT76" s="42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  <c r="IL76" s="31"/>
      <c r="IM76" s="31"/>
      <c r="IN76" s="31"/>
      <c r="IO76" s="31"/>
      <c r="IP76" s="31"/>
      <c r="IQ76" s="31"/>
      <c r="IR76" s="31"/>
      <c r="IS76" s="31"/>
      <c r="IT76" s="31"/>
      <c r="IU76" s="31"/>
      <c r="IV76" s="31"/>
      <c r="IW76" s="31"/>
      <c r="IX76" s="31"/>
      <c r="IY76" s="31"/>
      <c r="IZ76" s="31"/>
      <c r="JA76" s="31"/>
      <c r="JB76" s="31"/>
      <c r="JC76" s="31"/>
      <c r="JD76" s="31"/>
      <c r="JE76" s="31"/>
      <c r="JF76" s="31"/>
      <c r="JG76" s="31"/>
      <c r="JH76" s="31"/>
      <c r="JI76" s="31"/>
      <c r="JJ76" s="31"/>
      <c r="JK76" s="31"/>
      <c r="JL76" s="31"/>
      <c r="JM76" s="31"/>
      <c r="JN76" s="31"/>
      <c r="JO76" s="31"/>
      <c r="JP76" s="31"/>
      <c r="JQ76" s="31"/>
      <c r="JR76" s="31"/>
      <c r="JS76" s="31"/>
      <c r="JT76" s="31"/>
      <c r="JU76" s="31"/>
      <c r="JV76" s="31"/>
      <c r="JW76" s="31"/>
      <c r="JX76" s="31"/>
      <c r="JY76" s="31"/>
      <c r="JZ76" s="31"/>
      <c r="KA76" s="31"/>
      <c r="KB76" s="31"/>
      <c r="KC76" s="31"/>
      <c r="KD76" s="31"/>
      <c r="KE76" s="31"/>
      <c r="KF76" s="31"/>
      <c r="KG76" s="31"/>
      <c r="KH76" s="31"/>
      <c r="KI76" s="31"/>
      <c r="KJ76" s="31"/>
      <c r="KK76" s="31"/>
      <c r="KL76" s="31"/>
      <c r="KM76" s="31"/>
      <c r="KN76" s="31"/>
      <c r="KO76" s="31"/>
      <c r="KP76" s="31"/>
      <c r="KQ76" s="31"/>
      <c r="KR76" s="31"/>
      <c r="KS76" s="31"/>
      <c r="KT76" s="31"/>
      <c r="KU76" s="31"/>
      <c r="KV76" s="31"/>
      <c r="KW76" s="31"/>
      <c r="KX76" s="31"/>
      <c r="KY76" s="31"/>
      <c r="KZ76" s="31"/>
      <c r="LA76" s="31"/>
      <c r="LB76" s="31"/>
      <c r="LC76" s="31"/>
      <c r="LD76" s="31"/>
      <c r="LE76" s="31"/>
      <c r="LF76" s="31"/>
      <c r="LG76" s="31"/>
      <c r="LH76" s="31"/>
      <c r="LI76" s="31"/>
      <c r="LJ76" s="31"/>
      <c r="LK76" s="31"/>
      <c r="LL76" s="31"/>
      <c r="LM76" s="31"/>
      <c r="LN76" s="31"/>
      <c r="LO76" s="31"/>
      <c r="LP76" s="31"/>
      <c r="LQ76" s="31"/>
      <c r="LR76" s="31"/>
      <c r="LS76" s="31"/>
      <c r="LT76" s="31"/>
      <c r="LU76" s="31"/>
      <c r="LV76" s="31"/>
      <c r="LW76" s="31"/>
      <c r="LX76" s="31"/>
      <c r="LY76" s="31"/>
      <c r="LZ76" s="31"/>
      <c r="MA76" s="31"/>
      <c r="MB76" s="31"/>
      <c r="MC76" s="31"/>
      <c r="MD76" s="31"/>
      <c r="ME76" s="31"/>
      <c r="MF76" s="31"/>
      <c r="MG76" s="31"/>
      <c r="MH76" s="31"/>
      <c r="MI76" s="31"/>
      <c r="MJ76" s="31"/>
      <c r="MK76" s="31"/>
      <c r="ML76" s="31"/>
      <c r="MM76" s="31"/>
      <c r="MN76" s="31"/>
      <c r="MO76" s="31"/>
      <c r="MP76" s="31"/>
      <c r="MQ76" s="31"/>
      <c r="MR76" s="31"/>
      <c r="MS76" s="31"/>
      <c r="MT76" s="31"/>
      <c r="MU76" s="31"/>
      <c r="MV76" s="31"/>
      <c r="MW76" s="31"/>
      <c r="MX76" s="31"/>
      <c r="MY76" s="31"/>
      <c r="MZ76" s="31"/>
      <c r="NA76" s="31"/>
      <c r="NB76" s="31"/>
      <c r="NC76" s="31"/>
      <c r="ND76" s="31"/>
      <c r="NE76" s="31"/>
      <c r="NF76" s="31"/>
      <c r="NG76" s="31"/>
      <c r="NH76" s="31"/>
      <c r="NI76" s="31"/>
      <c r="NJ76" s="31"/>
      <c r="NK76" s="31"/>
      <c r="NL76" s="31"/>
      <c r="NM76" s="31"/>
      <c r="NN76" s="31"/>
      <c r="NO76" s="31"/>
      <c r="NP76" s="31"/>
      <c r="NQ76" s="31"/>
      <c r="NR76" s="31"/>
      <c r="NS76" s="31"/>
      <c r="NT76" s="31"/>
      <c r="NU76" s="31"/>
      <c r="NV76" s="31"/>
      <c r="NW76" s="31"/>
      <c r="NX76" s="31"/>
      <c r="NY76" s="31"/>
      <c r="NZ76" s="31"/>
      <c r="OA76" s="31"/>
      <c r="OB76" s="31"/>
      <c r="OC76" s="31"/>
      <c r="OD76" s="31"/>
      <c r="OE76" s="31"/>
      <c r="OF76" s="31"/>
      <c r="OG76" s="31"/>
      <c r="OH76" s="31"/>
      <c r="OI76" s="31"/>
      <c r="OJ76" s="31"/>
      <c r="OK76" s="31"/>
      <c r="OL76" s="31"/>
      <c r="OM76" s="31"/>
      <c r="ON76" s="31"/>
      <c r="OO76" s="31"/>
      <c r="OP76" s="31"/>
      <c r="OQ76" s="31"/>
      <c r="OR76" s="31"/>
      <c r="OS76" s="31"/>
      <c r="OT76" s="31"/>
      <c r="OU76" s="31"/>
      <c r="OV76" s="31"/>
      <c r="OW76" s="31"/>
      <c r="OX76" s="31"/>
    </row>
    <row r="77" spans="2:414" s="25" customFormat="1" ht="15.6">
      <c r="B77" s="25" t="s">
        <v>141</v>
      </c>
      <c r="C77" s="27" t="s">
        <v>142</v>
      </c>
      <c r="D77" s="30" t="s">
        <v>105</v>
      </c>
      <c r="G77" s="42">
        <v>500</v>
      </c>
      <c r="H77" s="89">
        <v>26.109000000000002</v>
      </c>
      <c r="I77" s="38">
        <f t="shared" si="31"/>
        <v>13054.5</v>
      </c>
      <c r="K77" s="42">
        <v>500</v>
      </c>
      <c r="L77" s="90">
        <v>26.849599999999999</v>
      </c>
      <c r="M77" s="38">
        <f t="shared" si="32"/>
        <v>13424.8</v>
      </c>
      <c r="O77" s="38">
        <v>80</v>
      </c>
      <c r="P77" s="38">
        <v>26.728300000000001</v>
      </c>
      <c r="Q77" s="38">
        <f t="shared" si="33"/>
        <v>2138.2640000000001</v>
      </c>
      <c r="R77" s="43">
        <f t="shared" si="26"/>
        <v>1080</v>
      </c>
      <c r="S77" s="38">
        <f t="shared" si="34"/>
        <v>28617.563999999998</v>
      </c>
      <c r="T77" s="49">
        <v>415</v>
      </c>
      <c r="U77" s="42">
        <v>26.109000000000002</v>
      </c>
      <c r="V77" s="38">
        <f t="shared" si="18"/>
        <v>10835.235000000001</v>
      </c>
      <c r="W77" s="42">
        <v>85</v>
      </c>
      <c r="X77" s="42">
        <v>26.109000000000002</v>
      </c>
      <c r="Y77" s="38">
        <f t="shared" si="17"/>
        <v>2219.2650000000003</v>
      </c>
      <c r="Z77" s="42">
        <v>85</v>
      </c>
      <c r="AA77" s="42">
        <v>26.805099999999999</v>
      </c>
      <c r="AB77" s="42">
        <f t="shared" si="28"/>
        <v>2278.4335000000001</v>
      </c>
      <c r="AC77" s="42"/>
      <c r="AD77" s="42">
        <v>415</v>
      </c>
      <c r="AE77" s="42">
        <v>26.805099999999999</v>
      </c>
      <c r="AF77" s="42">
        <f t="shared" si="23"/>
        <v>11124.1165</v>
      </c>
      <c r="AG77" s="42"/>
      <c r="AH77" s="42"/>
      <c r="AI77" s="42"/>
      <c r="AJ77" s="42">
        <f t="shared" si="35"/>
        <v>0</v>
      </c>
      <c r="AL77" s="42"/>
      <c r="AM77" s="42"/>
      <c r="AN77" s="42">
        <f t="shared" si="30"/>
        <v>0</v>
      </c>
      <c r="AO77" s="44"/>
      <c r="AP77" s="42"/>
      <c r="AQ77" s="42"/>
      <c r="AR77" s="42"/>
      <c r="AU77" s="98"/>
      <c r="AV77" s="35"/>
      <c r="AW77" s="104"/>
      <c r="AX77" s="42"/>
      <c r="AY77" s="42"/>
      <c r="AZ77" s="42">
        <f t="shared" si="27"/>
        <v>0</v>
      </c>
      <c r="BA77" s="42"/>
      <c r="BB77" s="42"/>
      <c r="BC77" s="42"/>
      <c r="BD77" s="38">
        <f t="shared" si="36"/>
        <v>0</v>
      </c>
      <c r="BE77" s="42"/>
      <c r="BF77" s="42"/>
      <c r="BG77" s="42"/>
      <c r="BH77" s="38">
        <f t="shared" si="37"/>
        <v>0</v>
      </c>
      <c r="BI77" s="42"/>
      <c r="BJ77" s="42"/>
      <c r="BK77" s="42"/>
      <c r="BL77" s="38">
        <f t="shared" si="38"/>
        <v>0</v>
      </c>
      <c r="BM77" s="42"/>
      <c r="BN77" s="42"/>
      <c r="BO77" s="42"/>
      <c r="BP77" s="42"/>
      <c r="BR77" s="42">
        <f t="shared" si="39"/>
        <v>26457.05</v>
      </c>
      <c r="BS77" s="43">
        <f t="shared" si="40"/>
        <v>2160.5139999999992</v>
      </c>
      <c r="BT77" s="42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  <c r="IM77" s="31"/>
      <c r="IN77" s="31"/>
      <c r="IO77" s="31"/>
      <c r="IP77" s="31"/>
      <c r="IQ77" s="31"/>
      <c r="IR77" s="31"/>
      <c r="IS77" s="31"/>
      <c r="IT77" s="31"/>
      <c r="IU77" s="31"/>
      <c r="IV77" s="31"/>
      <c r="IW77" s="31"/>
      <c r="IX77" s="31"/>
      <c r="IY77" s="31"/>
      <c r="IZ77" s="31"/>
      <c r="JA77" s="31"/>
      <c r="JB77" s="31"/>
      <c r="JC77" s="31"/>
      <c r="JD77" s="31"/>
      <c r="JE77" s="31"/>
      <c r="JF77" s="31"/>
      <c r="JG77" s="31"/>
      <c r="JH77" s="31"/>
      <c r="JI77" s="31"/>
      <c r="JJ77" s="31"/>
      <c r="JK77" s="31"/>
      <c r="JL77" s="31"/>
      <c r="JM77" s="31"/>
      <c r="JN77" s="31"/>
      <c r="JO77" s="31"/>
      <c r="JP77" s="31"/>
      <c r="JQ77" s="31"/>
      <c r="JR77" s="31"/>
      <c r="JS77" s="31"/>
      <c r="JT77" s="31"/>
      <c r="JU77" s="31"/>
      <c r="JV77" s="31"/>
      <c r="JW77" s="31"/>
      <c r="JX77" s="31"/>
      <c r="JY77" s="31"/>
      <c r="JZ77" s="31"/>
      <c r="KA77" s="31"/>
      <c r="KB77" s="31"/>
      <c r="KC77" s="31"/>
      <c r="KD77" s="31"/>
      <c r="KE77" s="31"/>
      <c r="KF77" s="31"/>
      <c r="KG77" s="31"/>
      <c r="KH77" s="31"/>
      <c r="KI77" s="31"/>
      <c r="KJ77" s="31"/>
      <c r="KK77" s="31"/>
      <c r="KL77" s="31"/>
      <c r="KM77" s="31"/>
      <c r="KN77" s="31"/>
      <c r="KO77" s="31"/>
      <c r="KP77" s="31"/>
      <c r="KQ77" s="31"/>
      <c r="KR77" s="31"/>
      <c r="KS77" s="31"/>
      <c r="KT77" s="31"/>
      <c r="KU77" s="31"/>
      <c r="KV77" s="31"/>
      <c r="KW77" s="31"/>
      <c r="KX77" s="31"/>
      <c r="KY77" s="31"/>
      <c r="KZ77" s="31"/>
      <c r="LA77" s="31"/>
      <c r="LB77" s="31"/>
      <c r="LC77" s="31"/>
      <c r="LD77" s="31"/>
      <c r="LE77" s="31"/>
      <c r="LF77" s="31"/>
      <c r="LG77" s="31"/>
      <c r="LH77" s="31"/>
      <c r="LI77" s="31"/>
      <c r="LJ77" s="31"/>
      <c r="LK77" s="31"/>
      <c r="LL77" s="31"/>
      <c r="LM77" s="31"/>
      <c r="LN77" s="31"/>
      <c r="LO77" s="31"/>
      <c r="LP77" s="31"/>
      <c r="LQ77" s="31"/>
      <c r="LR77" s="31"/>
      <c r="LS77" s="31"/>
      <c r="LT77" s="31"/>
      <c r="LU77" s="31"/>
      <c r="LV77" s="31"/>
      <c r="LW77" s="31"/>
      <c r="LX77" s="31"/>
      <c r="LY77" s="31"/>
      <c r="LZ77" s="31"/>
      <c r="MA77" s="31"/>
      <c r="MB77" s="31"/>
      <c r="MC77" s="31"/>
      <c r="MD77" s="31"/>
      <c r="ME77" s="31"/>
      <c r="MF77" s="31"/>
      <c r="MG77" s="31"/>
      <c r="MH77" s="31"/>
      <c r="MI77" s="31"/>
      <c r="MJ77" s="31"/>
      <c r="MK77" s="31"/>
      <c r="ML77" s="31"/>
      <c r="MM77" s="31"/>
      <c r="MN77" s="31"/>
      <c r="MO77" s="31"/>
      <c r="MP77" s="31"/>
      <c r="MQ77" s="31"/>
      <c r="MR77" s="31"/>
      <c r="MS77" s="31"/>
      <c r="MT77" s="31"/>
      <c r="MU77" s="31"/>
      <c r="MV77" s="31"/>
      <c r="MW77" s="31"/>
      <c r="MX77" s="31"/>
      <c r="MY77" s="31"/>
      <c r="MZ77" s="31"/>
      <c r="NA77" s="31"/>
      <c r="NB77" s="31"/>
      <c r="NC77" s="31"/>
      <c r="ND77" s="31"/>
      <c r="NE77" s="31"/>
      <c r="NF77" s="31"/>
      <c r="NG77" s="31"/>
      <c r="NH77" s="31"/>
      <c r="NI77" s="31"/>
      <c r="NJ77" s="31"/>
      <c r="NK77" s="31"/>
      <c r="NL77" s="31"/>
      <c r="NM77" s="31"/>
      <c r="NN77" s="31"/>
      <c r="NO77" s="31"/>
      <c r="NP77" s="31"/>
      <c r="NQ77" s="31"/>
      <c r="NR77" s="31"/>
      <c r="NS77" s="31"/>
      <c r="NT77" s="31"/>
      <c r="NU77" s="31"/>
      <c r="NV77" s="31"/>
      <c r="NW77" s="31"/>
      <c r="NX77" s="31"/>
      <c r="NY77" s="31"/>
      <c r="NZ77" s="31"/>
      <c r="OA77" s="31"/>
      <c r="OB77" s="31"/>
      <c r="OC77" s="31"/>
      <c r="OD77" s="31"/>
      <c r="OE77" s="31"/>
      <c r="OF77" s="31"/>
      <c r="OG77" s="31"/>
      <c r="OH77" s="31"/>
      <c r="OI77" s="31"/>
      <c r="OJ77" s="31"/>
      <c r="OK77" s="31"/>
      <c r="OL77" s="31"/>
      <c r="OM77" s="31"/>
      <c r="ON77" s="31"/>
      <c r="OO77" s="31"/>
      <c r="OP77" s="31"/>
      <c r="OQ77" s="31"/>
      <c r="OR77" s="31"/>
      <c r="OS77" s="31"/>
      <c r="OT77" s="31"/>
      <c r="OU77" s="31"/>
      <c r="OV77" s="31"/>
      <c r="OW77" s="31"/>
      <c r="OX77" s="31"/>
    </row>
    <row r="78" spans="2:414" s="25" customFormat="1" ht="15.6">
      <c r="B78" s="25" t="s">
        <v>143</v>
      </c>
      <c r="C78" s="27" t="s">
        <v>144</v>
      </c>
      <c r="D78" s="30" t="s">
        <v>105</v>
      </c>
      <c r="G78" s="42">
        <v>500</v>
      </c>
      <c r="H78" s="89">
        <v>26.109000000000002</v>
      </c>
      <c r="I78" s="38">
        <f t="shared" si="31"/>
        <v>13054.5</v>
      </c>
      <c r="K78" s="42">
        <v>500</v>
      </c>
      <c r="L78" s="90">
        <v>26.849599999999999</v>
      </c>
      <c r="M78" s="38">
        <f t="shared" si="32"/>
        <v>13424.8</v>
      </c>
      <c r="O78" s="38">
        <v>80</v>
      </c>
      <c r="P78" s="38">
        <v>26.728300000000001</v>
      </c>
      <c r="Q78" s="38">
        <f t="shared" si="33"/>
        <v>2138.2640000000001</v>
      </c>
      <c r="R78" s="43">
        <f t="shared" si="26"/>
        <v>1080</v>
      </c>
      <c r="S78" s="38">
        <f t="shared" si="34"/>
        <v>28617.563999999998</v>
      </c>
      <c r="T78" s="49">
        <v>415</v>
      </c>
      <c r="U78" s="42">
        <v>26.261399999999998</v>
      </c>
      <c r="V78" s="38">
        <f t="shared" si="18"/>
        <v>10898.481</v>
      </c>
      <c r="W78" s="42">
        <v>85</v>
      </c>
      <c r="X78" s="42">
        <v>26.261399999999998</v>
      </c>
      <c r="Y78" s="38">
        <f t="shared" si="17"/>
        <v>2232.2190000000001</v>
      </c>
      <c r="Z78" s="42">
        <v>500</v>
      </c>
      <c r="AA78" s="42">
        <v>26.817900000000002</v>
      </c>
      <c r="AB78" s="42">
        <f t="shared" si="28"/>
        <v>13408.95</v>
      </c>
      <c r="AD78" s="42"/>
      <c r="AE78" s="42"/>
      <c r="AF78" s="42">
        <f t="shared" si="23"/>
        <v>0</v>
      </c>
      <c r="AG78" s="42"/>
      <c r="AH78" s="42"/>
      <c r="AI78" s="42"/>
      <c r="AJ78" s="42">
        <f t="shared" si="35"/>
        <v>0</v>
      </c>
      <c r="AL78" s="42"/>
      <c r="AM78" s="42"/>
      <c r="AN78" s="42">
        <f t="shared" si="30"/>
        <v>0</v>
      </c>
      <c r="AO78" s="44"/>
      <c r="AP78" s="42"/>
      <c r="AQ78" s="42"/>
      <c r="AR78" s="42"/>
      <c r="AU78" s="98"/>
      <c r="AV78" s="35"/>
      <c r="AW78" s="104"/>
      <c r="AX78" s="42"/>
      <c r="AY78" s="42"/>
      <c r="AZ78" s="42">
        <f t="shared" si="27"/>
        <v>0</v>
      </c>
      <c r="BA78" s="42"/>
      <c r="BB78" s="42"/>
      <c r="BC78" s="42"/>
      <c r="BD78" s="38">
        <f t="shared" si="36"/>
        <v>0</v>
      </c>
      <c r="BE78" s="42"/>
      <c r="BF78" s="42"/>
      <c r="BG78" s="42"/>
      <c r="BH78" s="38">
        <f t="shared" si="37"/>
        <v>0</v>
      </c>
      <c r="BI78" s="42"/>
      <c r="BJ78" s="42"/>
      <c r="BK78" s="42"/>
      <c r="BL78" s="38">
        <f t="shared" si="38"/>
        <v>0</v>
      </c>
      <c r="BM78" s="42"/>
      <c r="BN78" s="42"/>
      <c r="BO78" s="42"/>
      <c r="BP78" s="42"/>
      <c r="BR78" s="42">
        <f t="shared" si="39"/>
        <v>26539.65</v>
      </c>
      <c r="BS78" s="43">
        <f t="shared" si="40"/>
        <v>2077.913999999997</v>
      </c>
      <c r="BT78" s="42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  <c r="JH78" s="31"/>
      <c r="JI78" s="31"/>
      <c r="JJ78" s="31"/>
      <c r="JK78" s="31"/>
      <c r="JL78" s="31"/>
      <c r="JM78" s="31"/>
      <c r="JN78" s="31"/>
      <c r="JO78" s="31"/>
      <c r="JP78" s="31"/>
      <c r="JQ78" s="31"/>
      <c r="JR78" s="31"/>
      <c r="JS78" s="31"/>
      <c r="JT78" s="31"/>
      <c r="JU78" s="31"/>
      <c r="JV78" s="31"/>
      <c r="JW78" s="31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</row>
    <row r="79" spans="2:414" s="25" customFormat="1" ht="15.6">
      <c r="B79" s="25" t="s">
        <v>145</v>
      </c>
      <c r="C79" s="27" t="s">
        <v>146</v>
      </c>
      <c r="D79" s="30" t="s">
        <v>105</v>
      </c>
      <c r="G79" s="42">
        <v>500</v>
      </c>
      <c r="H79" s="89">
        <v>26.109000000000002</v>
      </c>
      <c r="I79" s="38">
        <f t="shared" si="31"/>
        <v>13054.5</v>
      </c>
      <c r="K79" s="42">
        <v>500</v>
      </c>
      <c r="L79" s="90">
        <v>26.849599999999999</v>
      </c>
      <c r="M79" s="38">
        <f t="shared" si="32"/>
        <v>13424.8</v>
      </c>
      <c r="O79" s="38">
        <v>80</v>
      </c>
      <c r="P79" s="38">
        <v>26.728300000000001</v>
      </c>
      <c r="Q79" s="38">
        <f t="shared" si="33"/>
        <v>2138.2640000000001</v>
      </c>
      <c r="R79" s="43">
        <f t="shared" ref="R79:R110" si="41">G79+K79+O79</f>
        <v>1080</v>
      </c>
      <c r="S79" s="38">
        <f t="shared" si="34"/>
        <v>28617.563999999998</v>
      </c>
      <c r="T79" s="49">
        <v>415</v>
      </c>
      <c r="U79" s="42">
        <v>26.0108</v>
      </c>
      <c r="V79" s="38">
        <f t="shared" si="18"/>
        <v>10794.482</v>
      </c>
      <c r="W79" s="42">
        <v>85</v>
      </c>
      <c r="X79" s="42">
        <v>26.0108</v>
      </c>
      <c r="Y79" s="38">
        <f t="shared" si="17"/>
        <v>2210.9180000000001</v>
      </c>
      <c r="Z79" s="42"/>
      <c r="AA79" s="42"/>
      <c r="AB79" s="42">
        <f t="shared" si="28"/>
        <v>0</v>
      </c>
      <c r="AD79" s="42"/>
      <c r="AE79" s="42"/>
      <c r="AF79" s="42">
        <f t="shared" si="23"/>
        <v>0</v>
      </c>
      <c r="AG79" s="42"/>
      <c r="AH79" s="42"/>
      <c r="AI79" s="42"/>
      <c r="AJ79" s="42">
        <f t="shared" si="35"/>
        <v>0</v>
      </c>
      <c r="AL79" s="42"/>
      <c r="AM79" s="42"/>
      <c r="AN79" s="42">
        <f t="shared" si="30"/>
        <v>0</v>
      </c>
      <c r="AO79" s="44"/>
      <c r="AP79" s="42"/>
      <c r="AQ79" s="42"/>
      <c r="AR79" s="42"/>
      <c r="AU79" s="98"/>
      <c r="AV79" s="35"/>
      <c r="AW79" s="104"/>
      <c r="AX79" s="42"/>
      <c r="AY79" s="42"/>
      <c r="AZ79" s="42">
        <f t="shared" si="27"/>
        <v>0</v>
      </c>
      <c r="BA79" s="42"/>
      <c r="BB79" s="42"/>
      <c r="BC79" s="42"/>
      <c r="BD79" s="38">
        <f t="shared" si="36"/>
        <v>0</v>
      </c>
      <c r="BE79" s="42"/>
      <c r="BF79" s="42"/>
      <c r="BG79" s="42"/>
      <c r="BH79" s="38">
        <f t="shared" si="37"/>
        <v>0</v>
      </c>
      <c r="BI79" s="42"/>
      <c r="BJ79" s="42"/>
      <c r="BK79" s="42"/>
      <c r="BL79" s="38">
        <f t="shared" si="38"/>
        <v>0</v>
      </c>
      <c r="BM79" s="42"/>
      <c r="BN79" s="42"/>
      <c r="BO79" s="42"/>
      <c r="BP79" s="42"/>
      <c r="BR79" s="42">
        <f t="shared" si="39"/>
        <v>13005.4</v>
      </c>
      <c r="BS79" s="43">
        <f t="shared" si="40"/>
        <v>15612.163999999999</v>
      </c>
      <c r="BT79" s="42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  <c r="IL79" s="31"/>
      <c r="IM79" s="31"/>
      <c r="IN79" s="31"/>
      <c r="IO79" s="31"/>
      <c r="IP79" s="31"/>
      <c r="IQ79" s="31"/>
      <c r="IR79" s="31"/>
      <c r="IS79" s="31"/>
      <c r="IT79" s="31"/>
      <c r="IU79" s="31"/>
      <c r="IV79" s="31"/>
      <c r="IW79" s="31"/>
      <c r="IX79" s="31"/>
      <c r="IY79" s="31"/>
      <c r="IZ79" s="31"/>
      <c r="JA79" s="31"/>
      <c r="JB79" s="31"/>
      <c r="JC79" s="31"/>
      <c r="JD79" s="31"/>
      <c r="JE79" s="31"/>
      <c r="JF79" s="31"/>
      <c r="JG79" s="31"/>
      <c r="JH79" s="31"/>
      <c r="JI79" s="31"/>
      <c r="JJ79" s="31"/>
      <c r="JK79" s="31"/>
      <c r="JL79" s="31"/>
      <c r="JM79" s="31"/>
      <c r="JN79" s="31"/>
      <c r="JO79" s="31"/>
      <c r="JP79" s="31"/>
      <c r="JQ79" s="31"/>
      <c r="JR79" s="31"/>
      <c r="JS79" s="31"/>
      <c r="JT79" s="31"/>
      <c r="JU79" s="31"/>
      <c r="JV79" s="31"/>
      <c r="JW79" s="31"/>
      <c r="JX79" s="31"/>
      <c r="JY79" s="31"/>
      <c r="JZ79" s="31"/>
      <c r="KA79" s="31"/>
      <c r="KB79" s="31"/>
      <c r="KC79" s="31"/>
      <c r="KD79" s="31"/>
      <c r="KE79" s="31"/>
      <c r="KF79" s="31"/>
      <c r="KG79" s="31"/>
      <c r="KH79" s="31"/>
      <c r="KI79" s="31"/>
      <c r="KJ79" s="31"/>
      <c r="KK79" s="31"/>
      <c r="KL79" s="31"/>
      <c r="KM79" s="31"/>
      <c r="KN79" s="31"/>
      <c r="KO79" s="31"/>
      <c r="KP79" s="31"/>
      <c r="KQ79" s="31"/>
      <c r="KR79" s="31"/>
      <c r="KS79" s="31"/>
      <c r="KT79" s="31"/>
      <c r="KU79" s="31"/>
      <c r="KV79" s="31"/>
      <c r="KW79" s="31"/>
      <c r="KX79" s="31"/>
      <c r="KY79" s="31"/>
      <c r="KZ79" s="31"/>
      <c r="LA79" s="31"/>
      <c r="LB79" s="31"/>
      <c r="LC79" s="31"/>
      <c r="LD79" s="31"/>
      <c r="LE79" s="31"/>
      <c r="LF79" s="31"/>
      <c r="LG79" s="31"/>
      <c r="LH79" s="31"/>
      <c r="LI79" s="31"/>
      <c r="LJ79" s="31"/>
      <c r="LK79" s="31"/>
      <c r="LL79" s="31"/>
      <c r="LM79" s="31"/>
      <c r="LN79" s="31"/>
      <c r="LO79" s="31"/>
      <c r="LP79" s="31"/>
      <c r="LQ79" s="31"/>
      <c r="LR79" s="31"/>
      <c r="LS79" s="31"/>
      <c r="LT79" s="31"/>
      <c r="LU79" s="31"/>
      <c r="LV79" s="31"/>
      <c r="LW79" s="31"/>
      <c r="LX79" s="31"/>
      <c r="LY79" s="31"/>
      <c r="LZ79" s="31"/>
      <c r="MA79" s="31"/>
      <c r="MB79" s="31"/>
      <c r="MC79" s="31"/>
      <c r="MD79" s="31"/>
      <c r="ME79" s="31"/>
      <c r="MF79" s="31"/>
      <c r="MG79" s="31"/>
      <c r="MH79" s="31"/>
      <c r="MI79" s="31"/>
      <c r="MJ79" s="31"/>
      <c r="MK79" s="31"/>
      <c r="ML79" s="31"/>
      <c r="MM79" s="31"/>
      <c r="MN79" s="31"/>
      <c r="MO79" s="31"/>
      <c r="MP79" s="31"/>
      <c r="MQ79" s="31"/>
      <c r="MR79" s="31"/>
      <c r="MS79" s="31"/>
      <c r="MT79" s="31"/>
      <c r="MU79" s="31"/>
      <c r="MV79" s="31"/>
      <c r="MW79" s="31"/>
      <c r="MX79" s="31"/>
      <c r="MY79" s="31"/>
      <c r="MZ79" s="31"/>
      <c r="NA79" s="31"/>
      <c r="NB79" s="31"/>
      <c r="NC79" s="31"/>
      <c r="ND79" s="31"/>
      <c r="NE79" s="31"/>
      <c r="NF79" s="31"/>
      <c r="NG79" s="31"/>
      <c r="NH79" s="31"/>
      <c r="NI79" s="31"/>
      <c r="NJ79" s="31"/>
      <c r="NK79" s="31"/>
      <c r="NL79" s="31"/>
      <c r="NM79" s="31"/>
      <c r="NN79" s="31"/>
      <c r="NO79" s="31"/>
      <c r="NP79" s="31"/>
      <c r="NQ79" s="31"/>
      <c r="NR79" s="31"/>
      <c r="NS79" s="31"/>
      <c r="NT79" s="31"/>
      <c r="NU79" s="31"/>
      <c r="NV79" s="31"/>
      <c r="NW79" s="31"/>
      <c r="NX79" s="31"/>
      <c r="NY79" s="31"/>
      <c r="NZ79" s="31"/>
      <c r="OA79" s="31"/>
      <c r="OB79" s="31"/>
      <c r="OC79" s="31"/>
      <c r="OD79" s="31"/>
      <c r="OE79" s="31"/>
      <c r="OF79" s="31"/>
      <c r="OG79" s="31"/>
      <c r="OH79" s="31"/>
      <c r="OI79" s="31"/>
      <c r="OJ79" s="31"/>
      <c r="OK79" s="31"/>
      <c r="OL79" s="31"/>
      <c r="OM79" s="31"/>
      <c r="ON79" s="31"/>
      <c r="OO79" s="31"/>
      <c r="OP79" s="31"/>
      <c r="OQ79" s="31"/>
      <c r="OR79" s="31"/>
      <c r="OS79" s="31"/>
      <c r="OT79" s="31"/>
      <c r="OU79" s="31"/>
      <c r="OV79" s="31"/>
      <c r="OW79" s="31"/>
      <c r="OX79" s="31"/>
    </row>
    <row r="80" spans="2:414" s="25" customFormat="1" ht="15.6">
      <c r="B80" s="25" t="s">
        <v>147</v>
      </c>
      <c r="C80" s="27" t="s">
        <v>148</v>
      </c>
      <c r="D80" s="30" t="s">
        <v>105</v>
      </c>
      <c r="G80" s="42">
        <v>500</v>
      </c>
      <c r="H80" s="89">
        <v>26.109000000000002</v>
      </c>
      <c r="I80" s="38">
        <f t="shared" si="31"/>
        <v>13054.5</v>
      </c>
      <c r="K80" s="42">
        <v>500</v>
      </c>
      <c r="L80" s="90">
        <v>26.849599999999999</v>
      </c>
      <c r="M80" s="38">
        <f t="shared" si="32"/>
        <v>13424.8</v>
      </c>
      <c r="O80" s="38">
        <v>80</v>
      </c>
      <c r="P80" s="38">
        <v>26.728300000000001</v>
      </c>
      <c r="Q80" s="38">
        <f t="shared" si="33"/>
        <v>2138.2640000000001</v>
      </c>
      <c r="R80" s="43">
        <f t="shared" si="41"/>
        <v>1080</v>
      </c>
      <c r="S80" s="38">
        <f t="shared" si="34"/>
        <v>28617.563999999998</v>
      </c>
      <c r="T80" s="49">
        <v>415</v>
      </c>
      <c r="U80" s="42">
        <v>26.023700000000002</v>
      </c>
      <c r="V80" s="38">
        <f t="shared" si="18"/>
        <v>10799.835500000001</v>
      </c>
      <c r="W80" s="42">
        <v>85</v>
      </c>
      <c r="X80" s="42">
        <v>26.023700000000002</v>
      </c>
      <c r="Y80" s="38">
        <f t="shared" si="17"/>
        <v>2212.0145000000002</v>
      </c>
      <c r="Z80" s="42">
        <v>500</v>
      </c>
      <c r="AA80" s="42">
        <v>26.820799999999998</v>
      </c>
      <c r="AB80" s="42">
        <f t="shared" si="28"/>
        <v>13410.4</v>
      </c>
      <c r="AD80" s="42"/>
      <c r="AE80" s="42"/>
      <c r="AF80" s="42">
        <f t="shared" si="23"/>
        <v>0</v>
      </c>
      <c r="AG80" s="42"/>
      <c r="AH80" s="42"/>
      <c r="AI80" s="42"/>
      <c r="AJ80" s="42">
        <f t="shared" si="35"/>
        <v>0</v>
      </c>
      <c r="AL80" s="42"/>
      <c r="AM80" s="42"/>
      <c r="AN80" s="42">
        <f t="shared" si="30"/>
        <v>0</v>
      </c>
      <c r="AO80" s="44"/>
      <c r="AP80" s="42"/>
      <c r="AQ80" s="42"/>
      <c r="AR80" s="42"/>
      <c r="AU80" s="98"/>
      <c r="AV80" s="35"/>
      <c r="AW80" s="104"/>
      <c r="AX80" s="42"/>
      <c r="AY80" s="42"/>
      <c r="AZ80" s="42">
        <f t="shared" si="27"/>
        <v>0</v>
      </c>
      <c r="BA80" s="42"/>
      <c r="BB80" s="42"/>
      <c r="BC80" s="42"/>
      <c r="BD80" s="38">
        <f t="shared" si="36"/>
        <v>0</v>
      </c>
      <c r="BE80" s="42"/>
      <c r="BF80" s="42"/>
      <c r="BG80" s="42"/>
      <c r="BH80" s="38">
        <f t="shared" si="37"/>
        <v>0</v>
      </c>
      <c r="BI80" s="42"/>
      <c r="BJ80" s="42"/>
      <c r="BK80" s="42"/>
      <c r="BL80" s="38">
        <f t="shared" si="38"/>
        <v>0</v>
      </c>
      <c r="BM80" s="42"/>
      <c r="BN80" s="42"/>
      <c r="BO80" s="42"/>
      <c r="BP80" s="42"/>
      <c r="BR80" s="42">
        <f t="shared" si="39"/>
        <v>26422.25</v>
      </c>
      <c r="BS80" s="43">
        <f t="shared" si="40"/>
        <v>2195.3139999999985</v>
      </c>
      <c r="BT80" s="43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  <c r="IL80" s="31"/>
      <c r="IM80" s="31"/>
      <c r="IN80" s="31"/>
      <c r="IO80" s="31"/>
      <c r="IP80" s="31"/>
      <c r="IQ80" s="31"/>
      <c r="IR80" s="31"/>
      <c r="IS80" s="31"/>
      <c r="IT80" s="31"/>
      <c r="IU80" s="31"/>
      <c r="IV80" s="31"/>
      <c r="IW80" s="31"/>
      <c r="IX80" s="31"/>
      <c r="IY80" s="31"/>
      <c r="IZ80" s="31"/>
      <c r="JA80" s="31"/>
      <c r="JB80" s="31"/>
      <c r="JC80" s="31"/>
      <c r="JD80" s="31"/>
      <c r="JE80" s="31"/>
      <c r="JF80" s="31"/>
      <c r="JG80" s="31"/>
      <c r="JH80" s="31"/>
      <c r="JI80" s="31"/>
      <c r="JJ80" s="31"/>
      <c r="JK80" s="31"/>
      <c r="JL80" s="31"/>
      <c r="JM80" s="31"/>
      <c r="JN80" s="31"/>
      <c r="JO80" s="31"/>
      <c r="JP80" s="31"/>
      <c r="JQ80" s="31"/>
      <c r="JR80" s="31"/>
      <c r="JS80" s="31"/>
      <c r="JT80" s="31"/>
      <c r="JU80" s="31"/>
      <c r="JV80" s="31"/>
      <c r="JW80" s="31"/>
      <c r="JX80" s="31"/>
      <c r="JY80" s="31"/>
      <c r="JZ80" s="31"/>
      <c r="KA80" s="31"/>
      <c r="KB80" s="31"/>
      <c r="KC80" s="31"/>
      <c r="KD80" s="31"/>
      <c r="KE80" s="31"/>
      <c r="KF80" s="31"/>
      <c r="KG80" s="31"/>
      <c r="KH80" s="31"/>
      <c r="KI80" s="31"/>
      <c r="KJ80" s="31"/>
      <c r="KK80" s="31"/>
      <c r="KL80" s="31"/>
      <c r="KM80" s="31"/>
      <c r="KN80" s="31"/>
      <c r="KO80" s="31"/>
      <c r="KP80" s="31"/>
      <c r="KQ80" s="31"/>
      <c r="KR80" s="31"/>
      <c r="KS80" s="31"/>
      <c r="KT80" s="31"/>
      <c r="KU80" s="31"/>
      <c r="KV80" s="31"/>
      <c r="KW80" s="31"/>
      <c r="KX80" s="31"/>
      <c r="KY80" s="31"/>
      <c r="KZ80" s="31"/>
      <c r="LA80" s="31"/>
      <c r="LB80" s="31"/>
      <c r="LC80" s="31"/>
      <c r="LD80" s="31"/>
      <c r="LE80" s="31"/>
      <c r="LF80" s="31"/>
      <c r="LG80" s="31"/>
      <c r="LH80" s="31"/>
      <c r="LI80" s="31"/>
      <c r="LJ80" s="31"/>
      <c r="LK80" s="31"/>
      <c r="LL80" s="31"/>
      <c r="LM80" s="31"/>
      <c r="LN80" s="31"/>
      <c r="LO80" s="31"/>
      <c r="LP80" s="31"/>
      <c r="LQ80" s="31"/>
      <c r="LR80" s="31"/>
      <c r="LS80" s="31"/>
      <c r="LT80" s="31"/>
      <c r="LU80" s="31"/>
      <c r="LV80" s="31"/>
      <c r="LW80" s="31"/>
      <c r="LX80" s="31"/>
      <c r="LY80" s="31"/>
      <c r="LZ80" s="31"/>
      <c r="MA80" s="31"/>
      <c r="MB80" s="31"/>
      <c r="MC80" s="31"/>
      <c r="MD80" s="31"/>
      <c r="ME80" s="31"/>
      <c r="MF80" s="31"/>
      <c r="MG80" s="31"/>
      <c r="MH80" s="31"/>
      <c r="MI80" s="31"/>
      <c r="MJ80" s="31"/>
      <c r="MK80" s="31"/>
      <c r="ML80" s="31"/>
      <c r="MM80" s="31"/>
      <c r="MN80" s="31"/>
      <c r="MO80" s="31"/>
      <c r="MP80" s="31"/>
      <c r="MQ80" s="31"/>
      <c r="MR80" s="31"/>
      <c r="MS80" s="31"/>
      <c r="MT80" s="31"/>
      <c r="MU80" s="31"/>
      <c r="MV80" s="31"/>
      <c r="MW80" s="31"/>
      <c r="MX80" s="31"/>
      <c r="MY80" s="31"/>
      <c r="MZ80" s="31"/>
      <c r="NA80" s="31"/>
      <c r="NB80" s="31"/>
      <c r="NC80" s="31"/>
      <c r="ND80" s="31"/>
      <c r="NE80" s="31"/>
      <c r="NF80" s="31"/>
      <c r="NG80" s="31"/>
      <c r="NH80" s="31"/>
      <c r="NI80" s="31"/>
      <c r="NJ80" s="31"/>
      <c r="NK80" s="31"/>
      <c r="NL80" s="31"/>
      <c r="NM80" s="31"/>
      <c r="NN80" s="31"/>
      <c r="NO80" s="31"/>
      <c r="NP80" s="31"/>
      <c r="NQ80" s="31"/>
      <c r="NR80" s="31"/>
      <c r="NS80" s="31"/>
      <c r="NT80" s="31"/>
      <c r="NU80" s="31"/>
      <c r="NV80" s="31"/>
      <c r="NW80" s="31"/>
      <c r="NX80" s="31"/>
      <c r="NY80" s="31"/>
      <c r="NZ80" s="31"/>
      <c r="OA80" s="31"/>
      <c r="OB80" s="31"/>
      <c r="OC80" s="31"/>
      <c r="OD80" s="31"/>
      <c r="OE80" s="31"/>
      <c r="OF80" s="31"/>
      <c r="OG80" s="31"/>
      <c r="OH80" s="31"/>
      <c r="OI80" s="31"/>
      <c r="OJ80" s="31"/>
      <c r="OK80" s="31"/>
      <c r="OL80" s="31"/>
      <c r="OM80" s="31"/>
      <c r="ON80" s="31"/>
      <c r="OO80" s="31"/>
      <c r="OP80" s="31"/>
      <c r="OQ80" s="31"/>
      <c r="OR80" s="31"/>
      <c r="OS80" s="31"/>
      <c r="OT80" s="31"/>
      <c r="OU80" s="31"/>
      <c r="OV80" s="31"/>
      <c r="OW80" s="31"/>
      <c r="OX80" s="31"/>
    </row>
    <row r="81" spans="2:414" s="25" customFormat="1" ht="15.6">
      <c r="B81" s="25" t="s">
        <v>149</v>
      </c>
      <c r="C81" s="27" t="s">
        <v>150</v>
      </c>
      <c r="D81" s="30" t="s">
        <v>105</v>
      </c>
      <c r="G81" s="42">
        <v>500</v>
      </c>
      <c r="H81" s="89">
        <v>26.109000000000002</v>
      </c>
      <c r="I81" s="38">
        <f t="shared" si="31"/>
        <v>13054.5</v>
      </c>
      <c r="K81" s="42">
        <v>500</v>
      </c>
      <c r="L81" s="90">
        <v>26.849599999999999</v>
      </c>
      <c r="M81" s="38">
        <f t="shared" si="32"/>
        <v>13424.8</v>
      </c>
      <c r="O81" s="38">
        <v>80</v>
      </c>
      <c r="P81" s="38">
        <v>26.728300000000001</v>
      </c>
      <c r="Q81" s="38">
        <f t="shared" si="33"/>
        <v>2138.2640000000001</v>
      </c>
      <c r="R81" s="43">
        <f t="shared" si="41"/>
        <v>1080</v>
      </c>
      <c r="S81" s="38">
        <f t="shared" si="34"/>
        <v>28617.563999999998</v>
      </c>
      <c r="T81" s="49">
        <v>415</v>
      </c>
      <c r="U81" s="42">
        <v>26.0579</v>
      </c>
      <c r="V81" s="38">
        <f t="shared" si="18"/>
        <v>10814.0285</v>
      </c>
      <c r="W81" s="42">
        <v>85</v>
      </c>
      <c r="X81" s="42">
        <v>25.883199999999999</v>
      </c>
      <c r="Y81" s="38">
        <f t="shared" si="17"/>
        <v>2200.0719999999997</v>
      </c>
      <c r="Z81" s="42">
        <v>300</v>
      </c>
      <c r="AA81" s="42">
        <v>26.811499999999999</v>
      </c>
      <c r="AB81" s="42">
        <f t="shared" si="28"/>
        <v>8043.45</v>
      </c>
      <c r="AD81" s="42"/>
      <c r="AE81" s="42"/>
      <c r="AF81" s="42">
        <v>5400</v>
      </c>
      <c r="AG81" s="42"/>
      <c r="AH81" s="42"/>
      <c r="AI81" s="42"/>
      <c r="AJ81" s="42">
        <f t="shared" si="35"/>
        <v>0</v>
      </c>
      <c r="AL81" s="42"/>
      <c r="AM81" s="42"/>
      <c r="AN81" s="42">
        <f t="shared" si="30"/>
        <v>0</v>
      </c>
      <c r="AO81" s="44"/>
      <c r="AP81" s="42"/>
      <c r="AQ81" s="42"/>
      <c r="AR81" s="42"/>
      <c r="AU81" s="98"/>
      <c r="AV81" s="35"/>
      <c r="AW81" s="104"/>
      <c r="AX81" s="42"/>
      <c r="AY81" s="42"/>
      <c r="AZ81" s="42">
        <f t="shared" si="27"/>
        <v>0</v>
      </c>
      <c r="BA81" s="42"/>
      <c r="BB81" s="42"/>
      <c r="BC81" s="42"/>
      <c r="BD81" s="38">
        <f t="shared" si="36"/>
        <v>0</v>
      </c>
      <c r="BE81" s="42"/>
      <c r="BF81" s="42"/>
      <c r="BG81" s="42"/>
      <c r="BH81" s="38">
        <f t="shared" si="37"/>
        <v>0</v>
      </c>
      <c r="BI81" s="42"/>
      <c r="BJ81" s="42"/>
      <c r="BK81" s="42"/>
      <c r="BL81" s="38">
        <f t="shared" si="38"/>
        <v>0</v>
      </c>
      <c r="BM81" s="42"/>
      <c r="BN81" s="42"/>
      <c r="BO81" s="42"/>
      <c r="BP81" s="42"/>
      <c r="BR81" s="42">
        <f t="shared" si="39"/>
        <v>26457.550500000001</v>
      </c>
      <c r="BS81" s="43">
        <f t="shared" si="40"/>
        <v>2160.0134999999973</v>
      </c>
      <c r="BT81" s="43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  <c r="IL81" s="31"/>
      <c r="IM81" s="31"/>
      <c r="IN81" s="31"/>
      <c r="IO81" s="31"/>
      <c r="IP81" s="31"/>
      <c r="IQ81" s="31"/>
      <c r="IR81" s="31"/>
      <c r="IS81" s="31"/>
      <c r="IT81" s="31"/>
      <c r="IU81" s="31"/>
      <c r="IV81" s="31"/>
      <c r="IW81" s="31"/>
      <c r="IX81" s="31"/>
      <c r="IY81" s="31"/>
      <c r="IZ81" s="31"/>
      <c r="JA81" s="31"/>
      <c r="JB81" s="31"/>
      <c r="JC81" s="31"/>
      <c r="JD81" s="31"/>
      <c r="JE81" s="31"/>
      <c r="JF81" s="31"/>
      <c r="JG81" s="31"/>
      <c r="JH81" s="31"/>
      <c r="JI81" s="31"/>
      <c r="JJ81" s="31"/>
      <c r="JK81" s="31"/>
      <c r="JL81" s="31"/>
      <c r="JM81" s="31"/>
      <c r="JN81" s="31"/>
      <c r="JO81" s="31"/>
      <c r="JP81" s="31"/>
      <c r="JQ81" s="31"/>
      <c r="JR81" s="31"/>
      <c r="JS81" s="31"/>
      <c r="JT81" s="31"/>
      <c r="JU81" s="31"/>
      <c r="JV81" s="31"/>
      <c r="JW81" s="31"/>
      <c r="JX81" s="31"/>
      <c r="JY81" s="31"/>
      <c r="JZ81" s="31"/>
      <c r="KA81" s="31"/>
      <c r="KB81" s="31"/>
      <c r="KC81" s="31"/>
      <c r="KD81" s="31"/>
      <c r="KE81" s="31"/>
      <c r="KF81" s="31"/>
      <c r="KG81" s="31"/>
      <c r="KH81" s="31"/>
      <c r="KI81" s="31"/>
      <c r="KJ81" s="31"/>
      <c r="KK81" s="31"/>
      <c r="KL81" s="31"/>
      <c r="KM81" s="31"/>
      <c r="KN81" s="31"/>
      <c r="KO81" s="31"/>
      <c r="KP81" s="31"/>
      <c r="KQ81" s="31"/>
      <c r="KR81" s="31"/>
      <c r="KS81" s="31"/>
      <c r="KT81" s="31"/>
      <c r="KU81" s="31"/>
      <c r="KV81" s="31"/>
      <c r="KW81" s="31"/>
      <c r="KX81" s="31"/>
      <c r="KY81" s="31"/>
      <c r="KZ81" s="31"/>
      <c r="LA81" s="31"/>
      <c r="LB81" s="31"/>
      <c r="LC81" s="31"/>
      <c r="LD81" s="31"/>
      <c r="LE81" s="31"/>
      <c r="LF81" s="31"/>
      <c r="LG81" s="31"/>
      <c r="LH81" s="31"/>
      <c r="LI81" s="31"/>
      <c r="LJ81" s="31"/>
      <c r="LK81" s="31"/>
      <c r="LL81" s="31"/>
      <c r="LM81" s="31"/>
      <c r="LN81" s="31"/>
      <c r="LO81" s="31"/>
      <c r="LP81" s="31"/>
      <c r="LQ81" s="31"/>
      <c r="LR81" s="31"/>
      <c r="LS81" s="31"/>
      <c r="LT81" s="31"/>
      <c r="LU81" s="31"/>
      <c r="LV81" s="31"/>
      <c r="LW81" s="31"/>
      <c r="LX81" s="31"/>
      <c r="LY81" s="31"/>
      <c r="LZ81" s="31"/>
      <c r="MA81" s="31"/>
      <c r="MB81" s="31"/>
      <c r="MC81" s="31"/>
      <c r="MD81" s="31"/>
      <c r="ME81" s="31"/>
      <c r="MF81" s="31"/>
      <c r="MG81" s="31"/>
      <c r="MH81" s="31"/>
      <c r="MI81" s="31"/>
      <c r="MJ81" s="31"/>
      <c r="MK81" s="31"/>
      <c r="ML81" s="31"/>
      <c r="MM81" s="31"/>
      <c r="MN81" s="31"/>
      <c r="MO81" s="31"/>
      <c r="MP81" s="31"/>
      <c r="MQ81" s="31"/>
      <c r="MR81" s="31"/>
      <c r="MS81" s="31"/>
      <c r="MT81" s="31"/>
      <c r="MU81" s="31"/>
      <c r="MV81" s="31"/>
      <c r="MW81" s="31"/>
      <c r="MX81" s="31"/>
      <c r="MY81" s="31"/>
      <c r="MZ81" s="31"/>
      <c r="NA81" s="31"/>
      <c r="NB81" s="31"/>
      <c r="NC81" s="31"/>
      <c r="ND81" s="31"/>
      <c r="NE81" s="31"/>
      <c r="NF81" s="31"/>
      <c r="NG81" s="31"/>
      <c r="NH81" s="31"/>
      <c r="NI81" s="31"/>
      <c r="NJ81" s="31"/>
      <c r="NK81" s="31"/>
      <c r="NL81" s="31"/>
      <c r="NM81" s="31"/>
      <c r="NN81" s="31"/>
      <c r="NO81" s="31"/>
      <c r="NP81" s="31"/>
      <c r="NQ81" s="31"/>
      <c r="NR81" s="31"/>
      <c r="NS81" s="31"/>
      <c r="NT81" s="31"/>
      <c r="NU81" s="31"/>
      <c r="NV81" s="31"/>
      <c r="NW81" s="31"/>
      <c r="NX81" s="31"/>
      <c r="NY81" s="31"/>
      <c r="NZ81" s="31"/>
      <c r="OA81" s="31"/>
      <c r="OB81" s="31"/>
      <c r="OC81" s="31"/>
      <c r="OD81" s="31"/>
      <c r="OE81" s="31"/>
      <c r="OF81" s="31"/>
      <c r="OG81" s="31"/>
      <c r="OH81" s="31"/>
      <c r="OI81" s="31"/>
      <c r="OJ81" s="31"/>
      <c r="OK81" s="31"/>
      <c r="OL81" s="31"/>
      <c r="OM81" s="31"/>
      <c r="ON81" s="31"/>
      <c r="OO81" s="31"/>
      <c r="OP81" s="31"/>
      <c r="OQ81" s="31"/>
      <c r="OR81" s="31"/>
      <c r="OS81" s="31"/>
      <c r="OT81" s="31"/>
      <c r="OU81" s="31"/>
      <c r="OV81" s="31"/>
      <c r="OW81" s="31"/>
      <c r="OX81" s="31"/>
    </row>
    <row r="82" spans="2:414" s="25" customFormat="1" ht="15.6">
      <c r="B82" s="25" t="s">
        <v>151</v>
      </c>
      <c r="C82" s="27" t="s">
        <v>138</v>
      </c>
      <c r="D82" s="30" t="s">
        <v>105</v>
      </c>
      <c r="G82" s="42">
        <v>500</v>
      </c>
      <c r="H82" s="89">
        <v>26.109000000000002</v>
      </c>
      <c r="I82" s="38">
        <f t="shared" si="31"/>
        <v>13054.5</v>
      </c>
      <c r="K82" s="42">
        <v>500</v>
      </c>
      <c r="L82" s="90">
        <v>26.849599999999999</v>
      </c>
      <c r="M82" s="38">
        <f t="shared" si="32"/>
        <v>13424.8</v>
      </c>
      <c r="O82" s="38">
        <v>80</v>
      </c>
      <c r="P82" s="38">
        <v>26.728300000000001</v>
      </c>
      <c r="Q82" s="38">
        <f t="shared" si="33"/>
        <v>2138.2640000000001</v>
      </c>
      <c r="R82" s="43">
        <f t="shared" si="41"/>
        <v>1080</v>
      </c>
      <c r="S82" s="38">
        <f t="shared" si="34"/>
        <v>28617.563999999998</v>
      </c>
      <c r="T82" s="49">
        <v>415</v>
      </c>
      <c r="U82" s="42">
        <v>26.267499999999998</v>
      </c>
      <c r="V82" s="38">
        <f t="shared" si="18"/>
        <v>10901.012499999999</v>
      </c>
      <c r="W82" s="42">
        <v>85</v>
      </c>
      <c r="X82" s="42">
        <v>26.267499999999998</v>
      </c>
      <c r="Y82" s="38">
        <f t="shared" si="17"/>
        <v>2232.7374999999997</v>
      </c>
      <c r="Z82" s="42">
        <v>200</v>
      </c>
      <c r="AA82" s="42">
        <v>26.8719</v>
      </c>
      <c r="AB82" s="42">
        <f t="shared" si="28"/>
        <v>5374.38</v>
      </c>
      <c r="AD82" s="42">
        <v>300</v>
      </c>
      <c r="AE82" s="42">
        <v>26.921299999999999</v>
      </c>
      <c r="AF82" s="42">
        <f>AD82*AE82</f>
        <v>8076.3899999999994</v>
      </c>
      <c r="AG82" s="42"/>
      <c r="AH82" s="42"/>
      <c r="AI82" s="42"/>
      <c r="AJ82" s="42">
        <f t="shared" si="35"/>
        <v>0</v>
      </c>
      <c r="AL82" s="42"/>
      <c r="AM82" s="42"/>
      <c r="AN82" s="42">
        <f t="shared" si="30"/>
        <v>0</v>
      </c>
      <c r="AO82" s="44"/>
      <c r="AP82" s="42"/>
      <c r="AQ82" s="42"/>
      <c r="AR82" s="42"/>
      <c r="AU82" s="98"/>
      <c r="AV82" s="35"/>
      <c r="AW82" s="104"/>
      <c r="AX82" s="42"/>
      <c r="AY82" s="42"/>
      <c r="AZ82" s="42">
        <f t="shared" si="27"/>
        <v>0</v>
      </c>
      <c r="BA82" s="42"/>
      <c r="BB82" s="42"/>
      <c r="BC82" s="42"/>
      <c r="BD82" s="38">
        <f t="shared" si="36"/>
        <v>0</v>
      </c>
      <c r="BE82" s="42"/>
      <c r="BF82" s="42"/>
      <c r="BG82" s="42"/>
      <c r="BH82" s="38">
        <f t="shared" si="37"/>
        <v>0</v>
      </c>
      <c r="BI82" s="42"/>
      <c r="BJ82" s="42"/>
      <c r="BK82" s="42"/>
      <c r="BL82" s="38">
        <f t="shared" si="38"/>
        <v>0</v>
      </c>
      <c r="BM82" s="42"/>
      <c r="BN82" s="42"/>
      <c r="BO82" s="42"/>
      <c r="BP82" s="42"/>
      <c r="BR82" s="42">
        <f t="shared" si="39"/>
        <v>26584.519999999997</v>
      </c>
      <c r="BS82" s="43">
        <f t="shared" si="40"/>
        <v>2033.0440000000017</v>
      </c>
      <c r="BT82" s="42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  <c r="IL82" s="31"/>
      <c r="IM82" s="31"/>
      <c r="IN82" s="31"/>
      <c r="IO82" s="31"/>
      <c r="IP82" s="31"/>
      <c r="IQ82" s="31"/>
      <c r="IR82" s="31"/>
      <c r="IS82" s="31"/>
      <c r="IT82" s="31"/>
      <c r="IU82" s="31"/>
      <c r="IV82" s="31"/>
      <c r="IW82" s="31"/>
      <c r="IX82" s="31"/>
      <c r="IY82" s="31"/>
      <c r="IZ82" s="31"/>
      <c r="JA82" s="31"/>
      <c r="JB82" s="31"/>
      <c r="JC82" s="31"/>
      <c r="JD82" s="31"/>
      <c r="JE82" s="31"/>
      <c r="JF82" s="31"/>
      <c r="JG82" s="31"/>
      <c r="JH82" s="31"/>
      <c r="JI82" s="31"/>
      <c r="JJ82" s="31"/>
      <c r="JK82" s="31"/>
      <c r="JL82" s="31"/>
      <c r="JM82" s="31"/>
      <c r="JN82" s="31"/>
      <c r="JO82" s="31"/>
      <c r="JP82" s="31"/>
      <c r="JQ82" s="31"/>
      <c r="JR82" s="31"/>
      <c r="JS82" s="31"/>
      <c r="JT82" s="31"/>
      <c r="JU82" s="31"/>
      <c r="JV82" s="31"/>
      <c r="JW82" s="31"/>
      <c r="JX82" s="31"/>
      <c r="JY82" s="31"/>
      <c r="JZ82" s="31"/>
      <c r="KA82" s="31"/>
      <c r="KB82" s="31"/>
      <c r="KC82" s="31"/>
      <c r="KD82" s="31"/>
      <c r="KE82" s="31"/>
      <c r="KF82" s="31"/>
      <c r="KG82" s="31"/>
      <c r="KH82" s="31"/>
      <c r="KI82" s="31"/>
      <c r="KJ82" s="31"/>
      <c r="KK82" s="31"/>
      <c r="KL82" s="31"/>
      <c r="KM82" s="31"/>
      <c r="KN82" s="31"/>
      <c r="KO82" s="31"/>
      <c r="KP82" s="31"/>
      <c r="KQ82" s="31"/>
      <c r="KR82" s="31"/>
      <c r="KS82" s="31"/>
      <c r="KT82" s="31"/>
      <c r="KU82" s="31"/>
      <c r="KV82" s="31"/>
      <c r="KW82" s="31"/>
      <c r="KX82" s="31"/>
      <c r="KY82" s="31"/>
      <c r="KZ82" s="31"/>
      <c r="LA82" s="31"/>
      <c r="LB82" s="31"/>
      <c r="LC82" s="31"/>
      <c r="LD82" s="31"/>
      <c r="LE82" s="31"/>
      <c r="LF82" s="31"/>
      <c r="LG82" s="31"/>
      <c r="LH82" s="31"/>
      <c r="LI82" s="31"/>
      <c r="LJ82" s="31"/>
      <c r="LK82" s="31"/>
      <c r="LL82" s="31"/>
      <c r="LM82" s="31"/>
      <c r="LN82" s="31"/>
      <c r="LO82" s="31"/>
      <c r="LP82" s="31"/>
      <c r="LQ82" s="31"/>
      <c r="LR82" s="31"/>
      <c r="LS82" s="31"/>
      <c r="LT82" s="31"/>
      <c r="LU82" s="31"/>
      <c r="LV82" s="31"/>
      <c r="LW82" s="31"/>
      <c r="LX82" s="31"/>
      <c r="LY82" s="31"/>
      <c r="LZ82" s="31"/>
      <c r="MA82" s="31"/>
      <c r="MB82" s="31"/>
      <c r="MC82" s="31"/>
      <c r="MD82" s="31"/>
      <c r="ME82" s="31"/>
      <c r="MF82" s="31"/>
      <c r="MG82" s="31"/>
      <c r="MH82" s="31"/>
      <c r="MI82" s="31"/>
      <c r="MJ82" s="31"/>
      <c r="MK82" s="31"/>
      <c r="ML82" s="31"/>
      <c r="MM82" s="31"/>
      <c r="MN82" s="31"/>
      <c r="MO82" s="31"/>
      <c r="MP82" s="31"/>
      <c r="MQ82" s="31"/>
      <c r="MR82" s="31"/>
      <c r="MS82" s="31"/>
      <c r="MT82" s="31"/>
      <c r="MU82" s="31"/>
      <c r="MV82" s="31"/>
      <c r="MW82" s="31"/>
      <c r="MX82" s="31"/>
      <c r="MY82" s="31"/>
      <c r="MZ82" s="31"/>
      <c r="NA82" s="31"/>
      <c r="NB82" s="31"/>
      <c r="NC82" s="31"/>
      <c r="ND82" s="31"/>
      <c r="NE82" s="31"/>
      <c r="NF82" s="31"/>
      <c r="NG82" s="31"/>
      <c r="NH82" s="31"/>
      <c r="NI82" s="31"/>
      <c r="NJ82" s="31"/>
      <c r="NK82" s="31"/>
      <c r="NL82" s="31"/>
      <c r="NM82" s="31"/>
      <c r="NN82" s="31"/>
      <c r="NO82" s="31"/>
      <c r="NP82" s="31"/>
      <c r="NQ82" s="31"/>
      <c r="NR82" s="31"/>
      <c r="NS82" s="31"/>
      <c r="NT82" s="31"/>
      <c r="NU82" s="31"/>
      <c r="NV82" s="31"/>
      <c r="NW82" s="31"/>
      <c r="NX82" s="31"/>
      <c r="NY82" s="31"/>
      <c r="NZ82" s="31"/>
      <c r="OA82" s="31"/>
      <c r="OB82" s="31"/>
      <c r="OC82" s="31"/>
      <c r="OD82" s="31"/>
      <c r="OE82" s="31"/>
      <c r="OF82" s="31"/>
      <c r="OG82" s="31"/>
      <c r="OH82" s="31"/>
      <c r="OI82" s="31"/>
      <c r="OJ82" s="31"/>
      <c r="OK82" s="31"/>
      <c r="OL82" s="31"/>
      <c r="OM82" s="31"/>
      <c r="ON82" s="31"/>
      <c r="OO82" s="31"/>
      <c r="OP82" s="31"/>
      <c r="OQ82" s="31"/>
      <c r="OR82" s="31"/>
      <c r="OS82" s="31"/>
      <c r="OT82" s="31"/>
      <c r="OU82" s="31"/>
      <c r="OV82" s="31"/>
      <c r="OW82" s="31"/>
      <c r="OX82" s="31"/>
    </row>
    <row r="83" spans="2:414" s="25" customFormat="1" ht="15.6">
      <c r="B83" s="25" t="s">
        <v>154</v>
      </c>
      <c r="C83" s="27" t="s">
        <v>153</v>
      </c>
      <c r="D83" s="30" t="s">
        <v>105</v>
      </c>
      <c r="G83" s="42">
        <v>500</v>
      </c>
      <c r="H83" s="89">
        <v>26.109000000000002</v>
      </c>
      <c r="I83" s="38">
        <f t="shared" si="31"/>
        <v>13054.5</v>
      </c>
      <c r="K83" s="42">
        <v>500</v>
      </c>
      <c r="L83" s="90">
        <v>26.849599999999999</v>
      </c>
      <c r="M83" s="38">
        <f t="shared" si="32"/>
        <v>13424.8</v>
      </c>
      <c r="O83" s="38">
        <v>80</v>
      </c>
      <c r="P83" s="38">
        <v>26.728300000000001</v>
      </c>
      <c r="Q83" s="38">
        <f t="shared" si="33"/>
        <v>2138.2640000000001</v>
      </c>
      <c r="R83" s="43">
        <f t="shared" si="41"/>
        <v>1080</v>
      </c>
      <c r="S83" s="38">
        <f t="shared" si="34"/>
        <v>28617.563999999998</v>
      </c>
      <c r="T83" s="49">
        <v>300</v>
      </c>
      <c r="U83" s="42">
        <v>25.826699999999999</v>
      </c>
      <c r="V83" s="38">
        <f t="shared" si="18"/>
        <v>7748.0099999999993</v>
      </c>
      <c r="W83" s="42">
        <v>115</v>
      </c>
      <c r="X83" s="42">
        <v>26.674900000000001</v>
      </c>
      <c r="Y83" s="38">
        <f t="shared" si="17"/>
        <v>3067.6134999999999</v>
      </c>
      <c r="Z83" s="42">
        <v>85</v>
      </c>
      <c r="AA83" s="42">
        <v>26.7807</v>
      </c>
      <c r="AB83" s="42">
        <f t="shared" si="28"/>
        <v>2276.3595</v>
      </c>
      <c r="AD83" s="42">
        <v>300</v>
      </c>
      <c r="AE83" s="42">
        <v>26.805099999999999</v>
      </c>
      <c r="AF83" s="42">
        <f t="shared" ref="AF83:AF106" si="42">AD83*AE83</f>
        <v>8041.53</v>
      </c>
      <c r="AG83" s="42"/>
      <c r="AH83" s="42">
        <v>200</v>
      </c>
      <c r="AI83" s="42">
        <v>26.861899999999999</v>
      </c>
      <c r="AJ83" s="42">
        <f t="shared" si="35"/>
        <v>5372.38</v>
      </c>
      <c r="AL83" s="42"/>
      <c r="AM83" s="42"/>
      <c r="AN83" s="42">
        <f t="shared" si="30"/>
        <v>0</v>
      </c>
      <c r="AO83" s="44"/>
      <c r="AP83" s="42"/>
      <c r="AQ83" s="42"/>
      <c r="AR83" s="42"/>
      <c r="AU83" s="98"/>
      <c r="AV83" s="35"/>
      <c r="AW83" s="104"/>
      <c r="AX83" s="42"/>
      <c r="AY83" s="42"/>
      <c r="AZ83" s="42">
        <f t="shared" si="27"/>
        <v>0</v>
      </c>
      <c r="BA83" s="42"/>
      <c r="BB83" s="42"/>
      <c r="BC83" s="42"/>
      <c r="BD83" s="38">
        <f t="shared" si="36"/>
        <v>0</v>
      </c>
      <c r="BE83" s="42"/>
      <c r="BF83" s="42"/>
      <c r="BG83" s="42"/>
      <c r="BH83" s="38">
        <f t="shared" si="37"/>
        <v>0</v>
      </c>
      <c r="BI83" s="42"/>
      <c r="BJ83" s="42"/>
      <c r="BK83" s="42"/>
      <c r="BL83" s="38">
        <f t="shared" si="38"/>
        <v>0</v>
      </c>
      <c r="BM83" s="42"/>
      <c r="BN83" s="42"/>
      <c r="BO83" s="42"/>
      <c r="BP83" s="42"/>
      <c r="BR83" s="42">
        <f t="shared" si="39"/>
        <v>26505.893</v>
      </c>
      <c r="BS83" s="43">
        <f t="shared" si="40"/>
        <v>2111.6709999999985</v>
      </c>
      <c r="BT83" s="42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  <c r="IL83" s="31"/>
      <c r="IM83" s="31"/>
      <c r="IN83" s="31"/>
      <c r="IO83" s="31"/>
      <c r="IP83" s="31"/>
      <c r="IQ83" s="31"/>
      <c r="IR83" s="31"/>
      <c r="IS83" s="31"/>
      <c r="IT83" s="31"/>
      <c r="IU83" s="31"/>
      <c r="IV83" s="31"/>
      <c r="IW83" s="31"/>
      <c r="IX83" s="31"/>
      <c r="IY83" s="31"/>
      <c r="IZ83" s="31"/>
      <c r="JA83" s="31"/>
      <c r="JB83" s="31"/>
      <c r="JC83" s="31"/>
      <c r="JD83" s="31"/>
      <c r="JE83" s="31"/>
      <c r="JF83" s="31"/>
      <c r="JG83" s="31"/>
      <c r="JH83" s="31"/>
      <c r="JI83" s="31"/>
      <c r="JJ83" s="31"/>
      <c r="JK83" s="31"/>
      <c r="JL83" s="31"/>
      <c r="JM83" s="31"/>
      <c r="JN83" s="31"/>
      <c r="JO83" s="31"/>
      <c r="JP83" s="31"/>
      <c r="JQ83" s="31"/>
      <c r="JR83" s="31"/>
      <c r="JS83" s="31"/>
      <c r="JT83" s="31"/>
      <c r="JU83" s="31"/>
      <c r="JV83" s="31"/>
      <c r="JW83" s="31"/>
      <c r="JX83" s="31"/>
      <c r="JY83" s="31"/>
      <c r="JZ83" s="31"/>
      <c r="KA83" s="31"/>
      <c r="KB83" s="31"/>
      <c r="KC83" s="31"/>
      <c r="KD83" s="31"/>
      <c r="KE83" s="31"/>
      <c r="KF83" s="31"/>
      <c r="KG83" s="31"/>
      <c r="KH83" s="31"/>
      <c r="KI83" s="31"/>
      <c r="KJ83" s="31"/>
      <c r="KK83" s="31"/>
      <c r="KL83" s="31"/>
      <c r="KM83" s="31"/>
      <c r="KN83" s="31"/>
      <c r="KO83" s="31"/>
      <c r="KP83" s="31"/>
      <c r="KQ83" s="31"/>
      <c r="KR83" s="31"/>
      <c r="KS83" s="31"/>
      <c r="KT83" s="31"/>
      <c r="KU83" s="31"/>
      <c r="KV83" s="31"/>
      <c r="KW83" s="31"/>
      <c r="KX83" s="31"/>
      <c r="KY83" s="31"/>
      <c r="KZ83" s="31"/>
      <c r="LA83" s="31"/>
      <c r="LB83" s="31"/>
      <c r="LC83" s="31"/>
      <c r="LD83" s="31"/>
      <c r="LE83" s="31"/>
      <c r="LF83" s="31"/>
      <c r="LG83" s="31"/>
      <c r="LH83" s="31"/>
      <c r="LI83" s="31"/>
      <c r="LJ83" s="31"/>
      <c r="LK83" s="31"/>
      <c r="LL83" s="31"/>
      <c r="LM83" s="31"/>
      <c r="LN83" s="31"/>
      <c r="LO83" s="31"/>
      <c r="LP83" s="31"/>
      <c r="LQ83" s="31"/>
      <c r="LR83" s="31"/>
      <c r="LS83" s="31"/>
      <c r="LT83" s="31"/>
      <c r="LU83" s="31"/>
      <c r="LV83" s="31"/>
      <c r="LW83" s="31"/>
      <c r="LX83" s="31"/>
      <c r="LY83" s="31"/>
      <c r="LZ83" s="31"/>
      <c r="MA83" s="31"/>
      <c r="MB83" s="31"/>
      <c r="MC83" s="31"/>
      <c r="MD83" s="31"/>
      <c r="ME83" s="31"/>
      <c r="MF83" s="31"/>
      <c r="MG83" s="31"/>
      <c r="MH83" s="31"/>
      <c r="MI83" s="31"/>
      <c r="MJ83" s="31"/>
      <c r="MK83" s="31"/>
      <c r="ML83" s="31"/>
      <c r="MM83" s="31"/>
      <c r="MN83" s="31"/>
      <c r="MO83" s="31"/>
      <c r="MP83" s="31"/>
      <c r="MQ83" s="31"/>
      <c r="MR83" s="31"/>
      <c r="MS83" s="31"/>
      <c r="MT83" s="31"/>
      <c r="MU83" s="31"/>
      <c r="MV83" s="31"/>
      <c r="MW83" s="31"/>
      <c r="MX83" s="31"/>
      <c r="MY83" s="31"/>
      <c r="MZ83" s="31"/>
      <c r="NA83" s="31"/>
      <c r="NB83" s="31"/>
      <c r="NC83" s="31"/>
      <c r="ND83" s="31"/>
      <c r="NE83" s="31"/>
      <c r="NF83" s="31"/>
      <c r="NG83" s="31"/>
      <c r="NH83" s="31"/>
      <c r="NI83" s="31"/>
      <c r="NJ83" s="31"/>
      <c r="NK83" s="31"/>
      <c r="NL83" s="31"/>
      <c r="NM83" s="31"/>
      <c r="NN83" s="31"/>
      <c r="NO83" s="31"/>
      <c r="NP83" s="31"/>
      <c r="NQ83" s="31"/>
      <c r="NR83" s="31"/>
      <c r="NS83" s="31"/>
      <c r="NT83" s="31"/>
      <c r="NU83" s="31"/>
      <c r="NV83" s="31"/>
      <c r="NW83" s="31"/>
      <c r="NX83" s="31"/>
      <c r="NY83" s="31"/>
      <c r="NZ83" s="31"/>
      <c r="OA83" s="31"/>
      <c r="OB83" s="31"/>
      <c r="OC83" s="31"/>
      <c r="OD83" s="31"/>
      <c r="OE83" s="31"/>
      <c r="OF83" s="31"/>
      <c r="OG83" s="31"/>
      <c r="OH83" s="31"/>
      <c r="OI83" s="31"/>
      <c r="OJ83" s="31"/>
      <c r="OK83" s="31"/>
      <c r="OL83" s="31"/>
      <c r="OM83" s="31"/>
      <c r="ON83" s="31"/>
      <c r="OO83" s="31"/>
      <c r="OP83" s="31"/>
      <c r="OQ83" s="31"/>
      <c r="OR83" s="31"/>
      <c r="OS83" s="31"/>
      <c r="OT83" s="31"/>
      <c r="OU83" s="31"/>
      <c r="OV83" s="31"/>
      <c r="OW83" s="31"/>
      <c r="OX83" s="31"/>
    </row>
    <row r="84" spans="2:414" s="25" customFormat="1" ht="15.6">
      <c r="B84" s="25" t="s">
        <v>941</v>
      </c>
      <c r="C84" s="27" t="s">
        <v>148</v>
      </c>
      <c r="D84" s="30" t="s">
        <v>105</v>
      </c>
      <c r="G84" s="42">
        <v>500</v>
      </c>
      <c r="H84" s="89">
        <v>26.109000000000002</v>
      </c>
      <c r="I84" s="38">
        <f t="shared" si="31"/>
        <v>13054.5</v>
      </c>
      <c r="K84" s="42">
        <v>500</v>
      </c>
      <c r="L84" s="90">
        <v>26.849599999999999</v>
      </c>
      <c r="M84" s="38">
        <f t="shared" si="32"/>
        <v>13424.8</v>
      </c>
      <c r="O84" s="38">
        <v>80</v>
      </c>
      <c r="P84" s="38">
        <v>26.728300000000001</v>
      </c>
      <c r="Q84" s="38">
        <f t="shared" si="33"/>
        <v>2138.2640000000001</v>
      </c>
      <c r="R84" s="43">
        <f t="shared" si="41"/>
        <v>1080</v>
      </c>
      <c r="S84" s="38">
        <f t="shared" si="34"/>
        <v>28617.563999999998</v>
      </c>
      <c r="T84" s="49">
        <v>315</v>
      </c>
      <c r="U84" s="42">
        <v>25.822600000000001</v>
      </c>
      <c r="V84" s="38">
        <f t="shared" si="18"/>
        <v>8134.1190000000006</v>
      </c>
      <c r="W84" s="42">
        <v>85</v>
      </c>
      <c r="X84" s="42">
        <v>25.822600000000001</v>
      </c>
      <c r="Y84" s="38">
        <f t="shared" si="17"/>
        <v>2194.9210000000003</v>
      </c>
      <c r="Z84" s="42">
        <v>100</v>
      </c>
      <c r="AA84" s="42">
        <v>26.261399999999998</v>
      </c>
      <c r="AB84" s="42">
        <f t="shared" si="28"/>
        <v>2626.14</v>
      </c>
      <c r="AD84" s="42">
        <v>100</v>
      </c>
      <c r="AE84" s="42">
        <v>26.9481</v>
      </c>
      <c r="AF84" s="42">
        <f t="shared" si="42"/>
        <v>2694.81</v>
      </c>
      <c r="AG84" s="42"/>
      <c r="AH84" s="42">
        <v>415</v>
      </c>
      <c r="AI84" s="42">
        <v>26.9481</v>
      </c>
      <c r="AJ84" s="42">
        <f t="shared" si="35"/>
        <v>11183.461499999999</v>
      </c>
      <c r="AL84" s="42"/>
      <c r="AM84" s="42"/>
      <c r="AN84" s="42">
        <f t="shared" si="30"/>
        <v>0</v>
      </c>
      <c r="AO84" s="44"/>
      <c r="AP84" s="42"/>
      <c r="AQ84" s="42"/>
      <c r="AR84" s="42"/>
      <c r="AU84" s="98"/>
      <c r="AV84" s="35"/>
      <c r="AW84" s="104"/>
      <c r="AX84" s="42"/>
      <c r="AY84" s="42"/>
      <c r="AZ84" s="42">
        <f t="shared" si="27"/>
        <v>0</v>
      </c>
      <c r="BA84" s="42"/>
      <c r="BB84" s="42"/>
      <c r="BC84" s="42"/>
      <c r="BD84" s="38">
        <f t="shared" si="36"/>
        <v>0</v>
      </c>
      <c r="BE84" s="42"/>
      <c r="BF84" s="42"/>
      <c r="BG84" s="42"/>
      <c r="BH84" s="38">
        <f t="shared" si="37"/>
        <v>0</v>
      </c>
      <c r="BI84" s="42"/>
      <c r="BJ84" s="42"/>
      <c r="BK84" s="42"/>
      <c r="BL84" s="38">
        <f t="shared" si="38"/>
        <v>0</v>
      </c>
      <c r="BM84" s="42"/>
      <c r="BN84" s="42"/>
      <c r="BO84" s="42"/>
      <c r="BP84" s="42"/>
      <c r="BR84" s="42">
        <f t="shared" si="39"/>
        <v>26833.451499999999</v>
      </c>
      <c r="BS84" s="43">
        <f t="shared" si="40"/>
        <v>1784.1124999999993</v>
      </c>
      <c r="BT84" s="42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  <c r="IL84" s="31"/>
      <c r="IM84" s="31"/>
      <c r="IN84" s="31"/>
      <c r="IO84" s="31"/>
      <c r="IP84" s="31"/>
      <c r="IQ84" s="31"/>
      <c r="IR84" s="31"/>
      <c r="IS84" s="31"/>
      <c r="IT84" s="31"/>
      <c r="IU84" s="31"/>
      <c r="IV84" s="31"/>
      <c r="IW84" s="31"/>
      <c r="IX84" s="31"/>
      <c r="IY84" s="31"/>
      <c r="IZ84" s="31"/>
      <c r="JA84" s="31"/>
      <c r="JB84" s="31"/>
      <c r="JC84" s="31"/>
      <c r="JD84" s="31"/>
      <c r="JE84" s="31"/>
      <c r="JF84" s="31"/>
      <c r="JG84" s="31"/>
      <c r="JH84" s="31"/>
      <c r="JI84" s="31"/>
      <c r="JJ84" s="31"/>
      <c r="JK84" s="31"/>
      <c r="JL84" s="31"/>
      <c r="JM84" s="31"/>
      <c r="JN84" s="31"/>
      <c r="JO84" s="31"/>
      <c r="JP84" s="31"/>
      <c r="JQ84" s="31"/>
      <c r="JR84" s="31"/>
      <c r="JS84" s="31"/>
      <c r="JT84" s="31"/>
      <c r="JU84" s="31"/>
      <c r="JV84" s="31"/>
      <c r="JW84" s="31"/>
      <c r="JX84" s="31"/>
      <c r="JY84" s="31"/>
      <c r="JZ84" s="31"/>
      <c r="KA84" s="31"/>
      <c r="KB84" s="31"/>
      <c r="KC84" s="31"/>
      <c r="KD84" s="31"/>
      <c r="KE84" s="31"/>
      <c r="KF84" s="31"/>
      <c r="KG84" s="31"/>
      <c r="KH84" s="31"/>
      <c r="KI84" s="31"/>
      <c r="KJ84" s="31"/>
      <c r="KK84" s="31"/>
      <c r="KL84" s="31"/>
      <c r="KM84" s="31"/>
      <c r="KN84" s="31"/>
      <c r="KO84" s="31"/>
      <c r="KP84" s="31"/>
      <c r="KQ84" s="31"/>
      <c r="KR84" s="31"/>
      <c r="KS84" s="31"/>
      <c r="KT84" s="31"/>
      <c r="KU84" s="31"/>
      <c r="KV84" s="31"/>
      <c r="KW84" s="31"/>
      <c r="KX84" s="31"/>
      <c r="KY84" s="31"/>
      <c r="KZ84" s="31"/>
      <c r="LA84" s="31"/>
      <c r="LB84" s="31"/>
      <c r="LC84" s="31"/>
      <c r="LD84" s="31"/>
      <c r="LE84" s="31"/>
      <c r="LF84" s="31"/>
      <c r="LG84" s="31"/>
      <c r="LH84" s="31"/>
      <c r="LI84" s="31"/>
      <c r="LJ84" s="31"/>
      <c r="LK84" s="31"/>
      <c r="LL84" s="31"/>
      <c r="LM84" s="31"/>
      <c r="LN84" s="31"/>
      <c r="LO84" s="31"/>
      <c r="LP84" s="31"/>
      <c r="LQ84" s="31"/>
      <c r="LR84" s="31"/>
      <c r="LS84" s="31"/>
      <c r="LT84" s="31"/>
      <c r="LU84" s="31"/>
      <c r="LV84" s="31"/>
      <c r="LW84" s="31"/>
      <c r="LX84" s="31"/>
      <c r="LY84" s="31"/>
      <c r="LZ84" s="31"/>
      <c r="MA84" s="31"/>
      <c r="MB84" s="31"/>
      <c r="MC84" s="31"/>
      <c r="MD84" s="31"/>
      <c r="ME84" s="31"/>
      <c r="MF84" s="31"/>
      <c r="MG84" s="31"/>
      <c r="MH84" s="31"/>
      <c r="MI84" s="31"/>
      <c r="MJ84" s="31"/>
      <c r="MK84" s="31"/>
      <c r="ML84" s="31"/>
      <c r="MM84" s="31"/>
      <c r="MN84" s="31"/>
      <c r="MO84" s="31"/>
      <c r="MP84" s="31"/>
      <c r="MQ84" s="31"/>
      <c r="MR84" s="31"/>
      <c r="MS84" s="31"/>
      <c r="MT84" s="31"/>
      <c r="MU84" s="31"/>
      <c r="MV84" s="31"/>
      <c r="MW84" s="31"/>
      <c r="MX84" s="31"/>
      <c r="MY84" s="31"/>
      <c r="MZ84" s="31"/>
      <c r="NA84" s="31"/>
      <c r="NB84" s="31"/>
      <c r="NC84" s="31"/>
      <c r="ND84" s="31"/>
      <c r="NE84" s="31"/>
      <c r="NF84" s="31"/>
      <c r="NG84" s="31"/>
      <c r="NH84" s="31"/>
      <c r="NI84" s="31"/>
      <c r="NJ84" s="31"/>
      <c r="NK84" s="31"/>
      <c r="NL84" s="31"/>
      <c r="NM84" s="31"/>
      <c r="NN84" s="31"/>
      <c r="NO84" s="31"/>
      <c r="NP84" s="31"/>
      <c r="NQ84" s="31"/>
      <c r="NR84" s="31"/>
      <c r="NS84" s="31"/>
      <c r="NT84" s="31"/>
      <c r="NU84" s="31"/>
      <c r="NV84" s="31"/>
      <c r="NW84" s="31"/>
      <c r="NX84" s="31"/>
      <c r="NY84" s="31"/>
      <c r="NZ84" s="31"/>
      <c r="OA84" s="31"/>
      <c r="OB84" s="31"/>
      <c r="OC84" s="31"/>
      <c r="OD84" s="31"/>
      <c r="OE84" s="31"/>
      <c r="OF84" s="31"/>
      <c r="OG84" s="31"/>
      <c r="OH84" s="31"/>
      <c r="OI84" s="31"/>
      <c r="OJ84" s="31"/>
      <c r="OK84" s="31"/>
      <c r="OL84" s="31"/>
      <c r="OM84" s="31"/>
      <c r="ON84" s="31"/>
      <c r="OO84" s="31"/>
      <c r="OP84" s="31"/>
      <c r="OQ84" s="31"/>
      <c r="OR84" s="31"/>
      <c r="OS84" s="31"/>
      <c r="OT84" s="31"/>
      <c r="OU84" s="31"/>
      <c r="OV84" s="31"/>
      <c r="OW84" s="31"/>
      <c r="OX84" s="31"/>
    </row>
    <row r="85" spans="2:414" s="25" customFormat="1" ht="15.6">
      <c r="B85" s="25" t="s">
        <v>155</v>
      </c>
      <c r="C85" s="27" t="s">
        <v>119</v>
      </c>
      <c r="D85" s="30" t="s">
        <v>105</v>
      </c>
      <c r="G85" s="42">
        <v>500</v>
      </c>
      <c r="H85" s="89">
        <v>26.109000000000002</v>
      </c>
      <c r="I85" s="38">
        <f t="shared" si="31"/>
        <v>13054.5</v>
      </c>
      <c r="K85" s="42">
        <v>500</v>
      </c>
      <c r="L85" s="90">
        <v>26.849599999999999</v>
      </c>
      <c r="M85" s="38">
        <f t="shared" si="32"/>
        <v>13424.8</v>
      </c>
      <c r="O85" s="38">
        <v>80</v>
      </c>
      <c r="P85" s="38">
        <v>26.728300000000001</v>
      </c>
      <c r="Q85" s="38">
        <f t="shared" si="33"/>
        <v>2138.2640000000001</v>
      </c>
      <c r="R85" s="43">
        <f t="shared" si="41"/>
        <v>1080</v>
      </c>
      <c r="S85" s="38">
        <f t="shared" si="34"/>
        <v>28617.563999999998</v>
      </c>
      <c r="T85" s="49">
        <v>415</v>
      </c>
      <c r="U85" s="42">
        <v>26.271599999999999</v>
      </c>
      <c r="V85" s="38">
        <f t="shared" si="18"/>
        <v>10902.714</v>
      </c>
      <c r="W85" s="42">
        <v>85</v>
      </c>
      <c r="X85" s="42">
        <v>26.283100000000001</v>
      </c>
      <c r="Y85" s="38">
        <f t="shared" si="17"/>
        <v>2234.0635000000002</v>
      </c>
      <c r="Z85" s="42">
        <v>415</v>
      </c>
      <c r="AA85" s="42">
        <v>26.891200000000001</v>
      </c>
      <c r="AB85" s="42">
        <f t="shared" si="28"/>
        <v>11159.848</v>
      </c>
      <c r="AD85" s="42">
        <v>85</v>
      </c>
      <c r="AE85" s="42">
        <v>26.940100000000001</v>
      </c>
      <c r="AF85" s="42">
        <f t="shared" si="42"/>
        <v>2289.9085</v>
      </c>
      <c r="AG85" s="42"/>
      <c r="AH85" s="42"/>
      <c r="AI85" s="42"/>
      <c r="AJ85" s="42">
        <f t="shared" si="35"/>
        <v>0</v>
      </c>
      <c r="AL85" s="42"/>
      <c r="AM85" s="42"/>
      <c r="AN85" s="42">
        <f t="shared" si="30"/>
        <v>0</v>
      </c>
      <c r="AO85" s="44"/>
      <c r="AP85" s="42"/>
      <c r="AQ85" s="42"/>
      <c r="AR85" s="42"/>
      <c r="AU85" s="98"/>
      <c r="AV85" s="35"/>
      <c r="AW85" s="104"/>
      <c r="AX85" s="42"/>
      <c r="AY85" s="42"/>
      <c r="AZ85" s="42">
        <f t="shared" si="27"/>
        <v>0</v>
      </c>
      <c r="BA85" s="42"/>
      <c r="BB85" s="42"/>
      <c r="BC85" s="42"/>
      <c r="BD85" s="38">
        <f t="shared" si="36"/>
        <v>0</v>
      </c>
      <c r="BE85" s="42"/>
      <c r="BF85" s="42"/>
      <c r="BG85" s="42"/>
      <c r="BH85" s="38">
        <f t="shared" si="37"/>
        <v>0</v>
      </c>
      <c r="BI85" s="42"/>
      <c r="BJ85" s="42"/>
      <c r="BK85" s="42"/>
      <c r="BL85" s="38">
        <f t="shared" si="38"/>
        <v>0</v>
      </c>
      <c r="BM85" s="42"/>
      <c r="BN85" s="42"/>
      <c r="BO85" s="42"/>
      <c r="BP85" s="42"/>
      <c r="BR85" s="42">
        <f t="shared" si="39"/>
        <v>26586.534000000003</v>
      </c>
      <c r="BS85" s="43">
        <f t="shared" si="40"/>
        <v>2031.0299999999952</v>
      </c>
      <c r="BT85" s="42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  <c r="IL85" s="31"/>
      <c r="IM85" s="31"/>
      <c r="IN85" s="31"/>
      <c r="IO85" s="31"/>
      <c r="IP85" s="31"/>
      <c r="IQ85" s="31"/>
      <c r="IR85" s="31"/>
      <c r="IS85" s="31"/>
      <c r="IT85" s="31"/>
      <c r="IU85" s="31"/>
      <c r="IV85" s="31"/>
      <c r="IW85" s="31"/>
      <c r="IX85" s="31"/>
      <c r="IY85" s="31"/>
      <c r="IZ85" s="31"/>
      <c r="JA85" s="31"/>
      <c r="JB85" s="31"/>
      <c r="JC85" s="31"/>
      <c r="JD85" s="31"/>
      <c r="JE85" s="31"/>
      <c r="JF85" s="31"/>
      <c r="JG85" s="31"/>
      <c r="JH85" s="31"/>
      <c r="JI85" s="31"/>
      <c r="JJ85" s="31"/>
      <c r="JK85" s="31"/>
      <c r="JL85" s="31"/>
      <c r="JM85" s="31"/>
      <c r="JN85" s="31"/>
      <c r="JO85" s="31"/>
      <c r="JP85" s="31"/>
      <c r="JQ85" s="31"/>
      <c r="JR85" s="31"/>
      <c r="JS85" s="31"/>
      <c r="JT85" s="31"/>
      <c r="JU85" s="31"/>
      <c r="JV85" s="31"/>
      <c r="JW85" s="31"/>
      <c r="JX85" s="31"/>
      <c r="JY85" s="31"/>
      <c r="JZ85" s="31"/>
      <c r="KA85" s="31"/>
      <c r="KB85" s="31"/>
      <c r="KC85" s="31"/>
      <c r="KD85" s="31"/>
      <c r="KE85" s="31"/>
      <c r="KF85" s="31"/>
      <c r="KG85" s="31"/>
      <c r="KH85" s="31"/>
      <c r="KI85" s="31"/>
      <c r="KJ85" s="31"/>
      <c r="KK85" s="31"/>
      <c r="KL85" s="31"/>
      <c r="KM85" s="31"/>
      <c r="KN85" s="31"/>
      <c r="KO85" s="31"/>
      <c r="KP85" s="31"/>
      <c r="KQ85" s="31"/>
      <c r="KR85" s="31"/>
      <c r="KS85" s="31"/>
      <c r="KT85" s="31"/>
      <c r="KU85" s="31"/>
      <c r="KV85" s="31"/>
      <c r="KW85" s="31"/>
      <c r="KX85" s="31"/>
      <c r="KY85" s="31"/>
      <c r="KZ85" s="31"/>
      <c r="LA85" s="31"/>
      <c r="LB85" s="31"/>
      <c r="LC85" s="31"/>
      <c r="LD85" s="31"/>
      <c r="LE85" s="31"/>
      <c r="LF85" s="31"/>
      <c r="LG85" s="31"/>
      <c r="LH85" s="31"/>
      <c r="LI85" s="31"/>
      <c r="LJ85" s="31"/>
      <c r="LK85" s="31"/>
      <c r="LL85" s="31"/>
      <c r="LM85" s="31"/>
      <c r="LN85" s="31"/>
      <c r="LO85" s="31"/>
      <c r="LP85" s="31"/>
      <c r="LQ85" s="31"/>
      <c r="LR85" s="31"/>
      <c r="LS85" s="31"/>
      <c r="LT85" s="31"/>
      <c r="LU85" s="31"/>
      <c r="LV85" s="31"/>
      <c r="LW85" s="31"/>
      <c r="LX85" s="31"/>
      <c r="LY85" s="31"/>
      <c r="LZ85" s="31"/>
      <c r="MA85" s="31"/>
      <c r="MB85" s="31"/>
      <c r="MC85" s="31"/>
      <c r="MD85" s="31"/>
      <c r="ME85" s="31"/>
      <c r="MF85" s="31"/>
      <c r="MG85" s="31"/>
      <c r="MH85" s="31"/>
      <c r="MI85" s="31"/>
      <c r="MJ85" s="31"/>
      <c r="MK85" s="31"/>
      <c r="ML85" s="31"/>
      <c r="MM85" s="31"/>
      <c r="MN85" s="31"/>
      <c r="MO85" s="31"/>
      <c r="MP85" s="31"/>
      <c r="MQ85" s="31"/>
      <c r="MR85" s="31"/>
      <c r="MS85" s="31"/>
      <c r="MT85" s="31"/>
      <c r="MU85" s="31"/>
      <c r="MV85" s="31"/>
      <c r="MW85" s="31"/>
      <c r="MX85" s="31"/>
      <c r="MY85" s="31"/>
      <c r="MZ85" s="31"/>
      <c r="NA85" s="31"/>
      <c r="NB85" s="31"/>
      <c r="NC85" s="31"/>
      <c r="ND85" s="31"/>
      <c r="NE85" s="31"/>
      <c r="NF85" s="31"/>
      <c r="NG85" s="31"/>
      <c r="NH85" s="31"/>
      <c r="NI85" s="31"/>
      <c r="NJ85" s="31"/>
      <c r="NK85" s="31"/>
      <c r="NL85" s="31"/>
      <c r="NM85" s="31"/>
      <c r="NN85" s="31"/>
      <c r="NO85" s="31"/>
      <c r="NP85" s="31"/>
      <c r="NQ85" s="31"/>
      <c r="NR85" s="31"/>
      <c r="NS85" s="31"/>
      <c r="NT85" s="31"/>
      <c r="NU85" s="31"/>
      <c r="NV85" s="31"/>
      <c r="NW85" s="31"/>
      <c r="NX85" s="31"/>
      <c r="NY85" s="31"/>
      <c r="NZ85" s="31"/>
      <c r="OA85" s="31"/>
      <c r="OB85" s="31"/>
      <c r="OC85" s="31"/>
      <c r="OD85" s="31"/>
      <c r="OE85" s="31"/>
      <c r="OF85" s="31"/>
      <c r="OG85" s="31"/>
      <c r="OH85" s="31"/>
      <c r="OI85" s="31"/>
      <c r="OJ85" s="31"/>
      <c r="OK85" s="31"/>
      <c r="OL85" s="31"/>
      <c r="OM85" s="31"/>
      <c r="ON85" s="31"/>
      <c r="OO85" s="31"/>
      <c r="OP85" s="31"/>
      <c r="OQ85" s="31"/>
      <c r="OR85" s="31"/>
      <c r="OS85" s="31"/>
      <c r="OT85" s="31"/>
      <c r="OU85" s="31"/>
      <c r="OV85" s="31"/>
      <c r="OW85" s="31"/>
      <c r="OX85" s="31"/>
    </row>
    <row r="86" spans="2:414" s="25" customFormat="1" ht="15.6">
      <c r="B86" s="25" t="s">
        <v>156</v>
      </c>
      <c r="C86" s="27" t="s">
        <v>157</v>
      </c>
      <c r="D86" s="30" t="s">
        <v>105</v>
      </c>
      <c r="G86" s="42">
        <v>500</v>
      </c>
      <c r="H86" s="89">
        <v>26.109000000000002</v>
      </c>
      <c r="I86" s="38">
        <f t="shared" si="31"/>
        <v>13054.5</v>
      </c>
      <c r="K86" s="42">
        <v>500</v>
      </c>
      <c r="L86" s="90">
        <v>26.849599999999999</v>
      </c>
      <c r="M86" s="38">
        <f t="shared" si="32"/>
        <v>13424.8</v>
      </c>
      <c r="O86" s="38">
        <v>80</v>
      </c>
      <c r="P86" s="38">
        <v>26.728300000000001</v>
      </c>
      <c r="Q86" s="38">
        <f t="shared" si="33"/>
        <v>2138.2640000000001</v>
      </c>
      <c r="R86" s="43">
        <f t="shared" si="41"/>
        <v>1080</v>
      </c>
      <c r="S86" s="38">
        <f t="shared" si="34"/>
        <v>28617.563999999998</v>
      </c>
      <c r="T86" s="49">
        <v>85</v>
      </c>
      <c r="U86" s="42">
        <v>26.150300000000001</v>
      </c>
      <c r="V86" s="38">
        <f t="shared" si="18"/>
        <v>2222.7755000000002</v>
      </c>
      <c r="W86" s="42">
        <v>150</v>
      </c>
      <c r="X86" s="42">
        <v>26.9907</v>
      </c>
      <c r="Y86" s="38">
        <f t="shared" si="17"/>
        <v>4048.605</v>
      </c>
      <c r="Z86" s="42">
        <v>260</v>
      </c>
      <c r="AA86" s="42">
        <v>26.991800000000001</v>
      </c>
      <c r="AB86" s="42">
        <f t="shared" si="28"/>
        <v>7017.8680000000004</v>
      </c>
      <c r="AD86" s="42">
        <v>160</v>
      </c>
      <c r="AE86" s="42">
        <v>26.890999999999998</v>
      </c>
      <c r="AF86" s="42">
        <f t="shared" si="42"/>
        <v>4302.5599999999995</v>
      </c>
      <c r="AG86" s="42"/>
      <c r="AH86" s="42">
        <v>90</v>
      </c>
      <c r="AI86" s="42">
        <v>26.839400000000001</v>
      </c>
      <c r="AJ86" s="42">
        <f t="shared" si="35"/>
        <v>2415.5460000000003</v>
      </c>
      <c r="AL86" s="42">
        <v>250</v>
      </c>
      <c r="AM86" s="42">
        <v>26.773199999999999</v>
      </c>
      <c r="AN86" s="42">
        <f t="shared" si="30"/>
        <v>6693.3</v>
      </c>
      <c r="AO86" s="44"/>
      <c r="AP86" s="42"/>
      <c r="AQ86" s="42"/>
      <c r="AR86" s="42"/>
      <c r="AU86" s="98"/>
      <c r="AV86" s="35"/>
      <c r="AW86" s="104"/>
      <c r="AX86" s="42"/>
      <c r="AY86" s="42"/>
      <c r="AZ86" s="42">
        <f t="shared" si="27"/>
        <v>0</v>
      </c>
      <c r="BA86" s="42"/>
      <c r="BB86" s="42"/>
      <c r="BC86" s="42"/>
      <c r="BD86" s="38">
        <f t="shared" si="36"/>
        <v>0</v>
      </c>
      <c r="BE86" s="42"/>
      <c r="BF86" s="42"/>
      <c r="BG86" s="42"/>
      <c r="BH86" s="38">
        <f t="shared" si="37"/>
        <v>0</v>
      </c>
      <c r="BI86" s="42"/>
      <c r="BJ86" s="42"/>
      <c r="BK86" s="42"/>
      <c r="BL86" s="38">
        <f t="shared" si="38"/>
        <v>0</v>
      </c>
      <c r="BM86" s="42"/>
      <c r="BN86" s="42"/>
      <c r="BO86" s="42"/>
      <c r="BP86" s="42"/>
      <c r="BR86" s="42">
        <f t="shared" si="39"/>
        <v>26700.654500000001</v>
      </c>
      <c r="BS86" s="43">
        <f t="shared" si="40"/>
        <v>1916.9094999999979</v>
      </c>
      <c r="BT86" s="43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  <c r="IL86" s="31"/>
      <c r="IM86" s="31"/>
      <c r="IN86" s="31"/>
      <c r="IO86" s="31"/>
      <c r="IP86" s="31"/>
      <c r="IQ86" s="31"/>
      <c r="IR86" s="31"/>
      <c r="IS86" s="31"/>
      <c r="IT86" s="31"/>
      <c r="IU86" s="31"/>
      <c r="IV86" s="31"/>
      <c r="IW86" s="31"/>
      <c r="IX86" s="31"/>
      <c r="IY86" s="31"/>
      <c r="IZ86" s="31"/>
      <c r="JA86" s="31"/>
      <c r="JB86" s="31"/>
      <c r="JC86" s="31"/>
      <c r="JD86" s="31"/>
      <c r="JE86" s="31"/>
      <c r="JF86" s="31"/>
      <c r="JG86" s="31"/>
      <c r="JH86" s="31"/>
      <c r="JI86" s="31"/>
      <c r="JJ86" s="31"/>
      <c r="JK86" s="31"/>
      <c r="JL86" s="31"/>
      <c r="JM86" s="31"/>
      <c r="JN86" s="31"/>
      <c r="JO86" s="31"/>
      <c r="JP86" s="31"/>
      <c r="JQ86" s="31"/>
      <c r="JR86" s="31"/>
      <c r="JS86" s="31"/>
      <c r="JT86" s="31"/>
      <c r="JU86" s="31"/>
      <c r="JV86" s="31"/>
      <c r="JW86" s="31"/>
      <c r="JX86" s="31"/>
      <c r="JY86" s="31"/>
      <c r="JZ86" s="31"/>
      <c r="KA86" s="31"/>
      <c r="KB86" s="31"/>
      <c r="KC86" s="31"/>
      <c r="KD86" s="31"/>
      <c r="KE86" s="31"/>
      <c r="KF86" s="31"/>
      <c r="KG86" s="31"/>
      <c r="KH86" s="31"/>
      <c r="KI86" s="31"/>
      <c r="KJ86" s="31"/>
      <c r="KK86" s="31"/>
      <c r="KL86" s="31"/>
      <c r="KM86" s="31"/>
      <c r="KN86" s="31"/>
      <c r="KO86" s="31"/>
      <c r="KP86" s="31"/>
      <c r="KQ86" s="31"/>
      <c r="KR86" s="31"/>
      <c r="KS86" s="31"/>
      <c r="KT86" s="31"/>
      <c r="KU86" s="31"/>
      <c r="KV86" s="31"/>
      <c r="KW86" s="31"/>
      <c r="KX86" s="31"/>
      <c r="KY86" s="31"/>
      <c r="KZ86" s="31"/>
      <c r="LA86" s="31"/>
      <c r="LB86" s="31"/>
      <c r="LC86" s="31"/>
      <c r="LD86" s="31"/>
      <c r="LE86" s="31"/>
      <c r="LF86" s="31"/>
      <c r="LG86" s="31"/>
      <c r="LH86" s="31"/>
      <c r="LI86" s="31"/>
      <c r="LJ86" s="31"/>
      <c r="LK86" s="31"/>
      <c r="LL86" s="31"/>
      <c r="LM86" s="31"/>
      <c r="LN86" s="31"/>
      <c r="LO86" s="31"/>
      <c r="LP86" s="31"/>
      <c r="LQ86" s="31"/>
      <c r="LR86" s="31"/>
      <c r="LS86" s="31"/>
      <c r="LT86" s="31"/>
      <c r="LU86" s="31"/>
      <c r="LV86" s="31"/>
      <c r="LW86" s="31"/>
      <c r="LX86" s="31"/>
      <c r="LY86" s="31"/>
      <c r="LZ86" s="31"/>
      <c r="MA86" s="31"/>
      <c r="MB86" s="31"/>
      <c r="MC86" s="31"/>
      <c r="MD86" s="31"/>
      <c r="ME86" s="31"/>
      <c r="MF86" s="31"/>
      <c r="MG86" s="31"/>
      <c r="MH86" s="31"/>
      <c r="MI86" s="31"/>
      <c r="MJ86" s="31"/>
      <c r="MK86" s="31"/>
      <c r="ML86" s="31"/>
      <c r="MM86" s="31"/>
      <c r="MN86" s="31"/>
      <c r="MO86" s="31"/>
      <c r="MP86" s="31"/>
      <c r="MQ86" s="31"/>
      <c r="MR86" s="31"/>
      <c r="MS86" s="31"/>
      <c r="MT86" s="31"/>
      <c r="MU86" s="31"/>
      <c r="MV86" s="31"/>
      <c r="MW86" s="31"/>
      <c r="MX86" s="31"/>
      <c r="MY86" s="31"/>
      <c r="MZ86" s="31"/>
      <c r="NA86" s="31"/>
      <c r="NB86" s="31"/>
      <c r="NC86" s="31"/>
      <c r="ND86" s="31"/>
      <c r="NE86" s="31"/>
      <c r="NF86" s="31"/>
      <c r="NG86" s="31"/>
      <c r="NH86" s="31"/>
      <c r="NI86" s="31"/>
      <c r="NJ86" s="31"/>
      <c r="NK86" s="31"/>
      <c r="NL86" s="31"/>
      <c r="NM86" s="31"/>
      <c r="NN86" s="31"/>
      <c r="NO86" s="31"/>
      <c r="NP86" s="31"/>
      <c r="NQ86" s="31"/>
      <c r="NR86" s="31"/>
      <c r="NS86" s="31"/>
      <c r="NT86" s="31"/>
      <c r="NU86" s="31"/>
      <c r="NV86" s="31"/>
      <c r="NW86" s="31"/>
      <c r="NX86" s="31"/>
      <c r="NY86" s="31"/>
      <c r="NZ86" s="31"/>
      <c r="OA86" s="31"/>
      <c r="OB86" s="31"/>
      <c r="OC86" s="31"/>
      <c r="OD86" s="31"/>
      <c r="OE86" s="31"/>
      <c r="OF86" s="31"/>
      <c r="OG86" s="31"/>
      <c r="OH86" s="31"/>
      <c r="OI86" s="31"/>
      <c r="OJ86" s="31"/>
      <c r="OK86" s="31"/>
      <c r="OL86" s="31"/>
      <c r="OM86" s="31"/>
      <c r="ON86" s="31"/>
      <c r="OO86" s="31"/>
      <c r="OP86" s="31"/>
      <c r="OQ86" s="31"/>
      <c r="OR86" s="31"/>
      <c r="OS86" s="31"/>
      <c r="OT86" s="31"/>
      <c r="OU86" s="31"/>
      <c r="OV86" s="31"/>
      <c r="OW86" s="31"/>
      <c r="OX86" s="31"/>
    </row>
    <row r="87" spans="2:414" s="25" customFormat="1" ht="15.6">
      <c r="B87" s="25" t="s">
        <v>158</v>
      </c>
      <c r="C87" s="27" t="s">
        <v>159</v>
      </c>
      <c r="D87" s="30" t="s">
        <v>105</v>
      </c>
      <c r="G87" s="42">
        <v>500</v>
      </c>
      <c r="H87" s="89">
        <v>26.109000000000002</v>
      </c>
      <c r="I87" s="38">
        <f t="shared" si="31"/>
        <v>13054.5</v>
      </c>
      <c r="K87" s="42">
        <v>500</v>
      </c>
      <c r="L87" s="90">
        <v>26.849599999999999</v>
      </c>
      <c r="M87" s="38">
        <f t="shared" si="32"/>
        <v>13424.8</v>
      </c>
      <c r="O87" s="38">
        <v>80</v>
      </c>
      <c r="P87" s="38">
        <v>26.728300000000001</v>
      </c>
      <c r="Q87" s="38">
        <f t="shared" si="33"/>
        <v>2138.2640000000001</v>
      </c>
      <c r="R87" s="43">
        <f t="shared" si="41"/>
        <v>1080</v>
      </c>
      <c r="S87" s="38">
        <f t="shared" si="34"/>
        <v>28617.563999999998</v>
      </c>
      <c r="T87" s="49">
        <v>415</v>
      </c>
      <c r="U87" s="42">
        <v>26.194800000000001</v>
      </c>
      <c r="V87" s="38">
        <f t="shared" si="18"/>
        <v>10870.842000000001</v>
      </c>
      <c r="W87" s="42">
        <v>85</v>
      </c>
      <c r="X87" s="42">
        <v>26.194800000000001</v>
      </c>
      <c r="Y87" s="38">
        <f t="shared" si="17"/>
        <v>2226.558</v>
      </c>
      <c r="Z87" s="42">
        <v>85</v>
      </c>
      <c r="AA87" s="42">
        <v>26.819299999999998</v>
      </c>
      <c r="AB87" s="42">
        <f t="shared" si="28"/>
        <v>2279.6405</v>
      </c>
      <c r="AD87" s="42">
        <v>415</v>
      </c>
      <c r="AE87" s="42">
        <v>26.778500000000001</v>
      </c>
      <c r="AF87" s="42">
        <f t="shared" si="42"/>
        <v>11113.077500000001</v>
      </c>
      <c r="AG87" s="42"/>
      <c r="AH87" s="42"/>
      <c r="AI87" s="42"/>
      <c r="AJ87" s="42">
        <f t="shared" si="35"/>
        <v>0</v>
      </c>
      <c r="AL87" s="42"/>
      <c r="AM87" s="42"/>
      <c r="AN87" s="42">
        <f t="shared" si="30"/>
        <v>0</v>
      </c>
      <c r="AO87" s="44"/>
      <c r="AP87" s="42"/>
      <c r="AQ87" s="42"/>
      <c r="AR87" s="42"/>
      <c r="AU87" s="98"/>
      <c r="AV87" s="35"/>
      <c r="AW87" s="104"/>
      <c r="AX87" s="42"/>
      <c r="AY87" s="42"/>
      <c r="AZ87" s="42">
        <f t="shared" si="27"/>
        <v>0</v>
      </c>
      <c r="BA87" s="42"/>
      <c r="BB87" s="42"/>
      <c r="BC87" s="42"/>
      <c r="BD87" s="38">
        <f t="shared" si="36"/>
        <v>0</v>
      </c>
      <c r="BE87" s="42"/>
      <c r="BF87" s="42"/>
      <c r="BG87" s="42"/>
      <c r="BH87" s="38">
        <f t="shared" si="37"/>
        <v>0</v>
      </c>
      <c r="BI87" s="42"/>
      <c r="BJ87" s="42"/>
      <c r="BK87" s="42"/>
      <c r="BL87" s="38">
        <f t="shared" si="38"/>
        <v>0</v>
      </c>
      <c r="BM87" s="42"/>
      <c r="BN87" s="42"/>
      <c r="BO87" s="42"/>
      <c r="BP87" s="42"/>
      <c r="BR87" s="42">
        <f t="shared" si="39"/>
        <v>26490.118000000002</v>
      </c>
      <c r="BS87" s="43">
        <f t="shared" si="40"/>
        <v>2127.4459999999963</v>
      </c>
      <c r="BT87" s="42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  <c r="IL87" s="31"/>
      <c r="IM87" s="31"/>
      <c r="IN87" s="31"/>
      <c r="IO87" s="31"/>
      <c r="IP87" s="31"/>
      <c r="IQ87" s="31"/>
      <c r="IR87" s="31"/>
      <c r="IS87" s="31"/>
      <c r="IT87" s="31"/>
      <c r="IU87" s="31"/>
      <c r="IV87" s="31"/>
      <c r="IW87" s="31"/>
      <c r="IX87" s="31"/>
      <c r="IY87" s="31"/>
      <c r="IZ87" s="31"/>
      <c r="JA87" s="31"/>
      <c r="JB87" s="31"/>
      <c r="JC87" s="31"/>
      <c r="JD87" s="31"/>
      <c r="JE87" s="31"/>
      <c r="JF87" s="31"/>
      <c r="JG87" s="31"/>
      <c r="JH87" s="31"/>
      <c r="JI87" s="31"/>
      <c r="JJ87" s="31"/>
      <c r="JK87" s="31"/>
      <c r="JL87" s="31"/>
      <c r="JM87" s="31"/>
      <c r="JN87" s="31"/>
      <c r="JO87" s="31"/>
      <c r="JP87" s="31"/>
      <c r="JQ87" s="31"/>
      <c r="JR87" s="31"/>
      <c r="JS87" s="31"/>
      <c r="JT87" s="31"/>
      <c r="JU87" s="31"/>
      <c r="JV87" s="31"/>
      <c r="JW87" s="31"/>
      <c r="JX87" s="31"/>
      <c r="JY87" s="31"/>
      <c r="JZ87" s="31"/>
      <c r="KA87" s="31"/>
      <c r="KB87" s="31"/>
      <c r="KC87" s="31"/>
      <c r="KD87" s="31"/>
      <c r="KE87" s="31"/>
      <c r="KF87" s="31"/>
      <c r="KG87" s="31"/>
      <c r="KH87" s="31"/>
      <c r="KI87" s="31"/>
      <c r="KJ87" s="31"/>
      <c r="KK87" s="31"/>
      <c r="KL87" s="31"/>
      <c r="KM87" s="31"/>
      <c r="KN87" s="31"/>
      <c r="KO87" s="31"/>
      <c r="KP87" s="31"/>
      <c r="KQ87" s="31"/>
      <c r="KR87" s="31"/>
      <c r="KS87" s="31"/>
      <c r="KT87" s="31"/>
      <c r="KU87" s="31"/>
      <c r="KV87" s="31"/>
      <c r="KW87" s="31"/>
      <c r="KX87" s="31"/>
      <c r="KY87" s="31"/>
      <c r="KZ87" s="31"/>
      <c r="LA87" s="31"/>
      <c r="LB87" s="31"/>
      <c r="LC87" s="31"/>
      <c r="LD87" s="31"/>
      <c r="LE87" s="31"/>
      <c r="LF87" s="31"/>
      <c r="LG87" s="31"/>
      <c r="LH87" s="31"/>
      <c r="LI87" s="31"/>
      <c r="LJ87" s="31"/>
      <c r="LK87" s="31"/>
      <c r="LL87" s="31"/>
      <c r="LM87" s="31"/>
      <c r="LN87" s="31"/>
      <c r="LO87" s="31"/>
      <c r="LP87" s="31"/>
      <c r="LQ87" s="31"/>
      <c r="LR87" s="31"/>
      <c r="LS87" s="31"/>
      <c r="LT87" s="31"/>
      <c r="LU87" s="31"/>
      <c r="LV87" s="31"/>
      <c r="LW87" s="31"/>
      <c r="LX87" s="31"/>
      <c r="LY87" s="31"/>
      <c r="LZ87" s="31"/>
      <c r="MA87" s="31"/>
      <c r="MB87" s="31"/>
      <c r="MC87" s="31"/>
      <c r="MD87" s="31"/>
      <c r="ME87" s="31"/>
      <c r="MF87" s="31"/>
      <c r="MG87" s="31"/>
      <c r="MH87" s="31"/>
      <c r="MI87" s="31"/>
      <c r="MJ87" s="31"/>
      <c r="MK87" s="31"/>
      <c r="ML87" s="31"/>
      <c r="MM87" s="31"/>
      <c r="MN87" s="31"/>
      <c r="MO87" s="31"/>
      <c r="MP87" s="31"/>
      <c r="MQ87" s="31"/>
      <c r="MR87" s="31"/>
      <c r="MS87" s="31"/>
      <c r="MT87" s="31"/>
      <c r="MU87" s="31"/>
      <c r="MV87" s="31"/>
      <c r="MW87" s="31"/>
      <c r="MX87" s="31"/>
      <c r="MY87" s="31"/>
      <c r="MZ87" s="31"/>
      <c r="NA87" s="31"/>
      <c r="NB87" s="31"/>
      <c r="NC87" s="31"/>
      <c r="ND87" s="31"/>
      <c r="NE87" s="31"/>
      <c r="NF87" s="31"/>
      <c r="NG87" s="31"/>
      <c r="NH87" s="31"/>
      <c r="NI87" s="31"/>
      <c r="NJ87" s="31"/>
      <c r="NK87" s="31"/>
      <c r="NL87" s="31"/>
      <c r="NM87" s="31"/>
      <c r="NN87" s="31"/>
      <c r="NO87" s="31"/>
      <c r="NP87" s="31"/>
      <c r="NQ87" s="31"/>
      <c r="NR87" s="31"/>
      <c r="NS87" s="31"/>
      <c r="NT87" s="31"/>
      <c r="NU87" s="31"/>
      <c r="NV87" s="31"/>
      <c r="NW87" s="31"/>
      <c r="NX87" s="31"/>
      <c r="NY87" s="31"/>
      <c r="NZ87" s="31"/>
      <c r="OA87" s="31"/>
      <c r="OB87" s="31"/>
      <c r="OC87" s="31"/>
      <c r="OD87" s="31"/>
      <c r="OE87" s="31"/>
      <c r="OF87" s="31"/>
      <c r="OG87" s="31"/>
      <c r="OH87" s="31"/>
      <c r="OI87" s="31"/>
      <c r="OJ87" s="31"/>
      <c r="OK87" s="31"/>
      <c r="OL87" s="31"/>
      <c r="OM87" s="31"/>
      <c r="ON87" s="31"/>
      <c r="OO87" s="31"/>
      <c r="OP87" s="31"/>
      <c r="OQ87" s="31"/>
      <c r="OR87" s="31"/>
      <c r="OS87" s="31"/>
      <c r="OT87" s="31"/>
      <c r="OU87" s="31"/>
      <c r="OV87" s="31"/>
      <c r="OW87" s="31"/>
      <c r="OX87" s="31"/>
    </row>
    <row r="88" spans="2:414" s="25" customFormat="1" ht="15.6">
      <c r="B88" s="25" t="s">
        <v>160</v>
      </c>
      <c r="C88" s="27" t="s">
        <v>161</v>
      </c>
      <c r="D88" s="30" t="s">
        <v>105</v>
      </c>
      <c r="G88" s="42">
        <v>500</v>
      </c>
      <c r="H88" s="89">
        <v>26.109000000000002</v>
      </c>
      <c r="I88" s="38">
        <f t="shared" si="31"/>
        <v>13054.5</v>
      </c>
      <c r="K88" s="42">
        <v>500</v>
      </c>
      <c r="L88" s="90">
        <v>26.849599999999999</v>
      </c>
      <c r="M88" s="38">
        <f t="shared" si="32"/>
        <v>13424.8</v>
      </c>
      <c r="O88" s="38">
        <v>80</v>
      </c>
      <c r="P88" s="38">
        <v>26.728300000000001</v>
      </c>
      <c r="Q88" s="38">
        <f t="shared" si="33"/>
        <v>2138.2640000000001</v>
      </c>
      <c r="R88" s="43">
        <f t="shared" si="41"/>
        <v>1080</v>
      </c>
      <c r="S88" s="38">
        <f t="shared" si="34"/>
        <v>28617.563999999998</v>
      </c>
      <c r="T88" s="49">
        <v>415</v>
      </c>
      <c r="U88" s="42">
        <v>26.261399999999998</v>
      </c>
      <c r="V88" s="38">
        <f t="shared" si="18"/>
        <v>10898.481</v>
      </c>
      <c r="W88" s="42">
        <v>85</v>
      </c>
      <c r="X88" s="42">
        <v>26.261399999999998</v>
      </c>
      <c r="Y88" s="38">
        <f t="shared" ref="Y88:Y151" si="43">W88*X88</f>
        <v>2232.2190000000001</v>
      </c>
      <c r="Z88" s="42">
        <v>200</v>
      </c>
      <c r="AA88" s="42">
        <v>26.8719</v>
      </c>
      <c r="AB88" s="42">
        <f t="shared" si="28"/>
        <v>5374.38</v>
      </c>
      <c r="AD88" s="42">
        <v>85</v>
      </c>
      <c r="AE88" s="42">
        <v>26.8719</v>
      </c>
      <c r="AF88" s="42">
        <f t="shared" si="42"/>
        <v>2284.1115</v>
      </c>
      <c r="AG88" s="42"/>
      <c r="AH88" s="42">
        <v>215</v>
      </c>
      <c r="AI88" s="42">
        <v>26.8719</v>
      </c>
      <c r="AJ88" s="42">
        <f t="shared" si="35"/>
        <v>5777.4584999999997</v>
      </c>
      <c r="AL88" s="42"/>
      <c r="AM88" s="42"/>
      <c r="AN88" s="42">
        <f t="shared" si="30"/>
        <v>0</v>
      </c>
      <c r="AO88" s="44"/>
      <c r="AP88" s="42"/>
      <c r="AQ88" s="42"/>
      <c r="AR88" s="42"/>
      <c r="AU88" s="98"/>
      <c r="AV88" s="35"/>
      <c r="AW88" s="104"/>
      <c r="AX88" s="42"/>
      <c r="AY88" s="42"/>
      <c r="AZ88" s="42">
        <f t="shared" si="27"/>
        <v>0</v>
      </c>
      <c r="BA88" s="42"/>
      <c r="BB88" s="42"/>
      <c r="BC88" s="42"/>
      <c r="BD88" s="38">
        <f t="shared" si="36"/>
        <v>0</v>
      </c>
      <c r="BE88" s="42"/>
      <c r="BF88" s="42"/>
      <c r="BG88" s="42"/>
      <c r="BH88" s="38">
        <f t="shared" si="37"/>
        <v>0</v>
      </c>
      <c r="BI88" s="42"/>
      <c r="BJ88" s="42"/>
      <c r="BK88" s="42"/>
      <c r="BL88" s="38">
        <f t="shared" si="38"/>
        <v>0</v>
      </c>
      <c r="BM88" s="42"/>
      <c r="BN88" s="42"/>
      <c r="BO88" s="42"/>
      <c r="BP88" s="42"/>
      <c r="BR88" s="42">
        <f t="shared" si="39"/>
        <v>26566.65</v>
      </c>
      <c r="BS88" s="43">
        <f t="shared" si="40"/>
        <v>2050.913999999997</v>
      </c>
      <c r="BT88" s="42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  <c r="IL88" s="31"/>
      <c r="IM88" s="31"/>
      <c r="IN88" s="31"/>
      <c r="IO88" s="31"/>
      <c r="IP88" s="31"/>
      <c r="IQ88" s="31"/>
      <c r="IR88" s="31"/>
      <c r="IS88" s="31"/>
      <c r="IT88" s="31"/>
      <c r="IU88" s="31"/>
      <c r="IV88" s="31"/>
      <c r="IW88" s="31"/>
      <c r="IX88" s="31"/>
      <c r="IY88" s="31"/>
      <c r="IZ88" s="31"/>
      <c r="JA88" s="31"/>
      <c r="JB88" s="31"/>
      <c r="JC88" s="31"/>
      <c r="JD88" s="31"/>
      <c r="JE88" s="31"/>
      <c r="JF88" s="31"/>
      <c r="JG88" s="31"/>
      <c r="JH88" s="31"/>
      <c r="JI88" s="31"/>
      <c r="JJ88" s="31"/>
      <c r="JK88" s="31"/>
      <c r="JL88" s="31"/>
      <c r="JM88" s="31"/>
      <c r="JN88" s="31"/>
      <c r="JO88" s="31"/>
      <c r="JP88" s="31"/>
      <c r="JQ88" s="31"/>
      <c r="JR88" s="31"/>
      <c r="JS88" s="31"/>
      <c r="JT88" s="31"/>
      <c r="JU88" s="31"/>
      <c r="JV88" s="31"/>
      <c r="JW88" s="31"/>
      <c r="JX88" s="31"/>
      <c r="JY88" s="31"/>
      <c r="JZ88" s="31"/>
      <c r="KA88" s="31"/>
      <c r="KB88" s="31"/>
      <c r="KC88" s="31"/>
      <c r="KD88" s="31"/>
      <c r="KE88" s="31"/>
      <c r="KF88" s="31"/>
      <c r="KG88" s="31"/>
      <c r="KH88" s="31"/>
      <c r="KI88" s="31"/>
      <c r="KJ88" s="31"/>
      <c r="KK88" s="31"/>
      <c r="KL88" s="31"/>
      <c r="KM88" s="31"/>
      <c r="KN88" s="31"/>
      <c r="KO88" s="31"/>
      <c r="KP88" s="31"/>
      <c r="KQ88" s="31"/>
      <c r="KR88" s="31"/>
      <c r="KS88" s="31"/>
      <c r="KT88" s="31"/>
      <c r="KU88" s="31"/>
      <c r="KV88" s="31"/>
      <c r="KW88" s="31"/>
      <c r="KX88" s="31"/>
      <c r="KY88" s="31"/>
      <c r="KZ88" s="31"/>
      <c r="LA88" s="31"/>
      <c r="LB88" s="31"/>
      <c r="LC88" s="31"/>
      <c r="LD88" s="31"/>
      <c r="LE88" s="31"/>
      <c r="LF88" s="31"/>
      <c r="LG88" s="31"/>
      <c r="LH88" s="31"/>
      <c r="LI88" s="31"/>
      <c r="LJ88" s="31"/>
      <c r="LK88" s="31"/>
      <c r="LL88" s="31"/>
      <c r="LM88" s="31"/>
      <c r="LN88" s="31"/>
      <c r="LO88" s="31"/>
      <c r="LP88" s="31"/>
      <c r="LQ88" s="31"/>
      <c r="LR88" s="31"/>
      <c r="LS88" s="31"/>
      <c r="LT88" s="31"/>
      <c r="LU88" s="31"/>
      <c r="LV88" s="31"/>
      <c r="LW88" s="31"/>
      <c r="LX88" s="31"/>
      <c r="LY88" s="31"/>
      <c r="LZ88" s="31"/>
      <c r="MA88" s="31"/>
      <c r="MB88" s="31"/>
      <c r="MC88" s="31"/>
      <c r="MD88" s="31"/>
      <c r="ME88" s="31"/>
      <c r="MF88" s="31"/>
      <c r="MG88" s="31"/>
      <c r="MH88" s="31"/>
      <c r="MI88" s="31"/>
      <c r="MJ88" s="31"/>
      <c r="MK88" s="31"/>
      <c r="ML88" s="31"/>
      <c r="MM88" s="31"/>
      <c r="MN88" s="31"/>
      <c r="MO88" s="31"/>
      <c r="MP88" s="31"/>
      <c r="MQ88" s="31"/>
      <c r="MR88" s="31"/>
      <c r="MS88" s="31"/>
      <c r="MT88" s="31"/>
      <c r="MU88" s="31"/>
      <c r="MV88" s="31"/>
      <c r="MW88" s="31"/>
      <c r="MX88" s="31"/>
      <c r="MY88" s="31"/>
      <c r="MZ88" s="31"/>
      <c r="NA88" s="31"/>
      <c r="NB88" s="31"/>
      <c r="NC88" s="31"/>
      <c r="ND88" s="31"/>
      <c r="NE88" s="31"/>
      <c r="NF88" s="31"/>
      <c r="NG88" s="31"/>
      <c r="NH88" s="31"/>
      <c r="NI88" s="31"/>
      <c r="NJ88" s="31"/>
      <c r="NK88" s="31"/>
      <c r="NL88" s="31"/>
      <c r="NM88" s="31"/>
      <c r="NN88" s="31"/>
      <c r="NO88" s="31"/>
      <c r="NP88" s="31"/>
      <c r="NQ88" s="31"/>
      <c r="NR88" s="31"/>
      <c r="NS88" s="31"/>
      <c r="NT88" s="31"/>
      <c r="NU88" s="31"/>
      <c r="NV88" s="31"/>
      <c r="NW88" s="31"/>
      <c r="NX88" s="31"/>
      <c r="NY88" s="31"/>
      <c r="NZ88" s="31"/>
      <c r="OA88" s="31"/>
      <c r="OB88" s="31"/>
      <c r="OC88" s="31"/>
      <c r="OD88" s="31"/>
      <c r="OE88" s="31"/>
      <c r="OF88" s="31"/>
      <c r="OG88" s="31"/>
      <c r="OH88" s="31"/>
      <c r="OI88" s="31"/>
      <c r="OJ88" s="31"/>
      <c r="OK88" s="31"/>
      <c r="OL88" s="31"/>
      <c r="OM88" s="31"/>
      <c r="ON88" s="31"/>
      <c r="OO88" s="31"/>
      <c r="OP88" s="31"/>
      <c r="OQ88" s="31"/>
      <c r="OR88" s="31"/>
      <c r="OS88" s="31"/>
      <c r="OT88" s="31"/>
      <c r="OU88" s="31"/>
      <c r="OV88" s="31"/>
      <c r="OW88" s="31"/>
      <c r="OX88" s="31"/>
    </row>
    <row r="89" spans="2:414" s="25" customFormat="1" ht="15.6">
      <c r="B89" s="25" t="s">
        <v>162</v>
      </c>
      <c r="C89" s="27" t="s">
        <v>163</v>
      </c>
      <c r="D89" s="30" t="s">
        <v>105</v>
      </c>
      <c r="G89" s="42">
        <v>500</v>
      </c>
      <c r="H89" s="89">
        <v>26.109000000000002</v>
      </c>
      <c r="I89" s="38">
        <f t="shared" si="31"/>
        <v>13054.5</v>
      </c>
      <c r="K89" s="42">
        <v>500</v>
      </c>
      <c r="L89" s="90">
        <v>26.849599999999999</v>
      </c>
      <c r="M89" s="38">
        <f t="shared" si="32"/>
        <v>13424.8</v>
      </c>
      <c r="O89" s="38">
        <v>80</v>
      </c>
      <c r="P89" s="38">
        <v>26.728300000000001</v>
      </c>
      <c r="Q89" s="38">
        <f t="shared" si="33"/>
        <v>2138.2640000000001</v>
      </c>
      <c r="R89" s="43">
        <f t="shared" si="41"/>
        <v>1080</v>
      </c>
      <c r="S89" s="38">
        <f t="shared" si="34"/>
        <v>28617.563999999998</v>
      </c>
      <c r="T89" s="49">
        <v>415</v>
      </c>
      <c r="U89" s="42">
        <v>26.261399999999998</v>
      </c>
      <c r="V89" s="38">
        <f t="shared" ref="V89:V152" si="44">T89*U89</f>
        <v>10898.481</v>
      </c>
      <c r="W89" s="42">
        <v>85</v>
      </c>
      <c r="X89" s="42">
        <v>26.109000000000002</v>
      </c>
      <c r="Y89" s="38">
        <f t="shared" si="43"/>
        <v>2219.2650000000003</v>
      </c>
      <c r="Z89" s="42">
        <v>415</v>
      </c>
      <c r="AA89" s="42">
        <v>26.869499999999999</v>
      </c>
      <c r="AB89" s="42">
        <f t="shared" si="28"/>
        <v>11150.842499999999</v>
      </c>
      <c r="AD89" s="42">
        <v>85</v>
      </c>
      <c r="AE89" s="42">
        <v>26.799399999999999</v>
      </c>
      <c r="AF89" s="42">
        <f t="shared" si="42"/>
        <v>2277.9490000000001</v>
      </c>
      <c r="AG89" s="42"/>
      <c r="AH89" s="42"/>
      <c r="AI89" s="42"/>
      <c r="AJ89" s="42">
        <f t="shared" si="35"/>
        <v>0</v>
      </c>
      <c r="AL89" s="42"/>
      <c r="AM89" s="42"/>
      <c r="AN89" s="42">
        <f t="shared" si="30"/>
        <v>0</v>
      </c>
      <c r="AO89" s="44"/>
      <c r="AP89" s="42"/>
      <c r="AQ89" s="42"/>
      <c r="AR89" s="42"/>
      <c r="AU89" s="98"/>
      <c r="AV89" s="35"/>
      <c r="AW89" s="104"/>
      <c r="AX89" s="42"/>
      <c r="AY89" s="42"/>
      <c r="AZ89" s="42">
        <f t="shared" si="27"/>
        <v>0</v>
      </c>
      <c r="BA89" s="42"/>
      <c r="BB89" s="42"/>
      <c r="BC89" s="42"/>
      <c r="BD89" s="38">
        <f t="shared" si="36"/>
        <v>0</v>
      </c>
      <c r="BE89" s="42"/>
      <c r="BF89" s="42"/>
      <c r="BG89" s="42"/>
      <c r="BH89" s="38">
        <f t="shared" si="37"/>
        <v>0</v>
      </c>
      <c r="BI89" s="42"/>
      <c r="BJ89" s="42"/>
      <c r="BK89" s="42"/>
      <c r="BL89" s="38">
        <f t="shared" si="38"/>
        <v>0</v>
      </c>
      <c r="BM89" s="42"/>
      <c r="BN89" s="42"/>
      <c r="BO89" s="42"/>
      <c r="BP89" s="42"/>
      <c r="BR89" s="42">
        <f t="shared" si="39"/>
        <v>26546.537499999999</v>
      </c>
      <c r="BS89" s="43">
        <f t="shared" si="40"/>
        <v>2071.0264999999999</v>
      </c>
      <c r="BT89" s="42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  <c r="IL89" s="31"/>
      <c r="IM89" s="31"/>
      <c r="IN89" s="31"/>
      <c r="IO89" s="31"/>
      <c r="IP89" s="31"/>
      <c r="IQ89" s="31"/>
      <c r="IR89" s="31"/>
      <c r="IS89" s="31"/>
      <c r="IT89" s="31"/>
      <c r="IU89" s="31"/>
      <c r="IV89" s="31"/>
      <c r="IW89" s="31"/>
      <c r="IX89" s="31"/>
      <c r="IY89" s="31"/>
      <c r="IZ89" s="31"/>
      <c r="JA89" s="31"/>
      <c r="JB89" s="31"/>
      <c r="JC89" s="31"/>
      <c r="JD89" s="31"/>
      <c r="JE89" s="31"/>
      <c r="JF89" s="31"/>
      <c r="JG89" s="31"/>
      <c r="JH89" s="31"/>
      <c r="JI89" s="31"/>
      <c r="JJ89" s="31"/>
      <c r="JK89" s="31"/>
      <c r="JL89" s="31"/>
      <c r="JM89" s="31"/>
      <c r="JN89" s="31"/>
      <c r="JO89" s="31"/>
      <c r="JP89" s="31"/>
      <c r="JQ89" s="31"/>
      <c r="JR89" s="31"/>
      <c r="JS89" s="31"/>
      <c r="JT89" s="31"/>
      <c r="JU89" s="31"/>
      <c r="JV89" s="31"/>
      <c r="JW89" s="31"/>
      <c r="JX89" s="31"/>
      <c r="JY89" s="31"/>
      <c r="JZ89" s="31"/>
      <c r="KA89" s="31"/>
      <c r="KB89" s="31"/>
      <c r="KC89" s="31"/>
      <c r="KD89" s="31"/>
      <c r="KE89" s="31"/>
      <c r="KF89" s="31"/>
      <c r="KG89" s="31"/>
      <c r="KH89" s="31"/>
      <c r="KI89" s="31"/>
      <c r="KJ89" s="31"/>
      <c r="KK89" s="31"/>
      <c r="KL89" s="31"/>
      <c r="KM89" s="31"/>
      <c r="KN89" s="31"/>
      <c r="KO89" s="31"/>
      <c r="KP89" s="31"/>
      <c r="KQ89" s="31"/>
      <c r="KR89" s="31"/>
      <c r="KS89" s="31"/>
      <c r="KT89" s="31"/>
      <c r="KU89" s="31"/>
      <c r="KV89" s="31"/>
      <c r="KW89" s="31"/>
      <c r="KX89" s="31"/>
      <c r="KY89" s="31"/>
      <c r="KZ89" s="31"/>
      <c r="LA89" s="31"/>
      <c r="LB89" s="31"/>
      <c r="LC89" s="31"/>
      <c r="LD89" s="31"/>
      <c r="LE89" s="31"/>
      <c r="LF89" s="31"/>
      <c r="LG89" s="31"/>
      <c r="LH89" s="31"/>
      <c r="LI89" s="31"/>
      <c r="LJ89" s="31"/>
      <c r="LK89" s="31"/>
      <c r="LL89" s="31"/>
      <c r="LM89" s="31"/>
      <c r="LN89" s="31"/>
      <c r="LO89" s="31"/>
      <c r="LP89" s="31"/>
      <c r="LQ89" s="31"/>
      <c r="LR89" s="31"/>
      <c r="LS89" s="31"/>
      <c r="LT89" s="31"/>
      <c r="LU89" s="31"/>
      <c r="LV89" s="31"/>
      <c r="LW89" s="31"/>
      <c r="LX89" s="31"/>
      <c r="LY89" s="31"/>
      <c r="LZ89" s="31"/>
      <c r="MA89" s="31"/>
      <c r="MB89" s="31"/>
      <c r="MC89" s="31"/>
      <c r="MD89" s="31"/>
      <c r="ME89" s="31"/>
      <c r="MF89" s="31"/>
      <c r="MG89" s="31"/>
      <c r="MH89" s="31"/>
      <c r="MI89" s="31"/>
      <c r="MJ89" s="31"/>
      <c r="MK89" s="31"/>
      <c r="ML89" s="31"/>
      <c r="MM89" s="31"/>
      <c r="MN89" s="31"/>
      <c r="MO89" s="31"/>
      <c r="MP89" s="31"/>
      <c r="MQ89" s="31"/>
      <c r="MR89" s="31"/>
      <c r="MS89" s="31"/>
      <c r="MT89" s="31"/>
      <c r="MU89" s="31"/>
      <c r="MV89" s="31"/>
      <c r="MW89" s="31"/>
      <c r="MX89" s="31"/>
      <c r="MY89" s="31"/>
      <c r="MZ89" s="31"/>
      <c r="NA89" s="31"/>
      <c r="NB89" s="31"/>
      <c r="NC89" s="31"/>
      <c r="ND89" s="31"/>
      <c r="NE89" s="31"/>
      <c r="NF89" s="31"/>
      <c r="NG89" s="31"/>
      <c r="NH89" s="31"/>
      <c r="NI89" s="31"/>
      <c r="NJ89" s="31"/>
      <c r="NK89" s="31"/>
      <c r="NL89" s="31"/>
      <c r="NM89" s="31"/>
      <c r="NN89" s="31"/>
      <c r="NO89" s="31"/>
      <c r="NP89" s="31"/>
      <c r="NQ89" s="31"/>
      <c r="NR89" s="31"/>
      <c r="NS89" s="31"/>
      <c r="NT89" s="31"/>
      <c r="NU89" s="31"/>
      <c r="NV89" s="31"/>
      <c r="NW89" s="31"/>
      <c r="NX89" s="31"/>
      <c r="NY89" s="31"/>
      <c r="NZ89" s="31"/>
      <c r="OA89" s="31"/>
      <c r="OB89" s="31"/>
      <c r="OC89" s="31"/>
      <c r="OD89" s="31"/>
      <c r="OE89" s="31"/>
      <c r="OF89" s="31"/>
      <c r="OG89" s="31"/>
      <c r="OH89" s="31"/>
      <c r="OI89" s="31"/>
      <c r="OJ89" s="31"/>
      <c r="OK89" s="31"/>
      <c r="OL89" s="31"/>
      <c r="OM89" s="31"/>
      <c r="ON89" s="31"/>
      <c r="OO89" s="31"/>
      <c r="OP89" s="31"/>
      <c r="OQ89" s="31"/>
      <c r="OR89" s="31"/>
      <c r="OS89" s="31"/>
      <c r="OT89" s="31"/>
      <c r="OU89" s="31"/>
      <c r="OV89" s="31"/>
      <c r="OW89" s="31"/>
      <c r="OX89" s="31"/>
    </row>
    <row r="90" spans="2:414" s="25" customFormat="1" ht="15.6">
      <c r="B90" s="25" t="s">
        <v>164</v>
      </c>
      <c r="C90" s="27" t="s">
        <v>165</v>
      </c>
      <c r="D90" s="30" t="s">
        <v>105</v>
      </c>
      <c r="G90" s="42">
        <v>500</v>
      </c>
      <c r="H90" s="89">
        <v>26.109000000000002</v>
      </c>
      <c r="I90" s="38">
        <f t="shared" si="31"/>
        <v>13054.5</v>
      </c>
      <c r="K90" s="42">
        <v>500</v>
      </c>
      <c r="L90" s="90">
        <v>26.849599999999999</v>
      </c>
      <c r="M90" s="38">
        <f t="shared" si="32"/>
        <v>13424.8</v>
      </c>
      <c r="O90" s="38">
        <v>80</v>
      </c>
      <c r="P90" s="38">
        <v>26.728300000000001</v>
      </c>
      <c r="Q90" s="38">
        <f t="shared" si="33"/>
        <v>2138.2640000000001</v>
      </c>
      <c r="R90" s="43">
        <f t="shared" si="41"/>
        <v>1080</v>
      </c>
      <c r="S90" s="38">
        <f t="shared" si="34"/>
        <v>28617.563999999998</v>
      </c>
      <c r="T90" s="49">
        <v>415</v>
      </c>
      <c r="U90" s="42">
        <v>26.267499999999998</v>
      </c>
      <c r="V90" s="38">
        <f t="shared" si="44"/>
        <v>10901.012499999999</v>
      </c>
      <c r="W90" s="42">
        <v>85</v>
      </c>
      <c r="X90" s="42">
        <v>26.267499999999998</v>
      </c>
      <c r="Y90" s="38">
        <f t="shared" si="43"/>
        <v>2232.7374999999997</v>
      </c>
      <c r="Z90" s="42">
        <v>85</v>
      </c>
      <c r="AA90" s="42">
        <v>26.856000000000002</v>
      </c>
      <c r="AB90" s="42">
        <f t="shared" si="28"/>
        <v>2282.7600000000002</v>
      </c>
      <c r="AD90" s="42">
        <v>415</v>
      </c>
      <c r="AE90" s="42">
        <v>26.856000000000002</v>
      </c>
      <c r="AF90" s="42">
        <f t="shared" si="42"/>
        <v>11145.24</v>
      </c>
      <c r="AG90" s="42"/>
      <c r="AH90" s="42"/>
      <c r="AI90" s="42"/>
      <c r="AJ90" s="42">
        <f t="shared" si="35"/>
        <v>0</v>
      </c>
      <c r="AL90" s="42"/>
      <c r="AM90" s="42"/>
      <c r="AN90" s="42">
        <f t="shared" si="30"/>
        <v>0</v>
      </c>
      <c r="AO90" s="44"/>
      <c r="AP90" s="42"/>
      <c r="AQ90" s="42"/>
      <c r="AR90" s="42"/>
      <c r="AU90" s="98"/>
      <c r="AV90" s="35"/>
      <c r="AW90" s="104"/>
      <c r="AX90" s="42"/>
      <c r="AY90" s="42"/>
      <c r="AZ90" s="42">
        <f t="shared" si="27"/>
        <v>0</v>
      </c>
      <c r="BA90" s="42"/>
      <c r="BB90" s="42"/>
      <c r="BC90" s="42"/>
      <c r="BD90" s="38">
        <f t="shared" si="36"/>
        <v>0</v>
      </c>
      <c r="BE90" s="42"/>
      <c r="BF90" s="42"/>
      <c r="BG90" s="42"/>
      <c r="BH90" s="38">
        <f t="shared" si="37"/>
        <v>0</v>
      </c>
      <c r="BI90" s="42"/>
      <c r="BJ90" s="42"/>
      <c r="BK90" s="42"/>
      <c r="BL90" s="38">
        <f t="shared" si="38"/>
        <v>0</v>
      </c>
      <c r="BM90" s="42"/>
      <c r="BN90" s="42"/>
      <c r="BO90" s="42"/>
      <c r="BP90" s="42"/>
      <c r="BR90" s="42">
        <f t="shared" si="39"/>
        <v>26561.75</v>
      </c>
      <c r="BS90" s="43">
        <f t="shared" si="40"/>
        <v>2055.8139999999985</v>
      </c>
      <c r="BT90" s="43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  <c r="JH90" s="31"/>
      <c r="JI90" s="31"/>
      <c r="JJ90" s="31"/>
      <c r="JK90" s="31"/>
      <c r="JL90" s="31"/>
      <c r="JM90" s="31"/>
      <c r="JN90" s="31"/>
      <c r="JO90" s="31"/>
      <c r="JP90" s="31"/>
      <c r="JQ90" s="31"/>
      <c r="JR90" s="31"/>
      <c r="JS90" s="31"/>
      <c r="JT90" s="31"/>
      <c r="JU90" s="31"/>
      <c r="JV90" s="31"/>
      <c r="JW90" s="31"/>
      <c r="JX90" s="31"/>
      <c r="JY90" s="31"/>
      <c r="JZ90" s="31"/>
      <c r="KA90" s="31"/>
      <c r="KB90" s="31"/>
      <c r="KC90" s="31"/>
      <c r="KD90" s="31"/>
      <c r="KE90" s="31"/>
      <c r="KF90" s="31"/>
      <c r="KG90" s="31"/>
      <c r="KH90" s="31"/>
      <c r="KI90" s="31"/>
      <c r="KJ90" s="31"/>
      <c r="KK90" s="31"/>
      <c r="KL90" s="31"/>
      <c r="KM90" s="31"/>
      <c r="KN90" s="31"/>
      <c r="KO90" s="31"/>
      <c r="KP90" s="31"/>
      <c r="KQ90" s="31"/>
      <c r="KR90" s="31"/>
      <c r="KS90" s="31"/>
      <c r="KT90" s="31"/>
      <c r="KU90" s="31"/>
      <c r="KV90" s="31"/>
      <c r="KW90" s="31"/>
      <c r="KX90" s="31"/>
      <c r="KY90" s="31"/>
      <c r="KZ90" s="31"/>
      <c r="LA90" s="31"/>
      <c r="LB90" s="31"/>
      <c r="LC90" s="31"/>
      <c r="LD90" s="31"/>
      <c r="LE90" s="31"/>
      <c r="LF90" s="31"/>
      <c r="LG90" s="31"/>
      <c r="LH90" s="31"/>
      <c r="LI90" s="31"/>
      <c r="LJ90" s="31"/>
      <c r="LK90" s="31"/>
      <c r="LL90" s="31"/>
      <c r="LM90" s="31"/>
      <c r="LN90" s="31"/>
      <c r="LO90" s="31"/>
      <c r="LP90" s="31"/>
      <c r="LQ90" s="31"/>
      <c r="LR90" s="31"/>
      <c r="LS90" s="31"/>
      <c r="LT90" s="31"/>
      <c r="LU90" s="31"/>
      <c r="LV90" s="31"/>
      <c r="LW90" s="31"/>
      <c r="LX90" s="31"/>
      <c r="LY90" s="31"/>
      <c r="LZ90" s="31"/>
      <c r="MA90" s="31"/>
      <c r="MB90" s="31"/>
      <c r="MC90" s="31"/>
      <c r="MD90" s="31"/>
      <c r="ME90" s="31"/>
      <c r="MF90" s="31"/>
      <c r="MG90" s="31"/>
      <c r="MH90" s="31"/>
      <c r="MI90" s="31"/>
      <c r="MJ90" s="31"/>
      <c r="MK90" s="31"/>
      <c r="ML90" s="31"/>
      <c r="MM90" s="31"/>
      <c r="MN90" s="31"/>
      <c r="MO90" s="31"/>
      <c r="MP90" s="31"/>
      <c r="MQ90" s="31"/>
      <c r="MR90" s="31"/>
      <c r="MS90" s="31"/>
      <c r="MT90" s="31"/>
      <c r="MU90" s="31"/>
      <c r="MV90" s="31"/>
      <c r="MW90" s="31"/>
      <c r="MX90" s="31"/>
      <c r="MY90" s="31"/>
      <c r="MZ90" s="31"/>
      <c r="NA90" s="31"/>
      <c r="NB90" s="31"/>
      <c r="NC90" s="31"/>
      <c r="ND90" s="31"/>
      <c r="NE90" s="31"/>
      <c r="NF90" s="31"/>
      <c r="NG90" s="31"/>
      <c r="NH90" s="31"/>
      <c r="NI90" s="31"/>
      <c r="NJ90" s="31"/>
      <c r="NK90" s="31"/>
      <c r="NL90" s="31"/>
      <c r="NM90" s="31"/>
      <c r="NN90" s="31"/>
      <c r="NO90" s="31"/>
      <c r="NP90" s="31"/>
      <c r="NQ90" s="31"/>
      <c r="NR90" s="31"/>
      <c r="NS90" s="31"/>
      <c r="NT90" s="31"/>
      <c r="NU90" s="31"/>
      <c r="NV90" s="31"/>
      <c r="NW90" s="31"/>
      <c r="NX90" s="31"/>
      <c r="NY90" s="31"/>
      <c r="NZ90" s="31"/>
      <c r="OA90" s="31"/>
      <c r="OB90" s="31"/>
      <c r="OC90" s="31"/>
      <c r="OD90" s="31"/>
      <c r="OE90" s="31"/>
      <c r="OF90" s="31"/>
      <c r="OG90" s="31"/>
      <c r="OH90" s="31"/>
      <c r="OI90" s="31"/>
      <c r="OJ90" s="31"/>
      <c r="OK90" s="31"/>
      <c r="OL90" s="31"/>
      <c r="OM90" s="31"/>
      <c r="ON90" s="31"/>
      <c r="OO90" s="31"/>
      <c r="OP90" s="31"/>
      <c r="OQ90" s="31"/>
      <c r="OR90" s="31"/>
      <c r="OS90" s="31"/>
      <c r="OT90" s="31"/>
      <c r="OU90" s="31"/>
      <c r="OV90" s="31"/>
      <c r="OW90" s="31"/>
      <c r="OX90" s="31"/>
    </row>
    <row r="91" spans="2:414" s="25" customFormat="1" ht="15.6">
      <c r="B91" s="25" t="s">
        <v>166</v>
      </c>
      <c r="C91" s="27" t="s">
        <v>167</v>
      </c>
      <c r="D91" s="30" t="s">
        <v>105</v>
      </c>
      <c r="G91" s="42">
        <v>500</v>
      </c>
      <c r="H91" s="89">
        <v>26.109000000000002</v>
      </c>
      <c r="I91" s="38">
        <f t="shared" si="31"/>
        <v>13054.5</v>
      </c>
      <c r="K91" s="42">
        <v>500</v>
      </c>
      <c r="L91" s="90">
        <v>26.849599999999999</v>
      </c>
      <c r="M91" s="38">
        <f t="shared" si="32"/>
        <v>13424.8</v>
      </c>
      <c r="O91" s="38">
        <v>80</v>
      </c>
      <c r="P91" s="38">
        <v>26.728300000000001</v>
      </c>
      <c r="Q91" s="38">
        <f t="shared" si="33"/>
        <v>2138.2640000000001</v>
      </c>
      <c r="R91" s="43">
        <f t="shared" si="41"/>
        <v>1080</v>
      </c>
      <c r="S91" s="38">
        <f t="shared" si="34"/>
        <v>28617.563999999998</v>
      </c>
      <c r="T91" s="49"/>
      <c r="U91" s="42"/>
      <c r="V91" s="38">
        <f t="shared" si="44"/>
        <v>0</v>
      </c>
      <c r="W91" s="42"/>
      <c r="X91" s="42"/>
      <c r="Y91" s="38">
        <f t="shared" si="43"/>
        <v>0</v>
      </c>
      <c r="Z91" s="42"/>
      <c r="AA91" s="42"/>
      <c r="AB91" s="42">
        <f t="shared" si="28"/>
        <v>0</v>
      </c>
      <c r="AD91" s="42"/>
      <c r="AE91" s="42"/>
      <c r="AF91" s="42">
        <f t="shared" si="42"/>
        <v>0</v>
      </c>
      <c r="AG91" s="42"/>
      <c r="AH91" s="42"/>
      <c r="AI91" s="42"/>
      <c r="AJ91" s="42">
        <f t="shared" si="35"/>
        <v>0</v>
      </c>
      <c r="AL91" s="42"/>
      <c r="AM91" s="42"/>
      <c r="AN91" s="42">
        <f t="shared" si="30"/>
        <v>0</v>
      </c>
      <c r="AO91" s="44"/>
      <c r="AP91" s="42"/>
      <c r="AQ91" s="42"/>
      <c r="AR91" s="42"/>
      <c r="AU91" s="98"/>
      <c r="AV91" s="35"/>
      <c r="AW91" s="104"/>
      <c r="AX91" s="42"/>
      <c r="AY91" s="42"/>
      <c r="AZ91" s="42">
        <f t="shared" si="27"/>
        <v>0</v>
      </c>
      <c r="BA91" s="42"/>
      <c r="BB91" s="42"/>
      <c r="BC91" s="42"/>
      <c r="BD91" s="38">
        <f t="shared" si="36"/>
        <v>0</v>
      </c>
      <c r="BE91" s="42"/>
      <c r="BF91" s="42"/>
      <c r="BG91" s="42"/>
      <c r="BH91" s="38">
        <f t="shared" si="37"/>
        <v>0</v>
      </c>
      <c r="BI91" s="42"/>
      <c r="BJ91" s="42"/>
      <c r="BK91" s="42"/>
      <c r="BL91" s="38">
        <f t="shared" si="38"/>
        <v>0</v>
      </c>
      <c r="BM91" s="42"/>
      <c r="BN91" s="42"/>
      <c r="BO91" s="42"/>
      <c r="BP91" s="42"/>
      <c r="BR91" s="42">
        <f t="shared" si="39"/>
        <v>0</v>
      </c>
      <c r="BS91" s="43">
        <f t="shared" si="40"/>
        <v>28617.563999999998</v>
      </c>
      <c r="BT91" s="42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  <c r="IL91" s="31"/>
      <c r="IM91" s="31"/>
      <c r="IN91" s="31"/>
      <c r="IO91" s="31"/>
      <c r="IP91" s="31"/>
      <c r="IQ91" s="31"/>
      <c r="IR91" s="31"/>
      <c r="IS91" s="31"/>
      <c r="IT91" s="31"/>
      <c r="IU91" s="31"/>
      <c r="IV91" s="31"/>
      <c r="IW91" s="31"/>
      <c r="IX91" s="31"/>
      <c r="IY91" s="31"/>
      <c r="IZ91" s="31"/>
      <c r="JA91" s="31"/>
      <c r="JB91" s="31"/>
      <c r="JC91" s="31"/>
      <c r="JD91" s="31"/>
      <c r="JE91" s="31"/>
      <c r="JF91" s="31"/>
      <c r="JG91" s="31"/>
      <c r="JH91" s="31"/>
      <c r="JI91" s="31"/>
      <c r="JJ91" s="31"/>
      <c r="JK91" s="31"/>
      <c r="JL91" s="31"/>
      <c r="JM91" s="31"/>
      <c r="JN91" s="31"/>
      <c r="JO91" s="31"/>
      <c r="JP91" s="31"/>
      <c r="JQ91" s="31"/>
      <c r="JR91" s="31"/>
      <c r="JS91" s="31"/>
      <c r="JT91" s="31"/>
      <c r="JU91" s="31"/>
      <c r="JV91" s="31"/>
      <c r="JW91" s="31"/>
      <c r="JX91" s="31"/>
      <c r="JY91" s="31"/>
      <c r="JZ91" s="31"/>
      <c r="KA91" s="31"/>
      <c r="KB91" s="31"/>
      <c r="KC91" s="31"/>
      <c r="KD91" s="31"/>
      <c r="KE91" s="31"/>
      <c r="KF91" s="31"/>
      <c r="KG91" s="31"/>
      <c r="KH91" s="31"/>
      <c r="KI91" s="31"/>
      <c r="KJ91" s="31"/>
      <c r="KK91" s="31"/>
      <c r="KL91" s="31"/>
      <c r="KM91" s="31"/>
      <c r="KN91" s="31"/>
      <c r="KO91" s="31"/>
      <c r="KP91" s="31"/>
      <c r="KQ91" s="31"/>
      <c r="KR91" s="31"/>
      <c r="KS91" s="31"/>
      <c r="KT91" s="31"/>
      <c r="KU91" s="31"/>
      <c r="KV91" s="31"/>
      <c r="KW91" s="31"/>
      <c r="KX91" s="31"/>
      <c r="KY91" s="31"/>
      <c r="KZ91" s="31"/>
      <c r="LA91" s="31"/>
      <c r="LB91" s="31"/>
      <c r="LC91" s="31"/>
      <c r="LD91" s="31"/>
      <c r="LE91" s="31"/>
      <c r="LF91" s="31"/>
      <c r="LG91" s="31"/>
      <c r="LH91" s="31"/>
      <c r="LI91" s="31"/>
      <c r="LJ91" s="31"/>
      <c r="LK91" s="31"/>
      <c r="LL91" s="31"/>
      <c r="LM91" s="31"/>
      <c r="LN91" s="31"/>
      <c r="LO91" s="31"/>
      <c r="LP91" s="31"/>
      <c r="LQ91" s="31"/>
      <c r="LR91" s="31"/>
      <c r="LS91" s="31"/>
      <c r="LT91" s="31"/>
      <c r="LU91" s="31"/>
      <c r="LV91" s="31"/>
      <c r="LW91" s="31"/>
      <c r="LX91" s="31"/>
      <c r="LY91" s="31"/>
      <c r="LZ91" s="31"/>
      <c r="MA91" s="31"/>
      <c r="MB91" s="31"/>
      <c r="MC91" s="31"/>
      <c r="MD91" s="31"/>
      <c r="ME91" s="31"/>
      <c r="MF91" s="31"/>
      <c r="MG91" s="31"/>
      <c r="MH91" s="31"/>
      <c r="MI91" s="31"/>
      <c r="MJ91" s="31"/>
      <c r="MK91" s="31"/>
      <c r="ML91" s="31"/>
      <c r="MM91" s="31"/>
      <c r="MN91" s="31"/>
      <c r="MO91" s="31"/>
      <c r="MP91" s="31"/>
      <c r="MQ91" s="31"/>
      <c r="MR91" s="31"/>
      <c r="MS91" s="31"/>
      <c r="MT91" s="31"/>
      <c r="MU91" s="31"/>
      <c r="MV91" s="31"/>
      <c r="MW91" s="31"/>
      <c r="MX91" s="31"/>
      <c r="MY91" s="31"/>
      <c r="MZ91" s="31"/>
      <c r="NA91" s="31"/>
      <c r="NB91" s="31"/>
      <c r="NC91" s="31"/>
      <c r="ND91" s="31"/>
      <c r="NE91" s="31"/>
      <c r="NF91" s="31"/>
      <c r="NG91" s="31"/>
      <c r="NH91" s="31"/>
      <c r="NI91" s="31"/>
      <c r="NJ91" s="31"/>
      <c r="NK91" s="31"/>
      <c r="NL91" s="31"/>
      <c r="NM91" s="31"/>
      <c r="NN91" s="31"/>
      <c r="NO91" s="31"/>
      <c r="NP91" s="31"/>
      <c r="NQ91" s="31"/>
      <c r="NR91" s="31"/>
      <c r="NS91" s="31"/>
      <c r="NT91" s="31"/>
      <c r="NU91" s="31"/>
      <c r="NV91" s="31"/>
      <c r="NW91" s="31"/>
      <c r="NX91" s="31"/>
      <c r="NY91" s="31"/>
      <c r="NZ91" s="31"/>
      <c r="OA91" s="31"/>
      <c r="OB91" s="31"/>
      <c r="OC91" s="31"/>
      <c r="OD91" s="31"/>
      <c r="OE91" s="31"/>
      <c r="OF91" s="31"/>
      <c r="OG91" s="31"/>
      <c r="OH91" s="31"/>
      <c r="OI91" s="31"/>
      <c r="OJ91" s="31"/>
      <c r="OK91" s="31"/>
      <c r="OL91" s="31"/>
      <c r="OM91" s="31"/>
      <c r="ON91" s="31"/>
      <c r="OO91" s="31"/>
      <c r="OP91" s="31"/>
      <c r="OQ91" s="31"/>
      <c r="OR91" s="31"/>
      <c r="OS91" s="31"/>
      <c r="OT91" s="31"/>
      <c r="OU91" s="31"/>
      <c r="OV91" s="31"/>
      <c r="OW91" s="31"/>
      <c r="OX91" s="31"/>
    </row>
    <row r="92" spans="2:414" s="25" customFormat="1" ht="15.6">
      <c r="B92" s="25" t="s">
        <v>168</v>
      </c>
      <c r="C92" s="27" t="s">
        <v>169</v>
      </c>
      <c r="D92" s="30" t="s">
        <v>105</v>
      </c>
      <c r="G92" s="42">
        <v>500</v>
      </c>
      <c r="H92" s="89">
        <v>26.109000000000002</v>
      </c>
      <c r="I92" s="38">
        <f t="shared" si="31"/>
        <v>13054.5</v>
      </c>
      <c r="K92" s="42">
        <v>500</v>
      </c>
      <c r="L92" s="90">
        <v>26.849599999999999</v>
      </c>
      <c r="M92" s="38">
        <f t="shared" si="32"/>
        <v>13424.8</v>
      </c>
      <c r="O92" s="38">
        <v>80</v>
      </c>
      <c r="P92" s="38">
        <v>26.728300000000001</v>
      </c>
      <c r="Q92" s="38">
        <f t="shared" si="33"/>
        <v>2138.2640000000001</v>
      </c>
      <c r="R92" s="43">
        <f t="shared" si="41"/>
        <v>1080</v>
      </c>
      <c r="S92" s="38">
        <f t="shared" si="34"/>
        <v>28617.563999999998</v>
      </c>
      <c r="T92" s="49">
        <v>415</v>
      </c>
      <c r="U92" s="42">
        <v>25.822600000000001</v>
      </c>
      <c r="V92" s="38">
        <f t="shared" si="44"/>
        <v>10716.379000000001</v>
      </c>
      <c r="W92" s="42">
        <v>85</v>
      </c>
      <c r="X92" s="42">
        <v>25.822600000000001</v>
      </c>
      <c r="Y92" s="38">
        <f t="shared" si="43"/>
        <v>2194.9210000000003</v>
      </c>
      <c r="Z92" s="42">
        <v>85</v>
      </c>
      <c r="AA92" s="42">
        <v>26.8337</v>
      </c>
      <c r="AB92" s="42">
        <f t="shared" si="28"/>
        <v>2280.8645000000001</v>
      </c>
      <c r="AD92" s="42">
        <v>415</v>
      </c>
      <c r="AE92" s="42">
        <v>26.819299999999998</v>
      </c>
      <c r="AF92" s="42">
        <f t="shared" si="42"/>
        <v>11130.0095</v>
      </c>
      <c r="AG92" s="42"/>
      <c r="AH92" s="42"/>
      <c r="AI92" s="42"/>
      <c r="AJ92" s="42">
        <f t="shared" si="35"/>
        <v>0</v>
      </c>
      <c r="AL92" s="42"/>
      <c r="AM92" s="42"/>
      <c r="AN92" s="42">
        <f t="shared" si="30"/>
        <v>0</v>
      </c>
      <c r="AO92" s="44"/>
      <c r="AP92" s="42"/>
      <c r="AQ92" s="42"/>
      <c r="AR92" s="42"/>
      <c r="AU92" s="98"/>
      <c r="AV92" s="35"/>
      <c r="AW92" s="104"/>
      <c r="AX92" s="42"/>
      <c r="AY92" s="42"/>
      <c r="AZ92" s="42">
        <f t="shared" si="27"/>
        <v>0</v>
      </c>
      <c r="BA92" s="42"/>
      <c r="BB92" s="42"/>
      <c r="BC92" s="42"/>
      <c r="BD92" s="38">
        <f t="shared" si="36"/>
        <v>0</v>
      </c>
      <c r="BE92" s="42"/>
      <c r="BF92" s="42"/>
      <c r="BG92" s="42"/>
      <c r="BH92" s="38">
        <f t="shared" si="37"/>
        <v>0</v>
      </c>
      <c r="BI92" s="42"/>
      <c r="BJ92" s="42"/>
      <c r="BK92" s="42"/>
      <c r="BL92" s="38">
        <f t="shared" si="38"/>
        <v>0</v>
      </c>
      <c r="BM92" s="42"/>
      <c r="BN92" s="42"/>
      <c r="BO92" s="42"/>
      <c r="BP92" s="42"/>
      <c r="BR92" s="42">
        <f t="shared" si="39"/>
        <v>26322.173999999999</v>
      </c>
      <c r="BS92" s="43">
        <f t="shared" si="40"/>
        <v>2295.3899999999994</v>
      </c>
      <c r="BT92" s="42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  <c r="IL92" s="31"/>
      <c r="IM92" s="31"/>
      <c r="IN92" s="31"/>
      <c r="IO92" s="31"/>
      <c r="IP92" s="31"/>
      <c r="IQ92" s="31"/>
      <c r="IR92" s="31"/>
      <c r="IS92" s="31"/>
      <c r="IT92" s="31"/>
      <c r="IU92" s="31"/>
      <c r="IV92" s="31"/>
      <c r="IW92" s="31"/>
      <c r="IX92" s="31"/>
      <c r="IY92" s="31"/>
      <c r="IZ92" s="31"/>
      <c r="JA92" s="31"/>
      <c r="JB92" s="31"/>
      <c r="JC92" s="31"/>
      <c r="JD92" s="31"/>
      <c r="JE92" s="31"/>
      <c r="JF92" s="31"/>
      <c r="JG92" s="31"/>
      <c r="JH92" s="31"/>
      <c r="JI92" s="31"/>
      <c r="JJ92" s="31"/>
      <c r="JK92" s="31"/>
      <c r="JL92" s="31"/>
      <c r="JM92" s="31"/>
      <c r="JN92" s="31"/>
      <c r="JO92" s="31"/>
      <c r="JP92" s="31"/>
      <c r="JQ92" s="31"/>
      <c r="JR92" s="31"/>
      <c r="JS92" s="31"/>
      <c r="JT92" s="31"/>
      <c r="JU92" s="31"/>
      <c r="JV92" s="31"/>
      <c r="JW92" s="31"/>
      <c r="JX92" s="31"/>
      <c r="JY92" s="31"/>
      <c r="JZ92" s="31"/>
      <c r="KA92" s="31"/>
      <c r="KB92" s="31"/>
      <c r="KC92" s="31"/>
      <c r="KD92" s="31"/>
      <c r="KE92" s="31"/>
      <c r="KF92" s="31"/>
      <c r="KG92" s="31"/>
      <c r="KH92" s="31"/>
      <c r="KI92" s="31"/>
      <c r="KJ92" s="31"/>
      <c r="KK92" s="31"/>
      <c r="KL92" s="31"/>
      <c r="KM92" s="31"/>
      <c r="KN92" s="31"/>
      <c r="KO92" s="31"/>
      <c r="KP92" s="31"/>
      <c r="KQ92" s="31"/>
      <c r="KR92" s="31"/>
      <c r="KS92" s="31"/>
      <c r="KT92" s="31"/>
      <c r="KU92" s="31"/>
      <c r="KV92" s="31"/>
      <c r="KW92" s="31"/>
      <c r="KX92" s="31"/>
      <c r="KY92" s="31"/>
      <c r="KZ92" s="31"/>
      <c r="LA92" s="31"/>
      <c r="LB92" s="31"/>
      <c r="LC92" s="31"/>
      <c r="LD92" s="31"/>
      <c r="LE92" s="31"/>
      <c r="LF92" s="31"/>
      <c r="LG92" s="31"/>
      <c r="LH92" s="31"/>
      <c r="LI92" s="31"/>
      <c r="LJ92" s="31"/>
      <c r="LK92" s="31"/>
      <c r="LL92" s="31"/>
      <c r="LM92" s="31"/>
      <c r="LN92" s="31"/>
      <c r="LO92" s="31"/>
      <c r="LP92" s="31"/>
      <c r="LQ92" s="31"/>
      <c r="LR92" s="31"/>
      <c r="LS92" s="31"/>
      <c r="LT92" s="31"/>
      <c r="LU92" s="31"/>
      <c r="LV92" s="31"/>
      <c r="LW92" s="31"/>
      <c r="LX92" s="31"/>
      <c r="LY92" s="31"/>
      <c r="LZ92" s="31"/>
      <c r="MA92" s="31"/>
      <c r="MB92" s="31"/>
      <c r="MC92" s="31"/>
      <c r="MD92" s="31"/>
      <c r="ME92" s="31"/>
      <c r="MF92" s="31"/>
      <c r="MG92" s="31"/>
      <c r="MH92" s="31"/>
      <c r="MI92" s="31"/>
      <c r="MJ92" s="31"/>
      <c r="MK92" s="31"/>
      <c r="ML92" s="31"/>
      <c r="MM92" s="31"/>
      <c r="MN92" s="31"/>
      <c r="MO92" s="31"/>
      <c r="MP92" s="31"/>
      <c r="MQ92" s="31"/>
      <c r="MR92" s="31"/>
      <c r="MS92" s="31"/>
      <c r="MT92" s="31"/>
      <c r="MU92" s="31"/>
      <c r="MV92" s="31"/>
      <c r="MW92" s="31"/>
      <c r="MX92" s="31"/>
      <c r="MY92" s="31"/>
      <c r="MZ92" s="31"/>
      <c r="NA92" s="31"/>
      <c r="NB92" s="31"/>
      <c r="NC92" s="31"/>
      <c r="ND92" s="31"/>
      <c r="NE92" s="31"/>
      <c r="NF92" s="31"/>
      <c r="NG92" s="31"/>
      <c r="NH92" s="31"/>
      <c r="NI92" s="31"/>
      <c r="NJ92" s="31"/>
      <c r="NK92" s="31"/>
      <c r="NL92" s="31"/>
      <c r="NM92" s="31"/>
      <c r="NN92" s="31"/>
      <c r="NO92" s="31"/>
      <c r="NP92" s="31"/>
      <c r="NQ92" s="31"/>
      <c r="NR92" s="31"/>
      <c r="NS92" s="31"/>
      <c r="NT92" s="31"/>
      <c r="NU92" s="31"/>
      <c r="NV92" s="31"/>
      <c r="NW92" s="31"/>
      <c r="NX92" s="31"/>
      <c r="NY92" s="31"/>
      <c r="NZ92" s="31"/>
      <c r="OA92" s="31"/>
      <c r="OB92" s="31"/>
      <c r="OC92" s="31"/>
      <c r="OD92" s="31"/>
      <c r="OE92" s="31"/>
      <c r="OF92" s="31"/>
      <c r="OG92" s="31"/>
      <c r="OH92" s="31"/>
      <c r="OI92" s="31"/>
      <c r="OJ92" s="31"/>
      <c r="OK92" s="31"/>
      <c r="OL92" s="31"/>
      <c r="OM92" s="31"/>
      <c r="ON92" s="31"/>
      <c r="OO92" s="31"/>
      <c r="OP92" s="31"/>
      <c r="OQ92" s="31"/>
      <c r="OR92" s="31"/>
      <c r="OS92" s="31"/>
      <c r="OT92" s="31"/>
      <c r="OU92" s="31"/>
      <c r="OV92" s="31"/>
      <c r="OW92" s="31"/>
      <c r="OX92" s="31"/>
    </row>
    <row r="93" spans="2:414" s="25" customFormat="1" ht="15.6">
      <c r="B93" s="25" t="s">
        <v>170</v>
      </c>
      <c r="C93" s="27" t="s">
        <v>17</v>
      </c>
      <c r="D93" s="30" t="s">
        <v>105</v>
      </c>
      <c r="G93" s="42">
        <v>500</v>
      </c>
      <c r="H93" s="89">
        <v>26.109000000000002</v>
      </c>
      <c r="I93" s="38">
        <f t="shared" si="31"/>
        <v>13054.5</v>
      </c>
      <c r="K93" s="42">
        <v>500</v>
      </c>
      <c r="L93" s="90">
        <v>26.849599999999999</v>
      </c>
      <c r="M93" s="38">
        <f t="shared" si="32"/>
        <v>13424.8</v>
      </c>
      <c r="O93" s="38">
        <v>80</v>
      </c>
      <c r="P93" s="38">
        <v>26.728300000000001</v>
      </c>
      <c r="Q93" s="38">
        <f t="shared" si="33"/>
        <v>2138.2640000000001</v>
      </c>
      <c r="R93" s="43">
        <f t="shared" si="41"/>
        <v>1080</v>
      </c>
      <c r="S93" s="38">
        <f t="shared" si="34"/>
        <v>28617.563999999998</v>
      </c>
      <c r="T93" s="49">
        <v>500</v>
      </c>
      <c r="U93" s="42">
        <v>26.298200000000001</v>
      </c>
      <c r="V93" s="38">
        <f t="shared" si="44"/>
        <v>13149.1</v>
      </c>
      <c r="W93" s="42">
        <v>250</v>
      </c>
      <c r="X93" s="42">
        <v>26.861899999999999</v>
      </c>
      <c r="Y93" s="38">
        <f t="shared" si="43"/>
        <v>6715.4749999999995</v>
      </c>
      <c r="Z93" s="42">
        <v>250</v>
      </c>
      <c r="AA93" s="42">
        <v>26.816700000000001</v>
      </c>
      <c r="AB93" s="42">
        <f t="shared" si="28"/>
        <v>6704.1750000000002</v>
      </c>
      <c r="AD93" s="42"/>
      <c r="AE93" s="42"/>
      <c r="AF93" s="42">
        <f t="shared" si="42"/>
        <v>0</v>
      </c>
      <c r="AG93" s="42"/>
      <c r="AH93" s="42"/>
      <c r="AI93" s="42"/>
      <c r="AJ93" s="42">
        <f t="shared" si="35"/>
        <v>0</v>
      </c>
      <c r="AL93" s="42"/>
      <c r="AM93" s="42"/>
      <c r="AN93" s="42">
        <f t="shared" si="30"/>
        <v>0</v>
      </c>
      <c r="AO93" s="44"/>
      <c r="AP93" s="42"/>
      <c r="AQ93" s="42"/>
      <c r="AR93" s="42"/>
      <c r="AU93" s="98"/>
      <c r="AV93" s="35"/>
      <c r="AW93" s="104"/>
      <c r="AX93" s="42"/>
      <c r="AY93" s="42"/>
      <c r="AZ93" s="42">
        <f t="shared" si="27"/>
        <v>0</v>
      </c>
      <c r="BA93" s="42"/>
      <c r="BB93" s="42"/>
      <c r="BC93" s="42"/>
      <c r="BD93" s="38">
        <f t="shared" si="36"/>
        <v>0</v>
      </c>
      <c r="BE93" s="42"/>
      <c r="BF93" s="42"/>
      <c r="BG93" s="42"/>
      <c r="BH93" s="38">
        <f t="shared" si="37"/>
        <v>0</v>
      </c>
      <c r="BI93" s="42"/>
      <c r="BJ93" s="42"/>
      <c r="BK93" s="42"/>
      <c r="BL93" s="38">
        <f t="shared" si="38"/>
        <v>0</v>
      </c>
      <c r="BM93" s="42"/>
      <c r="BN93" s="42"/>
      <c r="BO93" s="42"/>
      <c r="BP93" s="42"/>
      <c r="BR93" s="42">
        <f t="shared" si="39"/>
        <v>26568.75</v>
      </c>
      <c r="BS93" s="43">
        <f t="shared" si="40"/>
        <v>2048.8139999999985</v>
      </c>
      <c r="BT93" s="42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  <c r="IL93" s="31"/>
      <c r="IM93" s="31"/>
      <c r="IN93" s="31"/>
      <c r="IO93" s="31"/>
      <c r="IP93" s="31"/>
      <c r="IQ93" s="31"/>
      <c r="IR93" s="31"/>
      <c r="IS93" s="31"/>
      <c r="IT93" s="31"/>
      <c r="IU93" s="31"/>
      <c r="IV93" s="31"/>
      <c r="IW93" s="31"/>
      <c r="IX93" s="31"/>
      <c r="IY93" s="31"/>
      <c r="IZ93" s="31"/>
      <c r="JA93" s="31"/>
      <c r="JB93" s="31"/>
      <c r="JC93" s="31"/>
      <c r="JD93" s="31"/>
      <c r="JE93" s="31"/>
      <c r="JF93" s="31"/>
      <c r="JG93" s="31"/>
      <c r="JH93" s="31"/>
      <c r="JI93" s="31"/>
      <c r="JJ93" s="31"/>
      <c r="JK93" s="31"/>
      <c r="JL93" s="31"/>
      <c r="JM93" s="31"/>
      <c r="JN93" s="31"/>
      <c r="JO93" s="31"/>
      <c r="JP93" s="31"/>
      <c r="JQ93" s="31"/>
      <c r="JR93" s="31"/>
      <c r="JS93" s="31"/>
      <c r="JT93" s="31"/>
      <c r="JU93" s="31"/>
      <c r="JV93" s="31"/>
      <c r="JW93" s="31"/>
      <c r="JX93" s="31"/>
      <c r="JY93" s="31"/>
      <c r="JZ93" s="31"/>
      <c r="KA93" s="31"/>
      <c r="KB93" s="31"/>
      <c r="KC93" s="31"/>
      <c r="KD93" s="31"/>
      <c r="KE93" s="31"/>
      <c r="KF93" s="31"/>
      <c r="KG93" s="31"/>
      <c r="KH93" s="31"/>
      <c r="KI93" s="31"/>
      <c r="KJ93" s="31"/>
      <c r="KK93" s="31"/>
      <c r="KL93" s="31"/>
      <c r="KM93" s="31"/>
      <c r="KN93" s="31"/>
      <c r="KO93" s="31"/>
      <c r="KP93" s="31"/>
      <c r="KQ93" s="31"/>
      <c r="KR93" s="31"/>
      <c r="KS93" s="31"/>
      <c r="KT93" s="31"/>
      <c r="KU93" s="31"/>
      <c r="KV93" s="31"/>
      <c r="KW93" s="31"/>
      <c r="KX93" s="31"/>
      <c r="KY93" s="31"/>
      <c r="KZ93" s="31"/>
      <c r="LA93" s="31"/>
      <c r="LB93" s="31"/>
      <c r="LC93" s="31"/>
      <c r="LD93" s="31"/>
      <c r="LE93" s="31"/>
      <c r="LF93" s="31"/>
      <c r="LG93" s="31"/>
      <c r="LH93" s="31"/>
      <c r="LI93" s="31"/>
      <c r="LJ93" s="31"/>
      <c r="LK93" s="31"/>
      <c r="LL93" s="31"/>
      <c r="LM93" s="31"/>
      <c r="LN93" s="31"/>
      <c r="LO93" s="31"/>
      <c r="LP93" s="31"/>
      <c r="LQ93" s="31"/>
      <c r="LR93" s="31"/>
      <c r="LS93" s="31"/>
      <c r="LT93" s="31"/>
      <c r="LU93" s="31"/>
      <c r="LV93" s="31"/>
      <c r="LW93" s="31"/>
      <c r="LX93" s="31"/>
      <c r="LY93" s="31"/>
      <c r="LZ93" s="31"/>
      <c r="MA93" s="31"/>
      <c r="MB93" s="31"/>
      <c r="MC93" s="31"/>
      <c r="MD93" s="31"/>
      <c r="ME93" s="31"/>
      <c r="MF93" s="31"/>
      <c r="MG93" s="31"/>
      <c r="MH93" s="31"/>
      <c r="MI93" s="31"/>
      <c r="MJ93" s="31"/>
      <c r="MK93" s="31"/>
      <c r="ML93" s="31"/>
      <c r="MM93" s="31"/>
      <c r="MN93" s="31"/>
      <c r="MO93" s="31"/>
      <c r="MP93" s="31"/>
      <c r="MQ93" s="31"/>
      <c r="MR93" s="31"/>
      <c r="MS93" s="31"/>
      <c r="MT93" s="31"/>
      <c r="MU93" s="31"/>
      <c r="MV93" s="31"/>
      <c r="MW93" s="31"/>
      <c r="MX93" s="31"/>
      <c r="MY93" s="31"/>
      <c r="MZ93" s="31"/>
      <c r="NA93" s="31"/>
      <c r="NB93" s="31"/>
      <c r="NC93" s="31"/>
      <c r="ND93" s="31"/>
      <c r="NE93" s="31"/>
      <c r="NF93" s="31"/>
      <c r="NG93" s="31"/>
      <c r="NH93" s="31"/>
      <c r="NI93" s="31"/>
      <c r="NJ93" s="31"/>
      <c r="NK93" s="31"/>
      <c r="NL93" s="31"/>
      <c r="NM93" s="31"/>
      <c r="NN93" s="31"/>
      <c r="NO93" s="31"/>
      <c r="NP93" s="31"/>
      <c r="NQ93" s="31"/>
      <c r="NR93" s="31"/>
      <c r="NS93" s="31"/>
      <c r="NT93" s="31"/>
      <c r="NU93" s="31"/>
      <c r="NV93" s="31"/>
      <c r="NW93" s="31"/>
      <c r="NX93" s="31"/>
      <c r="NY93" s="31"/>
      <c r="NZ93" s="31"/>
      <c r="OA93" s="31"/>
      <c r="OB93" s="31"/>
      <c r="OC93" s="31"/>
      <c r="OD93" s="31"/>
      <c r="OE93" s="31"/>
      <c r="OF93" s="31"/>
      <c r="OG93" s="31"/>
      <c r="OH93" s="31"/>
      <c r="OI93" s="31"/>
      <c r="OJ93" s="31"/>
      <c r="OK93" s="31"/>
      <c r="OL93" s="31"/>
      <c r="OM93" s="31"/>
      <c r="ON93" s="31"/>
      <c r="OO93" s="31"/>
      <c r="OP93" s="31"/>
      <c r="OQ93" s="31"/>
      <c r="OR93" s="31"/>
      <c r="OS93" s="31"/>
      <c r="OT93" s="31"/>
      <c r="OU93" s="31"/>
      <c r="OV93" s="31"/>
      <c r="OW93" s="31"/>
      <c r="OX93" s="31"/>
    </row>
    <row r="94" spans="2:414" s="25" customFormat="1" ht="15.6">
      <c r="B94" s="25" t="s">
        <v>171</v>
      </c>
      <c r="C94" s="27" t="s">
        <v>172</v>
      </c>
      <c r="D94" s="30" t="s">
        <v>105</v>
      </c>
      <c r="G94" s="42">
        <v>500</v>
      </c>
      <c r="H94" s="89">
        <v>26.109000000000002</v>
      </c>
      <c r="I94" s="38">
        <f t="shared" si="31"/>
        <v>13054.5</v>
      </c>
      <c r="K94" s="42">
        <v>500</v>
      </c>
      <c r="L94" s="90">
        <v>26.849599999999999</v>
      </c>
      <c r="M94" s="38">
        <f t="shared" si="32"/>
        <v>13424.8</v>
      </c>
      <c r="O94" s="38">
        <v>80</v>
      </c>
      <c r="P94" s="38">
        <v>26.728300000000001</v>
      </c>
      <c r="Q94" s="38">
        <f t="shared" si="33"/>
        <v>2138.2640000000001</v>
      </c>
      <c r="R94" s="43">
        <f t="shared" si="41"/>
        <v>1080</v>
      </c>
      <c r="S94" s="38">
        <f t="shared" si="34"/>
        <v>28617.563999999998</v>
      </c>
      <c r="T94" s="49">
        <v>440</v>
      </c>
      <c r="U94" s="42"/>
      <c r="V94" s="38">
        <f t="shared" si="44"/>
        <v>0</v>
      </c>
      <c r="W94" s="42">
        <v>60</v>
      </c>
      <c r="X94" s="42">
        <v>26.150300000000001</v>
      </c>
      <c r="Y94" s="38">
        <f t="shared" si="43"/>
        <v>1569.018</v>
      </c>
      <c r="Z94" s="42">
        <v>85</v>
      </c>
      <c r="AA94" s="42">
        <v>26.8337</v>
      </c>
      <c r="AB94" s="42">
        <f t="shared" si="28"/>
        <v>2280.8645000000001</v>
      </c>
      <c r="AD94" s="42">
        <v>415</v>
      </c>
      <c r="AE94" s="42">
        <v>26.8337</v>
      </c>
      <c r="AF94" s="42">
        <f t="shared" si="42"/>
        <v>11135.985500000001</v>
      </c>
      <c r="AG94" s="42"/>
      <c r="AH94" s="42"/>
      <c r="AI94" s="42"/>
      <c r="AJ94" s="42">
        <f t="shared" si="35"/>
        <v>0</v>
      </c>
      <c r="AL94" s="42"/>
      <c r="AM94" s="42"/>
      <c r="AN94" s="42">
        <f t="shared" si="30"/>
        <v>0</v>
      </c>
      <c r="AO94" s="44"/>
      <c r="AP94" s="42"/>
      <c r="AQ94" s="42"/>
      <c r="AR94" s="42"/>
      <c r="AU94" s="98"/>
      <c r="AV94" s="35"/>
      <c r="AW94" s="104"/>
      <c r="AX94" s="42"/>
      <c r="AY94" s="42"/>
      <c r="AZ94" s="42">
        <f t="shared" si="27"/>
        <v>0</v>
      </c>
      <c r="BA94" s="42"/>
      <c r="BB94" s="42"/>
      <c r="BC94" s="42"/>
      <c r="BD94" s="38">
        <f t="shared" si="36"/>
        <v>0</v>
      </c>
      <c r="BE94" s="42"/>
      <c r="BF94" s="42"/>
      <c r="BG94" s="42"/>
      <c r="BH94" s="38">
        <f t="shared" si="37"/>
        <v>0</v>
      </c>
      <c r="BI94" s="42"/>
      <c r="BJ94" s="42"/>
      <c r="BK94" s="42"/>
      <c r="BL94" s="38">
        <f t="shared" si="38"/>
        <v>0</v>
      </c>
      <c r="BM94" s="42"/>
      <c r="BN94" s="42"/>
      <c r="BO94" s="42"/>
      <c r="BP94" s="42"/>
      <c r="BR94" s="42">
        <f t="shared" si="39"/>
        <v>14985.868</v>
      </c>
      <c r="BS94" s="43">
        <f t="shared" si="40"/>
        <v>13631.695999999998</v>
      </c>
      <c r="BT94" s="42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  <c r="IM94" s="31"/>
      <c r="IN94" s="31"/>
      <c r="IO94" s="31"/>
      <c r="IP94" s="31"/>
      <c r="IQ94" s="31"/>
      <c r="IR94" s="31"/>
      <c r="IS94" s="31"/>
      <c r="IT94" s="31"/>
      <c r="IU94" s="31"/>
      <c r="IV94" s="31"/>
      <c r="IW94" s="31"/>
      <c r="IX94" s="31"/>
      <c r="IY94" s="31"/>
      <c r="IZ94" s="31"/>
      <c r="JA94" s="31"/>
      <c r="JB94" s="31"/>
      <c r="JC94" s="31"/>
      <c r="JD94" s="31"/>
      <c r="JE94" s="31"/>
      <c r="JF94" s="31"/>
      <c r="JG94" s="31"/>
      <c r="JH94" s="31"/>
      <c r="JI94" s="31"/>
      <c r="JJ94" s="31"/>
      <c r="JK94" s="31"/>
      <c r="JL94" s="31"/>
      <c r="JM94" s="31"/>
      <c r="JN94" s="31"/>
      <c r="JO94" s="31"/>
      <c r="JP94" s="31"/>
      <c r="JQ94" s="31"/>
      <c r="JR94" s="31"/>
      <c r="JS94" s="31"/>
      <c r="JT94" s="31"/>
      <c r="JU94" s="31"/>
      <c r="JV94" s="31"/>
      <c r="JW94" s="31"/>
      <c r="JX94" s="31"/>
      <c r="JY94" s="31"/>
      <c r="JZ94" s="31"/>
      <c r="KA94" s="31"/>
      <c r="KB94" s="31"/>
      <c r="KC94" s="31"/>
      <c r="KD94" s="31"/>
      <c r="KE94" s="31"/>
      <c r="KF94" s="31"/>
      <c r="KG94" s="31"/>
      <c r="KH94" s="31"/>
      <c r="KI94" s="31"/>
      <c r="KJ94" s="31"/>
      <c r="KK94" s="31"/>
      <c r="KL94" s="31"/>
      <c r="KM94" s="31"/>
      <c r="KN94" s="31"/>
      <c r="KO94" s="31"/>
      <c r="KP94" s="31"/>
      <c r="KQ94" s="31"/>
      <c r="KR94" s="31"/>
      <c r="KS94" s="31"/>
      <c r="KT94" s="31"/>
      <c r="KU94" s="31"/>
      <c r="KV94" s="31"/>
      <c r="KW94" s="31"/>
      <c r="KX94" s="31"/>
      <c r="KY94" s="31"/>
      <c r="KZ94" s="31"/>
      <c r="LA94" s="31"/>
      <c r="LB94" s="31"/>
      <c r="LC94" s="31"/>
      <c r="LD94" s="31"/>
      <c r="LE94" s="31"/>
      <c r="LF94" s="31"/>
      <c r="LG94" s="31"/>
      <c r="LH94" s="31"/>
      <c r="LI94" s="31"/>
      <c r="LJ94" s="31"/>
      <c r="LK94" s="31"/>
      <c r="LL94" s="31"/>
      <c r="LM94" s="31"/>
      <c r="LN94" s="31"/>
      <c r="LO94" s="31"/>
      <c r="LP94" s="31"/>
      <c r="LQ94" s="31"/>
      <c r="LR94" s="31"/>
      <c r="LS94" s="31"/>
      <c r="LT94" s="31"/>
      <c r="LU94" s="31"/>
      <c r="LV94" s="31"/>
      <c r="LW94" s="31"/>
      <c r="LX94" s="31"/>
      <c r="LY94" s="31"/>
      <c r="LZ94" s="31"/>
      <c r="MA94" s="31"/>
      <c r="MB94" s="31"/>
      <c r="MC94" s="31"/>
      <c r="MD94" s="31"/>
      <c r="ME94" s="31"/>
      <c r="MF94" s="31"/>
      <c r="MG94" s="31"/>
      <c r="MH94" s="31"/>
      <c r="MI94" s="31"/>
      <c r="MJ94" s="31"/>
      <c r="MK94" s="31"/>
      <c r="ML94" s="31"/>
      <c r="MM94" s="31"/>
      <c r="MN94" s="31"/>
      <c r="MO94" s="31"/>
      <c r="MP94" s="31"/>
      <c r="MQ94" s="31"/>
      <c r="MR94" s="31"/>
      <c r="MS94" s="31"/>
      <c r="MT94" s="31"/>
      <c r="MU94" s="31"/>
      <c r="MV94" s="31"/>
      <c r="MW94" s="31"/>
      <c r="MX94" s="31"/>
      <c r="MY94" s="31"/>
      <c r="MZ94" s="31"/>
      <c r="NA94" s="31"/>
      <c r="NB94" s="31"/>
      <c r="NC94" s="31"/>
      <c r="ND94" s="31"/>
      <c r="NE94" s="31"/>
      <c r="NF94" s="31"/>
      <c r="NG94" s="31"/>
      <c r="NH94" s="31"/>
      <c r="NI94" s="31"/>
      <c r="NJ94" s="31"/>
      <c r="NK94" s="31"/>
      <c r="NL94" s="31"/>
      <c r="NM94" s="31"/>
      <c r="NN94" s="31"/>
      <c r="NO94" s="31"/>
      <c r="NP94" s="31"/>
      <c r="NQ94" s="31"/>
      <c r="NR94" s="31"/>
      <c r="NS94" s="31"/>
      <c r="NT94" s="31"/>
      <c r="NU94" s="31"/>
      <c r="NV94" s="31"/>
      <c r="NW94" s="31"/>
      <c r="NX94" s="31"/>
      <c r="NY94" s="31"/>
      <c r="NZ94" s="31"/>
      <c r="OA94" s="31"/>
      <c r="OB94" s="31"/>
      <c r="OC94" s="31"/>
      <c r="OD94" s="31"/>
      <c r="OE94" s="31"/>
      <c r="OF94" s="31"/>
      <c r="OG94" s="31"/>
      <c r="OH94" s="31"/>
      <c r="OI94" s="31"/>
      <c r="OJ94" s="31"/>
      <c r="OK94" s="31"/>
      <c r="OL94" s="31"/>
      <c r="OM94" s="31"/>
      <c r="ON94" s="31"/>
      <c r="OO94" s="31"/>
      <c r="OP94" s="31"/>
      <c r="OQ94" s="31"/>
      <c r="OR94" s="31"/>
      <c r="OS94" s="31"/>
      <c r="OT94" s="31"/>
      <c r="OU94" s="31"/>
      <c r="OV94" s="31"/>
      <c r="OW94" s="31"/>
      <c r="OX94" s="31"/>
    </row>
    <row r="95" spans="2:414" s="25" customFormat="1" ht="15.6">
      <c r="B95" s="25" t="s">
        <v>174</v>
      </c>
      <c r="C95" s="27" t="s">
        <v>173</v>
      </c>
      <c r="D95" s="30" t="s">
        <v>105</v>
      </c>
      <c r="G95" s="42">
        <v>500</v>
      </c>
      <c r="H95" s="89">
        <v>26.109000000000002</v>
      </c>
      <c r="I95" s="38">
        <f t="shared" si="31"/>
        <v>13054.5</v>
      </c>
      <c r="K95" s="42">
        <v>500</v>
      </c>
      <c r="L95" s="90">
        <v>26.849599999999999</v>
      </c>
      <c r="M95" s="38">
        <f t="shared" si="32"/>
        <v>13424.8</v>
      </c>
      <c r="O95" s="38">
        <v>80</v>
      </c>
      <c r="P95" s="38">
        <v>26.728300000000001</v>
      </c>
      <c r="Q95" s="38">
        <f t="shared" si="33"/>
        <v>2138.2640000000001</v>
      </c>
      <c r="R95" s="43">
        <f t="shared" si="41"/>
        <v>1080</v>
      </c>
      <c r="S95" s="38">
        <f t="shared" si="34"/>
        <v>28617.563999999998</v>
      </c>
      <c r="T95" s="49">
        <v>90</v>
      </c>
      <c r="U95" s="42">
        <v>26.271599999999999</v>
      </c>
      <c r="V95" s="38">
        <f t="shared" si="44"/>
        <v>2364.444</v>
      </c>
      <c r="W95" s="42">
        <v>300</v>
      </c>
      <c r="X95" s="42"/>
      <c r="Y95" s="38">
        <f t="shared" si="43"/>
        <v>0</v>
      </c>
      <c r="Z95" s="42">
        <v>110</v>
      </c>
      <c r="AA95" s="42">
        <v>26.271599999999999</v>
      </c>
      <c r="AB95" s="42">
        <f t="shared" si="28"/>
        <v>2889.8759999999997</v>
      </c>
      <c r="AD95" s="42">
        <v>200</v>
      </c>
      <c r="AE95" s="42">
        <v>26.8719</v>
      </c>
      <c r="AF95" s="42">
        <f t="shared" si="42"/>
        <v>5374.38</v>
      </c>
      <c r="AG95" s="42"/>
      <c r="AH95" s="42">
        <v>50</v>
      </c>
      <c r="AI95" s="42">
        <v>26.9529</v>
      </c>
      <c r="AJ95" s="42">
        <f t="shared" si="35"/>
        <v>1347.645</v>
      </c>
      <c r="AL95" s="42">
        <v>135</v>
      </c>
      <c r="AM95" s="42">
        <v>26.6235</v>
      </c>
      <c r="AN95" s="42">
        <f t="shared" si="30"/>
        <v>3594.1725000000001</v>
      </c>
      <c r="AO95" s="44"/>
      <c r="AP95" s="42">
        <v>115</v>
      </c>
      <c r="AQ95" s="42">
        <v>26.689900000000002</v>
      </c>
      <c r="AR95" s="42"/>
      <c r="AT95" s="25">
        <v>80</v>
      </c>
      <c r="AU95" s="98">
        <v>26.287400000000002</v>
      </c>
      <c r="AV95" s="35">
        <f>AT95*AU95</f>
        <v>2102.9920000000002</v>
      </c>
      <c r="AW95" s="104"/>
      <c r="AX95" s="42"/>
      <c r="AY95" s="42"/>
      <c r="AZ95" s="42">
        <f t="shared" si="27"/>
        <v>0</v>
      </c>
      <c r="BA95" s="42"/>
      <c r="BB95" s="42"/>
      <c r="BC95" s="42"/>
      <c r="BD95" s="38">
        <f t="shared" si="36"/>
        <v>0</v>
      </c>
      <c r="BE95" s="42"/>
      <c r="BF95" s="42"/>
      <c r="BG95" s="42"/>
      <c r="BH95" s="38">
        <f t="shared" si="37"/>
        <v>0</v>
      </c>
      <c r="BI95" s="42"/>
      <c r="BJ95" s="42"/>
      <c r="BK95" s="42"/>
      <c r="BL95" s="38">
        <f t="shared" si="38"/>
        <v>0</v>
      </c>
      <c r="BM95" s="42"/>
      <c r="BN95" s="42"/>
      <c r="BO95" s="42"/>
      <c r="BP95" s="42"/>
      <c r="BR95" s="42">
        <f t="shared" si="39"/>
        <v>17673.5095</v>
      </c>
      <c r="BS95" s="43">
        <f t="shared" si="40"/>
        <v>10944.054499999998</v>
      </c>
      <c r="BT95" s="42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  <c r="IM95" s="31"/>
      <c r="IN95" s="31"/>
      <c r="IO95" s="31"/>
      <c r="IP95" s="31"/>
      <c r="IQ95" s="31"/>
      <c r="IR95" s="31"/>
      <c r="IS95" s="31"/>
      <c r="IT95" s="31"/>
      <c r="IU95" s="31"/>
      <c r="IV95" s="31"/>
      <c r="IW95" s="31"/>
      <c r="IX95" s="31"/>
      <c r="IY95" s="31"/>
      <c r="IZ95" s="31"/>
      <c r="JA95" s="31"/>
      <c r="JB95" s="31"/>
      <c r="JC95" s="31"/>
      <c r="JD95" s="31"/>
      <c r="JE95" s="31"/>
      <c r="JF95" s="31"/>
      <c r="JG95" s="31"/>
      <c r="JH95" s="31"/>
      <c r="JI95" s="31"/>
      <c r="JJ95" s="31"/>
      <c r="JK95" s="31"/>
      <c r="JL95" s="31"/>
      <c r="JM95" s="31"/>
      <c r="JN95" s="31"/>
      <c r="JO95" s="31"/>
      <c r="JP95" s="31"/>
      <c r="JQ95" s="31"/>
      <c r="JR95" s="31"/>
      <c r="JS95" s="31"/>
      <c r="JT95" s="31"/>
      <c r="JU95" s="31"/>
      <c r="JV95" s="31"/>
      <c r="JW95" s="31"/>
      <c r="JX95" s="31"/>
      <c r="JY95" s="31"/>
      <c r="JZ95" s="31"/>
      <c r="KA95" s="31"/>
      <c r="KB95" s="31"/>
      <c r="KC95" s="31"/>
      <c r="KD95" s="31"/>
      <c r="KE95" s="31"/>
      <c r="KF95" s="31"/>
      <c r="KG95" s="31"/>
      <c r="KH95" s="31"/>
      <c r="KI95" s="31"/>
      <c r="KJ95" s="31"/>
      <c r="KK95" s="31"/>
      <c r="KL95" s="31"/>
      <c r="KM95" s="31"/>
      <c r="KN95" s="31"/>
      <c r="KO95" s="31"/>
      <c r="KP95" s="31"/>
      <c r="KQ95" s="31"/>
      <c r="KR95" s="31"/>
      <c r="KS95" s="31"/>
      <c r="KT95" s="31"/>
      <c r="KU95" s="31"/>
      <c r="KV95" s="31"/>
      <c r="KW95" s="31"/>
      <c r="KX95" s="31"/>
      <c r="KY95" s="31"/>
      <c r="KZ95" s="31"/>
      <c r="LA95" s="31"/>
      <c r="LB95" s="31"/>
      <c r="LC95" s="31"/>
      <c r="LD95" s="31"/>
      <c r="LE95" s="31"/>
      <c r="LF95" s="31"/>
      <c r="LG95" s="31"/>
      <c r="LH95" s="31"/>
      <c r="LI95" s="31"/>
      <c r="LJ95" s="31"/>
      <c r="LK95" s="31"/>
      <c r="LL95" s="31"/>
      <c r="LM95" s="31"/>
      <c r="LN95" s="31"/>
      <c r="LO95" s="31"/>
      <c r="LP95" s="31"/>
      <c r="LQ95" s="31"/>
      <c r="LR95" s="31"/>
      <c r="LS95" s="31"/>
      <c r="LT95" s="31"/>
      <c r="LU95" s="31"/>
      <c r="LV95" s="31"/>
      <c r="LW95" s="31"/>
      <c r="LX95" s="31"/>
      <c r="LY95" s="31"/>
      <c r="LZ95" s="31"/>
      <c r="MA95" s="31"/>
      <c r="MB95" s="31"/>
      <c r="MC95" s="31"/>
      <c r="MD95" s="31"/>
      <c r="ME95" s="31"/>
      <c r="MF95" s="31"/>
      <c r="MG95" s="31"/>
      <c r="MH95" s="31"/>
      <c r="MI95" s="31"/>
      <c r="MJ95" s="31"/>
      <c r="MK95" s="31"/>
      <c r="ML95" s="31"/>
      <c r="MM95" s="31"/>
      <c r="MN95" s="31"/>
      <c r="MO95" s="31"/>
      <c r="MP95" s="31"/>
      <c r="MQ95" s="31"/>
      <c r="MR95" s="31"/>
      <c r="MS95" s="31"/>
      <c r="MT95" s="31"/>
      <c r="MU95" s="31"/>
      <c r="MV95" s="31"/>
      <c r="MW95" s="31"/>
      <c r="MX95" s="31"/>
      <c r="MY95" s="31"/>
      <c r="MZ95" s="31"/>
      <c r="NA95" s="31"/>
      <c r="NB95" s="31"/>
      <c r="NC95" s="31"/>
      <c r="ND95" s="31"/>
      <c r="NE95" s="31"/>
      <c r="NF95" s="31"/>
      <c r="NG95" s="31"/>
      <c r="NH95" s="31"/>
      <c r="NI95" s="31"/>
      <c r="NJ95" s="31"/>
      <c r="NK95" s="31"/>
      <c r="NL95" s="31"/>
      <c r="NM95" s="31"/>
      <c r="NN95" s="31"/>
      <c r="NO95" s="31"/>
      <c r="NP95" s="31"/>
      <c r="NQ95" s="31"/>
      <c r="NR95" s="31"/>
      <c r="NS95" s="31"/>
      <c r="NT95" s="31"/>
      <c r="NU95" s="31"/>
      <c r="NV95" s="31"/>
      <c r="NW95" s="31"/>
      <c r="NX95" s="31"/>
      <c r="NY95" s="31"/>
      <c r="NZ95" s="31"/>
      <c r="OA95" s="31"/>
      <c r="OB95" s="31"/>
      <c r="OC95" s="31"/>
      <c r="OD95" s="31"/>
      <c r="OE95" s="31"/>
      <c r="OF95" s="31"/>
      <c r="OG95" s="31"/>
      <c r="OH95" s="31"/>
      <c r="OI95" s="31"/>
      <c r="OJ95" s="31"/>
      <c r="OK95" s="31"/>
      <c r="OL95" s="31"/>
      <c r="OM95" s="31"/>
      <c r="ON95" s="31"/>
      <c r="OO95" s="31"/>
      <c r="OP95" s="31"/>
      <c r="OQ95" s="31"/>
      <c r="OR95" s="31"/>
      <c r="OS95" s="31"/>
      <c r="OT95" s="31"/>
      <c r="OU95" s="31"/>
      <c r="OV95" s="31"/>
      <c r="OW95" s="31"/>
      <c r="OX95" s="31"/>
    </row>
    <row r="96" spans="2:414" s="25" customFormat="1" ht="15.6">
      <c r="B96" s="25" t="s">
        <v>175</v>
      </c>
      <c r="C96" s="27" t="s">
        <v>176</v>
      </c>
      <c r="D96" s="30" t="s">
        <v>105</v>
      </c>
      <c r="G96" s="42">
        <v>500</v>
      </c>
      <c r="H96" s="89">
        <v>26.109000000000002</v>
      </c>
      <c r="I96" s="38">
        <f t="shared" si="31"/>
        <v>13054.5</v>
      </c>
      <c r="K96" s="42">
        <v>500</v>
      </c>
      <c r="L96" s="90">
        <v>26.849599999999999</v>
      </c>
      <c r="M96" s="38">
        <f t="shared" si="32"/>
        <v>13424.8</v>
      </c>
      <c r="O96" s="38">
        <v>80</v>
      </c>
      <c r="P96" s="38">
        <v>26.728300000000001</v>
      </c>
      <c r="Q96" s="38">
        <f t="shared" si="33"/>
        <v>2138.2640000000001</v>
      </c>
      <c r="R96" s="43">
        <f t="shared" si="41"/>
        <v>1080</v>
      </c>
      <c r="S96" s="38">
        <f t="shared" si="34"/>
        <v>28617.563999999998</v>
      </c>
      <c r="T96" s="49">
        <v>85</v>
      </c>
      <c r="U96" s="42"/>
      <c r="V96" s="38">
        <f t="shared" si="44"/>
        <v>0</v>
      </c>
      <c r="W96" s="42">
        <v>250</v>
      </c>
      <c r="X96" s="42">
        <v>26.283100000000001</v>
      </c>
      <c r="Y96" s="38">
        <f t="shared" si="43"/>
        <v>6570.7750000000005</v>
      </c>
      <c r="Z96" s="42">
        <v>165</v>
      </c>
      <c r="AA96" s="42">
        <v>26.864000000000001</v>
      </c>
      <c r="AB96" s="42">
        <f t="shared" si="28"/>
        <v>4432.5600000000004</v>
      </c>
      <c r="AD96" s="42">
        <v>60</v>
      </c>
      <c r="AE96" s="42">
        <v>26.861899999999999</v>
      </c>
      <c r="AF96" s="42">
        <f t="shared" si="42"/>
        <v>1611.7139999999999</v>
      </c>
      <c r="AG96" s="42"/>
      <c r="AH96" s="42"/>
      <c r="AI96" s="42"/>
      <c r="AJ96" s="42">
        <f t="shared" si="35"/>
        <v>0</v>
      </c>
      <c r="AL96" s="42"/>
      <c r="AM96" s="42"/>
      <c r="AN96" s="42">
        <f t="shared" si="30"/>
        <v>0</v>
      </c>
      <c r="AO96" s="44"/>
      <c r="AP96" s="42"/>
      <c r="AQ96" s="42"/>
      <c r="AR96" s="42"/>
      <c r="AU96" s="98"/>
      <c r="AV96" s="35"/>
      <c r="AW96" s="104"/>
      <c r="AX96" s="42"/>
      <c r="AY96" s="42"/>
      <c r="AZ96" s="42">
        <f t="shared" si="27"/>
        <v>0</v>
      </c>
      <c r="BA96" s="42"/>
      <c r="BB96" s="42"/>
      <c r="BC96" s="42"/>
      <c r="BD96" s="38">
        <f t="shared" si="36"/>
        <v>0</v>
      </c>
      <c r="BE96" s="42"/>
      <c r="BF96" s="42"/>
      <c r="BG96" s="42"/>
      <c r="BH96" s="38">
        <f t="shared" si="37"/>
        <v>0</v>
      </c>
      <c r="BI96" s="42"/>
      <c r="BJ96" s="42"/>
      <c r="BK96" s="42"/>
      <c r="BL96" s="38">
        <f t="shared" si="38"/>
        <v>0</v>
      </c>
      <c r="BM96" s="42"/>
      <c r="BN96" s="42"/>
      <c r="BO96" s="42"/>
      <c r="BP96" s="42"/>
      <c r="BR96" s="42">
        <f t="shared" si="39"/>
        <v>12615.049000000001</v>
      </c>
      <c r="BS96" s="43">
        <f t="shared" si="40"/>
        <v>16002.514999999998</v>
      </c>
      <c r="BT96" s="42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  <c r="IM96" s="31"/>
      <c r="IN96" s="31"/>
      <c r="IO96" s="31"/>
      <c r="IP96" s="31"/>
      <c r="IQ96" s="31"/>
      <c r="IR96" s="31"/>
      <c r="IS96" s="31"/>
      <c r="IT96" s="31"/>
      <c r="IU96" s="31"/>
      <c r="IV96" s="31"/>
      <c r="IW96" s="31"/>
      <c r="IX96" s="31"/>
      <c r="IY96" s="31"/>
      <c r="IZ96" s="31"/>
      <c r="JA96" s="31"/>
      <c r="JB96" s="31"/>
      <c r="JC96" s="31"/>
      <c r="JD96" s="31"/>
      <c r="JE96" s="31"/>
      <c r="JF96" s="31"/>
      <c r="JG96" s="31"/>
      <c r="JH96" s="31"/>
      <c r="JI96" s="31"/>
      <c r="JJ96" s="31"/>
      <c r="JK96" s="31"/>
      <c r="JL96" s="31"/>
      <c r="JM96" s="31"/>
      <c r="JN96" s="31"/>
      <c r="JO96" s="31"/>
      <c r="JP96" s="31"/>
      <c r="JQ96" s="31"/>
      <c r="JR96" s="31"/>
      <c r="JS96" s="31"/>
      <c r="JT96" s="31"/>
      <c r="JU96" s="31"/>
      <c r="JV96" s="31"/>
      <c r="JW96" s="31"/>
      <c r="JX96" s="31"/>
      <c r="JY96" s="31"/>
      <c r="JZ96" s="31"/>
      <c r="KA96" s="31"/>
      <c r="KB96" s="31"/>
      <c r="KC96" s="31"/>
      <c r="KD96" s="31"/>
      <c r="KE96" s="31"/>
      <c r="KF96" s="31"/>
      <c r="KG96" s="31"/>
      <c r="KH96" s="31"/>
      <c r="KI96" s="31"/>
      <c r="KJ96" s="31"/>
      <c r="KK96" s="31"/>
      <c r="KL96" s="31"/>
      <c r="KM96" s="31"/>
      <c r="KN96" s="31"/>
      <c r="KO96" s="31"/>
      <c r="KP96" s="31"/>
      <c r="KQ96" s="31"/>
      <c r="KR96" s="31"/>
      <c r="KS96" s="31"/>
      <c r="KT96" s="31"/>
      <c r="KU96" s="31"/>
      <c r="KV96" s="31"/>
      <c r="KW96" s="31"/>
      <c r="KX96" s="31"/>
      <c r="KY96" s="31"/>
      <c r="KZ96" s="31"/>
      <c r="LA96" s="31"/>
      <c r="LB96" s="31"/>
      <c r="LC96" s="31"/>
      <c r="LD96" s="31"/>
      <c r="LE96" s="31"/>
      <c r="LF96" s="31"/>
      <c r="LG96" s="31"/>
      <c r="LH96" s="31"/>
      <c r="LI96" s="31"/>
      <c r="LJ96" s="31"/>
      <c r="LK96" s="31"/>
      <c r="LL96" s="31"/>
      <c r="LM96" s="31"/>
      <c r="LN96" s="31"/>
      <c r="LO96" s="31"/>
      <c r="LP96" s="31"/>
      <c r="LQ96" s="31"/>
      <c r="LR96" s="31"/>
      <c r="LS96" s="31"/>
      <c r="LT96" s="31"/>
      <c r="LU96" s="31"/>
      <c r="LV96" s="31"/>
      <c r="LW96" s="31"/>
      <c r="LX96" s="31"/>
      <c r="LY96" s="31"/>
      <c r="LZ96" s="31"/>
      <c r="MA96" s="31"/>
      <c r="MB96" s="31"/>
      <c r="MC96" s="31"/>
      <c r="MD96" s="31"/>
      <c r="ME96" s="31"/>
      <c r="MF96" s="31"/>
      <c r="MG96" s="31"/>
      <c r="MH96" s="31"/>
      <c r="MI96" s="31"/>
      <c r="MJ96" s="31"/>
      <c r="MK96" s="31"/>
      <c r="ML96" s="31"/>
      <c r="MM96" s="31"/>
      <c r="MN96" s="31"/>
      <c r="MO96" s="31"/>
      <c r="MP96" s="31"/>
      <c r="MQ96" s="31"/>
      <c r="MR96" s="31"/>
      <c r="MS96" s="31"/>
      <c r="MT96" s="31"/>
      <c r="MU96" s="31"/>
      <c r="MV96" s="31"/>
      <c r="MW96" s="31"/>
      <c r="MX96" s="31"/>
      <c r="MY96" s="31"/>
      <c r="MZ96" s="31"/>
      <c r="NA96" s="31"/>
      <c r="NB96" s="31"/>
      <c r="NC96" s="31"/>
      <c r="ND96" s="31"/>
      <c r="NE96" s="31"/>
      <c r="NF96" s="31"/>
      <c r="NG96" s="31"/>
      <c r="NH96" s="31"/>
      <c r="NI96" s="31"/>
      <c r="NJ96" s="31"/>
      <c r="NK96" s="31"/>
      <c r="NL96" s="31"/>
      <c r="NM96" s="31"/>
      <c r="NN96" s="31"/>
      <c r="NO96" s="31"/>
      <c r="NP96" s="31"/>
      <c r="NQ96" s="31"/>
      <c r="NR96" s="31"/>
      <c r="NS96" s="31"/>
      <c r="NT96" s="31"/>
      <c r="NU96" s="31"/>
      <c r="NV96" s="31"/>
      <c r="NW96" s="31"/>
      <c r="NX96" s="31"/>
      <c r="NY96" s="31"/>
      <c r="NZ96" s="31"/>
      <c r="OA96" s="31"/>
      <c r="OB96" s="31"/>
      <c r="OC96" s="31"/>
      <c r="OD96" s="31"/>
      <c r="OE96" s="31"/>
      <c r="OF96" s="31"/>
      <c r="OG96" s="31"/>
      <c r="OH96" s="31"/>
      <c r="OI96" s="31"/>
      <c r="OJ96" s="31"/>
      <c r="OK96" s="31"/>
      <c r="OL96" s="31"/>
      <c r="OM96" s="31"/>
      <c r="ON96" s="31"/>
      <c r="OO96" s="31"/>
      <c r="OP96" s="31"/>
      <c r="OQ96" s="31"/>
      <c r="OR96" s="31"/>
      <c r="OS96" s="31"/>
      <c r="OT96" s="31"/>
      <c r="OU96" s="31"/>
      <c r="OV96" s="31"/>
      <c r="OW96" s="31"/>
      <c r="OX96" s="31"/>
    </row>
    <row r="97" spans="2:414" s="25" customFormat="1" ht="15.6">
      <c r="B97" s="25" t="s">
        <v>177</v>
      </c>
      <c r="C97" s="27" t="s">
        <v>24</v>
      </c>
      <c r="D97" s="30" t="s">
        <v>105</v>
      </c>
      <c r="G97" s="42">
        <v>500</v>
      </c>
      <c r="H97" s="89">
        <v>26.109000000000002</v>
      </c>
      <c r="I97" s="38">
        <f t="shared" si="31"/>
        <v>13054.5</v>
      </c>
      <c r="K97" s="42">
        <v>500</v>
      </c>
      <c r="L97" s="90">
        <v>26.849599999999999</v>
      </c>
      <c r="M97" s="38">
        <f t="shared" si="32"/>
        <v>13424.8</v>
      </c>
      <c r="O97" s="38">
        <v>80</v>
      </c>
      <c r="P97" s="38">
        <v>26.728300000000001</v>
      </c>
      <c r="Q97" s="38">
        <f t="shared" si="33"/>
        <v>2138.2640000000001</v>
      </c>
      <c r="R97" s="43">
        <f t="shared" si="41"/>
        <v>1080</v>
      </c>
      <c r="S97" s="38">
        <f t="shared" si="34"/>
        <v>28617.563999999998</v>
      </c>
      <c r="T97" s="49">
        <v>85</v>
      </c>
      <c r="U97" s="42">
        <v>26.267499999999998</v>
      </c>
      <c r="V97" s="38">
        <f t="shared" si="44"/>
        <v>2232.7374999999997</v>
      </c>
      <c r="W97" s="42">
        <v>200</v>
      </c>
      <c r="X97" s="42">
        <v>26.283100000000001</v>
      </c>
      <c r="Y97" s="38">
        <f t="shared" si="43"/>
        <v>5256.62</v>
      </c>
      <c r="Z97" s="42"/>
      <c r="AA97" s="42"/>
      <c r="AB97" s="42">
        <f t="shared" si="28"/>
        <v>0</v>
      </c>
      <c r="AD97" s="42"/>
      <c r="AE97" s="42"/>
      <c r="AF97" s="42">
        <f t="shared" si="42"/>
        <v>0</v>
      </c>
      <c r="AG97" s="42"/>
      <c r="AH97" s="42"/>
      <c r="AI97" s="42"/>
      <c r="AJ97" s="42">
        <f t="shared" si="35"/>
        <v>0</v>
      </c>
      <c r="AL97" s="42"/>
      <c r="AM97" s="42"/>
      <c r="AN97" s="42">
        <f t="shared" si="30"/>
        <v>0</v>
      </c>
      <c r="AO97" s="44"/>
      <c r="AP97" s="42"/>
      <c r="AQ97" s="42"/>
      <c r="AR97" s="42"/>
      <c r="AU97" s="98"/>
      <c r="AV97" s="35"/>
      <c r="AW97" s="104"/>
      <c r="AX97" s="42"/>
      <c r="AY97" s="42"/>
      <c r="AZ97" s="42">
        <f t="shared" si="27"/>
        <v>0</v>
      </c>
      <c r="BA97" s="42"/>
      <c r="BB97" s="42"/>
      <c r="BC97" s="42"/>
      <c r="BD97" s="38">
        <f t="shared" si="36"/>
        <v>0</v>
      </c>
      <c r="BE97" s="42"/>
      <c r="BF97" s="42"/>
      <c r="BG97" s="42"/>
      <c r="BH97" s="38">
        <f t="shared" si="37"/>
        <v>0</v>
      </c>
      <c r="BI97" s="42"/>
      <c r="BJ97" s="42"/>
      <c r="BK97" s="42"/>
      <c r="BL97" s="38">
        <f t="shared" si="38"/>
        <v>0</v>
      </c>
      <c r="BM97" s="42"/>
      <c r="BN97" s="42"/>
      <c r="BO97" s="42"/>
      <c r="BP97" s="42"/>
      <c r="BR97" s="42">
        <f t="shared" si="39"/>
        <v>7489.3575000000001</v>
      </c>
      <c r="BS97" s="43">
        <f t="shared" si="40"/>
        <v>21128.2065</v>
      </c>
      <c r="BT97" s="42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  <c r="IM97" s="31"/>
      <c r="IN97" s="31"/>
      <c r="IO97" s="31"/>
      <c r="IP97" s="31"/>
      <c r="IQ97" s="31"/>
      <c r="IR97" s="31"/>
      <c r="IS97" s="31"/>
      <c r="IT97" s="31"/>
      <c r="IU97" s="31"/>
      <c r="IV97" s="31"/>
      <c r="IW97" s="31"/>
      <c r="IX97" s="31"/>
      <c r="IY97" s="31"/>
      <c r="IZ97" s="31"/>
      <c r="JA97" s="31"/>
      <c r="JB97" s="31"/>
      <c r="JC97" s="31"/>
      <c r="JD97" s="31"/>
      <c r="JE97" s="31"/>
      <c r="JF97" s="31"/>
      <c r="JG97" s="31"/>
      <c r="JH97" s="31"/>
      <c r="JI97" s="31"/>
      <c r="JJ97" s="31"/>
      <c r="JK97" s="31"/>
      <c r="JL97" s="31"/>
      <c r="JM97" s="31"/>
      <c r="JN97" s="31"/>
      <c r="JO97" s="31"/>
      <c r="JP97" s="31"/>
      <c r="JQ97" s="31"/>
      <c r="JR97" s="31"/>
      <c r="JS97" s="31"/>
      <c r="JT97" s="31"/>
      <c r="JU97" s="31"/>
      <c r="JV97" s="31"/>
      <c r="JW97" s="31"/>
      <c r="JX97" s="31"/>
      <c r="JY97" s="31"/>
      <c r="JZ97" s="31"/>
      <c r="KA97" s="31"/>
      <c r="KB97" s="31"/>
      <c r="KC97" s="31"/>
      <c r="KD97" s="31"/>
      <c r="KE97" s="31"/>
      <c r="KF97" s="31"/>
      <c r="KG97" s="31"/>
      <c r="KH97" s="31"/>
      <c r="KI97" s="31"/>
      <c r="KJ97" s="31"/>
      <c r="KK97" s="31"/>
      <c r="KL97" s="31"/>
      <c r="KM97" s="31"/>
      <c r="KN97" s="31"/>
      <c r="KO97" s="31"/>
      <c r="KP97" s="31"/>
      <c r="KQ97" s="31"/>
      <c r="KR97" s="31"/>
      <c r="KS97" s="31"/>
      <c r="KT97" s="31"/>
      <c r="KU97" s="31"/>
      <c r="KV97" s="31"/>
      <c r="KW97" s="31"/>
      <c r="KX97" s="31"/>
      <c r="KY97" s="31"/>
      <c r="KZ97" s="31"/>
      <c r="LA97" s="31"/>
      <c r="LB97" s="31"/>
      <c r="LC97" s="31"/>
      <c r="LD97" s="31"/>
      <c r="LE97" s="31"/>
      <c r="LF97" s="31"/>
      <c r="LG97" s="31"/>
      <c r="LH97" s="31"/>
      <c r="LI97" s="31"/>
      <c r="LJ97" s="31"/>
      <c r="LK97" s="31"/>
      <c r="LL97" s="31"/>
      <c r="LM97" s="31"/>
      <c r="LN97" s="31"/>
      <c r="LO97" s="31"/>
      <c r="LP97" s="31"/>
      <c r="LQ97" s="31"/>
      <c r="LR97" s="31"/>
      <c r="LS97" s="31"/>
      <c r="LT97" s="31"/>
      <c r="LU97" s="31"/>
      <c r="LV97" s="31"/>
      <c r="LW97" s="31"/>
      <c r="LX97" s="31"/>
      <c r="LY97" s="31"/>
      <c r="LZ97" s="31"/>
      <c r="MA97" s="31"/>
      <c r="MB97" s="31"/>
      <c r="MC97" s="31"/>
      <c r="MD97" s="31"/>
      <c r="ME97" s="31"/>
      <c r="MF97" s="31"/>
      <c r="MG97" s="31"/>
      <c r="MH97" s="31"/>
      <c r="MI97" s="31"/>
      <c r="MJ97" s="31"/>
      <c r="MK97" s="31"/>
      <c r="ML97" s="31"/>
      <c r="MM97" s="31"/>
      <c r="MN97" s="31"/>
      <c r="MO97" s="31"/>
      <c r="MP97" s="31"/>
      <c r="MQ97" s="31"/>
      <c r="MR97" s="31"/>
      <c r="MS97" s="31"/>
      <c r="MT97" s="31"/>
      <c r="MU97" s="31"/>
      <c r="MV97" s="31"/>
      <c r="MW97" s="31"/>
      <c r="MX97" s="31"/>
      <c r="MY97" s="31"/>
      <c r="MZ97" s="31"/>
      <c r="NA97" s="31"/>
      <c r="NB97" s="31"/>
      <c r="NC97" s="31"/>
      <c r="ND97" s="31"/>
      <c r="NE97" s="31"/>
      <c r="NF97" s="31"/>
      <c r="NG97" s="31"/>
      <c r="NH97" s="31"/>
      <c r="NI97" s="31"/>
      <c r="NJ97" s="31"/>
      <c r="NK97" s="31"/>
      <c r="NL97" s="31"/>
      <c r="NM97" s="31"/>
      <c r="NN97" s="31"/>
      <c r="NO97" s="31"/>
      <c r="NP97" s="31"/>
      <c r="NQ97" s="31"/>
      <c r="NR97" s="31"/>
      <c r="NS97" s="31"/>
      <c r="NT97" s="31"/>
      <c r="NU97" s="31"/>
      <c r="NV97" s="31"/>
      <c r="NW97" s="31"/>
      <c r="NX97" s="31"/>
      <c r="NY97" s="31"/>
      <c r="NZ97" s="31"/>
      <c r="OA97" s="31"/>
      <c r="OB97" s="31"/>
      <c r="OC97" s="31"/>
      <c r="OD97" s="31"/>
      <c r="OE97" s="31"/>
      <c r="OF97" s="31"/>
      <c r="OG97" s="31"/>
      <c r="OH97" s="31"/>
      <c r="OI97" s="31"/>
      <c r="OJ97" s="31"/>
      <c r="OK97" s="31"/>
      <c r="OL97" s="31"/>
      <c r="OM97" s="31"/>
      <c r="ON97" s="31"/>
      <c r="OO97" s="31"/>
      <c r="OP97" s="31"/>
      <c r="OQ97" s="31"/>
      <c r="OR97" s="31"/>
      <c r="OS97" s="31"/>
      <c r="OT97" s="31"/>
      <c r="OU97" s="31"/>
      <c r="OV97" s="31"/>
      <c r="OW97" s="31"/>
      <c r="OX97" s="31"/>
    </row>
    <row r="98" spans="2:414" s="25" customFormat="1" ht="15.6">
      <c r="B98" s="25" t="s">
        <v>178</v>
      </c>
      <c r="C98" s="27" t="s">
        <v>71</v>
      </c>
      <c r="D98" s="30" t="s">
        <v>105</v>
      </c>
      <c r="G98" s="42">
        <v>500</v>
      </c>
      <c r="H98" s="89">
        <v>26.109000000000002</v>
      </c>
      <c r="I98" s="38">
        <f t="shared" si="31"/>
        <v>13054.5</v>
      </c>
      <c r="K98" s="42">
        <v>500</v>
      </c>
      <c r="L98" s="90">
        <v>26.849599999999999</v>
      </c>
      <c r="M98" s="38">
        <f t="shared" si="32"/>
        <v>13424.8</v>
      </c>
      <c r="O98" s="38">
        <v>80</v>
      </c>
      <c r="P98" s="38">
        <v>26.728300000000001</v>
      </c>
      <c r="Q98" s="38">
        <f t="shared" si="33"/>
        <v>2138.2640000000001</v>
      </c>
      <c r="R98" s="43">
        <f t="shared" si="41"/>
        <v>1080</v>
      </c>
      <c r="S98" s="38">
        <f t="shared" si="34"/>
        <v>28617.563999999998</v>
      </c>
      <c r="T98" s="49">
        <v>85</v>
      </c>
      <c r="U98" s="42">
        <v>26.283100000000001</v>
      </c>
      <c r="V98" s="38">
        <f t="shared" si="44"/>
        <v>2234.0635000000002</v>
      </c>
      <c r="W98" s="42">
        <v>100</v>
      </c>
      <c r="X98" s="42">
        <v>26.3004</v>
      </c>
      <c r="Y98" s="38">
        <f t="shared" si="43"/>
        <v>2630.04</v>
      </c>
      <c r="Z98" s="42">
        <v>200</v>
      </c>
      <c r="AA98" s="42">
        <v>26.3004</v>
      </c>
      <c r="AB98" s="42">
        <f t="shared" si="28"/>
        <v>5260.08</v>
      </c>
      <c r="AD98" s="42">
        <v>115</v>
      </c>
      <c r="AE98" s="42">
        <v>26.3004</v>
      </c>
      <c r="AF98" s="42">
        <f t="shared" si="42"/>
        <v>3024.5459999999998</v>
      </c>
      <c r="AG98" s="42"/>
      <c r="AH98" s="42">
        <v>225</v>
      </c>
      <c r="AI98" s="42">
        <v>26.861899999999999</v>
      </c>
      <c r="AJ98" s="42">
        <f t="shared" si="35"/>
        <v>6043.9274999999998</v>
      </c>
      <c r="AL98" s="42">
        <v>275</v>
      </c>
      <c r="AM98" s="42">
        <v>26.967199999999998</v>
      </c>
      <c r="AN98" s="42">
        <f t="shared" si="30"/>
        <v>7415.98</v>
      </c>
      <c r="AO98" s="44"/>
      <c r="AP98" s="42"/>
      <c r="AQ98" s="42"/>
      <c r="AR98" s="42"/>
      <c r="AU98" s="98"/>
      <c r="AV98" s="35"/>
      <c r="AW98" s="104"/>
      <c r="AX98" s="42"/>
      <c r="AY98" s="42"/>
      <c r="AZ98" s="42">
        <f t="shared" si="27"/>
        <v>0</v>
      </c>
      <c r="BA98" s="42"/>
      <c r="BB98" s="42"/>
      <c r="BC98" s="42"/>
      <c r="BD98" s="38">
        <f t="shared" si="36"/>
        <v>0</v>
      </c>
      <c r="BE98" s="42"/>
      <c r="BF98" s="42"/>
      <c r="BG98" s="42"/>
      <c r="BH98" s="38">
        <f t="shared" si="37"/>
        <v>0</v>
      </c>
      <c r="BI98" s="42"/>
      <c r="BJ98" s="42"/>
      <c r="BK98" s="42"/>
      <c r="BL98" s="38">
        <f t="shared" si="38"/>
        <v>0</v>
      </c>
      <c r="BM98" s="42"/>
      <c r="BN98" s="42"/>
      <c r="BO98" s="42"/>
      <c r="BP98" s="42"/>
      <c r="BR98" s="42">
        <f t="shared" si="39"/>
        <v>26608.636999999999</v>
      </c>
      <c r="BS98" s="43">
        <f t="shared" si="40"/>
        <v>2008.9269999999997</v>
      </c>
      <c r="BT98" s="42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  <c r="IM98" s="31"/>
      <c r="IN98" s="31"/>
      <c r="IO98" s="31"/>
      <c r="IP98" s="31"/>
      <c r="IQ98" s="31"/>
      <c r="IR98" s="31"/>
      <c r="IS98" s="31"/>
      <c r="IT98" s="31"/>
      <c r="IU98" s="31"/>
      <c r="IV98" s="31"/>
      <c r="IW98" s="31"/>
      <c r="IX98" s="31"/>
      <c r="IY98" s="31"/>
      <c r="IZ98" s="31"/>
      <c r="JA98" s="31"/>
      <c r="JB98" s="31"/>
      <c r="JC98" s="31"/>
      <c r="JD98" s="31"/>
      <c r="JE98" s="31"/>
      <c r="JF98" s="31"/>
      <c r="JG98" s="31"/>
      <c r="JH98" s="31"/>
      <c r="JI98" s="31"/>
      <c r="JJ98" s="31"/>
      <c r="JK98" s="31"/>
      <c r="JL98" s="31"/>
      <c r="JM98" s="31"/>
      <c r="JN98" s="31"/>
      <c r="JO98" s="31"/>
      <c r="JP98" s="31"/>
      <c r="JQ98" s="31"/>
      <c r="JR98" s="31"/>
      <c r="JS98" s="31"/>
      <c r="JT98" s="31"/>
      <c r="JU98" s="31"/>
      <c r="JV98" s="31"/>
      <c r="JW98" s="31"/>
      <c r="JX98" s="31"/>
      <c r="JY98" s="31"/>
      <c r="JZ98" s="31"/>
      <c r="KA98" s="31"/>
      <c r="KB98" s="31"/>
      <c r="KC98" s="31"/>
      <c r="KD98" s="31"/>
      <c r="KE98" s="31"/>
      <c r="KF98" s="31"/>
      <c r="KG98" s="31"/>
      <c r="KH98" s="31"/>
      <c r="KI98" s="31"/>
      <c r="KJ98" s="31"/>
      <c r="KK98" s="31"/>
      <c r="KL98" s="31"/>
      <c r="KM98" s="31"/>
      <c r="KN98" s="31"/>
      <c r="KO98" s="31"/>
      <c r="KP98" s="31"/>
      <c r="KQ98" s="31"/>
      <c r="KR98" s="31"/>
      <c r="KS98" s="31"/>
      <c r="KT98" s="31"/>
      <c r="KU98" s="31"/>
      <c r="KV98" s="31"/>
      <c r="KW98" s="31"/>
      <c r="KX98" s="31"/>
      <c r="KY98" s="31"/>
      <c r="KZ98" s="31"/>
      <c r="LA98" s="31"/>
      <c r="LB98" s="31"/>
      <c r="LC98" s="31"/>
      <c r="LD98" s="31"/>
      <c r="LE98" s="31"/>
      <c r="LF98" s="31"/>
      <c r="LG98" s="31"/>
      <c r="LH98" s="31"/>
      <c r="LI98" s="31"/>
      <c r="LJ98" s="31"/>
      <c r="LK98" s="31"/>
      <c r="LL98" s="31"/>
      <c r="LM98" s="31"/>
      <c r="LN98" s="31"/>
      <c r="LO98" s="31"/>
      <c r="LP98" s="31"/>
      <c r="LQ98" s="31"/>
      <c r="LR98" s="31"/>
      <c r="LS98" s="31"/>
      <c r="LT98" s="31"/>
      <c r="LU98" s="31"/>
      <c r="LV98" s="31"/>
      <c r="LW98" s="31"/>
      <c r="LX98" s="31"/>
      <c r="LY98" s="31"/>
      <c r="LZ98" s="31"/>
      <c r="MA98" s="31"/>
      <c r="MB98" s="31"/>
      <c r="MC98" s="31"/>
      <c r="MD98" s="31"/>
      <c r="ME98" s="31"/>
      <c r="MF98" s="31"/>
      <c r="MG98" s="31"/>
      <c r="MH98" s="31"/>
      <c r="MI98" s="31"/>
      <c r="MJ98" s="31"/>
      <c r="MK98" s="31"/>
      <c r="ML98" s="31"/>
      <c r="MM98" s="31"/>
      <c r="MN98" s="31"/>
      <c r="MO98" s="31"/>
      <c r="MP98" s="31"/>
      <c r="MQ98" s="31"/>
      <c r="MR98" s="31"/>
      <c r="MS98" s="31"/>
      <c r="MT98" s="31"/>
      <c r="MU98" s="31"/>
      <c r="MV98" s="31"/>
      <c r="MW98" s="31"/>
      <c r="MX98" s="31"/>
      <c r="MY98" s="31"/>
      <c r="MZ98" s="31"/>
      <c r="NA98" s="31"/>
      <c r="NB98" s="31"/>
      <c r="NC98" s="31"/>
      <c r="ND98" s="31"/>
      <c r="NE98" s="31"/>
      <c r="NF98" s="31"/>
      <c r="NG98" s="31"/>
      <c r="NH98" s="31"/>
      <c r="NI98" s="31"/>
      <c r="NJ98" s="31"/>
      <c r="NK98" s="31"/>
      <c r="NL98" s="31"/>
      <c r="NM98" s="31"/>
      <c r="NN98" s="31"/>
      <c r="NO98" s="31"/>
      <c r="NP98" s="31"/>
      <c r="NQ98" s="31"/>
      <c r="NR98" s="31"/>
      <c r="NS98" s="31"/>
      <c r="NT98" s="31"/>
      <c r="NU98" s="31"/>
      <c r="NV98" s="31"/>
      <c r="NW98" s="31"/>
      <c r="NX98" s="31"/>
      <c r="NY98" s="31"/>
      <c r="NZ98" s="31"/>
      <c r="OA98" s="31"/>
      <c r="OB98" s="31"/>
      <c r="OC98" s="31"/>
      <c r="OD98" s="31"/>
      <c r="OE98" s="31"/>
      <c r="OF98" s="31"/>
      <c r="OG98" s="31"/>
      <c r="OH98" s="31"/>
      <c r="OI98" s="31"/>
      <c r="OJ98" s="31"/>
      <c r="OK98" s="31"/>
      <c r="OL98" s="31"/>
      <c r="OM98" s="31"/>
      <c r="ON98" s="31"/>
      <c r="OO98" s="31"/>
      <c r="OP98" s="31"/>
      <c r="OQ98" s="31"/>
      <c r="OR98" s="31"/>
      <c r="OS98" s="31"/>
      <c r="OT98" s="31"/>
      <c r="OU98" s="31"/>
      <c r="OV98" s="31"/>
      <c r="OW98" s="31"/>
      <c r="OX98" s="31"/>
    </row>
    <row r="99" spans="2:414" s="25" customFormat="1" ht="15.6">
      <c r="B99" s="25" t="s">
        <v>179</v>
      </c>
      <c r="C99" s="27" t="s">
        <v>180</v>
      </c>
      <c r="D99" s="30" t="s">
        <v>105</v>
      </c>
      <c r="G99" s="42">
        <v>500</v>
      </c>
      <c r="H99" s="89">
        <v>26.109000000000002</v>
      </c>
      <c r="I99" s="38">
        <f t="shared" si="31"/>
        <v>13054.5</v>
      </c>
      <c r="K99" s="42">
        <v>500</v>
      </c>
      <c r="L99" s="90">
        <v>26.849599999999999</v>
      </c>
      <c r="M99" s="38">
        <f t="shared" si="32"/>
        <v>13424.8</v>
      </c>
      <c r="O99" s="38">
        <v>80</v>
      </c>
      <c r="P99" s="38">
        <v>26.728300000000001</v>
      </c>
      <c r="Q99" s="38">
        <f t="shared" si="33"/>
        <v>2138.2640000000001</v>
      </c>
      <c r="R99" s="43">
        <f t="shared" si="41"/>
        <v>1080</v>
      </c>
      <c r="S99" s="38">
        <f t="shared" si="34"/>
        <v>28617.563999999998</v>
      </c>
      <c r="T99" s="49">
        <v>95</v>
      </c>
      <c r="U99" s="42"/>
      <c r="V99" s="38">
        <f t="shared" si="44"/>
        <v>0</v>
      </c>
      <c r="W99" s="42">
        <v>115</v>
      </c>
      <c r="X99" s="42">
        <v>26.290299999999998</v>
      </c>
      <c r="Y99" s="38">
        <f t="shared" si="43"/>
        <v>3023.3844999999997</v>
      </c>
      <c r="Z99" s="42">
        <v>85</v>
      </c>
      <c r="AA99" s="42">
        <v>26.290299999999998</v>
      </c>
      <c r="AB99" s="42">
        <f t="shared" si="28"/>
        <v>2234.6754999999998</v>
      </c>
      <c r="AD99" s="42">
        <v>215</v>
      </c>
      <c r="AE99" s="42">
        <v>26.150300000000001</v>
      </c>
      <c r="AF99" s="42">
        <f t="shared" si="42"/>
        <v>5622.3145000000004</v>
      </c>
      <c r="AG99" s="42"/>
      <c r="AH99" s="42">
        <v>85</v>
      </c>
      <c r="AI99" s="42">
        <v>26.290299999999998</v>
      </c>
      <c r="AJ99" s="42">
        <f t="shared" si="35"/>
        <v>2234.6754999999998</v>
      </c>
      <c r="AL99" s="42">
        <v>150</v>
      </c>
      <c r="AM99" s="42">
        <v>26.861899999999999</v>
      </c>
      <c r="AN99" s="42">
        <f t="shared" si="30"/>
        <v>4029.2849999999999</v>
      </c>
      <c r="AO99" s="44"/>
      <c r="AP99" s="42">
        <v>85</v>
      </c>
      <c r="AQ99" s="42">
        <v>26.194800000000001</v>
      </c>
      <c r="AR99" s="42"/>
      <c r="AU99" s="98"/>
      <c r="AV99" s="35">
        <v>7217</v>
      </c>
      <c r="AW99" s="104"/>
      <c r="AX99" s="42"/>
      <c r="AY99" s="42"/>
      <c r="AZ99" s="42">
        <f t="shared" si="27"/>
        <v>0</v>
      </c>
      <c r="BA99" s="42"/>
      <c r="BB99" s="42"/>
      <c r="BC99" s="42"/>
      <c r="BD99" s="38">
        <f t="shared" si="36"/>
        <v>0</v>
      </c>
      <c r="BE99" s="42"/>
      <c r="BF99" s="42"/>
      <c r="BG99" s="42"/>
      <c r="BH99" s="38">
        <f t="shared" si="37"/>
        <v>0</v>
      </c>
      <c r="BI99" s="42"/>
      <c r="BJ99" s="42"/>
      <c r="BK99" s="42"/>
      <c r="BL99" s="38">
        <f t="shared" si="38"/>
        <v>0</v>
      </c>
      <c r="BM99" s="42"/>
      <c r="BN99" s="42"/>
      <c r="BO99" s="42"/>
      <c r="BP99" s="42"/>
      <c r="BR99" s="42">
        <f t="shared" si="39"/>
        <v>24361.334999999999</v>
      </c>
      <c r="BS99" s="43">
        <f t="shared" si="40"/>
        <v>4256.2289999999994</v>
      </c>
      <c r="BT99" s="42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  <c r="IM99" s="31"/>
      <c r="IN99" s="31"/>
      <c r="IO99" s="31"/>
      <c r="IP99" s="31"/>
      <c r="IQ99" s="31"/>
      <c r="IR99" s="31"/>
      <c r="IS99" s="31"/>
      <c r="IT99" s="31"/>
      <c r="IU99" s="31"/>
      <c r="IV99" s="31"/>
      <c r="IW99" s="31"/>
      <c r="IX99" s="31"/>
      <c r="IY99" s="31"/>
      <c r="IZ99" s="31"/>
      <c r="JA99" s="31"/>
      <c r="JB99" s="31"/>
      <c r="JC99" s="31"/>
      <c r="JD99" s="31"/>
      <c r="JE99" s="31"/>
      <c r="JF99" s="31"/>
      <c r="JG99" s="31"/>
      <c r="JH99" s="31"/>
      <c r="JI99" s="31"/>
      <c r="JJ99" s="31"/>
      <c r="JK99" s="31"/>
      <c r="JL99" s="31"/>
      <c r="JM99" s="31"/>
      <c r="JN99" s="31"/>
      <c r="JO99" s="31"/>
      <c r="JP99" s="31"/>
      <c r="JQ99" s="31"/>
      <c r="JR99" s="31"/>
      <c r="JS99" s="31"/>
      <c r="JT99" s="31"/>
      <c r="JU99" s="31"/>
      <c r="JV99" s="31"/>
      <c r="JW99" s="31"/>
      <c r="JX99" s="31"/>
      <c r="JY99" s="31"/>
      <c r="JZ99" s="31"/>
      <c r="KA99" s="31"/>
      <c r="KB99" s="31"/>
      <c r="KC99" s="31"/>
      <c r="KD99" s="31"/>
      <c r="KE99" s="31"/>
      <c r="KF99" s="31"/>
      <c r="KG99" s="31"/>
      <c r="KH99" s="31"/>
      <c r="KI99" s="31"/>
      <c r="KJ99" s="31"/>
      <c r="KK99" s="31"/>
      <c r="KL99" s="31"/>
      <c r="KM99" s="31"/>
      <c r="KN99" s="31"/>
      <c r="KO99" s="31"/>
      <c r="KP99" s="31"/>
      <c r="KQ99" s="31"/>
      <c r="KR99" s="31"/>
      <c r="KS99" s="31"/>
      <c r="KT99" s="31"/>
      <c r="KU99" s="31"/>
      <c r="KV99" s="31"/>
      <c r="KW99" s="31"/>
      <c r="KX99" s="31"/>
      <c r="KY99" s="31"/>
      <c r="KZ99" s="31"/>
      <c r="LA99" s="31"/>
      <c r="LB99" s="31"/>
      <c r="LC99" s="31"/>
      <c r="LD99" s="31"/>
      <c r="LE99" s="31"/>
      <c r="LF99" s="31"/>
      <c r="LG99" s="31"/>
      <c r="LH99" s="31"/>
      <c r="LI99" s="31"/>
      <c r="LJ99" s="31"/>
      <c r="LK99" s="31"/>
      <c r="LL99" s="31"/>
      <c r="LM99" s="31"/>
      <c r="LN99" s="31"/>
      <c r="LO99" s="31"/>
      <c r="LP99" s="31"/>
      <c r="LQ99" s="31"/>
      <c r="LR99" s="31"/>
      <c r="LS99" s="31"/>
      <c r="LT99" s="31"/>
      <c r="LU99" s="31"/>
      <c r="LV99" s="31"/>
      <c r="LW99" s="31"/>
      <c r="LX99" s="31"/>
      <c r="LY99" s="31"/>
      <c r="LZ99" s="31"/>
      <c r="MA99" s="31"/>
      <c r="MB99" s="31"/>
      <c r="MC99" s="31"/>
      <c r="MD99" s="31"/>
      <c r="ME99" s="31"/>
      <c r="MF99" s="31"/>
      <c r="MG99" s="31"/>
      <c r="MH99" s="31"/>
      <c r="MI99" s="31"/>
      <c r="MJ99" s="31"/>
      <c r="MK99" s="31"/>
      <c r="ML99" s="31"/>
      <c r="MM99" s="31"/>
      <c r="MN99" s="31"/>
      <c r="MO99" s="31"/>
      <c r="MP99" s="31"/>
      <c r="MQ99" s="31"/>
      <c r="MR99" s="31"/>
      <c r="MS99" s="31"/>
      <c r="MT99" s="31"/>
      <c r="MU99" s="31"/>
      <c r="MV99" s="31"/>
      <c r="MW99" s="31"/>
      <c r="MX99" s="31"/>
      <c r="MY99" s="31"/>
      <c r="MZ99" s="31"/>
      <c r="NA99" s="31"/>
      <c r="NB99" s="31"/>
      <c r="NC99" s="31"/>
      <c r="ND99" s="31"/>
      <c r="NE99" s="31"/>
      <c r="NF99" s="31"/>
      <c r="NG99" s="31"/>
      <c r="NH99" s="31"/>
      <c r="NI99" s="31"/>
      <c r="NJ99" s="31"/>
      <c r="NK99" s="31"/>
      <c r="NL99" s="31"/>
      <c r="NM99" s="31"/>
      <c r="NN99" s="31"/>
      <c r="NO99" s="31"/>
      <c r="NP99" s="31"/>
      <c r="NQ99" s="31"/>
      <c r="NR99" s="31"/>
      <c r="NS99" s="31"/>
      <c r="NT99" s="31"/>
      <c r="NU99" s="31"/>
      <c r="NV99" s="31"/>
      <c r="NW99" s="31"/>
      <c r="NX99" s="31"/>
      <c r="NY99" s="31"/>
      <c r="NZ99" s="31"/>
      <c r="OA99" s="31"/>
      <c r="OB99" s="31"/>
      <c r="OC99" s="31"/>
      <c r="OD99" s="31"/>
      <c r="OE99" s="31"/>
      <c r="OF99" s="31"/>
      <c r="OG99" s="31"/>
      <c r="OH99" s="31"/>
      <c r="OI99" s="31"/>
      <c r="OJ99" s="31"/>
      <c r="OK99" s="31"/>
      <c r="OL99" s="31"/>
      <c r="OM99" s="31"/>
      <c r="ON99" s="31"/>
      <c r="OO99" s="31"/>
      <c r="OP99" s="31"/>
      <c r="OQ99" s="31"/>
      <c r="OR99" s="31"/>
      <c r="OS99" s="31"/>
      <c r="OT99" s="31"/>
      <c r="OU99" s="31"/>
      <c r="OV99" s="31"/>
      <c r="OW99" s="31"/>
      <c r="OX99" s="31"/>
    </row>
    <row r="100" spans="2:414" s="25" customFormat="1" ht="15.6">
      <c r="B100" s="25" t="s">
        <v>181</v>
      </c>
      <c r="C100" s="27" t="s">
        <v>182</v>
      </c>
      <c r="D100" s="30" t="s">
        <v>105</v>
      </c>
      <c r="G100" s="42">
        <v>500</v>
      </c>
      <c r="H100" s="89">
        <v>26.109000000000002</v>
      </c>
      <c r="I100" s="38">
        <f t="shared" si="31"/>
        <v>13054.5</v>
      </c>
      <c r="K100" s="42">
        <v>500</v>
      </c>
      <c r="L100" s="90">
        <v>26.849599999999999</v>
      </c>
      <c r="M100" s="38">
        <f t="shared" si="32"/>
        <v>13424.8</v>
      </c>
      <c r="O100" s="38">
        <v>80</v>
      </c>
      <c r="P100" s="38">
        <v>26.728300000000001</v>
      </c>
      <c r="Q100" s="38">
        <f t="shared" si="33"/>
        <v>2138.2640000000001</v>
      </c>
      <c r="R100" s="43">
        <f t="shared" si="41"/>
        <v>1080</v>
      </c>
      <c r="S100" s="38">
        <f t="shared" si="34"/>
        <v>28617.563999999998</v>
      </c>
      <c r="T100" s="49">
        <v>415</v>
      </c>
      <c r="U100" s="42">
        <v>25.822600000000001</v>
      </c>
      <c r="V100" s="38">
        <f t="shared" si="44"/>
        <v>10716.379000000001</v>
      </c>
      <c r="W100" s="42">
        <v>85</v>
      </c>
      <c r="X100" s="42">
        <v>25.822600000000001</v>
      </c>
      <c r="Y100" s="38">
        <f t="shared" si="43"/>
        <v>2194.9210000000003</v>
      </c>
      <c r="Z100" s="42">
        <v>100</v>
      </c>
      <c r="AA100" s="42">
        <v>26.8719</v>
      </c>
      <c r="AB100" s="42">
        <f t="shared" si="28"/>
        <v>2687.19</v>
      </c>
      <c r="AD100" s="42">
        <v>200</v>
      </c>
      <c r="AE100" s="42">
        <v>26.890499999999999</v>
      </c>
      <c r="AF100" s="42">
        <f t="shared" si="42"/>
        <v>5378.0999999999995</v>
      </c>
      <c r="AG100" s="42"/>
      <c r="AH100" s="42">
        <v>200</v>
      </c>
      <c r="AI100" s="42">
        <v>26.768699999999999</v>
      </c>
      <c r="AJ100" s="42">
        <f t="shared" si="35"/>
        <v>5353.74</v>
      </c>
      <c r="AL100" s="42"/>
      <c r="AM100" s="42"/>
      <c r="AN100" s="42">
        <f t="shared" si="30"/>
        <v>0</v>
      </c>
      <c r="AO100" s="44"/>
      <c r="AP100" s="42"/>
      <c r="AQ100" s="42"/>
      <c r="AR100" s="42"/>
      <c r="AU100" s="98"/>
      <c r="AV100" s="35"/>
      <c r="AW100" s="104"/>
      <c r="AX100" s="42"/>
      <c r="AY100" s="42"/>
      <c r="AZ100" s="42">
        <f t="shared" si="27"/>
        <v>0</v>
      </c>
      <c r="BA100" s="42"/>
      <c r="BB100" s="42"/>
      <c r="BC100" s="42"/>
      <c r="BD100" s="38">
        <f t="shared" si="36"/>
        <v>0</v>
      </c>
      <c r="BE100" s="42"/>
      <c r="BF100" s="42"/>
      <c r="BG100" s="42"/>
      <c r="BH100" s="38">
        <f t="shared" si="37"/>
        <v>0</v>
      </c>
      <c r="BI100" s="42"/>
      <c r="BJ100" s="42"/>
      <c r="BK100" s="42"/>
      <c r="BL100" s="38">
        <f t="shared" si="38"/>
        <v>0</v>
      </c>
      <c r="BM100" s="42"/>
      <c r="BN100" s="42"/>
      <c r="BO100" s="42"/>
      <c r="BP100" s="42"/>
      <c r="BR100" s="42">
        <f t="shared" si="39"/>
        <v>26330.33</v>
      </c>
      <c r="BS100" s="43">
        <f t="shared" si="40"/>
        <v>2287.2339999999967</v>
      </c>
      <c r="BT100" s="42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  <c r="IM100" s="31"/>
      <c r="IN100" s="31"/>
      <c r="IO100" s="31"/>
      <c r="IP100" s="31"/>
      <c r="IQ100" s="31"/>
      <c r="IR100" s="31"/>
      <c r="IS100" s="31"/>
      <c r="IT100" s="31"/>
      <c r="IU100" s="31"/>
      <c r="IV100" s="31"/>
      <c r="IW100" s="31"/>
      <c r="IX100" s="31"/>
      <c r="IY100" s="31"/>
      <c r="IZ100" s="31"/>
      <c r="JA100" s="31"/>
      <c r="JB100" s="31"/>
      <c r="JC100" s="31"/>
      <c r="JD100" s="31"/>
      <c r="JE100" s="31"/>
      <c r="JF100" s="31"/>
      <c r="JG100" s="31"/>
      <c r="JH100" s="31"/>
      <c r="JI100" s="31"/>
      <c r="JJ100" s="31"/>
      <c r="JK100" s="31"/>
      <c r="JL100" s="31"/>
      <c r="JM100" s="31"/>
      <c r="JN100" s="31"/>
      <c r="JO100" s="31"/>
      <c r="JP100" s="31"/>
      <c r="JQ100" s="31"/>
      <c r="JR100" s="31"/>
      <c r="JS100" s="31"/>
      <c r="JT100" s="31"/>
      <c r="JU100" s="31"/>
      <c r="JV100" s="31"/>
      <c r="JW100" s="31"/>
      <c r="JX100" s="31"/>
      <c r="JY100" s="31"/>
      <c r="JZ100" s="31"/>
      <c r="KA100" s="31"/>
      <c r="KB100" s="31"/>
      <c r="KC100" s="31"/>
      <c r="KD100" s="31"/>
      <c r="KE100" s="31"/>
      <c r="KF100" s="31"/>
      <c r="KG100" s="31"/>
      <c r="KH100" s="31"/>
      <c r="KI100" s="31"/>
      <c r="KJ100" s="31"/>
      <c r="KK100" s="31"/>
      <c r="KL100" s="31"/>
      <c r="KM100" s="31"/>
      <c r="KN100" s="31"/>
      <c r="KO100" s="31"/>
      <c r="KP100" s="31"/>
      <c r="KQ100" s="31"/>
      <c r="KR100" s="31"/>
      <c r="KS100" s="31"/>
      <c r="KT100" s="31"/>
      <c r="KU100" s="31"/>
      <c r="KV100" s="31"/>
      <c r="KW100" s="31"/>
      <c r="KX100" s="31"/>
      <c r="KY100" s="31"/>
      <c r="KZ100" s="31"/>
      <c r="LA100" s="31"/>
      <c r="LB100" s="31"/>
      <c r="LC100" s="31"/>
      <c r="LD100" s="31"/>
      <c r="LE100" s="31"/>
      <c r="LF100" s="31"/>
      <c r="LG100" s="31"/>
      <c r="LH100" s="31"/>
      <c r="LI100" s="31"/>
      <c r="LJ100" s="31"/>
      <c r="LK100" s="31"/>
      <c r="LL100" s="31"/>
      <c r="LM100" s="31"/>
      <c r="LN100" s="31"/>
      <c r="LO100" s="31"/>
      <c r="LP100" s="31"/>
      <c r="LQ100" s="31"/>
      <c r="LR100" s="31"/>
      <c r="LS100" s="31"/>
      <c r="LT100" s="31"/>
      <c r="LU100" s="31"/>
      <c r="LV100" s="31"/>
      <c r="LW100" s="31"/>
      <c r="LX100" s="31"/>
      <c r="LY100" s="31"/>
      <c r="LZ100" s="31"/>
      <c r="MA100" s="31"/>
      <c r="MB100" s="31"/>
      <c r="MC100" s="31"/>
      <c r="MD100" s="31"/>
      <c r="ME100" s="31"/>
      <c r="MF100" s="31"/>
      <c r="MG100" s="31"/>
      <c r="MH100" s="31"/>
      <c r="MI100" s="31"/>
      <c r="MJ100" s="31"/>
      <c r="MK100" s="31"/>
      <c r="ML100" s="31"/>
      <c r="MM100" s="31"/>
      <c r="MN100" s="31"/>
      <c r="MO100" s="31"/>
      <c r="MP100" s="31"/>
      <c r="MQ100" s="31"/>
      <c r="MR100" s="31"/>
      <c r="MS100" s="31"/>
      <c r="MT100" s="31"/>
      <c r="MU100" s="31"/>
      <c r="MV100" s="31"/>
      <c r="MW100" s="31"/>
      <c r="MX100" s="31"/>
      <c r="MY100" s="31"/>
      <c r="MZ100" s="31"/>
      <c r="NA100" s="31"/>
      <c r="NB100" s="31"/>
      <c r="NC100" s="31"/>
      <c r="ND100" s="31"/>
      <c r="NE100" s="31"/>
      <c r="NF100" s="31"/>
      <c r="NG100" s="31"/>
      <c r="NH100" s="31"/>
      <c r="NI100" s="31"/>
      <c r="NJ100" s="31"/>
      <c r="NK100" s="31"/>
      <c r="NL100" s="31"/>
      <c r="NM100" s="31"/>
      <c r="NN100" s="31"/>
      <c r="NO100" s="31"/>
      <c r="NP100" s="31"/>
      <c r="NQ100" s="31"/>
      <c r="NR100" s="31"/>
      <c r="NS100" s="31"/>
      <c r="NT100" s="31"/>
      <c r="NU100" s="31"/>
      <c r="NV100" s="31"/>
      <c r="NW100" s="31"/>
      <c r="NX100" s="31"/>
      <c r="NY100" s="31"/>
      <c r="NZ100" s="31"/>
      <c r="OA100" s="31"/>
      <c r="OB100" s="31"/>
      <c r="OC100" s="31"/>
      <c r="OD100" s="31"/>
      <c r="OE100" s="31"/>
      <c r="OF100" s="31"/>
      <c r="OG100" s="31"/>
      <c r="OH100" s="31"/>
      <c r="OI100" s="31"/>
      <c r="OJ100" s="31"/>
      <c r="OK100" s="31"/>
      <c r="OL100" s="31"/>
      <c r="OM100" s="31"/>
      <c r="ON100" s="31"/>
      <c r="OO100" s="31"/>
      <c r="OP100" s="31"/>
      <c r="OQ100" s="31"/>
      <c r="OR100" s="31"/>
      <c r="OS100" s="31"/>
      <c r="OT100" s="31"/>
      <c r="OU100" s="31"/>
      <c r="OV100" s="31"/>
      <c r="OW100" s="31"/>
      <c r="OX100" s="31"/>
    </row>
    <row r="101" spans="2:414" s="25" customFormat="1" ht="15.6">
      <c r="B101" s="25" t="s">
        <v>183</v>
      </c>
      <c r="C101" s="27" t="s">
        <v>159</v>
      </c>
      <c r="D101" s="30" t="s">
        <v>105</v>
      </c>
      <c r="G101" s="42">
        <v>500</v>
      </c>
      <c r="H101" s="89">
        <v>26.109000000000002</v>
      </c>
      <c r="I101" s="38">
        <f t="shared" si="31"/>
        <v>13054.5</v>
      </c>
      <c r="K101" s="42">
        <v>500</v>
      </c>
      <c r="L101" s="90">
        <v>26.849599999999999</v>
      </c>
      <c r="M101" s="38">
        <f t="shared" si="32"/>
        <v>13424.8</v>
      </c>
      <c r="O101" s="38">
        <v>80</v>
      </c>
      <c r="P101" s="38">
        <v>26.728300000000001</v>
      </c>
      <c r="Q101" s="38">
        <f t="shared" si="33"/>
        <v>2138.2640000000001</v>
      </c>
      <c r="R101" s="43">
        <f t="shared" si="41"/>
        <v>1080</v>
      </c>
      <c r="S101" s="38">
        <f t="shared" si="34"/>
        <v>28617.563999999998</v>
      </c>
      <c r="T101" s="49">
        <v>415</v>
      </c>
      <c r="U101" s="42">
        <v>26.3004</v>
      </c>
      <c r="V101" s="38">
        <f t="shared" si="44"/>
        <v>10914.665999999999</v>
      </c>
      <c r="W101" s="42">
        <v>85</v>
      </c>
      <c r="X101" s="42">
        <v>26.3004</v>
      </c>
      <c r="Y101" s="38">
        <f t="shared" si="43"/>
        <v>2235.5340000000001</v>
      </c>
      <c r="Z101" s="42">
        <v>415</v>
      </c>
      <c r="AA101" s="42">
        <v>26.849599999999999</v>
      </c>
      <c r="AB101" s="42">
        <f t="shared" si="28"/>
        <v>11142.583999999999</v>
      </c>
      <c r="AD101" s="42">
        <v>85</v>
      </c>
      <c r="AE101" s="42">
        <v>26.849599999999999</v>
      </c>
      <c r="AF101" s="42">
        <f t="shared" si="42"/>
        <v>2282.2159999999999</v>
      </c>
      <c r="AG101" s="42"/>
      <c r="AH101" s="42"/>
      <c r="AI101" s="42"/>
      <c r="AJ101" s="42">
        <f t="shared" si="35"/>
        <v>0</v>
      </c>
      <c r="AL101" s="42"/>
      <c r="AM101" s="42"/>
      <c r="AN101" s="42">
        <f t="shared" si="30"/>
        <v>0</v>
      </c>
      <c r="AO101" s="44"/>
      <c r="AP101" s="42"/>
      <c r="AQ101" s="42"/>
      <c r="AR101" s="42"/>
      <c r="AU101" s="98"/>
      <c r="AV101" s="35"/>
      <c r="AW101" s="104"/>
      <c r="AX101" s="42"/>
      <c r="AY101" s="42"/>
      <c r="AZ101" s="42">
        <f t="shared" si="27"/>
        <v>0</v>
      </c>
      <c r="BA101" s="42"/>
      <c r="BB101" s="42"/>
      <c r="BC101" s="42"/>
      <c r="BD101" s="38">
        <f t="shared" si="36"/>
        <v>0</v>
      </c>
      <c r="BE101" s="42"/>
      <c r="BF101" s="42"/>
      <c r="BG101" s="42"/>
      <c r="BH101" s="38">
        <f t="shared" si="37"/>
        <v>0</v>
      </c>
      <c r="BI101" s="42"/>
      <c r="BJ101" s="42"/>
      <c r="BK101" s="42"/>
      <c r="BL101" s="38">
        <f t="shared" si="38"/>
        <v>0</v>
      </c>
      <c r="BM101" s="42"/>
      <c r="BN101" s="42"/>
      <c r="BO101" s="42"/>
      <c r="BP101" s="42"/>
      <c r="BR101" s="42">
        <f t="shared" si="39"/>
        <v>26575</v>
      </c>
      <c r="BS101" s="43">
        <f t="shared" si="40"/>
        <v>2042.5639999999985</v>
      </c>
      <c r="BT101" s="42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  <c r="IM101" s="31"/>
      <c r="IN101" s="31"/>
      <c r="IO101" s="31"/>
      <c r="IP101" s="31"/>
      <c r="IQ101" s="31"/>
      <c r="IR101" s="31"/>
      <c r="IS101" s="31"/>
      <c r="IT101" s="31"/>
      <c r="IU101" s="31"/>
      <c r="IV101" s="31"/>
      <c r="IW101" s="31"/>
      <c r="IX101" s="31"/>
      <c r="IY101" s="31"/>
      <c r="IZ101" s="31"/>
      <c r="JA101" s="31"/>
      <c r="JB101" s="31"/>
      <c r="JC101" s="31"/>
      <c r="JD101" s="31"/>
      <c r="JE101" s="31"/>
      <c r="JF101" s="31"/>
      <c r="JG101" s="31"/>
      <c r="JH101" s="31"/>
      <c r="JI101" s="31"/>
      <c r="JJ101" s="31"/>
      <c r="JK101" s="31"/>
      <c r="JL101" s="31"/>
      <c r="JM101" s="31"/>
      <c r="JN101" s="31"/>
      <c r="JO101" s="31"/>
      <c r="JP101" s="31"/>
      <c r="JQ101" s="31"/>
      <c r="JR101" s="31"/>
      <c r="JS101" s="31"/>
      <c r="JT101" s="31"/>
      <c r="JU101" s="31"/>
      <c r="JV101" s="31"/>
      <c r="JW101" s="31"/>
      <c r="JX101" s="31"/>
      <c r="JY101" s="31"/>
      <c r="JZ101" s="31"/>
      <c r="KA101" s="31"/>
      <c r="KB101" s="31"/>
      <c r="KC101" s="31"/>
      <c r="KD101" s="31"/>
      <c r="KE101" s="31"/>
      <c r="KF101" s="31"/>
      <c r="KG101" s="31"/>
      <c r="KH101" s="31"/>
      <c r="KI101" s="31"/>
      <c r="KJ101" s="31"/>
      <c r="KK101" s="31"/>
      <c r="KL101" s="31"/>
      <c r="KM101" s="31"/>
      <c r="KN101" s="31"/>
      <c r="KO101" s="31"/>
      <c r="KP101" s="31"/>
      <c r="KQ101" s="31"/>
      <c r="KR101" s="31"/>
      <c r="KS101" s="31"/>
      <c r="KT101" s="31"/>
      <c r="KU101" s="31"/>
      <c r="KV101" s="31"/>
      <c r="KW101" s="31"/>
      <c r="KX101" s="31"/>
      <c r="KY101" s="31"/>
      <c r="KZ101" s="31"/>
      <c r="LA101" s="31"/>
      <c r="LB101" s="31"/>
      <c r="LC101" s="31"/>
      <c r="LD101" s="31"/>
      <c r="LE101" s="31"/>
      <c r="LF101" s="31"/>
      <c r="LG101" s="31"/>
      <c r="LH101" s="31"/>
      <c r="LI101" s="31"/>
      <c r="LJ101" s="31"/>
      <c r="LK101" s="31"/>
      <c r="LL101" s="31"/>
      <c r="LM101" s="31"/>
      <c r="LN101" s="31"/>
      <c r="LO101" s="31"/>
      <c r="LP101" s="31"/>
      <c r="LQ101" s="31"/>
      <c r="LR101" s="31"/>
      <c r="LS101" s="31"/>
      <c r="LT101" s="31"/>
      <c r="LU101" s="31"/>
      <c r="LV101" s="31"/>
      <c r="LW101" s="31"/>
      <c r="LX101" s="31"/>
      <c r="LY101" s="31"/>
      <c r="LZ101" s="31"/>
      <c r="MA101" s="31"/>
      <c r="MB101" s="31"/>
      <c r="MC101" s="31"/>
      <c r="MD101" s="31"/>
      <c r="ME101" s="31"/>
      <c r="MF101" s="31"/>
      <c r="MG101" s="31"/>
      <c r="MH101" s="31"/>
      <c r="MI101" s="31"/>
      <c r="MJ101" s="31"/>
      <c r="MK101" s="31"/>
      <c r="ML101" s="31"/>
      <c r="MM101" s="31"/>
      <c r="MN101" s="31"/>
      <c r="MO101" s="31"/>
      <c r="MP101" s="31"/>
      <c r="MQ101" s="31"/>
      <c r="MR101" s="31"/>
      <c r="MS101" s="31"/>
      <c r="MT101" s="31"/>
      <c r="MU101" s="31"/>
      <c r="MV101" s="31"/>
      <c r="MW101" s="31"/>
      <c r="MX101" s="31"/>
      <c r="MY101" s="31"/>
      <c r="MZ101" s="31"/>
      <c r="NA101" s="31"/>
      <c r="NB101" s="31"/>
      <c r="NC101" s="31"/>
      <c r="ND101" s="31"/>
      <c r="NE101" s="31"/>
      <c r="NF101" s="31"/>
      <c r="NG101" s="31"/>
      <c r="NH101" s="31"/>
      <c r="NI101" s="31"/>
      <c r="NJ101" s="31"/>
      <c r="NK101" s="31"/>
      <c r="NL101" s="31"/>
      <c r="NM101" s="31"/>
      <c r="NN101" s="31"/>
      <c r="NO101" s="31"/>
      <c r="NP101" s="31"/>
      <c r="NQ101" s="31"/>
      <c r="NR101" s="31"/>
      <c r="NS101" s="31"/>
      <c r="NT101" s="31"/>
      <c r="NU101" s="31"/>
      <c r="NV101" s="31"/>
      <c r="NW101" s="31"/>
      <c r="NX101" s="31"/>
      <c r="NY101" s="31"/>
      <c r="NZ101" s="31"/>
      <c r="OA101" s="31"/>
      <c r="OB101" s="31"/>
      <c r="OC101" s="31"/>
      <c r="OD101" s="31"/>
      <c r="OE101" s="31"/>
      <c r="OF101" s="31"/>
      <c r="OG101" s="31"/>
      <c r="OH101" s="31"/>
      <c r="OI101" s="31"/>
      <c r="OJ101" s="31"/>
      <c r="OK101" s="31"/>
      <c r="OL101" s="31"/>
      <c r="OM101" s="31"/>
      <c r="ON101" s="31"/>
      <c r="OO101" s="31"/>
      <c r="OP101" s="31"/>
      <c r="OQ101" s="31"/>
      <c r="OR101" s="31"/>
      <c r="OS101" s="31"/>
      <c r="OT101" s="31"/>
      <c r="OU101" s="31"/>
      <c r="OV101" s="31"/>
      <c r="OW101" s="31"/>
      <c r="OX101" s="31"/>
    </row>
    <row r="102" spans="2:414" s="25" customFormat="1" ht="15.6">
      <c r="B102" s="25" t="s">
        <v>184</v>
      </c>
      <c r="C102" s="27" t="s">
        <v>185</v>
      </c>
      <c r="D102" s="30" t="s">
        <v>105</v>
      </c>
      <c r="G102" s="42">
        <v>500</v>
      </c>
      <c r="H102" s="89">
        <v>26.109000000000002</v>
      </c>
      <c r="I102" s="38">
        <f t="shared" si="31"/>
        <v>13054.5</v>
      </c>
      <c r="K102" s="42">
        <v>500</v>
      </c>
      <c r="L102" s="90">
        <v>26.849599999999999</v>
      </c>
      <c r="M102" s="38">
        <f t="shared" si="32"/>
        <v>13424.8</v>
      </c>
      <c r="O102" s="38">
        <v>80</v>
      </c>
      <c r="P102" s="38">
        <v>26.728300000000001</v>
      </c>
      <c r="Q102" s="38">
        <f t="shared" si="33"/>
        <v>2138.2640000000001</v>
      </c>
      <c r="R102" s="43">
        <f t="shared" si="41"/>
        <v>1080</v>
      </c>
      <c r="S102" s="38">
        <f t="shared" si="34"/>
        <v>28617.563999999998</v>
      </c>
      <c r="T102" s="49">
        <v>200</v>
      </c>
      <c r="U102" s="42">
        <v>26.603200000000001</v>
      </c>
      <c r="V102" s="38">
        <f t="shared" si="44"/>
        <v>5320.64</v>
      </c>
      <c r="W102" s="42">
        <v>100</v>
      </c>
      <c r="X102" s="42">
        <v>26.6023</v>
      </c>
      <c r="Y102" s="38">
        <f t="shared" si="43"/>
        <v>2660.23</v>
      </c>
      <c r="Z102" s="42">
        <v>200</v>
      </c>
      <c r="AA102" s="42">
        <v>26.603200000000001</v>
      </c>
      <c r="AB102" s="42">
        <f t="shared" si="28"/>
        <v>5320.64</v>
      </c>
      <c r="AD102" s="42">
        <v>200</v>
      </c>
      <c r="AE102" s="42"/>
      <c r="AF102" s="42">
        <f t="shared" si="42"/>
        <v>0</v>
      </c>
      <c r="AG102" s="42"/>
      <c r="AH102" s="42">
        <v>100</v>
      </c>
      <c r="AI102" s="42"/>
      <c r="AJ102" s="42">
        <f t="shared" si="35"/>
        <v>0</v>
      </c>
      <c r="AL102" s="42"/>
      <c r="AM102" s="42"/>
      <c r="AN102" s="42">
        <f t="shared" si="30"/>
        <v>0</v>
      </c>
      <c r="AO102" s="44"/>
      <c r="AP102" s="42"/>
      <c r="AQ102" s="42"/>
      <c r="AR102" s="42"/>
      <c r="AU102" s="98"/>
      <c r="AV102" s="35"/>
      <c r="AW102" s="104"/>
      <c r="AX102" s="42"/>
      <c r="AY102" s="42"/>
      <c r="AZ102" s="42">
        <f t="shared" si="27"/>
        <v>0</v>
      </c>
      <c r="BA102" s="42"/>
      <c r="BB102" s="42"/>
      <c r="BC102" s="42"/>
      <c r="BD102" s="38">
        <f t="shared" si="36"/>
        <v>0</v>
      </c>
      <c r="BE102" s="42"/>
      <c r="BF102" s="42"/>
      <c r="BG102" s="42"/>
      <c r="BH102" s="38">
        <f t="shared" si="37"/>
        <v>0</v>
      </c>
      <c r="BI102" s="42"/>
      <c r="BJ102" s="42"/>
      <c r="BK102" s="42"/>
      <c r="BL102" s="38">
        <f t="shared" si="38"/>
        <v>0</v>
      </c>
      <c r="BM102" s="42"/>
      <c r="BN102" s="42"/>
      <c r="BO102" s="42"/>
      <c r="BP102" s="42"/>
      <c r="BR102" s="42">
        <f t="shared" si="39"/>
        <v>13301.510000000002</v>
      </c>
      <c r="BS102" s="43">
        <f t="shared" si="40"/>
        <v>15316.053999999996</v>
      </c>
      <c r="BT102" s="42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  <c r="IM102" s="31"/>
      <c r="IN102" s="31"/>
      <c r="IO102" s="31"/>
      <c r="IP102" s="31"/>
      <c r="IQ102" s="31"/>
      <c r="IR102" s="31"/>
      <c r="IS102" s="31"/>
      <c r="IT102" s="31"/>
      <c r="IU102" s="31"/>
      <c r="IV102" s="31"/>
      <c r="IW102" s="31"/>
      <c r="IX102" s="31"/>
      <c r="IY102" s="31"/>
      <c r="IZ102" s="31"/>
      <c r="JA102" s="31"/>
      <c r="JB102" s="31"/>
      <c r="JC102" s="31"/>
      <c r="JD102" s="31"/>
      <c r="JE102" s="31"/>
      <c r="JF102" s="31"/>
      <c r="JG102" s="31"/>
      <c r="JH102" s="31"/>
      <c r="JI102" s="31"/>
      <c r="JJ102" s="31"/>
      <c r="JK102" s="31"/>
      <c r="JL102" s="31"/>
      <c r="JM102" s="31"/>
      <c r="JN102" s="31"/>
      <c r="JO102" s="31"/>
      <c r="JP102" s="31"/>
      <c r="JQ102" s="31"/>
      <c r="JR102" s="31"/>
      <c r="JS102" s="31"/>
      <c r="JT102" s="31"/>
      <c r="JU102" s="31"/>
      <c r="JV102" s="31"/>
      <c r="JW102" s="31"/>
      <c r="JX102" s="31"/>
      <c r="JY102" s="31"/>
      <c r="JZ102" s="31"/>
      <c r="KA102" s="31"/>
      <c r="KB102" s="31"/>
      <c r="KC102" s="31"/>
      <c r="KD102" s="31"/>
      <c r="KE102" s="31"/>
      <c r="KF102" s="31"/>
      <c r="KG102" s="31"/>
      <c r="KH102" s="31"/>
      <c r="KI102" s="31"/>
      <c r="KJ102" s="31"/>
      <c r="KK102" s="31"/>
      <c r="KL102" s="31"/>
      <c r="KM102" s="31"/>
      <c r="KN102" s="31"/>
      <c r="KO102" s="31"/>
      <c r="KP102" s="31"/>
      <c r="KQ102" s="31"/>
      <c r="KR102" s="31"/>
      <c r="KS102" s="31"/>
      <c r="KT102" s="31"/>
      <c r="KU102" s="31"/>
      <c r="KV102" s="31"/>
      <c r="KW102" s="31"/>
      <c r="KX102" s="31"/>
      <c r="KY102" s="31"/>
      <c r="KZ102" s="31"/>
      <c r="LA102" s="31"/>
      <c r="LB102" s="31"/>
      <c r="LC102" s="31"/>
      <c r="LD102" s="31"/>
      <c r="LE102" s="31"/>
      <c r="LF102" s="31"/>
      <c r="LG102" s="31"/>
      <c r="LH102" s="31"/>
      <c r="LI102" s="31"/>
      <c r="LJ102" s="31"/>
      <c r="LK102" s="31"/>
      <c r="LL102" s="31"/>
      <c r="LM102" s="31"/>
      <c r="LN102" s="31"/>
      <c r="LO102" s="31"/>
      <c r="LP102" s="31"/>
      <c r="LQ102" s="31"/>
      <c r="LR102" s="31"/>
      <c r="LS102" s="31"/>
      <c r="LT102" s="31"/>
      <c r="LU102" s="31"/>
      <c r="LV102" s="31"/>
      <c r="LW102" s="31"/>
      <c r="LX102" s="31"/>
      <c r="LY102" s="31"/>
      <c r="LZ102" s="31"/>
      <c r="MA102" s="31"/>
      <c r="MB102" s="31"/>
      <c r="MC102" s="31"/>
      <c r="MD102" s="31"/>
      <c r="ME102" s="31"/>
      <c r="MF102" s="31"/>
      <c r="MG102" s="31"/>
      <c r="MH102" s="31"/>
      <c r="MI102" s="31"/>
      <c r="MJ102" s="31"/>
      <c r="MK102" s="31"/>
      <c r="ML102" s="31"/>
      <c r="MM102" s="31"/>
      <c r="MN102" s="31"/>
      <c r="MO102" s="31"/>
      <c r="MP102" s="31"/>
      <c r="MQ102" s="31"/>
      <c r="MR102" s="31"/>
      <c r="MS102" s="31"/>
      <c r="MT102" s="31"/>
      <c r="MU102" s="31"/>
      <c r="MV102" s="31"/>
      <c r="MW102" s="31"/>
      <c r="MX102" s="31"/>
      <c r="MY102" s="31"/>
      <c r="MZ102" s="31"/>
      <c r="NA102" s="31"/>
      <c r="NB102" s="31"/>
      <c r="NC102" s="31"/>
      <c r="ND102" s="31"/>
      <c r="NE102" s="31"/>
      <c r="NF102" s="31"/>
      <c r="NG102" s="31"/>
      <c r="NH102" s="31"/>
      <c r="NI102" s="31"/>
      <c r="NJ102" s="31"/>
      <c r="NK102" s="31"/>
      <c r="NL102" s="31"/>
      <c r="NM102" s="31"/>
      <c r="NN102" s="31"/>
      <c r="NO102" s="31"/>
      <c r="NP102" s="31"/>
      <c r="NQ102" s="31"/>
      <c r="NR102" s="31"/>
      <c r="NS102" s="31"/>
      <c r="NT102" s="31"/>
      <c r="NU102" s="31"/>
      <c r="NV102" s="31"/>
      <c r="NW102" s="31"/>
      <c r="NX102" s="31"/>
      <c r="NY102" s="31"/>
      <c r="NZ102" s="31"/>
      <c r="OA102" s="31"/>
      <c r="OB102" s="31"/>
      <c r="OC102" s="31"/>
      <c r="OD102" s="31"/>
      <c r="OE102" s="31"/>
      <c r="OF102" s="31"/>
      <c r="OG102" s="31"/>
      <c r="OH102" s="31"/>
      <c r="OI102" s="31"/>
      <c r="OJ102" s="31"/>
      <c r="OK102" s="31"/>
      <c r="OL102" s="31"/>
      <c r="OM102" s="31"/>
      <c r="ON102" s="31"/>
      <c r="OO102" s="31"/>
      <c r="OP102" s="31"/>
      <c r="OQ102" s="31"/>
      <c r="OR102" s="31"/>
      <c r="OS102" s="31"/>
      <c r="OT102" s="31"/>
      <c r="OU102" s="31"/>
      <c r="OV102" s="31"/>
      <c r="OW102" s="31"/>
      <c r="OX102" s="31"/>
    </row>
    <row r="103" spans="2:414" s="25" customFormat="1" ht="15.6">
      <c r="B103" s="25" t="s">
        <v>186</v>
      </c>
      <c r="C103" s="27" t="s">
        <v>187</v>
      </c>
      <c r="D103" s="30" t="s">
        <v>105</v>
      </c>
      <c r="G103" s="42">
        <v>500</v>
      </c>
      <c r="H103" s="89">
        <v>26.109000000000002</v>
      </c>
      <c r="I103" s="38">
        <f t="shared" si="31"/>
        <v>13054.5</v>
      </c>
      <c r="K103" s="42">
        <v>500</v>
      </c>
      <c r="L103" s="90">
        <v>26.849599999999999</v>
      </c>
      <c r="M103" s="38">
        <f t="shared" si="32"/>
        <v>13424.8</v>
      </c>
      <c r="O103" s="38">
        <v>80</v>
      </c>
      <c r="P103" s="38">
        <v>26.728300000000001</v>
      </c>
      <c r="Q103" s="38">
        <f t="shared" si="33"/>
        <v>2138.2640000000001</v>
      </c>
      <c r="R103" s="43">
        <f t="shared" si="41"/>
        <v>1080</v>
      </c>
      <c r="S103" s="38">
        <f t="shared" si="34"/>
        <v>28617.563999999998</v>
      </c>
      <c r="T103" s="49">
        <v>85</v>
      </c>
      <c r="U103" s="42">
        <v>26.3461</v>
      </c>
      <c r="V103" s="38">
        <f t="shared" si="44"/>
        <v>2239.4184999999998</v>
      </c>
      <c r="W103" s="42">
        <v>215</v>
      </c>
      <c r="X103" s="42">
        <v>26.3461</v>
      </c>
      <c r="Y103" s="38">
        <f t="shared" si="43"/>
        <v>5664.4115000000002</v>
      </c>
      <c r="Z103" s="42">
        <v>100</v>
      </c>
      <c r="AA103" s="42">
        <v>26.3461</v>
      </c>
      <c r="AB103" s="42">
        <f t="shared" si="28"/>
        <v>2634.61</v>
      </c>
      <c r="AD103" s="42">
        <v>300</v>
      </c>
      <c r="AE103" s="42">
        <v>26.827200000000001</v>
      </c>
      <c r="AF103" s="42">
        <f t="shared" si="42"/>
        <v>8048.1600000000008</v>
      </c>
      <c r="AG103" s="42"/>
      <c r="AH103" s="42">
        <v>85</v>
      </c>
      <c r="AI103" s="42">
        <v>26.8962</v>
      </c>
      <c r="AJ103" s="42">
        <f t="shared" si="35"/>
        <v>2286.1770000000001</v>
      </c>
      <c r="AL103" s="42">
        <v>15</v>
      </c>
      <c r="AM103" s="42">
        <v>26.9102</v>
      </c>
      <c r="AN103" s="42">
        <f t="shared" si="30"/>
        <v>403.65300000000002</v>
      </c>
      <c r="AO103" s="44"/>
      <c r="AP103" s="42">
        <v>15</v>
      </c>
      <c r="AQ103" s="42">
        <v>26.789100000000001</v>
      </c>
      <c r="AR103" s="42"/>
      <c r="AT103" s="25">
        <v>85</v>
      </c>
      <c r="AU103" s="98">
        <v>26.887899999999998</v>
      </c>
      <c r="AV103" s="35">
        <f>AT103*AU103</f>
        <v>2285.4714999999997</v>
      </c>
      <c r="AW103" s="104"/>
      <c r="AX103" s="42">
        <v>85</v>
      </c>
      <c r="AY103" s="42"/>
      <c r="AZ103" s="42">
        <f t="shared" si="27"/>
        <v>0</v>
      </c>
      <c r="BA103" s="42"/>
      <c r="BB103" s="42"/>
      <c r="BC103" s="42"/>
      <c r="BD103" s="38">
        <f t="shared" si="36"/>
        <v>0</v>
      </c>
      <c r="BE103" s="42"/>
      <c r="BF103" s="42"/>
      <c r="BG103" s="42"/>
      <c r="BH103" s="38">
        <f t="shared" si="37"/>
        <v>0</v>
      </c>
      <c r="BI103" s="42"/>
      <c r="BJ103" s="42"/>
      <c r="BK103" s="42"/>
      <c r="BL103" s="38">
        <f t="shared" si="38"/>
        <v>0</v>
      </c>
      <c r="BM103" s="42"/>
      <c r="BN103" s="42"/>
      <c r="BO103" s="42"/>
      <c r="BP103" s="42"/>
      <c r="BR103" s="42">
        <f t="shared" si="39"/>
        <v>23561.9015</v>
      </c>
      <c r="BS103" s="43">
        <f t="shared" si="40"/>
        <v>5055.6624999999985</v>
      </c>
      <c r="BT103" s="42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  <c r="IM103" s="31"/>
      <c r="IN103" s="31"/>
      <c r="IO103" s="31"/>
      <c r="IP103" s="31"/>
      <c r="IQ103" s="31"/>
      <c r="IR103" s="31"/>
      <c r="IS103" s="31"/>
      <c r="IT103" s="31"/>
      <c r="IU103" s="31"/>
      <c r="IV103" s="31"/>
      <c r="IW103" s="31"/>
      <c r="IX103" s="31"/>
      <c r="IY103" s="31"/>
      <c r="IZ103" s="31"/>
      <c r="JA103" s="31"/>
      <c r="JB103" s="31"/>
      <c r="JC103" s="31"/>
      <c r="JD103" s="31"/>
      <c r="JE103" s="31"/>
      <c r="JF103" s="31"/>
      <c r="JG103" s="31"/>
      <c r="JH103" s="31"/>
      <c r="JI103" s="31"/>
      <c r="JJ103" s="31"/>
      <c r="JK103" s="31"/>
      <c r="JL103" s="31"/>
      <c r="JM103" s="31"/>
      <c r="JN103" s="31"/>
      <c r="JO103" s="31"/>
      <c r="JP103" s="31"/>
      <c r="JQ103" s="31"/>
      <c r="JR103" s="31"/>
      <c r="JS103" s="31"/>
      <c r="JT103" s="31"/>
      <c r="JU103" s="31"/>
      <c r="JV103" s="31"/>
      <c r="JW103" s="31"/>
      <c r="JX103" s="31"/>
      <c r="JY103" s="31"/>
      <c r="JZ103" s="31"/>
      <c r="KA103" s="31"/>
      <c r="KB103" s="31"/>
      <c r="KC103" s="31"/>
      <c r="KD103" s="31"/>
      <c r="KE103" s="31"/>
      <c r="KF103" s="31"/>
      <c r="KG103" s="31"/>
      <c r="KH103" s="31"/>
      <c r="KI103" s="31"/>
      <c r="KJ103" s="31"/>
      <c r="KK103" s="31"/>
      <c r="KL103" s="31"/>
      <c r="KM103" s="31"/>
      <c r="KN103" s="31"/>
      <c r="KO103" s="31"/>
      <c r="KP103" s="31"/>
      <c r="KQ103" s="31"/>
      <c r="KR103" s="31"/>
      <c r="KS103" s="31"/>
      <c r="KT103" s="31"/>
      <c r="KU103" s="31"/>
      <c r="KV103" s="31"/>
      <c r="KW103" s="31"/>
      <c r="KX103" s="31"/>
      <c r="KY103" s="31"/>
      <c r="KZ103" s="31"/>
      <c r="LA103" s="31"/>
      <c r="LB103" s="31"/>
      <c r="LC103" s="31"/>
      <c r="LD103" s="31"/>
      <c r="LE103" s="31"/>
      <c r="LF103" s="31"/>
      <c r="LG103" s="31"/>
      <c r="LH103" s="31"/>
      <c r="LI103" s="31"/>
      <c r="LJ103" s="31"/>
      <c r="LK103" s="31"/>
      <c r="LL103" s="31"/>
      <c r="LM103" s="31"/>
      <c r="LN103" s="31"/>
      <c r="LO103" s="31"/>
      <c r="LP103" s="31"/>
      <c r="LQ103" s="31"/>
      <c r="LR103" s="31"/>
      <c r="LS103" s="31"/>
      <c r="LT103" s="31"/>
      <c r="LU103" s="31"/>
      <c r="LV103" s="31"/>
      <c r="LW103" s="31"/>
      <c r="LX103" s="31"/>
      <c r="LY103" s="31"/>
      <c r="LZ103" s="31"/>
      <c r="MA103" s="31"/>
      <c r="MB103" s="31"/>
      <c r="MC103" s="31"/>
      <c r="MD103" s="31"/>
      <c r="ME103" s="31"/>
      <c r="MF103" s="31"/>
      <c r="MG103" s="31"/>
      <c r="MH103" s="31"/>
      <c r="MI103" s="31"/>
      <c r="MJ103" s="31"/>
      <c r="MK103" s="31"/>
      <c r="ML103" s="31"/>
      <c r="MM103" s="31"/>
      <c r="MN103" s="31"/>
      <c r="MO103" s="31"/>
      <c r="MP103" s="31"/>
      <c r="MQ103" s="31"/>
      <c r="MR103" s="31"/>
      <c r="MS103" s="31"/>
      <c r="MT103" s="31"/>
      <c r="MU103" s="31"/>
      <c r="MV103" s="31"/>
      <c r="MW103" s="31"/>
      <c r="MX103" s="31"/>
      <c r="MY103" s="31"/>
      <c r="MZ103" s="31"/>
      <c r="NA103" s="31"/>
      <c r="NB103" s="31"/>
      <c r="NC103" s="31"/>
      <c r="ND103" s="31"/>
      <c r="NE103" s="31"/>
      <c r="NF103" s="31"/>
      <c r="NG103" s="31"/>
      <c r="NH103" s="31"/>
      <c r="NI103" s="31"/>
      <c r="NJ103" s="31"/>
      <c r="NK103" s="31"/>
      <c r="NL103" s="31"/>
      <c r="NM103" s="31"/>
      <c r="NN103" s="31"/>
      <c r="NO103" s="31"/>
      <c r="NP103" s="31"/>
      <c r="NQ103" s="31"/>
      <c r="NR103" s="31"/>
      <c r="NS103" s="31"/>
      <c r="NT103" s="31"/>
      <c r="NU103" s="31"/>
      <c r="NV103" s="31"/>
      <c r="NW103" s="31"/>
      <c r="NX103" s="31"/>
      <c r="NY103" s="31"/>
      <c r="NZ103" s="31"/>
      <c r="OA103" s="31"/>
      <c r="OB103" s="31"/>
      <c r="OC103" s="31"/>
      <c r="OD103" s="31"/>
      <c r="OE103" s="31"/>
      <c r="OF103" s="31"/>
      <c r="OG103" s="31"/>
      <c r="OH103" s="31"/>
      <c r="OI103" s="31"/>
      <c r="OJ103" s="31"/>
      <c r="OK103" s="31"/>
      <c r="OL103" s="31"/>
      <c r="OM103" s="31"/>
      <c r="ON103" s="31"/>
      <c r="OO103" s="31"/>
      <c r="OP103" s="31"/>
      <c r="OQ103" s="31"/>
      <c r="OR103" s="31"/>
      <c r="OS103" s="31"/>
      <c r="OT103" s="31"/>
      <c r="OU103" s="31"/>
      <c r="OV103" s="31"/>
      <c r="OW103" s="31"/>
      <c r="OX103" s="31"/>
    </row>
    <row r="104" spans="2:414" s="25" customFormat="1" ht="15.6">
      <c r="B104" s="25" t="s">
        <v>188</v>
      </c>
      <c r="C104" s="27" t="s">
        <v>529</v>
      </c>
      <c r="D104" s="30" t="s">
        <v>105</v>
      </c>
      <c r="G104" s="42">
        <v>500</v>
      </c>
      <c r="H104" s="89">
        <v>26.109000000000002</v>
      </c>
      <c r="I104" s="38">
        <f t="shared" si="31"/>
        <v>13054.5</v>
      </c>
      <c r="K104" s="42">
        <v>500</v>
      </c>
      <c r="L104" s="90">
        <v>26.849599999999999</v>
      </c>
      <c r="M104" s="38">
        <f t="shared" si="32"/>
        <v>13424.8</v>
      </c>
      <c r="O104" s="38">
        <v>80</v>
      </c>
      <c r="P104" s="38">
        <v>26.728300000000001</v>
      </c>
      <c r="Q104" s="38">
        <f t="shared" si="33"/>
        <v>2138.2640000000001</v>
      </c>
      <c r="R104" s="43">
        <f t="shared" si="41"/>
        <v>1080</v>
      </c>
      <c r="S104" s="38">
        <f t="shared" si="34"/>
        <v>28617.563999999998</v>
      </c>
      <c r="T104" s="49">
        <v>85</v>
      </c>
      <c r="U104" s="42">
        <v>26.3461</v>
      </c>
      <c r="V104" s="38">
        <f t="shared" si="44"/>
        <v>2239.4184999999998</v>
      </c>
      <c r="W104" s="42">
        <v>415</v>
      </c>
      <c r="X104" s="42">
        <v>26.3461</v>
      </c>
      <c r="Y104" s="38">
        <f t="shared" si="43"/>
        <v>10933.6315</v>
      </c>
      <c r="Z104" s="42">
        <v>200</v>
      </c>
      <c r="AA104" s="42">
        <v>26.945699999999999</v>
      </c>
      <c r="AB104" s="42">
        <f t="shared" si="28"/>
        <v>5389.1399999999994</v>
      </c>
      <c r="AD104" s="42">
        <v>110</v>
      </c>
      <c r="AE104" s="42">
        <v>26.9023</v>
      </c>
      <c r="AF104" s="42">
        <f t="shared" si="42"/>
        <v>2959.2530000000002</v>
      </c>
      <c r="AG104" s="42"/>
      <c r="AH104" s="42">
        <v>85</v>
      </c>
      <c r="AI104" s="42"/>
      <c r="AJ104" s="42">
        <f t="shared" si="35"/>
        <v>0</v>
      </c>
      <c r="AL104" s="42"/>
      <c r="AM104" s="42"/>
      <c r="AN104" s="42">
        <f t="shared" si="30"/>
        <v>0</v>
      </c>
      <c r="AO104" s="44"/>
      <c r="AP104" s="42"/>
      <c r="AQ104" s="42"/>
      <c r="AR104" s="42"/>
      <c r="AU104" s="98"/>
      <c r="AV104" s="35"/>
      <c r="AW104" s="104"/>
      <c r="AX104" s="42"/>
      <c r="AY104" s="42"/>
      <c r="AZ104" s="42">
        <f t="shared" si="27"/>
        <v>0</v>
      </c>
      <c r="BA104" s="42"/>
      <c r="BB104" s="42"/>
      <c r="BC104" s="42"/>
      <c r="BD104" s="38">
        <f t="shared" si="36"/>
        <v>0</v>
      </c>
      <c r="BE104" s="42"/>
      <c r="BF104" s="42"/>
      <c r="BG104" s="42"/>
      <c r="BH104" s="38">
        <f t="shared" si="37"/>
        <v>0</v>
      </c>
      <c r="BI104" s="42"/>
      <c r="BJ104" s="42"/>
      <c r="BK104" s="42"/>
      <c r="BL104" s="38">
        <f t="shared" si="38"/>
        <v>0</v>
      </c>
      <c r="BM104" s="42"/>
      <c r="BN104" s="42"/>
      <c r="BO104" s="42"/>
      <c r="BP104" s="42"/>
      <c r="BR104" s="42">
        <f t="shared" si="39"/>
        <v>21521.442999999999</v>
      </c>
      <c r="BS104" s="43">
        <f t="shared" si="40"/>
        <v>7096.1209999999992</v>
      </c>
      <c r="BT104" s="42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  <c r="IM104" s="31"/>
      <c r="IN104" s="31"/>
      <c r="IO104" s="31"/>
      <c r="IP104" s="31"/>
      <c r="IQ104" s="31"/>
      <c r="IR104" s="31"/>
      <c r="IS104" s="31"/>
      <c r="IT104" s="31"/>
      <c r="IU104" s="31"/>
      <c r="IV104" s="31"/>
      <c r="IW104" s="31"/>
      <c r="IX104" s="31"/>
      <c r="IY104" s="31"/>
      <c r="IZ104" s="31"/>
      <c r="JA104" s="31"/>
      <c r="JB104" s="31"/>
      <c r="JC104" s="31"/>
      <c r="JD104" s="31"/>
      <c r="JE104" s="31"/>
      <c r="JF104" s="31"/>
      <c r="JG104" s="31"/>
      <c r="JH104" s="31"/>
      <c r="JI104" s="31"/>
      <c r="JJ104" s="31"/>
      <c r="JK104" s="31"/>
      <c r="JL104" s="31"/>
      <c r="JM104" s="31"/>
      <c r="JN104" s="31"/>
      <c r="JO104" s="31"/>
      <c r="JP104" s="31"/>
      <c r="JQ104" s="31"/>
      <c r="JR104" s="31"/>
      <c r="JS104" s="31"/>
      <c r="JT104" s="31"/>
      <c r="JU104" s="31"/>
      <c r="JV104" s="31"/>
      <c r="JW104" s="31"/>
      <c r="JX104" s="31"/>
      <c r="JY104" s="31"/>
      <c r="JZ104" s="31"/>
      <c r="KA104" s="31"/>
      <c r="KB104" s="31"/>
      <c r="KC104" s="31"/>
      <c r="KD104" s="31"/>
      <c r="KE104" s="31"/>
      <c r="KF104" s="31"/>
      <c r="KG104" s="31"/>
      <c r="KH104" s="31"/>
      <c r="KI104" s="31"/>
      <c r="KJ104" s="31"/>
      <c r="KK104" s="31"/>
      <c r="KL104" s="31"/>
      <c r="KM104" s="31"/>
      <c r="KN104" s="31"/>
      <c r="KO104" s="31"/>
      <c r="KP104" s="31"/>
      <c r="KQ104" s="31"/>
      <c r="KR104" s="31"/>
      <c r="KS104" s="31"/>
      <c r="KT104" s="31"/>
      <c r="KU104" s="31"/>
      <c r="KV104" s="31"/>
      <c r="KW104" s="31"/>
      <c r="KX104" s="31"/>
      <c r="KY104" s="31"/>
      <c r="KZ104" s="31"/>
      <c r="LA104" s="31"/>
      <c r="LB104" s="31"/>
      <c r="LC104" s="31"/>
      <c r="LD104" s="31"/>
      <c r="LE104" s="31"/>
      <c r="LF104" s="31"/>
      <c r="LG104" s="31"/>
      <c r="LH104" s="31"/>
      <c r="LI104" s="31"/>
      <c r="LJ104" s="31"/>
      <c r="LK104" s="31"/>
      <c r="LL104" s="31"/>
      <c r="LM104" s="31"/>
      <c r="LN104" s="31"/>
      <c r="LO104" s="31"/>
      <c r="LP104" s="31"/>
      <c r="LQ104" s="31"/>
      <c r="LR104" s="31"/>
      <c r="LS104" s="31"/>
      <c r="LT104" s="31"/>
      <c r="LU104" s="31"/>
      <c r="LV104" s="31"/>
      <c r="LW104" s="31"/>
      <c r="LX104" s="31"/>
      <c r="LY104" s="31"/>
      <c r="LZ104" s="31"/>
      <c r="MA104" s="31"/>
      <c r="MB104" s="31"/>
      <c r="MC104" s="31"/>
      <c r="MD104" s="31"/>
      <c r="ME104" s="31"/>
      <c r="MF104" s="31"/>
      <c r="MG104" s="31"/>
      <c r="MH104" s="31"/>
      <c r="MI104" s="31"/>
      <c r="MJ104" s="31"/>
      <c r="MK104" s="31"/>
      <c r="ML104" s="31"/>
      <c r="MM104" s="31"/>
      <c r="MN104" s="31"/>
      <c r="MO104" s="31"/>
      <c r="MP104" s="31"/>
      <c r="MQ104" s="31"/>
      <c r="MR104" s="31"/>
      <c r="MS104" s="31"/>
      <c r="MT104" s="31"/>
      <c r="MU104" s="31"/>
      <c r="MV104" s="31"/>
      <c r="MW104" s="31"/>
      <c r="MX104" s="31"/>
      <c r="MY104" s="31"/>
      <c r="MZ104" s="31"/>
      <c r="NA104" s="31"/>
      <c r="NB104" s="31"/>
      <c r="NC104" s="31"/>
      <c r="ND104" s="31"/>
      <c r="NE104" s="31"/>
      <c r="NF104" s="31"/>
      <c r="NG104" s="31"/>
      <c r="NH104" s="31"/>
      <c r="NI104" s="31"/>
      <c r="NJ104" s="31"/>
      <c r="NK104" s="31"/>
      <c r="NL104" s="31"/>
      <c r="NM104" s="31"/>
      <c r="NN104" s="31"/>
      <c r="NO104" s="31"/>
      <c r="NP104" s="31"/>
      <c r="NQ104" s="31"/>
      <c r="NR104" s="31"/>
      <c r="NS104" s="31"/>
      <c r="NT104" s="31"/>
      <c r="NU104" s="31"/>
      <c r="NV104" s="31"/>
      <c r="NW104" s="31"/>
      <c r="NX104" s="31"/>
      <c r="NY104" s="31"/>
      <c r="NZ104" s="31"/>
      <c r="OA104" s="31"/>
      <c r="OB104" s="31"/>
      <c r="OC104" s="31"/>
      <c r="OD104" s="31"/>
      <c r="OE104" s="31"/>
      <c r="OF104" s="31"/>
      <c r="OG104" s="31"/>
      <c r="OH104" s="31"/>
      <c r="OI104" s="31"/>
      <c r="OJ104" s="31"/>
      <c r="OK104" s="31"/>
      <c r="OL104" s="31"/>
      <c r="OM104" s="31"/>
      <c r="ON104" s="31"/>
      <c r="OO104" s="31"/>
      <c r="OP104" s="31"/>
      <c r="OQ104" s="31"/>
      <c r="OR104" s="31"/>
      <c r="OS104" s="31"/>
      <c r="OT104" s="31"/>
      <c r="OU104" s="31"/>
      <c r="OV104" s="31"/>
      <c r="OW104" s="31"/>
      <c r="OX104" s="31"/>
    </row>
    <row r="105" spans="2:414" s="25" customFormat="1" ht="15.6">
      <c r="B105" s="25" t="s">
        <v>189</v>
      </c>
      <c r="C105" s="27" t="s">
        <v>190</v>
      </c>
      <c r="D105" s="30" t="s">
        <v>105</v>
      </c>
      <c r="G105" s="42">
        <v>500</v>
      </c>
      <c r="H105" s="89">
        <v>26.109000000000002</v>
      </c>
      <c r="I105" s="38">
        <f t="shared" si="31"/>
        <v>13054.5</v>
      </c>
      <c r="K105" s="42">
        <v>500</v>
      </c>
      <c r="L105" s="90">
        <v>26.849599999999999</v>
      </c>
      <c r="M105" s="38">
        <f t="shared" si="32"/>
        <v>13424.8</v>
      </c>
      <c r="O105" s="38">
        <v>80</v>
      </c>
      <c r="P105" s="38">
        <v>26.728300000000001</v>
      </c>
      <c r="Q105" s="38">
        <f t="shared" si="33"/>
        <v>2138.2640000000001</v>
      </c>
      <c r="R105" s="43">
        <f t="shared" si="41"/>
        <v>1080</v>
      </c>
      <c r="S105" s="38">
        <f t="shared" si="34"/>
        <v>28617.563999999998</v>
      </c>
      <c r="T105" s="49">
        <v>85</v>
      </c>
      <c r="U105" s="42">
        <v>26.321200000000001</v>
      </c>
      <c r="V105" s="38">
        <f t="shared" si="44"/>
        <v>2237.3020000000001</v>
      </c>
      <c r="W105" s="42">
        <v>200</v>
      </c>
      <c r="X105" s="42">
        <v>26.6358</v>
      </c>
      <c r="Y105" s="38">
        <f t="shared" si="43"/>
        <v>5327.16</v>
      </c>
      <c r="Z105" s="42">
        <v>200</v>
      </c>
      <c r="AA105" s="42">
        <v>26.730699999999999</v>
      </c>
      <c r="AB105" s="42">
        <f t="shared" si="28"/>
        <v>5346.1399999999994</v>
      </c>
      <c r="AD105" s="42">
        <v>150</v>
      </c>
      <c r="AE105" s="42">
        <v>26.8719</v>
      </c>
      <c r="AF105" s="42">
        <f t="shared" si="42"/>
        <v>4030.7849999999999</v>
      </c>
      <c r="AG105" s="42"/>
      <c r="AH105" s="42">
        <v>65</v>
      </c>
      <c r="AI105" s="42">
        <v>26.8337</v>
      </c>
      <c r="AJ105" s="42">
        <f t="shared" si="35"/>
        <v>1744.1904999999999</v>
      </c>
      <c r="AL105" s="42">
        <v>85</v>
      </c>
      <c r="AM105" s="42">
        <v>26.950700000000001</v>
      </c>
      <c r="AN105" s="42">
        <f t="shared" si="30"/>
        <v>2290.8095000000003</v>
      </c>
      <c r="AO105" s="44"/>
      <c r="AP105" s="42">
        <v>85</v>
      </c>
      <c r="AQ105" s="42"/>
      <c r="AR105" s="42"/>
      <c r="AU105" s="98"/>
      <c r="AV105" s="35"/>
      <c r="AW105" s="104"/>
      <c r="AX105" s="42"/>
      <c r="AY105" s="42"/>
      <c r="AZ105" s="42">
        <f t="shared" si="27"/>
        <v>0</v>
      </c>
      <c r="BA105" s="42"/>
      <c r="BB105" s="42"/>
      <c r="BC105" s="42"/>
      <c r="BD105" s="38">
        <f t="shared" si="36"/>
        <v>0</v>
      </c>
      <c r="BE105" s="42"/>
      <c r="BF105" s="42"/>
      <c r="BG105" s="42"/>
      <c r="BH105" s="38">
        <f t="shared" si="37"/>
        <v>0</v>
      </c>
      <c r="BI105" s="42"/>
      <c r="BJ105" s="42"/>
      <c r="BK105" s="42"/>
      <c r="BL105" s="38">
        <f t="shared" si="38"/>
        <v>0</v>
      </c>
      <c r="BM105" s="42"/>
      <c r="BN105" s="42"/>
      <c r="BO105" s="42"/>
      <c r="BP105" s="42"/>
      <c r="BR105" s="42">
        <f t="shared" si="39"/>
        <v>20976.386999999999</v>
      </c>
      <c r="BS105" s="43">
        <f t="shared" si="40"/>
        <v>7641.1769999999997</v>
      </c>
      <c r="BT105" s="42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  <c r="IM105" s="31"/>
      <c r="IN105" s="31"/>
      <c r="IO105" s="31"/>
      <c r="IP105" s="31"/>
      <c r="IQ105" s="31"/>
      <c r="IR105" s="31"/>
      <c r="IS105" s="31"/>
      <c r="IT105" s="31"/>
      <c r="IU105" s="31"/>
      <c r="IV105" s="31"/>
      <c r="IW105" s="31"/>
      <c r="IX105" s="31"/>
      <c r="IY105" s="31"/>
      <c r="IZ105" s="31"/>
      <c r="JA105" s="31"/>
      <c r="JB105" s="31"/>
      <c r="JC105" s="31"/>
      <c r="JD105" s="31"/>
      <c r="JE105" s="31"/>
      <c r="JF105" s="31"/>
      <c r="JG105" s="31"/>
      <c r="JH105" s="31"/>
      <c r="JI105" s="31"/>
      <c r="JJ105" s="31"/>
      <c r="JK105" s="31"/>
      <c r="JL105" s="31"/>
      <c r="JM105" s="31"/>
      <c r="JN105" s="31"/>
      <c r="JO105" s="31"/>
      <c r="JP105" s="31"/>
      <c r="JQ105" s="31"/>
      <c r="JR105" s="31"/>
      <c r="JS105" s="31"/>
      <c r="JT105" s="31"/>
      <c r="JU105" s="31"/>
      <c r="JV105" s="31"/>
      <c r="JW105" s="31"/>
      <c r="JX105" s="31"/>
      <c r="JY105" s="31"/>
      <c r="JZ105" s="31"/>
      <c r="KA105" s="31"/>
      <c r="KB105" s="31"/>
      <c r="KC105" s="31"/>
      <c r="KD105" s="31"/>
      <c r="KE105" s="31"/>
      <c r="KF105" s="31"/>
      <c r="KG105" s="31"/>
      <c r="KH105" s="31"/>
      <c r="KI105" s="31"/>
      <c r="KJ105" s="31"/>
      <c r="KK105" s="31"/>
      <c r="KL105" s="31"/>
      <c r="KM105" s="31"/>
      <c r="KN105" s="31"/>
      <c r="KO105" s="31"/>
      <c r="KP105" s="31"/>
      <c r="KQ105" s="31"/>
      <c r="KR105" s="31"/>
      <c r="KS105" s="31"/>
      <c r="KT105" s="31"/>
      <c r="KU105" s="31"/>
      <c r="KV105" s="31"/>
      <c r="KW105" s="31"/>
      <c r="KX105" s="31"/>
      <c r="KY105" s="31"/>
      <c r="KZ105" s="31"/>
      <c r="LA105" s="31"/>
      <c r="LB105" s="31"/>
      <c r="LC105" s="31"/>
      <c r="LD105" s="31"/>
      <c r="LE105" s="31"/>
      <c r="LF105" s="31"/>
      <c r="LG105" s="31"/>
      <c r="LH105" s="31"/>
      <c r="LI105" s="31"/>
      <c r="LJ105" s="31"/>
      <c r="LK105" s="31"/>
      <c r="LL105" s="31"/>
      <c r="LM105" s="31"/>
      <c r="LN105" s="31"/>
      <c r="LO105" s="31"/>
      <c r="LP105" s="31"/>
      <c r="LQ105" s="31"/>
      <c r="LR105" s="31"/>
      <c r="LS105" s="31"/>
      <c r="LT105" s="31"/>
      <c r="LU105" s="31"/>
      <c r="LV105" s="31"/>
      <c r="LW105" s="31"/>
      <c r="LX105" s="31"/>
      <c r="LY105" s="31"/>
      <c r="LZ105" s="31"/>
      <c r="MA105" s="31"/>
      <c r="MB105" s="31"/>
      <c r="MC105" s="31"/>
      <c r="MD105" s="31"/>
      <c r="ME105" s="31"/>
      <c r="MF105" s="31"/>
      <c r="MG105" s="31"/>
      <c r="MH105" s="31"/>
      <c r="MI105" s="31"/>
      <c r="MJ105" s="31"/>
      <c r="MK105" s="31"/>
      <c r="ML105" s="31"/>
      <c r="MM105" s="31"/>
      <c r="MN105" s="31"/>
      <c r="MO105" s="31"/>
      <c r="MP105" s="31"/>
      <c r="MQ105" s="31"/>
      <c r="MR105" s="31"/>
      <c r="MS105" s="31"/>
      <c r="MT105" s="31"/>
      <c r="MU105" s="31"/>
      <c r="MV105" s="31"/>
      <c r="MW105" s="31"/>
      <c r="MX105" s="31"/>
      <c r="MY105" s="31"/>
      <c r="MZ105" s="31"/>
      <c r="NA105" s="31"/>
      <c r="NB105" s="31"/>
      <c r="NC105" s="31"/>
      <c r="ND105" s="31"/>
      <c r="NE105" s="31"/>
      <c r="NF105" s="31"/>
      <c r="NG105" s="31"/>
      <c r="NH105" s="31"/>
      <c r="NI105" s="31"/>
      <c r="NJ105" s="31"/>
      <c r="NK105" s="31"/>
      <c r="NL105" s="31"/>
      <c r="NM105" s="31"/>
      <c r="NN105" s="31"/>
      <c r="NO105" s="31"/>
      <c r="NP105" s="31"/>
      <c r="NQ105" s="31"/>
      <c r="NR105" s="31"/>
      <c r="NS105" s="31"/>
      <c r="NT105" s="31"/>
      <c r="NU105" s="31"/>
      <c r="NV105" s="31"/>
      <c r="NW105" s="31"/>
      <c r="NX105" s="31"/>
      <c r="NY105" s="31"/>
      <c r="NZ105" s="31"/>
      <c r="OA105" s="31"/>
      <c r="OB105" s="31"/>
      <c r="OC105" s="31"/>
      <c r="OD105" s="31"/>
      <c r="OE105" s="31"/>
      <c r="OF105" s="31"/>
      <c r="OG105" s="31"/>
      <c r="OH105" s="31"/>
      <c r="OI105" s="31"/>
      <c r="OJ105" s="31"/>
      <c r="OK105" s="31"/>
      <c r="OL105" s="31"/>
      <c r="OM105" s="31"/>
      <c r="ON105" s="31"/>
      <c r="OO105" s="31"/>
      <c r="OP105" s="31"/>
      <c r="OQ105" s="31"/>
      <c r="OR105" s="31"/>
      <c r="OS105" s="31"/>
      <c r="OT105" s="31"/>
      <c r="OU105" s="31"/>
      <c r="OV105" s="31"/>
      <c r="OW105" s="31"/>
      <c r="OX105" s="31"/>
    </row>
    <row r="106" spans="2:414" s="25" customFormat="1" ht="15.6">
      <c r="B106" s="25" t="s">
        <v>191</v>
      </c>
      <c r="C106" s="27" t="s">
        <v>192</v>
      </c>
      <c r="D106" s="30" t="s">
        <v>105</v>
      </c>
      <c r="G106" s="42">
        <v>500</v>
      </c>
      <c r="H106" s="89">
        <v>26.109000000000002</v>
      </c>
      <c r="I106" s="38">
        <f t="shared" si="31"/>
        <v>13054.5</v>
      </c>
      <c r="K106" s="42">
        <v>500</v>
      </c>
      <c r="L106" s="90">
        <v>26.849599999999999</v>
      </c>
      <c r="M106" s="38">
        <f t="shared" si="32"/>
        <v>13424.8</v>
      </c>
      <c r="O106" s="38">
        <v>80</v>
      </c>
      <c r="P106" s="38">
        <v>26.728300000000001</v>
      </c>
      <c r="Q106" s="38">
        <f t="shared" si="33"/>
        <v>2138.2640000000001</v>
      </c>
      <c r="R106" s="43">
        <f t="shared" si="41"/>
        <v>1080</v>
      </c>
      <c r="S106" s="38">
        <f t="shared" si="34"/>
        <v>28617.563999999998</v>
      </c>
      <c r="T106" s="49">
        <v>300</v>
      </c>
      <c r="U106" s="42">
        <v>25.826699999999999</v>
      </c>
      <c r="V106" s="38">
        <f t="shared" si="44"/>
        <v>7748.0099999999993</v>
      </c>
      <c r="W106" s="42">
        <v>115</v>
      </c>
      <c r="X106" s="42">
        <v>26.674900000000001</v>
      </c>
      <c r="Y106" s="38">
        <f t="shared" si="43"/>
        <v>3067.6134999999999</v>
      </c>
      <c r="Z106" s="42">
        <v>85</v>
      </c>
      <c r="AA106" s="42">
        <v>26.109000000000002</v>
      </c>
      <c r="AB106" s="42">
        <f t="shared" si="28"/>
        <v>2219.2650000000003</v>
      </c>
      <c r="AD106" s="42">
        <v>260</v>
      </c>
      <c r="AE106" s="42">
        <v>26.934999999999999</v>
      </c>
      <c r="AF106" s="42">
        <f t="shared" si="42"/>
        <v>7003.0999999999995</v>
      </c>
      <c r="AG106" s="42"/>
      <c r="AH106" s="42">
        <v>100</v>
      </c>
      <c r="AI106" s="42">
        <v>26.934999999999999</v>
      </c>
      <c r="AJ106" s="42">
        <f t="shared" si="35"/>
        <v>2693.5</v>
      </c>
      <c r="AL106" s="42">
        <v>140</v>
      </c>
      <c r="AM106" s="42">
        <v>26.794699999999999</v>
      </c>
      <c r="AN106" s="42">
        <f t="shared" si="30"/>
        <v>3751.2579999999998</v>
      </c>
      <c r="AO106" s="44"/>
      <c r="AP106" s="42"/>
      <c r="AQ106" s="42"/>
      <c r="AR106" s="42"/>
      <c r="AU106" s="98"/>
      <c r="AV106" s="35"/>
      <c r="AW106" s="104"/>
      <c r="AX106" s="42"/>
      <c r="AY106" s="42"/>
      <c r="AZ106" s="42">
        <f t="shared" si="27"/>
        <v>0</v>
      </c>
      <c r="BA106" s="42"/>
      <c r="BB106" s="42"/>
      <c r="BC106" s="42"/>
      <c r="BD106" s="38">
        <f t="shared" si="36"/>
        <v>0</v>
      </c>
      <c r="BE106" s="42"/>
      <c r="BF106" s="42"/>
      <c r="BG106" s="42"/>
      <c r="BH106" s="38">
        <f t="shared" si="37"/>
        <v>0</v>
      </c>
      <c r="BI106" s="42"/>
      <c r="BJ106" s="42"/>
      <c r="BK106" s="42"/>
      <c r="BL106" s="38">
        <f t="shared" si="38"/>
        <v>0</v>
      </c>
      <c r="BM106" s="42"/>
      <c r="BN106" s="42"/>
      <c r="BO106" s="42"/>
      <c r="BP106" s="42"/>
      <c r="BR106" s="42">
        <f t="shared" si="39"/>
        <v>26482.746500000001</v>
      </c>
      <c r="BS106" s="43">
        <f t="shared" si="40"/>
        <v>2134.8174999999974</v>
      </c>
      <c r="BT106" s="42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  <c r="IM106" s="31"/>
      <c r="IN106" s="31"/>
      <c r="IO106" s="31"/>
      <c r="IP106" s="31"/>
      <c r="IQ106" s="31"/>
      <c r="IR106" s="31"/>
      <c r="IS106" s="31"/>
      <c r="IT106" s="31"/>
      <c r="IU106" s="31"/>
      <c r="IV106" s="31"/>
      <c r="IW106" s="31"/>
      <c r="IX106" s="31"/>
      <c r="IY106" s="31"/>
      <c r="IZ106" s="31"/>
      <c r="JA106" s="31"/>
      <c r="JB106" s="31"/>
      <c r="JC106" s="31"/>
      <c r="JD106" s="31"/>
      <c r="JE106" s="31"/>
      <c r="JF106" s="31"/>
      <c r="JG106" s="31"/>
      <c r="JH106" s="31"/>
      <c r="JI106" s="31"/>
      <c r="JJ106" s="31"/>
      <c r="JK106" s="31"/>
      <c r="JL106" s="31"/>
      <c r="JM106" s="31"/>
      <c r="JN106" s="31"/>
      <c r="JO106" s="31"/>
      <c r="JP106" s="31"/>
      <c r="JQ106" s="31"/>
      <c r="JR106" s="31"/>
      <c r="JS106" s="31"/>
      <c r="JT106" s="31"/>
      <c r="JU106" s="31"/>
      <c r="JV106" s="31"/>
      <c r="JW106" s="31"/>
      <c r="JX106" s="31"/>
      <c r="JY106" s="31"/>
      <c r="JZ106" s="31"/>
      <c r="KA106" s="31"/>
      <c r="KB106" s="31"/>
      <c r="KC106" s="31"/>
      <c r="KD106" s="31"/>
      <c r="KE106" s="31"/>
      <c r="KF106" s="31"/>
      <c r="KG106" s="31"/>
      <c r="KH106" s="31"/>
      <c r="KI106" s="31"/>
      <c r="KJ106" s="31"/>
      <c r="KK106" s="31"/>
      <c r="KL106" s="31"/>
      <c r="KM106" s="31"/>
      <c r="KN106" s="31"/>
      <c r="KO106" s="31"/>
      <c r="KP106" s="31"/>
      <c r="KQ106" s="31"/>
      <c r="KR106" s="31"/>
      <c r="KS106" s="31"/>
      <c r="KT106" s="31"/>
      <c r="KU106" s="31"/>
      <c r="KV106" s="31"/>
      <c r="KW106" s="31"/>
      <c r="KX106" s="31"/>
      <c r="KY106" s="31"/>
      <c r="KZ106" s="31"/>
      <c r="LA106" s="31"/>
      <c r="LB106" s="31"/>
      <c r="LC106" s="31"/>
      <c r="LD106" s="31"/>
      <c r="LE106" s="31"/>
      <c r="LF106" s="31"/>
      <c r="LG106" s="31"/>
      <c r="LH106" s="31"/>
      <c r="LI106" s="31"/>
      <c r="LJ106" s="31"/>
      <c r="LK106" s="31"/>
      <c r="LL106" s="31"/>
      <c r="LM106" s="31"/>
      <c r="LN106" s="31"/>
      <c r="LO106" s="31"/>
      <c r="LP106" s="31"/>
      <c r="LQ106" s="31"/>
      <c r="LR106" s="31"/>
      <c r="LS106" s="31"/>
      <c r="LT106" s="31"/>
      <c r="LU106" s="31"/>
      <c r="LV106" s="31"/>
      <c r="LW106" s="31"/>
      <c r="LX106" s="31"/>
      <c r="LY106" s="31"/>
      <c r="LZ106" s="31"/>
      <c r="MA106" s="31"/>
      <c r="MB106" s="31"/>
      <c r="MC106" s="31"/>
      <c r="MD106" s="31"/>
      <c r="ME106" s="31"/>
      <c r="MF106" s="31"/>
      <c r="MG106" s="31"/>
      <c r="MH106" s="31"/>
      <c r="MI106" s="31"/>
      <c r="MJ106" s="31"/>
      <c r="MK106" s="31"/>
      <c r="ML106" s="31"/>
      <c r="MM106" s="31"/>
      <c r="MN106" s="31"/>
      <c r="MO106" s="31"/>
      <c r="MP106" s="31"/>
      <c r="MQ106" s="31"/>
      <c r="MR106" s="31"/>
      <c r="MS106" s="31"/>
      <c r="MT106" s="31"/>
      <c r="MU106" s="31"/>
      <c r="MV106" s="31"/>
      <c r="MW106" s="31"/>
      <c r="MX106" s="31"/>
      <c r="MY106" s="31"/>
      <c r="MZ106" s="31"/>
      <c r="NA106" s="31"/>
      <c r="NB106" s="31"/>
      <c r="NC106" s="31"/>
      <c r="ND106" s="31"/>
      <c r="NE106" s="31"/>
      <c r="NF106" s="31"/>
      <c r="NG106" s="31"/>
      <c r="NH106" s="31"/>
      <c r="NI106" s="31"/>
      <c r="NJ106" s="31"/>
      <c r="NK106" s="31"/>
      <c r="NL106" s="31"/>
      <c r="NM106" s="31"/>
      <c r="NN106" s="31"/>
      <c r="NO106" s="31"/>
      <c r="NP106" s="31"/>
      <c r="NQ106" s="31"/>
      <c r="NR106" s="31"/>
      <c r="NS106" s="31"/>
      <c r="NT106" s="31"/>
      <c r="NU106" s="31"/>
      <c r="NV106" s="31"/>
      <c r="NW106" s="31"/>
      <c r="NX106" s="31"/>
      <c r="NY106" s="31"/>
      <c r="NZ106" s="31"/>
      <c r="OA106" s="31"/>
      <c r="OB106" s="31"/>
      <c r="OC106" s="31"/>
      <c r="OD106" s="31"/>
      <c r="OE106" s="31"/>
      <c r="OF106" s="31"/>
      <c r="OG106" s="31"/>
      <c r="OH106" s="31"/>
      <c r="OI106" s="31"/>
      <c r="OJ106" s="31"/>
      <c r="OK106" s="31"/>
      <c r="OL106" s="31"/>
      <c r="OM106" s="31"/>
      <c r="ON106" s="31"/>
      <c r="OO106" s="31"/>
      <c r="OP106" s="31"/>
      <c r="OQ106" s="31"/>
      <c r="OR106" s="31"/>
      <c r="OS106" s="31"/>
      <c r="OT106" s="31"/>
      <c r="OU106" s="31"/>
      <c r="OV106" s="31"/>
      <c r="OW106" s="31"/>
      <c r="OX106" s="31"/>
    </row>
    <row r="107" spans="2:414" s="25" customFormat="1" ht="15.6">
      <c r="B107" s="25" t="s">
        <v>193</v>
      </c>
      <c r="C107" s="27" t="s">
        <v>182</v>
      </c>
      <c r="D107" s="30" t="s">
        <v>105</v>
      </c>
      <c r="G107" s="42">
        <v>500</v>
      </c>
      <c r="H107" s="89">
        <v>26.109000000000002</v>
      </c>
      <c r="I107" s="38">
        <f t="shared" si="31"/>
        <v>13054.5</v>
      </c>
      <c r="K107" s="42">
        <v>500</v>
      </c>
      <c r="L107" s="90">
        <v>26.849599999999999</v>
      </c>
      <c r="M107" s="38">
        <f t="shared" si="32"/>
        <v>13424.8</v>
      </c>
      <c r="O107" s="38">
        <v>80</v>
      </c>
      <c r="P107" s="38">
        <v>26.728300000000001</v>
      </c>
      <c r="Q107" s="38">
        <f t="shared" si="33"/>
        <v>2138.2640000000001</v>
      </c>
      <c r="R107" s="43">
        <f t="shared" si="41"/>
        <v>1080</v>
      </c>
      <c r="S107" s="38">
        <f t="shared" si="34"/>
        <v>28617.563999999998</v>
      </c>
      <c r="T107" s="49">
        <v>415</v>
      </c>
      <c r="U107" s="42">
        <v>26.350200000000001</v>
      </c>
      <c r="V107" s="38">
        <f t="shared" si="44"/>
        <v>10935.333000000001</v>
      </c>
      <c r="W107" s="42">
        <v>85</v>
      </c>
      <c r="X107" s="42">
        <v>26.350200000000001</v>
      </c>
      <c r="Y107" s="38">
        <v>7000</v>
      </c>
      <c r="Z107" s="42"/>
      <c r="AA107" s="42">
        <v>26.754799999999999</v>
      </c>
      <c r="AB107" s="42">
        <v>1350</v>
      </c>
      <c r="AD107" s="42"/>
      <c r="AE107" s="42">
        <v>26.890999999999998</v>
      </c>
      <c r="AF107" s="42">
        <v>5400</v>
      </c>
      <c r="AG107" s="42"/>
      <c r="AH107" s="42"/>
      <c r="AI107" s="42"/>
      <c r="AJ107" s="42">
        <f t="shared" si="35"/>
        <v>0</v>
      </c>
      <c r="AL107" s="42"/>
      <c r="AM107" s="42"/>
      <c r="AN107" s="42">
        <f t="shared" si="30"/>
        <v>0</v>
      </c>
      <c r="AO107" s="44"/>
      <c r="AP107" s="42"/>
      <c r="AQ107" s="42"/>
      <c r="AR107" s="42"/>
      <c r="AU107" s="98"/>
      <c r="AV107" s="35"/>
      <c r="AW107" s="104"/>
      <c r="AX107" s="42"/>
      <c r="AY107" s="42"/>
      <c r="AZ107" s="42">
        <f t="shared" si="27"/>
        <v>0</v>
      </c>
      <c r="BA107" s="42"/>
      <c r="BB107" s="42"/>
      <c r="BC107" s="42"/>
      <c r="BD107" s="38">
        <f t="shared" si="36"/>
        <v>0</v>
      </c>
      <c r="BE107" s="42"/>
      <c r="BF107" s="42"/>
      <c r="BG107" s="42"/>
      <c r="BH107" s="38">
        <f t="shared" si="37"/>
        <v>0</v>
      </c>
      <c r="BI107" s="42"/>
      <c r="BJ107" s="42"/>
      <c r="BK107" s="42"/>
      <c r="BL107" s="38">
        <f t="shared" si="38"/>
        <v>0</v>
      </c>
      <c r="BM107" s="42"/>
      <c r="BN107" s="42"/>
      <c r="BO107" s="42"/>
      <c r="BP107" s="42"/>
      <c r="BR107" s="42">
        <f t="shared" si="39"/>
        <v>24685.332999999999</v>
      </c>
      <c r="BS107" s="43">
        <f t="shared" si="40"/>
        <v>3932.2309999999998</v>
      </c>
      <c r="BT107" s="42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  <c r="IM107" s="31"/>
      <c r="IN107" s="31"/>
      <c r="IO107" s="31"/>
      <c r="IP107" s="31"/>
      <c r="IQ107" s="31"/>
      <c r="IR107" s="31"/>
      <c r="IS107" s="31"/>
      <c r="IT107" s="31"/>
      <c r="IU107" s="31"/>
      <c r="IV107" s="31"/>
      <c r="IW107" s="31"/>
      <c r="IX107" s="31"/>
      <c r="IY107" s="31"/>
      <c r="IZ107" s="31"/>
      <c r="JA107" s="31"/>
      <c r="JB107" s="31"/>
      <c r="JC107" s="31"/>
      <c r="JD107" s="31"/>
      <c r="JE107" s="31"/>
      <c r="JF107" s="31"/>
      <c r="JG107" s="31"/>
      <c r="JH107" s="31"/>
      <c r="JI107" s="31"/>
      <c r="JJ107" s="31"/>
      <c r="JK107" s="31"/>
      <c r="JL107" s="31"/>
      <c r="JM107" s="31"/>
      <c r="JN107" s="31"/>
      <c r="JO107" s="31"/>
      <c r="JP107" s="31"/>
      <c r="JQ107" s="31"/>
      <c r="JR107" s="31"/>
      <c r="JS107" s="31"/>
      <c r="JT107" s="31"/>
      <c r="JU107" s="31"/>
      <c r="JV107" s="31"/>
      <c r="JW107" s="31"/>
      <c r="JX107" s="31"/>
      <c r="JY107" s="31"/>
      <c r="JZ107" s="31"/>
      <c r="KA107" s="31"/>
      <c r="KB107" s="31"/>
      <c r="KC107" s="31"/>
      <c r="KD107" s="31"/>
      <c r="KE107" s="31"/>
      <c r="KF107" s="31"/>
      <c r="KG107" s="31"/>
      <c r="KH107" s="31"/>
      <c r="KI107" s="31"/>
      <c r="KJ107" s="31"/>
      <c r="KK107" s="31"/>
      <c r="KL107" s="31"/>
      <c r="KM107" s="31"/>
      <c r="KN107" s="31"/>
      <c r="KO107" s="31"/>
      <c r="KP107" s="31"/>
      <c r="KQ107" s="31"/>
      <c r="KR107" s="31"/>
      <c r="KS107" s="31"/>
      <c r="KT107" s="31"/>
      <c r="KU107" s="31"/>
      <c r="KV107" s="31"/>
      <c r="KW107" s="31"/>
      <c r="KX107" s="31"/>
      <c r="KY107" s="31"/>
      <c r="KZ107" s="31"/>
      <c r="LA107" s="31"/>
      <c r="LB107" s="31"/>
      <c r="LC107" s="31"/>
      <c r="LD107" s="31"/>
      <c r="LE107" s="31"/>
      <c r="LF107" s="31"/>
      <c r="LG107" s="31"/>
      <c r="LH107" s="31"/>
      <c r="LI107" s="31"/>
      <c r="LJ107" s="31"/>
      <c r="LK107" s="31"/>
      <c r="LL107" s="31"/>
      <c r="LM107" s="31"/>
      <c r="LN107" s="31"/>
      <c r="LO107" s="31"/>
      <c r="LP107" s="31"/>
      <c r="LQ107" s="31"/>
      <c r="LR107" s="31"/>
      <c r="LS107" s="31"/>
      <c r="LT107" s="31"/>
      <c r="LU107" s="31"/>
      <c r="LV107" s="31"/>
      <c r="LW107" s="31"/>
      <c r="LX107" s="31"/>
      <c r="LY107" s="31"/>
      <c r="LZ107" s="31"/>
      <c r="MA107" s="31"/>
      <c r="MB107" s="31"/>
      <c r="MC107" s="31"/>
      <c r="MD107" s="31"/>
      <c r="ME107" s="31"/>
      <c r="MF107" s="31"/>
      <c r="MG107" s="31"/>
      <c r="MH107" s="31"/>
      <c r="MI107" s="31"/>
      <c r="MJ107" s="31"/>
      <c r="MK107" s="31"/>
      <c r="ML107" s="31"/>
      <c r="MM107" s="31"/>
      <c r="MN107" s="31"/>
      <c r="MO107" s="31"/>
      <c r="MP107" s="31"/>
      <c r="MQ107" s="31"/>
      <c r="MR107" s="31"/>
      <c r="MS107" s="31"/>
      <c r="MT107" s="31"/>
      <c r="MU107" s="31"/>
      <c r="MV107" s="31"/>
      <c r="MW107" s="31"/>
      <c r="MX107" s="31"/>
      <c r="MY107" s="31"/>
      <c r="MZ107" s="31"/>
      <c r="NA107" s="31"/>
      <c r="NB107" s="31"/>
      <c r="NC107" s="31"/>
      <c r="ND107" s="31"/>
      <c r="NE107" s="31"/>
      <c r="NF107" s="31"/>
      <c r="NG107" s="31"/>
      <c r="NH107" s="31"/>
      <c r="NI107" s="31"/>
      <c r="NJ107" s="31"/>
      <c r="NK107" s="31"/>
      <c r="NL107" s="31"/>
      <c r="NM107" s="31"/>
      <c r="NN107" s="31"/>
      <c r="NO107" s="31"/>
      <c r="NP107" s="31"/>
      <c r="NQ107" s="31"/>
      <c r="NR107" s="31"/>
      <c r="NS107" s="31"/>
      <c r="NT107" s="31"/>
      <c r="NU107" s="31"/>
      <c r="NV107" s="31"/>
      <c r="NW107" s="31"/>
      <c r="NX107" s="31"/>
      <c r="NY107" s="31"/>
      <c r="NZ107" s="31"/>
      <c r="OA107" s="31"/>
      <c r="OB107" s="31"/>
      <c r="OC107" s="31"/>
      <c r="OD107" s="31"/>
      <c r="OE107" s="31"/>
      <c r="OF107" s="31"/>
      <c r="OG107" s="31"/>
      <c r="OH107" s="31"/>
      <c r="OI107" s="31"/>
      <c r="OJ107" s="31"/>
      <c r="OK107" s="31"/>
      <c r="OL107" s="31"/>
      <c r="OM107" s="31"/>
      <c r="ON107" s="31"/>
      <c r="OO107" s="31"/>
      <c r="OP107" s="31"/>
      <c r="OQ107" s="31"/>
      <c r="OR107" s="31"/>
      <c r="OS107" s="31"/>
      <c r="OT107" s="31"/>
      <c r="OU107" s="31"/>
      <c r="OV107" s="31"/>
      <c r="OW107" s="31"/>
      <c r="OX107" s="31"/>
    </row>
    <row r="108" spans="2:414" s="25" customFormat="1" ht="15.6">
      <c r="B108" s="25" t="s">
        <v>194</v>
      </c>
      <c r="C108" s="27" t="s">
        <v>195</v>
      </c>
      <c r="D108" s="30" t="s">
        <v>105</v>
      </c>
      <c r="G108" s="42">
        <v>500</v>
      </c>
      <c r="H108" s="89">
        <v>26.109000000000002</v>
      </c>
      <c r="I108" s="38">
        <f t="shared" si="31"/>
        <v>13054.5</v>
      </c>
      <c r="K108" s="42">
        <v>500</v>
      </c>
      <c r="L108" s="90">
        <v>26.849599999999999</v>
      </c>
      <c r="M108" s="38">
        <f t="shared" si="32"/>
        <v>13424.8</v>
      </c>
      <c r="O108" s="38">
        <v>80</v>
      </c>
      <c r="P108" s="38">
        <v>26.728300000000001</v>
      </c>
      <c r="Q108" s="38">
        <f t="shared" si="33"/>
        <v>2138.2640000000001</v>
      </c>
      <c r="R108" s="43">
        <f t="shared" si="41"/>
        <v>1080</v>
      </c>
      <c r="S108" s="38">
        <f t="shared" si="34"/>
        <v>28617.563999999998</v>
      </c>
      <c r="T108" s="49">
        <v>415</v>
      </c>
      <c r="U108" s="42">
        <v>26.8827</v>
      </c>
      <c r="V108" s="38">
        <f t="shared" si="44"/>
        <v>11156.3205</v>
      </c>
      <c r="W108" s="42">
        <v>85</v>
      </c>
      <c r="X108" s="42">
        <v>26.8827</v>
      </c>
      <c r="Y108" s="38">
        <f t="shared" si="43"/>
        <v>2285.0295000000001</v>
      </c>
      <c r="Z108" s="42">
        <v>85</v>
      </c>
      <c r="AA108" s="42">
        <v>26.869499999999999</v>
      </c>
      <c r="AB108" s="42">
        <f>Z108*AA108</f>
        <v>2283.9074999999998</v>
      </c>
      <c r="AD108" s="42">
        <v>215</v>
      </c>
      <c r="AE108" s="42">
        <v>26.869499999999999</v>
      </c>
      <c r="AF108" s="42">
        <f>AD108*AE108</f>
        <v>5776.9425000000001</v>
      </c>
      <c r="AG108" s="42"/>
      <c r="AH108" s="42"/>
      <c r="AI108" s="42"/>
      <c r="AJ108" s="42">
        <v>5634</v>
      </c>
      <c r="AL108" s="42"/>
      <c r="AM108" s="42"/>
      <c r="AN108" s="42">
        <f t="shared" si="30"/>
        <v>0</v>
      </c>
      <c r="AO108" s="44"/>
      <c r="AP108" s="42"/>
      <c r="AQ108" s="42"/>
      <c r="AR108" s="42"/>
      <c r="AU108" s="98"/>
      <c r="AV108" s="35"/>
      <c r="AW108" s="104"/>
      <c r="AX108" s="42"/>
      <c r="AY108" s="42"/>
      <c r="AZ108" s="42">
        <f t="shared" si="27"/>
        <v>0</v>
      </c>
      <c r="BA108" s="42"/>
      <c r="BB108" s="42"/>
      <c r="BC108" s="42"/>
      <c r="BD108" s="38">
        <f t="shared" si="36"/>
        <v>0</v>
      </c>
      <c r="BE108" s="42"/>
      <c r="BF108" s="42"/>
      <c r="BG108" s="42"/>
      <c r="BH108" s="38">
        <f t="shared" si="37"/>
        <v>0</v>
      </c>
      <c r="BI108" s="42"/>
      <c r="BJ108" s="42"/>
      <c r="BK108" s="42"/>
      <c r="BL108" s="38">
        <f t="shared" si="38"/>
        <v>0</v>
      </c>
      <c r="BM108" s="42"/>
      <c r="BN108" s="42"/>
      <c r="BO108" s="42"/>
      <c r="BP108" s="42"/>
      <c r="BR108" s="42">
        <f t="shared" si="39"/>
        <v>27136.2</v>
      </c>
      <c r="BS108" s="43">
        <f t="shared" si="40"/>
        <v>1481.3639999999978</v>
      </c>
      <c r="BT108" s="42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  <c r="JH108" s="31"/>
      <c r="JI108" s="31"/>
      <c r="JJ108" s="31"/>
      <c r="JK108" s="31"/>
      <c r="JL108" s="31"/>
      <c r="JM108" s="31"/>
      <c r="JN108" s="31"/>
      <c r="JO108" s="31"/>
      <c r="JP108" s="31"/>
      <c r="JQ108" s="31"/>
      <c r="JR108" s="31"/>
      <c r="JS108" s="31"/>
      <c r="JT108" s="31"/>
      <c r="JU108" s="31"/>
      <c r="JV108" s="31"/>
      <c r="JW108" s="31"/>
      <c r="JX108" s="31"/>
      <c r="JY108" s="31"/>
      <c r="JZ108" s="31"/>
      <c r="KA108" s="31"/>
      <c r="KB108" s="31"/>
      <c r="KC108" s="31"/>
      <c r="KD108" s="31"/>
      <c r="KE108" s="31"/>
      <c r="KF108" s="31"/>
      <c r="KG108" s="31"/>
      <c r="KH108" s="31"/>
      <c r="KI108" s="31"/>
      <c r="KJ108" s="31"/>
      <c r="KK108" s="31"/>
      <c r="KL108" s="31"/>
      <c r="KM108" s="31"/>
      <c r="KN108" s="31"/>
      <c r="KO108" s="31"/>
      <c r="KP108" s="31"/>
      <c r="KQ108" s="31"/>
      <c r="KR108" s="31"/>
      <c r="KS108" s="31"/>
      <c r="KT108" s="31"/>
      <c r="KU108" s="31"/>
      <c r="KV108" s="31"/>
      <c r="KW108" s="31"/>
      <c r="KX108" s="31"/>
      <c r="KY108" s="31"/>
      <c r="KZ108" s="31"/>
      <c r="LA108" s="31"/>
      <c r="LB108" s="31"/>
      <c r="LC108" s="31"/>
      <c r="LD108" s="31"/>
      <c r="LE108" s="31"/>
      <c r="LF108" s="31"/>
      <c r="LG108" s="31"/>
      <c r="LH108" s="31"/>
      <c r="LI108" s="31"/>
      <c r="LJ108" s="31"/>
      <c r="LK108" s="31"/>
      <c r="LL108" s="31"/>
      <c r="LM108" s="31"/>
      <c r="LN108" s="31"/>
      <c r="LO108" s="31"/>
      <c r="LP108" s="31"/>
      <c r="LQ108" s="31"/>
      <c r="LR108" s="31"/>
      <c r="LS108" s="31"/>
      <c r="LT108" s="31"/>
      <c r="LU108" s="31"/>
      <c r="LV108" s="31"/>
      <c r="LW108" s="31"/>
      <c r="LX108" s="31"/>
      <c r="LY108" s="31"/>
      <c r="LZ108" s="31"/>
      <c r="MA108" s="31"/>
      <c r="MB108" s="31"/>
      <c r="MC108" s="31"/>
      <c r="MD108" s="31"/>
      <c r="ME108" s="31"/>
      <c r="MF108" s="31"/>
      <c r="MG108" s="31"/>
      <c r="MH108" s="31"/>
      <c r="MI108" s="31"/>
      <c r="MJ108" s="31"/>
      <c r="MK108" s="31"/>
      <c r="ML108" s="31"/>
      <c r="MM108" s="31"/>
      <c r="MN108" s="31"/>
      <c r="MO108" s="31"/>
      <c r="MP108" s="31"/>
      <c r="MQ108" s="31"/>
      <c r="MR108" s="31"/>
      <c r="MS108" s="31"/>
      <c r="MT108" s="31"/>
      <c r="MU108" s="31"/>
      <c r="MV108" s="31"/>
      <c r="MW108" s="31"/>
      <c r="MX108" s="31"/>
      <c r="MY108" s="31"/>
      <c r="MZ108" s="31"/>
      <c r="NA108" s="31"/>
      <c r="NB108" s="31"/>
      <c r="NC108" s="31"/>
      <c r="ND108" s="31"/>
      <c r="NE108" s="31"/>
      <c r="NF108" s="31"/>
      <c r="NG108" s="31"/>
      <c r="NH108" s="31"/>
      <c r="NI108" s="31"/>
      <c r="NJ108" s="31"/>
      <c r="NK108" s="31"/>
      <c r="NL108" s="31"/>
      <c r="NM108" s="31"/>
      <c r="NN108" s="31"/>
      <c r="NO108" s="31"/>
      <c r="NP108" s="31"/>
      <c r="NQ108" s="31"/>
      <c r="NR108" s="31"/>
      <c r="NS108" s="31"/>
      <c r="NT108" s="31"/>
      <c r="NU108" s="31"/>
      <c r="NV108" s="31"/>
      <c r="NW108" s="31"/>
      <c r="NX108" s="31"/>
      <c r="NY108" s="31"/>
      <c r="NZ108" s="31"/>
      <c r="OA108" s="31"/>
      <c r="OB108" s="31"/>
      <c r="OC108" s="31"/>
      <c r="OD108" s="31"/>
      <c r="OE108" s="31"/>
      <c r="OF108" s="31"/>
      <c r="OG108" s="31"/>
      <c r="OH108" s="31"/>
      <c r="OI108" s="31"/>
      <c r="OJ108" s="31"/>
      <c r="OK108" s="31"/>
      <c r="OL108" s="31"/>
      <c r="OM108" s="31"/>
      <c r="ON108" s="31"/>
      <c r="OO108" s="31"/>
      <c r="OP108" s="31"/>
      <c r="OQ108" s="31"/>
      <c r="OR108" s="31"/>
      <c r="OS108" s="31"/>
      <c r="OT108" s="31"/>
      <c r="OU108" s="31"/>
      <c r="OV108" s="31"/>
      <c r="OW108" s="31"/>
      <c r="OX108" s="31"/>
    </row>
    <row r="109" spans="2:414" s="25" customFormat="1" ht="15.6">
      <c r="B109" s="25" t="s">
        <v>196</v>
      </c>
      <c r="C109" s="27" t="s">
        <v>197</v>
      </c>
      <c r="D109" s="30" t="s">
        <v>105</v>
      </c>
      <c r="G109" s="42">
        <v>500</v>
      </c>
      <c r="H109" s="89">
        <v>26.109000000000002</v>
      </c>
      <c r="I109" s="38">
        <f t="shared" si="31"/>
        <v>13054.5</v>
      </c>
      <c r="K109" s="42">
        <v>500</v>
      </c>
      <c r="L109" s="90">
        <v>26.849599999999999</v>
      </c>
      <c r="M109" s="38">
        <f t="shared" si="32"/>
        <v>13424.8</v>
      </c>
      <c r="O109" s="38">
        <v>80</v>
      </c>
      <c r="P109" s="38">
        <v>26.728300000000001</v>
      </c>
      <c r="Q109" s="38">
        <f t="shared" si="33"/>
        <v>2138.2640000000001</v>
      </c>
      <c r="R109" s="43">
        <f t="shared" si="41"/>
        <v>1080</v>
      </c>
      <c r="S109" s="38">
        <f t="shared" si="34"/>
        <v>28617.563999999998</v>
      </c>
      <c r="T109" s="49">
        <v>415</v>
      </c>
      <c r="U109" s="42">
        <v>26.4072</v>
      </c>
      <c r="V109" s="38">
        <f t="shared" si="44"/>
        <v>10958.987999999999</v>
      </c>
      <c r="W109" s="42">
        <v>85</v>
      </c>
      <c r="X109" s="42">
        <v>26.4072</v>
      </c>
      <c r="Y109" s="38">
        <f t="shared" si="43"/>
        <v>2244.6120000000001</v>
      </c>
      <c r="Z109" s="42">
        <v>415</v>
      </c>
      <c r="AA109" s="42">
        <v>26.8401</v>
      </c>
      <c r="AB109" s="42">
        <f t="shared" ref="AB109:AB172" si="45">Z109*AA109</f>
        <v>11138.6415</v>
      </c>
      <c r="AD109" s="42">
        <v>85</v>
      </c>
      <c r="AE109" s="42">
        <v>26.8401</v>
      </c>
      <c r="AF109" s="42">
        <f t="shared" ref="AF109:AF144" si="46">AD109*AE109</f>
        <v>2281.4085</v>
      </c>
      <c r="AG109" s="42"/>
      <c r="AH109" s="42"/>
      <c r="AI109" s="42"/>
      <c r="AJ109" s="42">
        <f>AH109*AI109</f>
        <v>0</v>
      </c>
      <c r="AL109" s="42"/>
      <c r="AM109" s="42"/>
      <c r="AN109" s="42">
        <f t="shared" si="30"/>
        <v>0</v>
      </c>
      <c r="AO109" s="44"/>
      <c r="AP109" s="42"/>
      <c r="AQ109" s="42"/>
      <c r="AR109" s="42"/>
      <c r="AU109" s="98"/>
      <c r="AV109" s="35"/>
      <c r="AW109" s="104"/>
      <c r="AX109" s="42"/>
      <c r="AY109" s="42"/>
      <c r="AZ109" s="42">
        <f t="shared" si="27"/>
        <v>0</v>
      </c>
      <c r="BA109" s="42"/>
      <c r="BB109" s="42"/>
      <c r="BC109" s="42"/>
      <c r="BD109" s="38">
        <f t="shared" si="36"/>
        <v>0</v>
      </c>
      <c r="BE109" s="42"/>
      <c r="BF109" s="42"/>
      <c r="BG109" s="42"/>
      <c r="BH109" s="38">
        <f t="shared" si="37"/>
        <v>0</v>
      </c>
      <c r="BI109" s="42"/>
      <c r="BJ109" s="42"/>
      <c r="BK109" s="42"/>
      <c r="BL109" s="38">
        <f t="shared" si="38"/>
        <v>0</v>
      </c>
      <c r="BM109" s="42"/>
      <c r="BN109" s="42"/>
      <c r="BO109" s="42"/>
      <c r="BP109" s="42"/>
      <c r="BR109" s="42">
        <f t="shared" si="39"/>
        <v>26623.649999999998</v>
      </c>
      <c r="BS109" s="43">
        <f t="shared" si="40"/>
        <v>1993.9140000000007</v>
      </c>
      <c r="BT109" s="42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  <c r="IM109" s="31"/>
      <c r="IN109" s="31"/>
      <c r="IO109" s="31"/>
      <c r="IP109" s="31"/>
      <c r="IQ109" s="31"/>
      <c r="IR109" s="31"/>
      <c r="IS109" s="31"/>
      <c r="IT109" s="31"/>
      <c r="IU109" s="31"/>
      <c r="IV109" s="31"/>
      <c r="IW109" s="31"/>
      <c r="IX109" s="31"/>
      <c r="IY109" s="31"/>
      <c r="IZ109" s="31"/>
      <c r="JA109" s="31"/>
      <c r="JB109" s="31"/>
      <c r="JC109" s="31"/>
      <c r="JD109" s="31"/>
      <c r="JE109" s="31"/>
      <c r="JF109" s="31"/>
      <c r="JG109" s="31"/>
      <c r="JH109" s="31"/>
      <c r="JI109" s="31"/>
      <c r="JJ109" s="31"/>
      <c r="JK109" s="31"/>
      <c r="JL109" s="31"/>
      <c r="JM109" s="31"/>
      <c r="JN109" s="31"/>
      <c r="JO109" s="31"/>
      <c r="JP109" s="31"/>
      <c r="JQ109" s="31"/>
      <c r="JR109" s="31"/>
      <c r="JS109" s="31"/>
      <c r="JT109" s="31"/>
      <c r="JU109" s="31"/>
      <c r="JV109" s="31"/>
      <c r="JW109" s="31"/>
      <c r="JX109" s="31"/>
      <c r="JY109" s="31"/>
      <c r="JZ109" s="31"/>
      <c r="KA109" s="31"/>
      <c r="KB109" s="31"/>
      <c r="KC109" s="31"/>
      <c r="KD109" s="31"/>
      <c r="KE109" s="31"/>
      <c r="KF109" s="31"/>
      <c r="KG109" s="31"/>
      <c r="KH109" s="31"/>
      <c r="KI109" s="31"/>
      <c r="KJ109" s="31"/>
      <c r="KK109" s="31"/>
      <c r="KL109" s="31"/>
      <c r="KM109" s="31"/>
      <c r="KN109" s="31"/>
      <c r="KO109" s="31"/>
      <c r="KP109" s="31"/>
      <c r="KQ109" s="31"/>
      <c r="KR109" s="31"/>
      <c r="KS109" s="31"/>
      <c r="KT109" s="31"/>
      <c r="KU109" s="31"/>
      <c r="KV109" s="31"/>
      <c r="KW109" s="31"/>
      <c r="KX109" s="31"/>
      <c r="KY109" s="31"/>
      <c r="KZ109" s="31"/>
      <c r="LA109" s="31"/>
      <c r="LB109" s="31"/>
      <c r="LC109" s="31"/>
      <c r="LD109" s="31"/>
      <c r="LE109" s="31"/>
      <c r="LF109" s="31"/>
      <c r="LG109" s="31"/>
      <c r="LH109" s="31"/>
      <c r="LI109" s="31"/>
      <c r="LJ109" s="31"/>
      <c r="LK109" s="31"/>
      <c r="LL109" s="31"/>
      <c r="LM109" s="31"/>
      <c r="LN109" s="31"/>
      <c r="LO109" s="31"/>
      <c r="LP109" s="31"/>
      <c r="LQ109" s="31"/>
      <c r="LR109" s="31"/>
      <c r="LS109" s="31"/>
      <c r="LT109" s="31"/>
      <c r="LU109" s="31"/>
      <c r="LV109" s="31"/>
      <c r="LW109" s="31"/>
      <c r="LX109" s="31"/>
      <c r="LY109" s="31"/>
      <c r="LZ109" s="31"/>
      <c r="MA109" s="31"/>
      <c r="MB109" s="31"/>
      <c r="MC109" s="31"/>
      <c r="MD109" s="31"/>
      <c r="ME109" s="31"/>
      <c r="MF109" s="31"/>
      <c r="MG109" s="31"/>
      <c r="MH109" s="31"/>
      <c r="MI109" s="31"/>
      <c r="MJ109" s="31"/>
      <c r="MK109" s="31"/>
      <c r="ML109" s="31"/>
      <c r="MM109" s="31"/>
      <c r="MN109" s="31"/>
      <c r="MO109" s="31"/>
      <c r="MP109" s="31"/>
      <c r="MQ109" s="31"/>
      <c r="MR109" s="31"/>
      <c r="MS109" s="31"/>
      <c r="MT109" s="31"/>
      <c r="MU109" s="31"/>
      <c r="MV109" s="31"/>
      <c r="MW109" s="31"/>
      <c r="MX109" s="31"/>
      <c r="MY109" s="31"/>
      <c r="MZ109" s="31"/>
      <c r="NA109" s="31"/>
      <c r="NB109" s="31"/>
      <c r="NC109" s="31"/>
      <c r="ND109" s="31"/>
      <c r="NE109" s="31"/>
      <c r="NF109" s="31"/>
      <c r="NG109" s="31"/>
      <c r="NH109" s="31"/>
      <c r="NI109" s="31"/>
      <c r="NJ109" s="31"/>
      <c r="NK109" s="31"/>
      <c r="NL109" s="31"/>
      <c r="NM109" s="31"/>
      <c r="NN109" s="31"/>
      <c r="NO109" s="31"/>
      <c r="NP109" s="31"/>
      <c r="NQ109" s="31"/>
      <c r="NR109" s="31"/>
      <c r="NS109" s="31"/>
      <c r="NT109" s="31"/>
      <c r="NU109" s="31"/>
      <c r="NV109" s="31"/>
      <c r="NW109" s="31"/>
      <c r="NX109" s="31"/>
      <c r="NY109" s="31"/>
      <c r="NZ109" s="31"/>
      <c r="OA109" s="31"/>
      <c r="OB109" s="31"/>
      <c r="OC109" s="31"/>
      <c r="OD109" s="31"/>
      <c r="OE109" s="31"/>
      <c r="OF109" s="31"/>
      <c r="OG109" s="31"/>
      <c r="OH109" s="31"/>
      <c r="OI109" s="31"/>
      <c r="OJ109" s="31"/>
      <c r="OK109" s="31"/>
      <c r="OL109" s="31"/>
      <c r="OM109" s="31"/>
      <c r="ON109" s="31"/>
      <c r="OO109" s="31"/>
      <c r="OP109" s="31"/>
      <c r="OQ109" s="31"/>
      <c r="OR109" s="31"/>
      <c r="OS109" s="31"/>
      <c r="OT109" s="31"/>
      <c r="OU109" s="31"/>
      <c r="OV109" s="31"/>
      <c r="OW109" s="31"/>
      <c r="OX109" s="31"/>
    </row>
    <row r="110" spans="2:414" s="25" customFormat="1" ht="15.6">
      <c r="B110" s="25" t="s">
        <v>198</v>
      </c>
      <c r="C110" s="27" t="s">
        <v>199</v>
      </c>
      <c r="D110" s="30" t="s">
        <v>105</v>
      </c>
      <c r="G110" s="42">
        <v>500</v>
      </c>
      <c r="H110" s="89">
        <v>26.109000000000002</v>
      </c>
      <c r="I110" s="38">
        <f t="shared" si="31"/>
        <v>13054.5</v>
      </c>
      <c r="K110" s="42">
        <v>500</v>
      </c>
      <c r="L110" s="90">
        <v>26.849599999999999</v>
      </c>
      <c r="M110" s="38">
        <f t="shared" si="32"/>
        <v>13424.8</v>
      </c>
      <c r="O110" s="38">
        <v>80</v>
      </c>
      <c r="P110" s="38">
        <v>26.728300000000001</v>
      </c>
      <c r="Q110" s="38">
        <f t="shared" si="33"/>
        <v>2138.2640000000001</v>
      </c>
      <c r="R110" s="43">
        <f t="shared" si="41"/>
        <v>1080</v>
      </c>
      <c r="S110" s="38">
        <f t="shared" si="34"/>
        <v>28617.563999999998</v>
      </c>
      <c r="T110" s="49">
        <v>300</v>
      </c>
      <c r="U110" s="42">
        <v>26.0579</v>
      </c>
      <c r="V110" s="38">
        <f t="shared" si="44"/>
        <v>7817.37</v>
      </c>
      <c r="W110" s="42">
        <v>115</v>
      </c>
      <c r="X110" s="42">
        <v>26.72</v>
      </c>
      <c r="Y110" s="38">
        <f t="shared" si="43"/>
        <v>3072.7999999999997</v>
      </c>
      <c r="Z110" s="42">
        <v>85</v>
      </c>
      <c r="AA110" s="42">
        <v>26.0579</v>
      </c>
      <c r="AB110" s="42">
        <f t="shared" si="45"/>
        <v>2214.9214999999999</v>
      </c>
      <c r="AD110" s="42">
        <v>415</v>
      </c>
      <c r="AE110" s="42">
        <v>26.861899999999999</v>
      </c>
      <c r="AF110" s="42">
        <f t="shared" si="46"/>
        <v>11147.6885</v>
      </c>
      <c r="AG110" s="42"/>
      <c r="AH110" s="42">
        <v>85</v>
      </c>
      <c r="AI110" s="42">
        <v>26.861899999999999</v>
      </c>
      <c r="AJ110" s="42">
        <f t="shared" ref="AJ110:AJ122" si="47">AH110*AI110</f>
        <v>2283.2615000000001</v>
      </c>
      <c r="AL110" s="42"/>
      <c r="AM110" s="42"/>
      <c r="AN110" s="42">
        <f t="shared" si="30"/>
        <v>0</v>
      </c>
      <c r="AO110" s="44"/>
      <c r="AP110" s="42"/>
      <c r="AQ110" s="42"/>
      <c r="AR110" s="42"/>
      <c r="AU110" s="98"/>
      <c r="AV110" s="35"/>
      <c r="AW110" s="104"/>
      <c r="AX110" s="42"/>
      <c r="AY110" s="42"/>
      <c r="AZ110" s="42">
        <f t="shared" si="27"/>
        <v>0</v>
      </c>
      <c r="BA110" s="42"/>
      <c r="BB110" s="42"/>
      <c r="BC110" s="42"/>
      <c r="BD110" s="38">
        <f t="shared" si="36"/>
        <v>0</v>
      </c>
      <c r="BE110" s="42"/>
      <c r="BF110" s="42"/>
      <c r="BG110" s="42"/>
      <c r="BH110" s="38">
        <f t="shared" si="37"/>
        <v>0</v>
      </c>
      <c r="BI110" s="42"/>
      <c r="BJ110" s="42"/>
      <c r="BK110" s="42"/>
      <c r="BL110" s="38">
        <f t="shared" si="38"/>
        <v>0</v>
      </c>
      <c r="BM110" s="42"/>
      <c r="BN110" s="42"/>
      <c r="BO110" s="42"/>
      <c r="BP110" s="42"/>
      <c r="BR110" s="42">
        <f t="shared" si="39"/>
        <v>26536.041499999999</v>
      </c>
      <c r="BS110" s="43">
        <f t="shared" si="40"/>
        <v>2081.5224999999991</v>
      </c>
      <c r="BT110" s="42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  <c r="JH110" s="31"/>
      <c r="JI110" s="31"/>
      <c r="JJ110" s="31"/>
      <c r="JK110" s="31"/>
      <c r="JL110" s="31"/>
      <c r="JM110" s="31"/>
      <c r="JN110" s="31"/>
      <c r="JO110" s="31"/>
      <c r="JP110" s="31"/>
      <c r="JQ110" s="31"/>
      <c r="JR110" s="31"/>
      <c r="JS110" s="31"/>
      <c r="JT110" s="31"/>
      <c r="JU110" s="31"/>
      <c r="JV110" s="31"/>
      <c r="JW110" s="31"/>
      <c r="JX110" s="31"/>
      <c r="JY110" s="31"/>
      <c r="JZ110" s="31"/>
      <c r="KA110" s="31"/>
      <c r="KB110" s="31"/>
      <c r="KC110" s="31"/>
      <c r="KD110" s="31"/>
      <c r="KE110" s="31"/>
      <c r="KF110" s="31"/>
      <c r="KG110" s="31"/>
      <c r="KH110" s="31"/>
      <c r="KI110" s="31"/>
      <c r="KJ110" s="31"/>
      <c r="KK110" s="31"/>
      <c r="KL110" s="31"/>
      <c r="KM110" s="31"/>
      <c r="KN110" s="31"/>
      <c r="KO110" s="31"/>
      <c r="KP110" s="31"/>
      <c r="KQ110" s="31"/>
      <c r="KR110" s="31"/>
      <c r="KS110" s="31"/>
      <c r="KT110" s="31"/>
      <c r="KU110" s="31"/>
      <c r="KV110" s="31"/>
      <c r="KW110" s="31"/>
      <c r="KX110" s="31"/>
      <c r="KY110" s="31"/>
      <c r="KZ110" s="31"/>
      <c r="LA110" s="31"/>
      <c r="LB110" s="31"/>
      <c r="LC110" s="31"/>
      <c r="LD110" s="31"/>
      <c r="LE110" s="31"/>
      <c r="LF110" s="31"/>
      <c r="LG110" s="31"/>
      <c r="LH110" s="31"/>
      <c r="LI110" s="31"/>
      <c r="LJ110" s="31"/>
      <c r="LK110" s="31"/>
      <c r="LL110" s="31"/>
      <c r="LM110" s="31"/>
      <c r="LN110" s="31"/>
      <c r="LO110" s="31"/>
      <c r="LP110" s="31"/>
      <c r="LQ110" s="31"/>
      <c r="LR110" s="31"/>
      <c r="LS110" s="31"/>
      <c r="LT110" s="31"/>
      <c r="LU110" s="31"/>
      <c r="LV110" s="31"/>
      <c r="LW110" s="31"/>
      <c r="LX110" s="31"/>
      <c r="LY110" s="31"/>
      <c r="LZ110" s="31"/>
      <c r="MA110" s="31"/>
      <c r="MB110" s="31"/>
      <c r="MC110" s="31"/>
      <c r="MD110" s="31"/>
      <c r="ME110" s="31"/>
      <c r="MF110" s="31"/>
      <c r="MG110" s="31"/>
      <c r="MH110" s="31"/>
      <c r="MI110" s="31"/>
      <c r="MJ110" s="31"/>
      <c r="MK110" s="31"/>
      <c r="ML110" s="31"/>
      <c r="MM110" s="31"/>
      <c r="MN110" s="31"/>
      <c r="MO110" s="31"/>
      <c r="MP110" s="31"/>
      <c r="MQ110" s="31"/>
      <c r="MR110" s="31"/>
      <c r="MS110" s="31"/>
      <c r="MT110" s="31"/>
      <c r="MU110" s="31"/>
      <c r="MV110" s="31"/>
      <c r="MW110" s="31"/>
      <c r="MX110" s="31"/>
      <c r="MY110" s="31"/>
      <c r="MZ110" s="31"/>
      <c r="NA110" s="31"/>
      <c r="NB110" s="31"/>
      <c r="NC110" s="31"/>
      <c r="ND110" s="31"/>
      <c r="NE110" s="31"/>
      <c r="NF110" s="31"/>
      <c r="NG110" s="31"/>
      <c r="NH110" s="31"/>
      <c r="NI110" s="31"/>
      <c r="NJ110" s="31"/>
      <c r="NK110" s="31"/>
      <c r="NL110" s="31"/>
      <c r="NM110" s="31"/>
      <c r="NN110" s="31"/>
      <c r="NO110" s="31"/>
      <c r="NP110" s="31"/>
      <c r="NQ110" s="31"/>
      <c r="NR110" s="31"/>
      <c r="NS110" s="31"/>
      <c r="NT110" s="31"/>
      <c r="NU110" s="31"/>
      <c r="NV110" s="31"/>
      <c r="NW110" s="31"/>
      <c r="NX110" s="31"/>
      <c r="NY110" s="31"/>
      <c r="NZ110" s="31"/>
      <c r="OA110" s="31"/>
      <c r="OB110" s="31"/>
      <c r="OC110" s="31"/>
      <c r="OD110" s="31"/>
      <c r="OE110" s="31"/>
      <c r="OF110" s="31"/>
      <c r="OG110" s="31"/>
      <c r="OH110" s="31"/>
      <c r="OI110" s="31"/>
      <c r="OJ110" s="31"/>
      <c r="OK110" s="31"/>
      <c r="OL110" s="31"/>
      <c r="OM110" s="31"/>
      <c r="ON110" s="31"/>
      <c r="OO110" s="31"/>
      <c r="OP110" s="31"/>
      <c r="OQ110" s="31"/>
      <c r="OR110" s="31"/>
      <c r="OS110" s="31"/>
      <c r="OT110" s="31"/>
      <c r="OU110" s="31"/>
      <c r="OV110" s="31"/>
      <c r="OW110" s="31"/>
      <c r="OX110" s="31"/>
    </row>
    <row r="111" spans="2:414" s="25" customFormat="1" ht="15.6">
      <c r="B111" s="25" t="s">
        <v>517</v>
      </c>
      <c r="C111" s="27" t="s">
        <v>518</v>
      </c>
      <c r="D111" s="30" t="s">
        <v>105</v>
      </c>
      <c r="G111" s="42">
        <v>500</v>
      </c>
      <c r="H111" s="89">
        <v>26.109000000000002</v>
      </c>
      <c r="I111" s="38">
        <f t="shared" si="31"/>
        <v>13054.5</v>
      </c>
      <c r="K111" s="42">
        <v>500</v>
      </c>
      <c r="L111" s="90">
        <v>26.849599999999999</v>
      </c>
      <c r="M111" s="38">
        <f t="shared" si="32"/>
        <v>13424.8</v>
      </c>
      <c r="O111" s="38">
        <v>80</v>
      </c>
      <c r="P111" s="38">
        <v>26.728300000000001</v>
      </c>
      <c r="Q111" s="38">
        <f t="shared" si="33"/>
        <v>2138.2640000000001</v>
      </c>
      <c r="R111" s="43">
        <f t="shared" ref="R111:R142" si="48">G111+K111+O111</f>
        <v>1080</v>
      </c>
      <c r="S111" s="38">
        <f t="shared" si="34"/>
        <v>28617.563999999998</v>
      </c>
      <c r="T111" s="49">
        <v>415</v>
      </c>
      <c r="U111" s="42">
        <v>26.828900000000001</v>
      </c>
      <c r="V111" s="38">
        <f t="shared" si="44"/>
        <v>11133.9935</v>
      </c>
      <c r="W111" s="42">
        <v>85</v>
      </c>
      <c r="X111" s="42">
        <v>26.856000000000002</v>
      </c>
      <c r="Y111" s="38">
        <f t="shared" si="43"/>
        <v>2282.7600000000002</v>
      </c>
      <c r="Z111" s="42">
        <v>500</v>
      </c>
      <c r="AA111" s="42">
        <v>26.732500000000002</v>
      </c>
      <c r="AB111" s="42">
        <f t="shared" si="45"/>
        <v>13366.25</v>
      </c>
      <c r="AD111" s="42"/>
      <c r="AE111" s="42"/>
      <c r="AF111" s="42">
        <f t="shared" si="46"/>
        <v>0</v>
      </c>
      <c r="AG111" s="42"/>
      <c r="AH111" s="42"/>
      <c r="AI111" s="42"/>
      <c r="AJ111" s="42">
        <f t="shared" si="47"/>
        <v>0</v>
      </c>
      <c r="AL111" s="42"/>
      <c r="AM111" s="42"/>
      <c r="AN111" s="42">
        <f t="shared" si="30"/>
        <v>0</v>
      </c>
      <c r="AO111" s="44"/>
      <c r="AP111" s="42"/>
      <c r="AQ111" s="42"/>
      <c r="AR111" s="42"/>
      <c r="AU111" s="98"/>
      <c r="AV111" s="35"/>
      <c r="AW111" s="104"/>
      <c r="AX111" s="42"/>
      <c r="AY111" s="42"/>
      <c r="AZ111" s="42">
        <f t="shared" si="27"/>
        <v>0</v>
      </c>
      <c r="BA111" s="42"/>
      <c r="BB111" s="42"/>
      <c r="BC111" s="42"/>
      <c r="BD111" s="38">
        <f t="shared" si="36"/>
        <v>0</v>
      </c>
      <c r="BE111" s="42"/>
      <c r="BF111" s="42"/>
      <c r="BG111" s="42"/>
      <c r="BH111" s="38">
        <f t="shared" si="37"/>
        <v>0</v>
      </c>
      <c r="BI111" s="42"/>
      <c r="BJ111" s="42"/>
      <c r="BK111" s="42"/>
      <c r="BL111" s="38">
        <f t="shared" si="38"/>
        <v>0</v>
      </c>
      <c r="BM111" s="42"/>
      <c r="BN111" s="42"/>
      <c r="BO111" s="42"/>
      <c r="BP111" s="42"/>
      <c r="BR111" s="42">
        <f t="shared" si="39"/>
        <v>26783.003499999999</v>
      </c>
      <c r="BS111" s="43">
        <f t="shared" si="40"/>
        <v>1834.5604999999996</v>
      </c>
      <c r="BT111" s="42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  <c r="IM111" s="31"/>
      <c r="IN111" s="31"/>
      <c r="IO111" s="31"/>
      <c r="IP111" s="31"/>
      <c r="IQ111" s="31"/>
      <c r="IR111" s="31"/>
      <c r="IS111" s="31"/>
      <c r="IT111" s="31"/>
      <c r="IU111" s="31"/>
      <c r="IV111" s="31"/>
      <c r="IW111" s="31"/>
      <c r="IX111" s="31"/>
      <c r="IY111" s="31"/>
      <c r="IZ111" s="31"/>
      <c r="JA111" s="31"/>
      <c r="JB111" s="31"/>
      <c r="JC111" s="31"/>
      <c r="JD111" s="31"/>
      <c r="JE111" s="31"/>
      <c r="JF111" s="31"/>
      <c r="JG111" s="31"/>
      <c r="JH111" s="31"/>
      <c r="JI111" s="31"/>
      <c r="JJ111" s="31"/>
      <c r="JK111" s="31"/>
      <c r="JL111" s="31"/>
      <c r="JM111" s="31"/>
      <c r="JN111" s="31"/>
      <c r="JO111" s="31"/>
      <c r="JP111" s="31"/>
      <c r="JQ111" s="31"/>
      <c r="JR111" s="31"/>
      <c r="JS111" s="31"/>
      <c r="JT111" s="31"/>
      <c r="JU111" s="31"/>
      <c r="JV111" s="31"/>
      <c r="JW111" s="31"/>
      <c r="JX111" s="31"/>
      <c r="JY111" s="31"/>
      <c r="JZ111" s="31"/>
      <c r="KA111" s="31"/>
      <c r="KB111" s="31"/>
      <c r="KC111" s="31"/>
      <c r="KD111" s="31"/>
      <c r="KE111" s="31"/>
      <c r="KF111" s="31"/>
      <c r="KG111" s="31"/>
      <c r="KH111" s="31"/>
      <c r="KI111" s="31"/>
      <c r="KJ111" s="31"/>
      <c r="KK111" s="31"/>
      <c r="KL111" s="31"/>
      <c r="KM111" s="31"/>
      <c r="KN111" s="31"/>
      <c r="KO111" s="31"/>
      <c r="KP111" s="31"/>
      <c r="KQ111" s="31"/>
      <c r="KR111" s="31"/>
      <c r="KS111" s="31"/>
      <c r="KT111" s="31"/>
      <c r="KU111" s="31"/>
      <c r="KV111" s="31"/>
      <c r="KW111" s="31"/>
      <c r="KX111" s="31"/>
      <c r="KY111" s="31"/>
      <c r="KZ111" s="31"/>
      <c r="LA111" s="31"/>
      <c r="LB111" s="31"/>
      <c r="LC111" s="31"/>
      <c r="LD111" s="31"/>
      <c r="LE111" s="31"/>
      <c r="LF111" s="31"/>
      <c r="LG111" s="31"/>
      <c r="LH111" s="31"/>
      <c r="LI111" s="31"/>
      <c r="LJ111" s="31"/>
      <c r="LK111" s="31"/>
      <c r="LL111" s="31"/>
      <c r="LM111" s="31"/>
      <c r="LN111" s="31"/>
      <c r="LO111" s="31"/>
      <c r="LP111" s="31"/>
      <c r="LQ111" s="31"/>
      <c r="LR111" s="31"/>
      <c r="LS111" s="31"/>
      <c r="LT111" s="31"/>
      <c r="LU111" s="31"/>
      <c r="LV111" s="31"/>
      <c r="LW111" s="31"/>
      <c r="LX111" s="31"/>
      <c r="LY111" s="31"/>
      <c r="LZ111" s="31"/>
      <c r="MA111" s="31"/>
      <c r="MB111" s="31"/>
      <c r="MC111" s="31"/>
      <c r="MD111" s="31"/>
      <c r="ME111" s="31"/>
      <c r="MF111" s="31"/>
      <c r="MG111" s="31"/>
      <c r="MH111" s="31"/>
      <c r="MI111" s="31"/>
      <c r="MJ111" s="31"/>
      <c r="MK111" s="31"/>
      <c r="ML111" s="31"/>
      <c r="MM111" s="31"/>
      <c r="MN111" s="31"/>
      <c r="MO111" s="31"/>
      <c r="MP111" s="31"/>
      <c r="MQ111" s="31"/>
      <c r="MR111" s="31"/>
      <c r="MS111" s="31"/>
      <c r="MT111" s="31"/>
      <c r="MU111" s="31"/>
      <c r="MV111" s="31"/>
      <c r="MW111" s="31"/>
      <c r="MX111" s="31"/>
      <c r="MY111" s="31"/>
      <c r="MZ111" s="31"/>
      <c r="NA111" s="31"/>
      <c r="NB111" s="31"/>
      <c r="NC111" s="31"/>
      <c r="ND111" s="31"/>
      <c r="NE111" s="31"/>
      <c r="NF111" s="31"/>
      <c r="NG111" s="31"/>
      <c r="NH111" s="31"/>
      <c r="NI111" s="31"/>
      <c r="NJ111" s="31"/>
      <c r="NK111" s="31"/>
      <c r="NL111" s="31"/>
      <c r="NM111" s="31"/>
      <c r="NN111" s="31"/>
      <c r="NO111" s="31"/>
      <c r="NP111" s="31"/>
      <c r="NQ111" s="31"/>
      <c r="NR111" s="31"/>
      <c r="NS111" s="31"/>
      <c r="NT111" s="31"/>
      <c r="NU111" s="31"/>
      <c r="NV111" s="31"/>
      <c r="NW111" s="31"/>
      <c r="NX111" s="31"/>
      <c r="NY111" s="31"/>
      <c r="NZ111" s="31"/>
      <c r="OA111" s="31"/>
      <c r="OB111" s="31"/>
      <c r="OC111" s="31"/>
      <c r="OD111" s="31"/>
      <c r="OE111" s="31"/>
      <c r="OF111" s="31"/>
      <c r="OG111" s="31"/>
      <c r="OH111" s="31"/>
      <c r="OI111" s="31"/>
      <c r="OJ111" s="31"/>
      <c r="OK111" s="31"/>
      <c r="OL111" s="31"/>
      <c r="OM111" s="31"/>
      <c r="ON111" s="31"/>
      <c r="OO111" s="31"/>
      <c r="OP111" s="31"/>
      <c r="OQ111" s="31"/>
      <c r="OR111" s="31"/>
      <c r="OS111" s="31"/>
      <c r="OT111" s="31"/>
      <c r="OU111" s="31"/>
      <c r="OV111" s="31"/>
      <c r="OW111" s="31"/>
      <c r="OX111" s="31"/>
    </row>
    <row r="112" spans="2:414" s="25" customFormat="1" ht="15.6">
      <c r="B112" s="25" t="s">
        <v>519</v>
      </c>
      <c r="C112" s="27" t="s">
        <v>520</v>
      </c>
      <c r="D112" s="30" t="s">
        <v>105</v>
      </c>
      <c r="G112" s="42">
        <v>500</v>
      </c>
      <c r="H112" s="89">
        <v>26.109000000000002</v>
      </c>
      <c r="I112" s="38">
        <f t="shared" si="31"/>
        <v>13054.5</v>
      </c>
      <c r="K112" s="42">
        <v>500</v>
      </c>
      <c r="L112" s="90">
        <v>26.849599999999999</v>
      </c>
      <c r="M112" s="38">
        <f t="shared" si="32"/>
        <v>13424.8</v>
      </c>
      <c r="O112" s="38">
        <v>80</v>
      </c>
      <c r="P112" s="38">
        <v>26.728300000000001</v>
      </c>
      <c r="Q112" s="38">
        <f t="shared" si="33"/>
        <v>2138.2640000000001</v>
      </c>
      <c r="R112" s="43">
        <f t="shared" si="48"/>
        <v>1080</v>
      </c>
      <c r="S112" s="38">
        <f t="shared" si="34"/>
        <v>28617.563999999998</v>
      </c>
      <c r="T112" s="49"/>
      <c r="U112" s="42"/>
      <c r="V112" s="38">
        <f t="shared" si="44"/>
        <v>0</v>
      </c>
      <c r="W112" s="42"/>
      <c r="X112" s="42"/>
      <c r="Y112" s="38">
        <f t="shared" si="43"/>
        <v>0</v>
      </c>
      <c r="Z112" s="42"/>
      <c r="AA112" s="42"/>
      <c r="AB112" s="42">
        <f t="shared" si="45"/>
        <v>0</v>
      </c>
      <c r="AD112" s="42"/>
      <c r="AE112" s="42"/>
      <c r="AF112" s="42">
        <f t="shared" si="46"/>
        <v>0</v>
      </c>
      <c r="AG112" s="42"/>
      <c r="AH112" s="42"/>
      <c r="AI112" s="42"/>
      <c r="AJ112" s="42">
        <f t="shared" si="47"/>
        <v>0</v>
      </c>
      <c r="AL112" s="42"/>
      <c r="AM112" s="42"/>
      <c r="AN112" s="42">
        <f t="shared" si="30"/>
        <v>0</v>
      </c>
      <c r="AO112" s="44"/>
      <c r="AP112" s="42"/>
      <c r="AQ112" s="42"/>
      <c r="AR112" s="42"/>
      <c r="AU112" s="98"/>
      <c r="AV112" s="35"/>
      <c r="AW112" s="104"/>
      <c r="AX112" s="42"/>
      <c r="AY112" s="42"/>
      <c r="AZ112" s="42">
        <f t="shared" si="27"/>
        <v>0</v>
      </c>
      <c r="BA112" s="42"/>
      <c r="BB112" s="42"/>
      <c r="BC112" s="42"/>
      <c r="BD112" s="38">
        <f t="shared" si="36"/>
        <v>0</v>
      </c>
      <c r="BE112" s="42"/>
      <c r="BF112" s="42"/>
      <c r="BG112" s="42"/>
      <c r="BH112" s="38">
        <f t="shared" si="37"/>
        <v>0</v>
      </c>
      <c r="BI112" s="42"/>
      <c r="BJ112" s="42"/>
      <c r="BK112" s="42"/>
      <c r="BL112" s="38">
        <f t="shared" si="38"/>
        <v>0</v>
      </c>
      <c r="BM112" s="42"/>
      <c r="BN112" s="42"/>
      <c r="BO112" s="42"/>
      <c r="BP112" s="42"/>
      <c r="BR112" s="42">
        <f t="shared" si="39"/>
        <v>0</v>
      </c>
      <c r="BS112" s="43">
        <f t="shared" si="40"/>
        <v>28617.563999999998</v>
      </c>
      <c r="BT112" s="42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  <c r="IM112" s="31"/>
      <c r="IN112" s="31"/>
      <c r="IO112" s="31"/>
      <c r="IP112" s="31"/>
      <c r="IQ112" s="31"/>
      <c r="IR112" s="31"/>
      <c r="IS112" s="31"/>
      <c r="IT112" s="31"/>
      <c r="IU112" s="31"/>
      <c r="IV112" s="31"/>
      <c r="IW112" s="31"/>
      <c r="IX112" s="31"/>
      <c r="IY112" s="31"/>
      <c r="IZ112" s="31"/>
      <c r="JA112" s="31"/>
      <c r="JB112" s="31"/>
      <c r="JC112" s="31"/>
      <c r="JD112" s="31"/>
      <c r="JE112" s="31"/>
      <c r="JF112" s="31"/>
      <c r="JG112" s="31"/>
      <c r="JH112" s="31"/>
      <c r="JI112" s="31"/>
      <c r="JJ112" s="31"/>
      <c r="JK112" s="31"/>
      <c r="JL112" s="31"/>
      <c r="JM112" s="31"/>
      <c r="JN112" s="31"/>
      <c r="JO112" s="31"/>
      <c r="JP112" s="31"/>
      <c r="JQ112" s="31"/>
      <c r="JR112" s="31"/>
      <c r="JS112" s="31"/>
      <c r="JT112" s="31"/>
      <c r="JU112" s="31"/>
      <c r="JV112" s="31"/>
      <c r="JW112" s="31"/>
      <c r="JX112" s="31"/>
      <c r="JY112" s="31"/>
      <c r="JZ112" s="31"/>
      <c r="KA112" s="31"/>
      <c r="KB112" s="31"/>
      <c r="KC112" s="31"/>
      <c r="KD112" s="31"/>
      <c r="KE112" s="31"/>
      <c r="KF112" s="31"/>
      <c r="KG112" s="31"/>
      <c r="KH112" s="31"/>
      <c r="KI112" s="31"/>
      <c r="KJ112" s="31"/>
      <c r="KK112" s="31"/>
      <c r="KL112" s="31"/>
      <c r="KM112" s="31"/>
      <c r="KN112" s="31"/>
      <c r="KO112" s="31"/>
      <c r="KP112" s="31"/>
      <c r="KQ112" s="31"/>
      <c r="KR112" s="31"/>
      <c r="KS112" s="31"/>
      <c r="KT112" s="31"/>
      <c r="KU112" s="31"/>
      <c r="KV112" s="31"/>
      <c r="KW112" s="31"/>
      <c r="KX112" s="31"/>
      <c r="KY112" s="31"/>
      <c r="KZ112" s="31"/>
      <c r="LA112" s="31"/>
      <c r="LB112" s="31"/>
      <c r="LC112" s="31"/>
      <c r="LD112" s="31"/>
      <c r="LE112" s="31"/>
      <c r="LF112" s="31"/>
      <c r="LG112" s="31"/>
      <c r="LH112" s="31"/>
      <c r="LI112" s="31"/>
      <c r="LJ112" s="31"/>
      <c r="LK112" s="31"/>
      <c r="LL112" s="31"/>
      <c r="LM112" s="31"/>
      <c r="LN112" s="31"/>
      <c r="LO112" s="31"/>
      <c r="LP112" s="31"/>
      <c r="LQ112" s="31"/>
      <c r="LR112" s="31"/>
      <c r="LS112" s="31"/>
      <c r="LT112" s="31"/>
      <c r="LU112" s="31"/>
      <c r="LV112" s="31"/>
      <c r="LW112" s="31"/>
      <c r="LX112" s="31"/>
      <c r="LY112" s="31"/>
      <c r="LZ112" s="31"/>
      <c r="MA112" s="31"/>
      <c r="MB112" s="31"/>
      <c r="MC112" s="31"/>
      <c r="MD112" s="31"/>
      <c r="ME112" s="31"/>
      <c r="MF112" s="31"/>
      <c r="MG112" s="31"/>
      <c r="MH112" s="31"/>
      <c r="MI112" s="31"/>
      <c r="MJ112" s="31"/>
      <c r="MK112" s="31"/>
      <c r="ML112" s="31"/>
      <c r="MM112" s="31"/>
      <c r="MN112" s="31"/>
      <c r="MO112" s="31"/>
      <c r="MP112" s="31"/>
      <c r="MQ112" s="31"/>
      <c r="MR112" s="31"/>
      <c r="MS112" s="31"/>
      <c r="MT112" s="31"/>
      <c r="MU112" s="31"/>
      <c r="MV112" s="31"/>
      <c r="MW112" s="31"/>
      <c r="MX112" s="31"/>
      <c r="MY112" s="31"/>
      <c r="MZ112" s="31"/>
      <c r="NA112" s="31"/>
      <c r="NB112" s="31"/>
      <c r="NC112" s="31"/>
      <c r="ND112" s="31"/>
      <c r="NE112" s="31"/>
      <c r="NF112" s="31"/>
      <c r="NG112" s="31"/>
      <c r="NH112" s="31"/>
      <c r="NI112" s="31"/>
      <c r="NJ112" s="31"/>
      <c r="NK112" s="31"/>
      <c r="NL112" s="31"/>
      <c r="NM112" s="31"/>
      <c r="NN112" s="31"/>
      <c r="NO112" s="31"/>
      <c r="NP112" s="31"/>
      <c r="NQ112" s="31"/>
      <c r="NR112" s="31"/>
      <c r="NS112" s="31"/>
      <c r="NT112" s="31"/>
      <c r="NU112" s="31"/>
      <c r="NV112" s="31"/>
      <c r="NW112" s="31"/>
      <c r="NX112" s="31"/>
      <c r="NY112" s="31"/>
      <c r="NZ112" s="31"/>
      <c r="OA112" s="31"/>
      <c r="OB112" s="31"/>
      <c r="OC112" s="31"/>
      <c r="OD112" s="31"/>
      <c r="OE112" s="31"/>
      <c r="OF112" s="31"/>
      <c r="OG112" s="31"/>
      <c r="OH112" s="31"/>
      <c r="OI112" s="31"/>
      <c r="OJ112" s="31"/>
      <c r="OK112" s="31"/>
      <c r="OL112" s="31"/>
      <c r="OM112" s="31"/>
      <c r="ON112" s="31"/>
      <c r="OO112" s="31"/>
      <c r="OP112" s="31"/>
      <c r="OQ112" s="31"/>
      <c r="OR112" s="31"/>
      <c r="OS112" s="31"/>
      <c r="OT112" s="31"/>
      <c r="OU112" s="31"/>
      <c r="OV112" s="31"/>
      <c r="OW112" s="31"/>
      <c r="OX112" s="31"/>
    </row>
    <row r="113" spans="2:414" s="25" customFormat="1" ht="15.6">
      <c r="B113" s="25" t="s">
        <v>521</v>
      </c>
      <c r="C113" s="27" t="s">
        <v>522</v>
      </c>
      <c r="D113" s="30" t="s">
        <v>105</v>
      </c>
      <c r="G113" s="42">
        <v>500</v>
      </c>
      <c r="H113" s="89">
        <v>26.109000000000002</v>
      </c>
      <c r="I113" s="38">
        <f t="shared" si="31"/>
        <v>13054.5</v>
      </c>
      <c r="K113" s="42">
        <v>500</v>
      </c>
      <c r="L113" s="90">
        <v>26.849599999999999</v>
      </c>
      <c r="M113" s="38">
        <f t="shared" si="32"/>
        <v>13424.8</v>
      </c>
      <c r="O113" s="38">
        <v>80</v>
      </c>
      <c r="P113" s="38">
        <v>26.728300000000001</v>
      </c>
      <c r="Q113" s="38">
        <f t="shared" si="33"/>
        <v>2138.2640000000001</v>
      </c>
      <c r="R113" s="43">
        <f t="shared" si="48"/>
        <v>1080</v>
      </c>
      <c r="S113" s="38">
        <f t="shared" si="34"/>
        <v>28617.563999999998</v>
      </c>
      <c r="T113" s="49">
        <v>415</v>
      </c>
      <c r="U113" s="42">
        <v>26.713999999999999</v>
      </c>
      <c r="V113" s="38">
        <f t="shared" si="44"/>
        <v>11086.31</v>
      </c>
      <c r="W113" s="42">
        <v>85</v>
      </c>
      <c r="X113" s="42">
        <v>26.713999999999999</v>
      </c>
      <c r="Y113" s="38">
        <f t="shared" si="43"/>
        <v>2270.69</v>
      </c>
      <c r="Z113" s="42"/>
      <c r="AA113" s="42"/>
      <c r="AB113" s="42">
        <f t="shared" si="45"/>
        <v>0</v>
      </c>
      <c r="AD113" s="42"/>
      <c r="AE113" s="42"/>
      <c r="AF113" s="42">
        <f t="shared" si="46"/>
        <v>0</v>
      </c>
      <c r="AG113" s="42"/>
      <c r="AH113" s="42"/>
      <c r="AI113" s="42"/>
      <c r="AJ113" s="42">
        <f t="shared" si="47"/>
        <v>0</v>
      </c>
      <c r="AL113" s="42"/>
      <c r="AM113" s="42"/>
      <c r="AN113" s="42">
        <f t="shared" si="30"/>
        <v>0</v>
      </c>
      <c r="AO113" s="44"/>
      <c r="AP113" s="42"/>
      <c r="AQ113" s="42"/>
      <c r="AR113" s="42"/>
      <c r="AU113" s="98"/>
      <c r="AV113" s="35"/>
      <c r="AW113" s="104"/>
      <c r="AX113" s="42"/>
      <c r="AY113" s="42"/>
      <c r="AZ113" s="42">
        <f t="shared" si="27"/>
        <v>0</v>
      </c>
      <c r="BA113" s="42"/>
      <c r="BB113" s="42"/>
      <c r="BC113" s="42"/>
      <c r="BD113" s="38">
        <f t="shared" si="36"/>
        <v>0</v>
      </c>
      <c r="BE113" s="42"/>
      <c r="BF113" s="42"/>
      <c r="BG113" s="42"/>
      <c r="BH113" s="38">
        <f t="shared" si="37"/>
        <v>0</v>
      </c>
      <c r="BI113" s="42"/>
      <c r="BJ113" s="42"/>
      <c r="BK113" s="42"/>
      <c r="BL113" s="38">
        <f t="shared" si="38"/>
        <v>0</v>
      </c>
      <c r="BM113" s="42"/>
      <c r="BN113" s="42"/>
      <c r="BO113" s="42"/>
      <c r="BP113" s="42"/>
      <c r="BR113" s="42">
        <f t="shared" si="39"/>
        <v>13357</v>
      </c>
      <c r="BS113" s="43">
        <f t="shared" si="40"/>
        <v>15260.563999999998</v>
      </c>
      <c r="BT113" s="42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  <c r="JH113" s="31"/>
      <c r="JI113" s="31"/>
      <c r="JJ113" s="31"/>
      <c r="JK113" s="31"/>
      <c r="JL113" s="31"/>
      <c r="JM113" s="31"/>
      <c r="JN113" s="31"/>
      <c r="JO113" s="31"/>
      <c r="JP113" s="31"/>
      <c r="JQ113" s="31"/>
      <c r="JR113" s="31"/>
      <c r="JS113" s="31"/>
      <c r="JT113" s="31"/>
      <c r="JU113" s="31"/>
      <c r="JV113" s="31"/>
      <c r="JW113" s="31"/>
      <c r="JX113" s="31"/>
      <c r="JY113" s="31"/>
      <c r="JZ113" s="31"/>
      <c r="KA113" s="31"/>
      <c r="KB113" s="31"/>
      <c r="KC113" s="31"/>
      <c r="KD113" s="31"/>
      <c r="KE113" s="31"/>
      <c r="KF113" s="31"/>
      <c r="KG113" s="31"/>
      <c r="KH113" s="31"/>
      <c r="KI113" s="31"/>
      <c r="KJ113" s="31"/>
      <c r="KK113" s="31"/>
      <c r="KL113" s="31"/>
      <c r="KM113" s="31"/>
      <c r="KN113" s="31"/>
      <c r="KO113" s="31"/>
      <c r="KP113" s="31"/>
      <c r="KQ113" s="31"/>
      <c r="KR113" s="31"/>
      <c r="KS113" s="31"/>
      <c r="KT113" s="31"/>
      <c r="KU113" s="31"/>
      <c r="KV113" s="31"/>
      <c r="KW113" s="31"/>
      <c r="KX113" s="31"/>
      <c r="KY113" s="31"/>
      <c r="KZ113" s="31"/>
      <c r="LA113" s="31"/>
      <c r="LB113" s="31"/>
      <c r="LC113" s="31"/>
      <c r="LD113" s="31"/>
      <c r="LE113" s="31"/>
      <c r="LF113" s="31"/>
      <c r="LG113" s="31"/>
      <c r="LH113" s="31"/>
      <c r="LI113" s="31"/>
      <c r="LJ113" s="31"/>
      <c r="LK113" s="31"/>
      <c r="LL113" s="31"/>
      <c r="LM113" s="31"/>
      <c r="LN113" s="31"/>
      <c r="LO113" s="31"/>
      <c r="LP113" s="31"/>
      <c r="LQ113" s="31"/>
      <c r="LR113" s="31"/>
      <c r="LS113" s="31"/>
      <c r="LT113" s="31"/>
      <c r="LU113" s="31"/>
      <c r="LV113" s="31"/>
      <c r="LW113" s="31"/>
      <c r="LX113" s="31"/>
      <c r="LY113" s="31"/>
      <c r="LZ113" s="31"/>
      <c r="MA113" s="31"/>
      <c r="MB113" s="31"/>
      <c r="MC113" s="31"/>
      <c r="MD113" s="31"/>
      <c r="ME113" s="31"/>
      <c r="MF113" s="31"/>
      <c r="MG113" s="31"/>
      <c r="MH113" s="31"/>
      <c r="MI113" s="31"/>
      <c r="MJ113" s="31"/>
      <c r="MK113" s="31"/>
      <c r="ML113" s="31"/>
      <c r="MM113" s="31"/>
      <c r="MN113" s="31"/>
      <c r="MO113" s="31"/>
      <c r="MP113" s="31"/>
      <c r="MQ113" s="31"/>
      <c r="MR113" s="31"/>
      <c r="MS113" s="31"/>
      <c r="MT113" s="31"/>
      <c r="MU113" s="31"/>
      <c r="MV113" s="31"/>
      <c r="MW113" s="31"/>
      <c r="MX113" s="31"/>
      <c r="MY113" s="31"/>
      <c r="MZ113" s="31"/>
      <c r="NA113" s="31"/>
      <c r="NB113" s="31"/>
      <c r="NC113" s="31"/>
      <c r="ND113" s="31"/>
      <c r="NE113" s="31"/>
      <c r="NF113" s="31"/>
      <c r="NG113" s="31"/>
      <c r="NH113" s="31"/>
      <c r="NI113" s="31"/>
      <c r="NJ113" s="31"/>
      <c r="NK113" s="31"/>
      <c r="NL113" s="31"/>
      <c r="NM113" s="31"/>
      <c r="NN113" s="31"/>
      <c r="NO113" s="31"/>
      <c r="NP113" s="31"/>
      <c r="NQ113" s="31"/>
      <c r="NR113" s="31"/>
      <c r="NS113" s="31"/>
      <c r="NT113" s="31"/>
      <c r="NU113" s="31"/>
      <c r="NV113" s="31"/>
      <c r="NW113" s="31"/>
      <c r="NX113" s="31"/>
      <c r="NY113" s="31"/>
      <c r="NZ113" s="31"/>
      <c r="OA113" s="31"/>
      <c r="OB113" s="31"/>
      <c r="OC113" s="31"/>
      <c r="OD113" s="31"/>
      <c r="OE113" s="31"/>
      <c r="OF113" s="31"/>
      <c r="OG113" s="31"/>
      <c r="OH113" s="31"/>
      <c r="OI113" s="31"/>
      <c r="OJ113" s="31"/>
      <c r="OK113" s="31"/>
      <c r="OL113" s="31"/>
      <c r="OM113" s="31"/>
      <c r="ON113" s="31"/>
      <c r="OO113" s="31"/>
      <c r="OP113" s="31"/>
      <c r="OQ113" s="31"/>
      <c r="OR113" s="31"/>
      <c r="OS113" s="31"/>
      <c r="OT113" s="31"/>
      <c r="OU113" s="31"/>
      <c r="OV113" s="31"/>
      <c r="OW113" s="31"/>
      <c r="OX113" s="31"/>
    </row>
    <row r="114" spans="2:414" s="25" customFormat="1" ht="15.6">
      <c r="B114" s="25" t="s">
        <v>523</v>
      </c>
      <c r="C114" s="27" t="s">
        <v>524</v>
      </c>
      <c r="D114" s="30" t="s">
        <v>105</v>
      </c>
      <c r="G114" s="42">
        <v>500</v>
      </c>
      <c r="H114" s="89">
        <v>26.109000000000002</v>
      </c>
      <c r="I114" s="38">
        <f t="shared" si="31"/>
        <v>13054.5</v>
      </c>
      <c r="K114" s="42">
        <v>500</v>
      </c>
      <c r="L114" s="90">
        <v>26.849599999999999</v>
      </c>
      <c r="M114" s="38">
        <f t="shared" si="32"/>
        <v>13424.8</v>
      </c>
      <c r="O114" s="38">
        <v>80</v>
      </c>
      <c r="P114" s="38">
        <v>26.728300000000001</v>
      </c>
      <c r="Q114" s="38">
        <f t="shared" si="33"/>
        <v>2138.2640000000001</v>
      </c>
      <c r="R114" s="43">
        <f t="shared" si="48"/>
        <v>1080</v>
      </c>
      <c r="S114" s="38">
        <f t="shared" si="34"/>
        <v>28617.563999999998</v>
      </c>
      <c r="T114" s="49">
        <v>415</v>
      </c>
      <c r="U114" s="42">
        <v>26.856000000000002</v>
      </c>
      <c r="V114" s="38">
        <f t="shared" si="44"/>
        <v>11145.24</v>
      </c>
      <c r="W114" s="42">
        <v>85</v>
      </c>
      <c r="X114" s="42">
        <v>26.856000000000002</v>
      </c>
      <c r="Y114" s="38">
        <f t="shared" si="43"/>
        <v>2282.7600000000002</v>
      </c>
      <c r="Z114" s="42">
        <v>315</v>
      </c>
      <c r="AA114" s="42">
        <v>26.5715</v>
      </c>
      <c r="AB114" s="42">
        <f t="shared" si="45"/>
        <v>8370.0225000000009</v>
      </c>
      <c r="AD114" s="42">
        <v>100</v>
      </c>
      <c r="AE114" s="42">
        <v>26.5715</v>
      </c>
      <c r="AF114" s="42">
        <f t="shared" si="46"/>
        <v>2657.15</v>
      </c>
      <c r="AG114" s="42"/>
      <c r="AH114" s="42">
        <v>85</v>
      </c>
      <c r="AI114" s="42">
        <v>26.5715</v>
      </c>
      <c r="AJ114" s="42">
        <f t="shared" si="47"/>
        <v>2258.5774999999999</v>
      </c>
      <c r="AL114" s="42"/>
      <c r="AM114" s="42"/>
      <c r="AN114" s="42">
        <f t="shared" si="30"/>
        <v>0</v>
      </c>
      <c r="AO114" s="44"/>
      <c r="AP114" s="42"/>
      <c r="AQ114" s="42"/>
      <c r="AR114" s="42"/>
      <c r="AU114" s="98"/>
      <c r="AV114" s="35"/>
      <c r="AW114" s="104"/>
      <c r="AX114" s="42"/>
      <c r="AY114" s="42"/>
      <c r="AZ114" s="42">
        <f t="shared" si="27"/>
        <v>0</v>
      </c>
      <c r="BA114" s="42"/>
      <c r="BB114" s="42"/>
      <c r="BC114" s="42"/>
      <c r="BD114" s="38">
        <f t="shared" si="36"/>
        <v>0</v>
      </c>
      <c r="BE114" s="42"/>
      <c r="BF114" s="42"/>
      <c r="BG114" s="42"/>
      <c r="BH114" s="38">
        <f t="shared" si="37"/>
        <v>0</v>
      </c>
      <c r="BI114" s="42"/>
      <c r="BJ114" s="42"/>
      <c r="BK114" s="42"/>
      <c r="BL114" s="38">
        <f t="shared" si="38"/>
        <v>0</v>
      </c>
      <c r="BM114" s="42"/>
      <c r="BN114" s="42"/>
      <c r="BO114" s="42"/>
      <c r="BP114" s="42"/>
      <c r="BR114" s="42">
        <f t="shared" si="39"/>
        <v>26713.75</v>
      </c>
      <c r="BS114" s="43">
        <f t="shared" si="40"/>
        <v>1903.8139999999985</v>
      </c>
      <c r="BT114" s="42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  <c r="IM114" s="31"/>
      <c r="IN114" s="31"/>
      <c r="IO114" s="31"/>
      <c r="IP114" s="31"/>
      <c r="IQ114" s="31"/>
      <c r="IR114" s="31"/>
      <c r="IS114" s="31"/>
      <c r="IT114" s="31"/>
      <c r="IU114" s="31"/>
      <c r="IV114" s="31"/>
      <c r="IW114" s="31"/>
      <c r="IX114" s="31"/>
      <c r="IY114" s="31"/>
      <c r="IZ114" s="31"/>
      <c r="JA114" s="31"/>
      <c r="JB114" s="31"/>
      <c r="JC114" s="31"/>
      <c r="JD114" s="31"/>
      <c r="JE114" s="31"/>
      <c r="JF114" s="31"/>
      <c r="JG114" s="31"/>
      <c r="JH114" s="31"/>
      <c r="JI114" s="31"/>
      <c r="JJ114" s="31"/>
      <c r="JK114" s="31"/>
      <c r="JL114" s="31"/>
      <c r="JM114" s="31"/>
      <c r="JN114" s="31"/>
      <c r="JO114" s="31"/>
      <c r="JP114" s="31"/>
      <c r="JQ114" s="31"/>
      <c r="JR114" s="31"/>
      <c r="JS114" s="31"/>
      <c r="JT114" s="31"/>
      <c r="JU114" s="31"/>
      <c r="JV114" s="31"/>
      <c r="JW114" s="31"/>
      <c r="JX114" s="31"/>
      <c r="JY114" s="31"/>
      <c r="JZ114" s="31"/>
      <c r="KA114" s="31"/>
      <c r="KB114" s="31"/>
      <c r="KC114" s="31"/>
      <c r="KD114" s="31"/>
      <c r="KE114" s="31"/>
      <c r="KF114" s="31"/>
      <c r="KG114" s="31"/>
      <c r="KH114" s="31"/>
      <c r="KI114" s="31"/>
      <c r="KJ114" s="31"/>
      <c r="KK114" s="31"/>
      <c r="KL114" s="31"/>
      <c r="KM114" s="31"/>
      <c r="KN114" s="31"/>
      <c r="KO114" s="31"/>
      <c r="KP114" s="31"/>
      <c r="KQ114" s="31"/>
      <c r="KR114" s="31"/>
      <c r="KS114" s="31"/>
      <c r="KT114" s="31"/>
      <c r="KU114" s="31"/>
      <c r="KV114" s="31"/>
      <c r="KW114" s="31"/>
      <c r="KX114" s="31"/>
      <c r="KY114" s="31"/>
      <c r="KZ114" s="31"/>
      <c r="LA114" s="31"/>
      <c r="LB114" s="31"/>
      <c r="LC114" s="31"/>
      <c r="LD114" s="31"/>
      <c r="LE114" s="31"/>
      <c r="LF114" s="31"/>
      <c r="LG114" s="31"/>
      <c r="LH114" s="31"/>
      <c r="LI114" s="31"/>
      <c r="LJ114" s="31"/>
      <c r="LK114" s="31"/>
      <c r="LL114" s="31"/>
      <c r="LM114" s="31"/>
      <c r="LN114" s="31"/>
      <c r="LO114" s="31"/>
      <c r="LP114" s="31"/>
      <c r="LQ114" s="31"/>
      <c r="LR114" s="31"/>
      <c r="LS114" s="31"/>
      <c r="LT114" s="31"/>
      <c r="LU114" s="31"/>
      <c r="LV114" s="31"/>
      <c r="LW114" s="31"/>
      <c r="LX114" s="31"/>
      <c r="LY114" s="31"/>
      <c r="LZ114" s="31"/>
      <c r="MA114" s="31"/>
      <c r="MB114" s="31"/>
      <c r="MC114" s="31"/>
      <c r="MD114" s="31"/>
      <c r="ME114" s="31"/>
      <c r="MF114" s="31"/>
      <c r="MG114" s="31"/>
      <c r="MH114" s="31"/>
      <c r="MI114" s="31"/>
      <c r="MJ114" s="31"/>
      <c r="MK114" s="31"/>
      <c r="ML114" s="31"/>
      <c r="MM114" s="31"/>
      <c r="MN114" s="31"/>
      <c r="MO114" s="31"/>
      <c r="MP114" s="31"/>
      <c r="MQ114" s="31"/>
      <c r="MR114" s="31"/>
      <c r="MS114" s="31"/>
      <c r="MT114" s="31"/>
      <c r="MU114" s="31"/>
      <c r="MV114" s="31"/>
      <c r="MW114" s="31"/>
      <c r="MX114" s="31"/>
      <c r="MY114" s="31"/>
      <c r="MZ114" s="31"/>
      <c r="NA114" s="31"/>
      <c r="NB114" s="31"/>
      <c r="NC114" s="31"/>
      <c r="ND114" s="31"/>
      <c r="NE114" s="31"/>
      <c r="NF114" s="31"/>
      <c r="NG114" s="31"/>
      <c r="NH114" s="31"/>
      <c r="NI114" s="31"/>
      <c r="NJ114" s="31"/>
      <c r="NK114" s="31"/>
      <c r="NL114" s="31"/>
      <c r="NM114" s="31"/>
      <c r="NN114" s="31"/>
      <c r="NO114" s="31"/>
      <c r="NP114" s="31"/>
      <c r="NQ114" s="31"/>
      <c r="NR114" s="31"/>
      <c r="NS114" s="31"/>
      <c r="NT114" s="31"/>
      <c r="NU114" s="31"/>
      <c r="NV114" s="31"/>
      <c r="NW114" s="31"/>
      <c r="NX114" s="31"/>
      <c r="NY114" s="31"/>
      <c r="NZ114" s="31"/>
      <c r="OA114" s="31"/>
      <c r="OB114" s="31"/>
      <c r="OC114" s="31"/>
      <c r="OD114" s="31"/>
      <c r="OE114" s="31"/>
      <c r="OF114" s="31"/>
      <c r="OG114" s="31"/>
      <c r="OH114" s="31"/>
      <c r="OI114" s="31"/>
      <c r="OJ114" s="31"/>
      <c r="OK114" s="31"/>
      <c r="OL114" s="31"/>
      <c r="OM114" s="31"/>
      <c r="ON114" s="31"/>
      <c r="OO114" s="31"/>
      <c r="OP114" s="31"/>
      <c r="OQ114" s="31"/>
      <c r="OR114" s="31"/>
      <c r="OS114" s="31"/>
      <c r="OT114" s="31"/>
      <c r="OU114" s="31"/>
      <c r="OV114" s="31"/>
      <c r="OW114" s="31"/>
      <c r="OX114" s="31"/>
    </row>
    <row r="115" spans="2:414" s="25" customFormat="1" ht="15.6">
      <c r="B115" s="25" t="s">
        <v>525</v>
      </c>
      <c r="C115" s="27" t="s">
        <v>142</v>
      </c>
      <c r="D115" s="30" t="s">
        <v>105</v>
      </c>
      <c r="G115" s="42">
        <v>500</v>
      </c>
      <c r="H115" s="89">
        <v>26.109000000000002</v>
      </c>
      <c r="I115" s="38">
        <f t="shared" si="31"/>
        <v>13054.5</v>
      </c>
      <c r="K115" s="42">
        <v>500</v>
      </c>
      <c r="L115" s="90">
        <v>26.849599999999999</v>
      </c>
      <c r="M115" s="38">
        <f t="shared" si="32"/>
        <v>13424.8</v>
      </c>
      <c r="O115" s="38">
        <v>80</v>
      </c>
      <c r="P115" s="38">
        <v>26.728300000000001</v>
      </c>
      <c r="Q115" s="38">
        <f t="shared" si="33"/>
        <v>2138.2640000000001</v>
      </c>
      <c r="R115" s="43">
        <f t="shared" si="48"/>
        <v>1080</v>
      </c>
      <c r="S115" s="38">
        <f t="shared" si="34"/>
        <v>28617.563999999998</v>
      </c>
      <c r="T115" s="49">
        <v>200</v>
      </c>
      <c r="U115" s="42">
        <v>26.8401</v>
      </c>
      <c r="V115" s="38">
        <f t="shared" si="44"/>
        <v>5368.0199999999995</v>
      </c>
      <c r="W115" s="42">
        <v>85</v>
      </c>
      <c r="X115" s="42">
        <v>26.8401</v>
      </c>
      <c r="Y115" s="38">
        <f t="shared" si="43"/>
        <v>2281.4085</v>
      </c>
      <c r="Z115" s="42">
        <v>100</v>
      </c>
      <c r="AA115" s="42">
        <v>26.9239</v>
      </c>
      <c r="AB115" s="42">
        <f t="shared" si="45"/>
        <v>2692.39</v>
      </c>
      <c r="AD115" s="42">
        <v>115</v>
      </c>
      <c r="AE115" s="42">
        <v>26.991800000000001</v>
      </c>
      <c r="AF115" s="42">
        <f t="shared" si="46"/>
        <v>3104.0570000000002</v>
      </c>
      <c r="AG115" s="42"/>
      <c r="AH115" s="42">
        <v>315</v>
      </c>
      <c r="AI115" s="42">
        <v>26.754799999999999</v>
      </c>
      <c r="AJ115" s="42">
        <f t="shared" si="47"/>
        <v>8427.7620000000006</v>
      </c>
      <c r="AL115" s="42">
        <v>85</v>
      </c>
      <c r="AM115" s="42">
        <v>26.754799999999999</v>
      </c>
      <c r="AN115" s="42">
        <f t="shared" si="30"/>
        <v>2274.1579999999999</v>
      </c>
      <c r="AO115" s="44"/>
      <c r="AP115" s="42">
        <v>105</v>
      </c>
      <c r="AQ115" s="42">
        <v>26.754799999999999</v>
      </c>
      <c r="AR115" s="42"/>
      <c r="AU115" s="98"/>
      <c r="AV115" s="35"/>
      <c r="AW115" s="104"/>
      <c r="AX115" s="42"/>
      <c r="AY115" s="42"/>
      <c r="AZ115" s="42">
        <f t="shared" si="27"/>
        <v>0</v>
      </c>
      <c r="BA115" s="42"/>
      <c r="BB115" s="42"/>
      <c r="BC115" s="42"/>
      <c r="BD115" s="38">
        <f t="shared" si="36"/>
        <v>0</v>
      </c>
      <c r="BE115" s="42"/>
      <c r="BF115" s="42"/>
      <c r="BG115" s="42"/>
      <c r="BH115" s="38">
        <f t="shared" si="37"/>
        <v>0</v>
      </c>
      <c r="BI115" s="42"/>
      <c r="BJ115" s="42"/>
      <c r="BK115" s="42"/>
      <c r="BL115" s="38">
        <f t="shared" si="38"/>
        <v>0</v>
      </c>
      <c r="BM115" s="42"/>
      <c r="BN115" s="42"/>
      <c r="BO115" s="42"/>
      <c r="BP115" s="42"/>
      <c r="BR115" s="42">
        <f t="shared" si="39"/>
        <v>24147.7955</v>
      </c>
      <c r="BS115" s="43">
        <f t="shared" si="40"/>
        <v>4469.7684999999983</v>
      </c>
      <c r="BT115" s="42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  <c r="IM115" s="31"/>
      <c r="IN115" s="31"/>
      <c r="IO115" s="31"/>
      <c r="IP115" s="31"/>
      <c r="IQ115" s="31"/>
      <c r="IR115" s="31"/>
      <c r="IS115" s="31"/>
      <c r="IT115" s="31"/>
      <c r="IU115" s="31"/>
      <c r="IV115" s="31"/>
      <c r="IW115" s="31"/>
      <c r="IX115" s="31"/>
      <c r="IY115" s="31"/>
      <c r="IZ115" s="31"/>
      <c r="JA115" s="31"/>
      <c r="JB115" s="31"/>
      <c r="JC115" s="31"/>
      <c r="JD115" s="31"/>
      <c r="JE115" s="31"/>
      <c r="JF115" s="31"/>
      <c r="JG115" s="31"/>
      <c r="JH115" s="31"/>
      <c r="JI115" s="31"/>
      <c r="JJ115" s="31"/>
      <c r="JK115" s="31"/>
      <c r="JL115" s="31"/>
      <c r="JM115" s="31"/>
      <c r="JN115" s="31"/>
      <c r="JO115" s="31"/>
      <c r="JP115" s="31"/>
      <c r="JQ115" s="31"/>
      <c r="JR115" s="31"/>
      <c r="JS115" s="31"/>
      <c r="JT115" s="31"/>
      <c r="JU115" s="31"/>
      <c r="JV115" s="31"/>
      <c r="JW115" s="31"/>
      <c r="JX115" s="31"/>
      <c r="JY115" s="31"/>
      <c r="JZ115" s="31"/>
      <c r="KA115" s="31"/>
      <c r="KB115" s="31"/>
      <c r="KC115" s="31"/>
      <c r="KD115" s="31"/>
      <c r="KE115" s="31"/>
      <c r="KF115" s="31"/>
      <c r="KG115" s="31"/>
      <c r="KH115" s="31"/>
      <c r="KI115" s="31"/>
      <c r="KJ115" s="31"/>
      <c r="KK115" s="31"/>
      <c r="KL115" s="31"/>
      <c r="KM115" s="31"/>
      <c r="KN115" s="31"/>
      <c r="KO115" s="31"/>
      <c r="KP115" s="31"/>
      <c r="KQ115" s="31"/>
      <c r="KR115" s="31"/>
      <c r="KS115" s="31"/>
      <c r="KT115" s="31"/>
      <c r="KU115" s="31"/>
      <c r="KV115" s="31"/>
      <c r="KW115" s="31"/>
      <c r="KX115" s="31"/>
      <c r="KY115" s="31"/>
      <c r="KZ115" s="31"/>
      <c r="LA115" s="31"/>
      <c r="LB115" s="31"/>
      <c r="LC115" s="31"/>
      <c r="LD115" s="31"/>
      <c r="LE115" s="31"/>
      <c r="LF115" s="31"/>
      <c r="LG115" s="31"/>
      <c r="LH115" s="31"/>
      <c r="LI115" s="31"/>
      <c r="LJ115" s="31"/>
      <c r="LK115" s="31"/>
      <c r="LL115" s="31"/>
      <c r="LM115" s="31"/>
      <c r="LN115" s="31"/>
      <c r="LO115" s="31"/>
      <c r="LP115" s="31"/>
      <c r="LQ115" s="31"/>
      <c r="LR115" s="31"/>
      <c r="LS115" s="31"/>
      <c r="LT115" s="31"/>
      <c r="LU115" s="31"/>
      <c r="LV115" s="31"/>
      <c r="LW115" s="31"/>
      <c r="LX115" s="31"/>
      <c r="LY115" s="31"/>
      <c r="LZ115" s="31"/>
      <c r="MA115" s="31"/>
      <c r="MB115" s="31"/>
      <c r="MC115" s="31"/>
      <c r="MD115" s="31"/>
      <c r="ME115" s="31"/>
      <c r="MF115" s="31"/>
      <c r="MG115" s="31"/>
      <c r="MH115" s="31"/>
      <c r="MI115" s="31"/>
      <c r="MJ115" s="31"/>
      <c r="MK115" s="31"/>
      <c r="ML115" s="31"/>
      <c r="MM115" s="31"/>
      <c r="MN115" s="31"/>
      <c r="MO115" s="31"/>
      <c r="MP115" s="31"/>
      <c r="MQ115" s="31"/>
      <c r="MR115" s="31"/>
      <c r="MS115" s="31"/>
      <c r="MT115" s="31"/>
      <c r="MU115" s="31"/>
      <c r="MV115" s="31"/>
      <c r="MW115" s="31"/>
      <c r="MX115" s="31"/>
      <c r="MY115" s="31"/>
      <c r="MZ115" s="31"/>
      <c r="NA115" s="31"/>
      <c r="NB115" s="31"/>
      <c r="NC115" s="31"/>
      <c r="ND115" s="31"/>
      <c r="NE115" s="31"/>
      <c r="NF115" s="31"/>
      <c r="NG115" s="31"/>
      <c r="NH115" s="31"/>
      <c r="NI115" s="31"/>
      <c r="NJ115" s="31"/>
      <c r="NK115" s="31"/>
      <c r="NL115" s="31"/>
      <c r="NM115" s="31"/>
      <c r="NN115" s="31"/>
      <c r="NO115" s="31"/>
      <c r="NP115" s="31"/>
      <c r="NQ115" s="31"/>
      <c r="NR115" s="31"/>
      <c r="NS115" s="31"/>
      <c r="NT115" s="31"/>
      <c r="NU115" s="31"/>
      <c r="NV115" s="31"/>
      <c r="NW115" s="31"/>
      <c r="NX115" s="31"/>
      <c r="NY115" s="31"/>
      <c r="NZ115" s="31"/>
      <c r="OA115" s="31"/>
      <c r="OB115" s="31"/>
      <c r="OC115" s="31"/>
      <c r="OD115" s="31"/>
      <c r="OE115" s="31"/>
      <c r="OF115" s="31"/>
      <c r="OG115" s="31"/>
      <c r="OH115" s="31"/>
      <c r="OI115" s="31"/>
      <c r="OJ115" s="31"/>
      <c r="OK115" s="31"/>
      <c r="OL115" s="31"/>
      <c r="OM115" s="31"/>
      <c r="ON115" s="31"/>
      <c r="OO115" s="31"/>
      <c r="OP115" s="31"/>
      <c r="OQ115" s="31"/>
      <c r="OR115" s="31"/>
      <c r="OS115" s="31"/>
      <c r="OT115" s="31"/>
      <c r="OU115" s="31"/>
      <c r="OV115" s="31"/>
      <c r="OW115" s="31"/>
      <c r="OX115" s="31"/>
    </row>
    <row r="116" spans="2:414" s="25" customFormat="1" ht="15.6">
      <c r="B116" s="25" t="s">
        <v>526</v>
      </c>
      <c r="C116" s="27" t="s">
        <v>131</v>
      </c>
      <c r="D116" s="30" t="s">
        <v>105</v>
      </c>
      <c r="G116" s="42">
        <v>500</v>
      </c>
      <c r="H116" s="89">
        <v>26.109000000000002</v>
      </c>
      <c r="I116" s="38">
        <f t="shared" si="31"/>
        <v>13054.5</v>
      </c>
      <c r="K116" s="42">
        <v>500</v>
      </c>
      <c r="L116" s="90">
        <v>26.849599999999999</v>
      </c>
      <c r="M116" s="38">
        <f t="shared" si="32"/>
        <v>13424.8</v>
      </c>
      <c r="O116" s="38">
        <v>80</v>
      </c>
      <c r="P116" s="38">
        <v>26.728300000000001</v>
      </c>
      <c r="Q116" s="38">
        <f t="shared" si="33"/>
        <v>2138.2640000000001</v>
      </c>
      <c r="R116" s="43">
        <f t="shared" si="48"/>
        <v>1080</v>
      </c>
      <c r="S116" s="38">
        <f t="shared" si="34"/>
        <v>28617.563999999998</v>
      </c>
      <c r="T116" s="49">
        <v>415</v>
      </c>
      <c r="U116" s="42">
        <v>26.861899999999999</v>
      </c>
      <c r="V116" s="38">
        <f t="shared" si="44"/>
        <v>11147.6885</v>
      </c>
      <c r="W116" s="42">
        <v>85</v>
      </c>
      <c r="X116" s="42">
        <v>26.861899999999999</v>
      </c>
      <c r="Y116" s="38">
        <f t="shared" si="43"/>
        <v>2283.2615000000001</v>
      </c>
      <c r="Z116" s="42">
        <v>415</v>
      </c>
      <c r="AA116" s="42">
        <v>26.7624</v>
      </c>
      <c r="AB116" s="42">
        <f t="shared" si="45"/>
        <v>11106.396000000001</v>
      </c>
      <c r="AD116" s="42">
        <v>85</v>
      </c>
      <c r="AE116" s="42">
        <v>26.7639</v>
      </c>
      <c r="AF116" s="42">
        <f t="shared" si="46"/>
        <v>2274.9315000000001</v>
      </c>
      <c r="AG116" s="42"/>
      <c r="AH116" s="42"/>
      <c r="AI116" s="42"/>
      <c r="AJ116" s="42">
        <f t="shared" si="47"/>
        <v>0</v>
      </c>
      <c r="AL116" s="42"/>
      <c r="AM116" s="42"/>
      <c r="AN116" s="42">
        <f t="shared" si="30"/>
        <v>0</v>
      </c>
      <c r="AO116" s="44"/>
      <c r="AP116" s="42"/>
      <c r="AQ116" s="42"/>
      <c r="AR116" s="42"/>
      <c r="AU116" s="98"/>
      <c r="AV116" s="35"/>
      <c r="AW116" s="104"/>
      <c r="AX116" s="42"/>
      <c r="AY116" s="42"/>
      <c r="AZ116" s="42">
        <f t="shared" si="27"/>
        <v>0</v>
      </c>
      <c r="BA116" s="42"/>
      <c r="BB116" s="42"/>
      <c r="BC116" s="42"/>
      <c r="BD116" s="38">
        <f t="shared" si="36"/>
        <v>0</v>
      </c>
      <c r="BE116" s="42"/>
      <c r="BF116" s="42"/>
      <c r="BG116" s="42"/>
      <c r="BH116" s="38">
        <f t="shared" si="37"/>
        <v>0</v>
      </c>
      <c r="BI116" s="42"/>
      <c r="BJ116" s="42"/>
      <c r="BK116" s="42"/>
      <c r="BL116" s="38">
        <f t="shared" si="38"/>
        <v>0</v>
      </c>
      <c r="BM116" s="42"/>
      <c r="BN116" s="42"/>
      <c r="BO116" s="42"/>
      <c r="BP116" s="42"/>
      <c r="BR116" s="42">
        <f t="shared" si="39"/>
        <v>26812.2775</v>
      </c>
      <c r="BS116" s="43">
        <f t="shared" si="40"/>
        <v>1805.2864999999983</v>
      </c>
      <c r="BT116" s="42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  <c r="IM116" s="31"/>
      <c r="IN116" s="31"/>
      <c r="IO116" s="31"/>
      <c r="IP116" s="31"/>
      <c r="IQ116" s="31"/>
      <c r="IR116" s="31"/>
      <c r="IS116" s="31"/>
      <c r="IT116" s="31"/>
      <c r="IU116" s="31"/>
      <c r="IV116" s="31"/>
      <c r="IW116" s="31"/>
      <c r="IX116" s="31"/>
      <c r="IY116" s="31"/>
      <c r="IZ116" s="31"/>
      <c r="JA116" s="31"/>
      <c r="JB116" s="31"/>
      <c r="JC116" s="31"/>
      <c r="JD116" s="31"/>
      <c r="JE116" s="31"/>
      <c r="JF116" s="31"/>
      <c r="JG116" s="31"/>
      <c r="JH116" s="31"/>
      <c r="JI116" s="31"/>
      <c r="JJ116" s="31"/>
      <c r="JK116" s="31"/>
      <c r="JL116" s="31"/>
      <c r="JM116" s="31"/>
      <c r="JN116" s="31"/>
      <c r="JO116" s="31"/>
      <c r="JP116" s="31"/>
      <c r="JQ116" s="31"/>
      <c r="JR116" s="31"/>
      <c r="JS116" s="31"/>
      <c r="JT116" s="31"/>
      <c r="JU116" s="31"/>
      <c r="JV116" s="31"/>
      <c r="JW116" s="31"/>
      <c r="JX116" s="31"/>
      <c r="JY116" s="31"/>
      <c r="JZ116" s="31"/>
      <c r="KA116" s="31"/>
      <c r="KB116" s="31"/>
      <c r="KC116" s="31"/>
      <c r="KD116" s="31"/>
      <c r="KE116" s="31"/>
      <c r="KF116" s="31"/>
      <c r="KG116" s="31"/>
      <c r="KH116" s="31"/>
      <c r="KI116" s="31"/>
      <c r="KJ116" s="31"/>
      <c r="KK116" s="31"/>
      <c r="KL116" s="31"/>
      <c r="KM116" s="31"/>
      <c r="KN116" s="31"/>
      <c r="KO116" s="31"/>
      <c r="KP116" s="31"/>
      <c r="KQ116" s="31"/>
      <c r="KR116" s="31"/>
      <c r="KS116" s="31"/>
      <c r="KT116" s="31"/>
      <c r="KU116" s="31"/>
      <c r="KV116" s="31"/>
      <c r="KW116" s="31"/>
      <c r="KX116" s="31"/>
      <c r="KY116" s="31"/>
      <c r="KZ116" s="31"/>
      <c r="LA116" s="31"/>
      <c r="LB116" s="31"/>
      <c r="LC116" s="31"/>
      <c r="LD116" s="31"/>
      <c r="LE116" s="31"/>
      <c r="LF116" s="31"/>
      <c r="LG116" s="31"/>
      <c r="LH116" s="31"/>
      <c r="LI116" s="31"/>
      <c r="LJ116" s="31"/>
      <c r="LK116" s="31"/>
      <c r="LL116" s="31"/>
      <c r="LM116" s="31"/>
      <c r="LN116" s="31"/>
      <c r="LO116" s="31"/>
      <c r="LP116" s="31"/>
      <c r="LQ116" s="31"/>
      <c r="LR116" s="31"/>
      <c r="LS116" s="31"/>
      <c r="LT116" s="31"/>
      <c r="LU116" s="31"/>
      <c r="LV116" s="31"/>
      <c r="LW116" s="31"/>
      <c r="LX116" s="31"/>
      <c r="LY116" s="31"/>
      <c r="LZ116" s="31"/>
      <c r="MA116" s="31"/>
      <c r="MB116" s="31"/>
      <c r="MC116" s="31"/>
      <c r="MD116" s="31"/>
      <c r="ME116" s="31"/>
      <c r="MF116" s="31"/>
      <c r="MG116" s="31"/>
      <c r="MH116" s="31"/>
      <c r="MI116" s="31"/>
      <c r="MJ116" s="31"/>
      <c r="MK116" s="31"/>
      <c r="ML116" s="31"/>
      <c r="MM116" s="31"/>
      <c r="MN116" s="31"/>
      <c r="MO116" s="31"/>
      <c r="MP116" s="31"/>
      <c r="MQ116" s="31"/>
      <c r="MR116" s="31"/>
      <c r="MS116" s="31"/>
      <c r="MT116" s="31"/>
      <c r="MU116" s="31"/>
      <c r="MV116" s="31"/>
      <c r="MW116" s="31"/>
      <c r="MX116" s="31"/>
      <c r="MY116" s="31"/>
      <c r="MZ116" s="31"/>
      <c r="NA116" s="31"/>
      <c r="NB116" s="31"/>
      <c r="NC116" s="31"/>
      <c r="ND116" s="31"/>
      <c r="NE116" s="31"/>
      <c r="NF116" s="31"/>
      <c r="NG116" s="31"/>
      <c r="NH116" s="31"/>
      <c r="NI116" s="31"/>
      <c r="NJ116" s="31"/>
      <c r="NK116" s="31"/>
      <c r="NL116" s="31"/>
      <c r="NM116" s="31"/>
      <c r="NN116" s="31"/>
      <c r="NO116" s="31"/>
      <c r="NP116" s="31"/>
      <c r="NQ116" s="31"/>
      <c r="NR116" s="31"/>
      <c r="NS116" s="31"/>
      <c r="NT116" s="31"/>
      <c r="NU116" s="31"/>
      <c r="NV116" s="31"/>
      <c r="NW116" s="31"/>
      <c r="NX116" s="31"/>
      <c r="NY116" s="31"/>
      <c r="NZ116" s="31"/>
      <c r="OA116" s="31"/>
      <c r="OB116" s="31"/>
      <c r="OC116" s="31"/>
      <c r="OD116" s="31"/>
      <c r="OE116" s="31"/>
      <c r="OF116" s="31"/>
      <c r="OG116" s="31"/>
      <c r="OH116" s="31"/>
      <c r="OI116" s="31"/>
      <c r="OJ116" s="31"/>
      <c r="OK116" s="31"/>
      <c r="OL116" s="31"/>
      <c r="OM116" s="31"/>
      <c r="ON116" s="31"/>
      <c r="OO116" s="31"/>
      <c r="OP116" s="31"/>
      <c r="OQ116" s="31"/>
      <c r="OR116" s="31"/>
      <c r="OS116" s="31"/>
      <c r="OT116" s="31"/>
      <c r="OU116" s="31"/>
      <c r="OV116" s="31"/>
      <c r="OW116" s="31"/>
      <c r="OX116" s="31"/>
    </row>
    <row r="117" spans="2:414" s="25" customFormat="1" ht="15.6">
      <c r="B117" s="25" t="s">
        <v>454</v>
      </c>
      <c r="C117" s="27" t="s">
        <v>352</v>
      </c>
      <c r="D117" s="30" t="s">
        <v>105</v>
      </c>
      <c r="G117" s="42">
        <v>500</v>
      </c>
      <c r="H117" s="89">
        <v>26.109000000000002</v>
      </c>
      <c r="I117" s="38">
        <f t="shared" si="31"/>
        <v>13054.5</v>
      </c>
      <c r="K117" s="42">
        <v>500</v>
      </c>
      <c r="L117" s="90">
        <v>26.849599999999999</v>
      </c>
      <c r="M117" s="38">
        <f t="shared" si="32"/>
        <v>13424.8</v>
      </c>
      <c r="O117" s="38">
        <v>80</v>
      </c>
      <c r="P117" s="38">
        <v>26.728300000000001</v>
      </c>
      <c r="Q117" s="38">
        <f t="shared" si="33"/>
        <v>2138.2640000000001</v>
      </c>
      <c r="R117" s="43">
        <f t="shared" si="48"/>
        <v>1080</v>
      </c>
      <c r="S117" s="38">
        <f t="shared" si="34"/>
        <v>28617.563999999998</v>
      </c>
      <c r="T117" s="49">
        <v>85</v>
      </c>
      <c r="U117" s="42">
        <v>26.878599999999999</v>
      </c>
      <c r="V117" s="38">
        <f t="shared" si="44"/>
        <v>2284.681</v>
      </c>
      <c r="W117" s="42">
        <v>320</v>
      </c>
      <c r="X117" s="42">
        <v>26.878599999999999</v>
      </c>
      <c r="Y117" s="38">
        <f t="shared" si="43"/>
        <v>8601.152</v>
      </c>
      <c r="Z117" s="42">
        <v>95</v>
      </c>
      <c r="AA117" s="42">
        <v>26.979600000000001</v>
      </c>
      <c r="AB117" s="42">
        <f t="shared" si="45"/>
        <v>2563.0620000000004</v>
      </c>
      <c r="AD117" s="42">
        <v>500</v>
      </c>
      <c r="AE117" s="42">
        <v>26.728300000000001</v>
      </c>
      <c r="AF117" s="42">
        <f t="shared" si="46"/>
        <v>13364.15</v>
      </c>
      <c r="AG117" s="42"/>
      <c r="AH117" s="42"/>
      <c r="AI117" s="42"/>
      <c r="AJ117" s="42">
        <f t="shared" si="47"/>
        <v>0</v>
      </c>
      <c r="AL117" s="42"/>
      <c r="AM117" s="42"/>
      <c r="AN117" s="42">
        <f t="shared" si="30"/>
        <v>0</v>
      </c>
      <c r="AO117" s="44"/>
      <c r="AP117" s="42"/>
      <c r="AQ117" s="42"/>
      <c r="AR117" s="42"/>
      <c r="AU117" s="98"/>
      <c r="AV117" s="35"/>
      <c r="AW117" s="104"/>
      <c r="AX117" s="42"/>
      <c r="AY117" s="42"/>
      <c r="AZ117" s="42">
        <f t="shared" si="27"/>
        <v>0</v>
      </c>
      <c r="BA117" s="42"/>
      <c r="BB117" s="42"/>
      <c r="BC117" s="42"/>
      <c r="BD117" s="38">
        <f t="shared" si="36"/>
        <v>0</v>
      </c>
      <c r="BE117" s="42"/>
      <c r="BF117" s="42"/>
      <c r="BG117" s="42"/>
      <c r="BH117" s="38">
        <f t="shared" si="37"/>
        <v>0</v>
      </c>
      <c r="BI117" s="42"/>
      <c r="BJ117" s="42"/>
      <c r="BK117" s="42"/>
      <c r="BL117" s="38">
        <f t="shared" si="38"/>
        <v>0</v>
      </c>
      <c r="BM117" s="42"/>
      <c r="BN117" s="42"/>
      <c r="BO117" s="42"/>
      <c r="BP117" s="42"/>
      <c r="BR117" s="42">
        <f t="shared" si="39"/>
        <v>26813.044999999998</v>
      </c>
      <c r="BS117" s="43">
        <f t="shared" si="40"/>
        <v>1804.5190000000002</v>
      </c>
      <c r="BT117" s="42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  <c r="IM117" s="31"/>
      <c r="IN117" s="31"/>
      <c r="IO117" s="31"/>
      <c r="IP117" s="31"/>
      <c r="IQ117" s="31"/>
      <c r="IR117" s="31"/>
      <c r="IS117" s="31"/>
      <c r="IT117" s="31"/>
      <c r="IU117" s="31"/>
      <c r="IV117" s="31"/>
      <c r="IW117" s="31"/>
      <c r="IX117" s="31"/>
      <c r="IY117" s="31"/>
      <c r="IZ117" s="31"/>
      <c r="JA117" s="31"/>
      <c r="JB117" s="31"/>
      <c r="JC117" s="31"/>
      <c r="JD117" s="31"/>
      <c r="JE117" s="31"/>
      <c r="JF117" s="31"/>
      <c r="JG117" s="31"/>
      <c r="JH117" s="31"/>
      <c r="JI117" s="31"/>
      <c r="JJ117" s="31"/>
      <c r="JK117" s="31"/>
      <c r="JL117" s="31"/>
      <c r="JM117" s="31"/>
      <c r="JN117" s="31"/>
      <c r="JO117" s="31"/>
      <c r="JP117" s="31"/>
      <c r="JQ117" s="31"/>
      <c r="JR117" s="31"/>
      <c r="JS117" s="31"/>
      <c r="JT117" s="31"/>
      <c r="JU117" s="31"/>
      <c r="JV117" s="31"/>
      <c r="JW117" s="31"/>
      <c r="JX117" s="31"/>
      <c r="JY117" s="31"/>
      <c r="JZ117" s="31"/>
      <c r="KA117" s="31"/>
      <c r="KB117" s="31"/>
      <c r="KC117" s="31"/>
      <c r="KD117" s="31"/>
      <c r="KE117" s="31"/>
      <c r="KF117" s="31"/>
      <c r="KG117" s="31"/>
      <c r="KH117" s="31"/>
      <c r="KI117" s="31"/>
      <c r="KJ117" s="31"/>
      <c r="KK117" s="31"/>
      <c r="KL117" s="31"/>
      <c r="KM117" s="31"/>
      <c r="KN117" s="31"/>
      <c r="KO117" s="31"/>
      <c r="KP117" s="31"/>
      <c r="KQ117" s="31"/>
      <c r="KR117" s="31"/>
      <c r="KS117" s="31"/>
      <c r="KT117" s="31"/>
      <c r="KU117" s="31"/>
      <c r="KV117" s="31"/>
      <c r="KW117" s="31"/>
      <c r="KX117" s="31"/>
      <c r="KY117" s="31"/>
      <c r="KZ117" s="31"/>
      <c r="LA117" s="31"/>
      <c r="LB117" s="31"/>
      <c r="LC117" s="31"/>
      <c r="LD117" s="31"/>
      <c r="LE117" s="31"/>
      <c r="LF117" s="31"/>
      <c r="LG117" s="31"/>
      <c r="LH117" s="31"/>
      <c r="LI117" s="31"/>
      <c r="LJ117" s="31"/>
      <c r="LK117" s="31"/>
      <c r="LL117" s="31"/>
      <c r="LM117" s="31"/>
      <c r="LN117" s="31"/>
      <c r="LO117" s="31"/>
      <c r="LP117" s="31"/>
      <c r="LQ117" s="31"/>
      <c r="LR117" s="31"/>
      <c r="LS117" s="31"/>
      <c r="LT117" s="31"/>
      <c r="LU117" s="31"/>
      <c r="LV117" s="31"/>
      <c r="LW117" s="31"/>
      <c r="LX117" s="31"/>
      <c r="LY117" s="31"/>
      <c r="LZ117" s="31"/>
      <c r="MA117" s="31"/>
      <c r="MB117" s="31"/>
      <c r="MC117" s="31"/>
      <c r="MD117" s="31"/>
      <c r="ME117" s="31"/>
      <c r="MF117" s="31"/>
      <c r="MG117" s="31"/>
      <c r="MH117" s="31"/>
      <c r="MI117" s="31"/>
      <c r="MJ117" s="31"/>
      <c r="MK117" s="31"/>
      <c r="ML117" s="31"/>
      <c r="MM117" s="31"/>
      <c r="MN117" s="31"/>
      <c r="MO117" s="31"/>
      <c r="MP117" s="31"/>
      <c r="MQ117" s="31"/>
      <c r="MR117" s="31"/>
      <c r="MS117" s="31"/>
      <c r="MT117" s="31"/>
      <c r="MU117" s="31"/>
      <c r="MV117" s="31"/>
      <c r="MW117" s="31"/>
      <c r="MX117" s="31"/>
      <c r="MY117" s="31"/>
      <c r="MZ117" s="31"/>
      <c r="NA117" s="31"/>
      <c r="NB117" s="31"/>
      <c r="NC117" s="31"/>
      <c r="ND117" s="31"/>
      <c r="NE117" s="31"/>
      <c r="NF117" s="31"/>
      <c r="NG117" s="31"/>
      <c r="NH117" s="31"/>
      <c r="NI117" s="31"/>
      <c r="NJ117" s="31"/>
      <c r="NK117" s="31"/>
      <c r="NL117" s="31"/>
      <c r="NM117" s="31"/>
      <c r="NN117" s="31"/>
      <c r="NO117" s="31"/>
      <c r="NP117" s="31"/>
      <c r="NQ117" s="31"/>
      <c r="NR117" s="31"/>
      <c r="NS117" s="31"/>
      <c r="NT117" s="31"/>
      <c r="NU117" s="31"/>
      <c r="NV117" s="31"/>
      <c r="NW117" s="31"/>
      <c r="NX117" s="31"/>
      <c r="NY117" s="31"/>
      <c r="NZ117" s="31"/>
      <c r="OA117" s="31"/>
      <c r="OB117" s="31"/>
      <c r="OC117" s="31"/>
      <c r="OD117" s="31"/>
      <c r="OE117" s="31"/>
      <c r="OF117" s="31"/>
      <c r="OG117" s="31"/>
      <c r="OH117" s="31"/>
      <c r="OI117" s="31"/>
      <c r="OJ117" s="31"/>
      <c r="OK117" s="31"/>
      <c r="OL117" s="31"/>
      <c r="OM117" s="31"/>
      <c r="ON117" s="31"/>
      <c r="OO117" s="31"/>
      <c r="OP117" s="31"/>
      <c r="OQ117" s="31"/>
      <c r="OR117" s="31"/>
      <c r="OS117" s="31"/>
      <c r="OT117" s="31"/>
      <c r="OU117" s="31"/>
      <c r="OV117" s="31"/>
      <c r="OW117" s="31"/>
      <c r="OX117" s="31"/>
    </row>
    <row r="118" spans="2:414" s="25" customFormat="1" ht="15.6">
      <c r="B118" s="25" t="s">
        <v>336</v>
      </c>
      <c r="C118" s="27" t="s">
        <v>528</v>
      </c>
      <c r="D118" s="30" t="s">
        <v>105</v>
      </c>
      <c r="G118" s="42">
        <v>500</v>
      </c>
      <c r="H118" s="89">
        <v>26.109000000000002</v>
      </c>
      <c r="I118" s="38">
        <f t="shared" si="31"/>
        <v>13054.5</v>
      </c>
      <c r="K118" s="42">
        <v>500</v>
      </c>
      <c r="L118" s="90">
        <v>26.849599999999999</v>
      </c>
      <c r="M118" s="38">
        <f t="shared" si="32"/>
        <v>13424.8</v>
      </c>
      <c r="O118" s="38">
        <v>80</v>
      </c>
      <c r="P118" s="38">
        <v>26.728300000000001</v>
      </c>
      <c r="Q118" s="38">
        <f t="shared" si="33"/>
        <v>2138.2640000000001</v>
      </c>
      <c r="R118" s="43">
        <f t="shared" si="48"/>
        <v>1080</v>
      </c>
      <c r="S118" s="38">
        <f t="shared" si="34"/>
        <v>28617.563999999998</v>
      </c>
      <c r="T118" s="49"/>
      <c r="U118" s="42"/>
      <c r="V118" s="38">
        <f t="shared" si="44"/>
        <v>0</v>
      </c>
      <c r="W118" s="42"/>
      <c r="X118" s="42"/>
      <c r="Y118" s="38">
        <f t="shared" si="43"/>
        <v>0</v>
      </c>
      <c r="Z118" s="42"/>
      <c r="AA118" s="42"/>
      <c r="AB118" s="42">
        <f t="shared" si="45"/>
        <v>0</v>
      </c>
      <c r="AD118" s="42"/>
      <c r="AE118" s="42"/>
      <c r="AF118" s="42">
        <f t="shared" si="46"/>
        <v>0</v>
      </c>
      <c r="AG118" s="42"/>
      <c r="AH118" s="42"/>
      <c r="AI118" s="42"/>
      <c r="AJ118" s="42">
        <f t="shared" si="47"/>
        <v>0</v>
      </c>
      <c r="AL118" s="42"/>
      <c r="AM118" s="42"/>
      <c r="AN118" s="42">
        <f t="shared" si="30"/>
        <v>0</v>
      </c>
      <c r="AO118" s="44"/>
      <c r="AP118" s="42"/>
      <c r="AQ118" s="42"/>
      <c r="AR118" s="42"/>
      <c r="AU118" s="98"/>
      <c r="AV118" s="35"/>
      <c r="AW118" s="104"/>
      <c r="AX118" s="42"/>
      <c r="AY118" s="42"/>
      <c r="AZ118" s="42">
        <f t="shared" si="27"/>
        <v>0</v>
      </c>
      <c r="BA118" s="42"/>
      <c r="BB118" s="42"/>
      <c r="BC118" s="42"/>
      <c r="BD118" s="38">
        <f t="shared" si="36"/>
        <v>0</v>
      </c>
      <c r="BE118" s="42"/>
      <c r="BF118" s="42"/>
      <c r="BG118" s="42"/>
      <c r="BH118" s="38">
        <f t="shared" si="37"/>
        <v>0</v>
      </c>
      <c r="BI118" s="42"/>
      <c r="BJ118" s="42"/>
      <c r="BK118" s="42"/>
      <c r="BL118" s="38">
        <f t="shared" si="38"/>
        <v>0</v>
      </c>
      <c r="BM118" s="42"/>
      <c r="BN118" s="42"/>
      <c r="BO118" s="42"/>
      <c r="BP118" s="42"/>
      <c r="BR118" s="42">
        <f t="shared" si="39"/>
        <v>0</v>
      </c>
      <c r="BS118" s="43">
        <f t="shared" si="40"/>
        <v>28617.563999999998</v>
      </c>
      <c r="BT118" s="42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  <c r="IM118" s="31"/>
      <c r="IN118" s="31"/>
      <c r="IO118" s="31"/>
      <c r="IP118" s="31"/>
      <c r="IQ118" s="31"/>
      <c r="IR118" s="31"/>
      <c r="IS118" s="31"/>
      <c r="IT118" s="31"/>
      <c r="IU118" s="31"/>
      <c r="IV118" s="31"/>
      <c r="IW118" s="31"/>
      <c r="IX118" s="31"/>
      <c r="IY118" s="31"/>
      <c r="IZ118" s="31"/>
      <c r="JA118" s="31"/>
      <c r="JB118" s="31"/>
      <c r="JC118" s="31"/>
      <c r="JD118" s="31"/>
      <c r="JE118" s="31"/>
      <c r="JF118" s="31"/>
      <c r="JG118" s="31"/>
      <c r="JH118" s="31"/>
      <c r="JI118" s="31"/>
      <c r="JJ118" s="31"/>
      <c r="JK118" s="31"/>
      <c r="JL118" s="31"/>
      <c r="JM118" s="31"/>
      <c r="JN118" s="31"/>
      <c r="JO118" s="31"/>
      <c r="JP118" s="31"/>
      <c r="JQ118" s="31"/>
      <c r="JR118" s="31"/>
      <c r="JS118" s="31"/>
      <c r="JT118" s="31"/>
      <c r="JU118" s="31"/>
      <c r="JV118" s="31"/>
      <c r="JW118" s="31"/>
      <c r="JX118" s="31"/>
      <c r="JY118" s="31"/>
      <c r="JZ118" s="31"/>
      <c r="KA118" s="31"/>
      <c r="KB118" s="31"/>
      <c r="KC118" s="31"/>
      <c r="KD118" s="31"/>
      <c r="KE118" s="31"/>
      <c r="KF118" s="31"/>
      <c r="KG118" s="31"/>
      <c r="KH118" s="31"/>
      <c r="KI118" s="31"/>
      <c r="KJ118" s="31"/>
      <c r="KK118" s="31"/>
      <c r="KL118" s="31"/>
      <c r="KM118" s="31"/>
      <c r="KN118" s="31"/>
      <c r="KO118" s="31"/>
      <c r="KP118" s="31"/>
      <c r="KQ118" s="31"/>
      <c r="KR118" s="31"/>
      <c r="KS118" s="31"/>
      <c r="KT118" s="31"/>
      <c r="KU118" s="31"/>
      <c r="KV118" s="31"/>
      <c r="KW118" s="31"/>
      <c r="KX118" s="31"/>
      <c r="KY118" s="31"/>
      <c r="KZ118" s="31"/>
      <c r="LA118" s="31"/>
      <c r="LB118" s="31"/>
      <c r="LC118" s="31"/>
      <c r="LD118" s="31"/>
      <c r="LE118" s="31"/>
      <c r="LF118" s="31"/>
      <c r="LG118" s="31"/>
      <c r="LH118" s="31"/>
      <c r="LI118" s="31"/>
      <c r="LJ118" s="31"/>
      <c r="LK118" s="31"/>
      <c r="LL118" s="31"/>
      <c r="LM118" s="31"/>
      <c r="LN118" s="31"/>
      <c r="LO118" s="31"/>
      <c r="LP118" s="31"/>
      <c r="LQ118" s="31"/>
      <c r="LR118" s="31"/>
      <c r="LS118" s="31"/>
      <c r="LT118" s="31"/>
      <c r="LU118" s="31"/>
      <c r="LV118" s="31"/>
      <c r="LW118" s="31"/>
      <c r="LX118" s="31"/>
      <c r="LY118" s="31"/>
      <c r="LZ118" s="31"/>
      <c r="MA118" s="31"/>
      <c r="MB118" s="31"/>
      <c r="MC118" s="31"/>
      <c r="MD118" s="31"/>
      <c r="ME118" s="31"/>
      <c r="MF118" s="31"/>
      <c r="MG118" s="31"/>
      <c r="MH118" s="31"/>
      <c r="MI118" s="31"/>
      <c r="MJ118" s="31"/>
      <c r="MK118" s="31"/>
      <c r="ML118" s="31"/>
      <c r="MM118" s="31"/>
      <c r="MN118" s="31"/>
      <c r="MO118" s="31"/>
      <c r="MP118" s="31"/>
      <c r="MQ118" s="31"/>
      <c r="MR118" s="31"/>
      <c r="MS118" s="31"/>
      <c r="MT118" s="31"/>
      <c r="MU118" s="31"/>
      <c r="MV118" s="31"/>
      <c r="MW118" s="31"/>
      <c r="MX118" s="31"/>
      <c r="MY118" s="31"/>
      <c r="MZ118" s="31"/>
      <c r="NA118" s="31"/>
      <c r="NB118" s="31"/>
      <c r="NC118" s="31"/>
      <c r="ND118" s="31"/>
      <c r="NE118" s="31"/>
      <c r="NF118" s="31"/>
      <c r="NG118" s="31"/>
      <c r="NH118" s="31"/>
      <c r="NI118" s="31"/>
      <c r="NJ118" s="31"/>
      <c r="NK118" s="31"/>
      <c r="NL118" s="31"/>
      <c r="NM118" s="31"/>
      <c r="NN118" s="31"/>
      <c r="NO118" s="31"/>
      <c r="NP118" s="31"/>
      <c r="NQ118" s="31"/>
      <c r="NR118" s="31"/>
      <c r="NS118" s="31"/>
      <c r="NT118" s="31"/>
      <c r="NU118" s="31"/>
      <c r="NV118" s="31"/>
      <c r="NW118" s="31"/>
      <c r="NX118" s="31"/>
      <c r="NY118" s="31"/>
      <c r="NZ118" s="31"/>
      <c r="OA118" s="31"/>
      <c r="OB118" s="31"/>
      <c r="OC118" s="31"/>
      <c r="OD118" s="31"/>
      <c r="OE118" s="31"/>
      <c r="OF118" s="31"/>
      <c r="OG118" s="31"/>
      <c r="OH118" s="31"/>
      <c r="OI118" s="31"/>
      <c r="OJ118" s="31"/>
      <c r="OK118" s="31"/>
      <c r="OL118" s="31"/>
      <c r="OM118" s="31"/>
      <c r="ON118" s="31"/>
      <c r="OO118" s="31"/>
      <c r="OP118" s="31"/>
      <c r="OQ118" s="31"/>
      <c r="OR118" s="31"/>
      <c r="OS118" s="31"/>
      <c r="OT118" s="31"/>
      <c r="OU118" s="31"/>
      <c r="OV118" s="31"/>
      <c r="OW118" s="31"/>
      <c r="OX118" s="31"/>
    </row>
    <row r="119" spans="2:414" s="25" customFormat="1" ht="15.6">
      <c r="B119" s="25" t="s">
        <v>544</v>
      </c>
      <c r="C119" s="27" t="s">
        <v>182</v>
      </c>
      <c r="D119" s="30" t="s">
        <v>105</v>
      </c>
      <c r="G119" s="42">
        <v>500</v>
      </c>
      <c r="H119" s="89">
        <v>26.109000000000002</v>
      </c>
      <c r="I119" s="38">
        <f t="shared" si="31"/>
        <v>13054.5</v>
      </c>
      <c r="K119" s="42">
        <v>500</v>
      </c>
      <c r="L119" s="90">
        <v>26.849599999999999</v>
      </c>
      <c r="M119" s="38">
        <f t="shared" si="32"/>
        <v>13424.8</v>
      </c>
      <c r="O119" s="38">
        <v>80</v>
      </c>
      <c r="P119" s="38">
        <v>26.728300000000001</v>
      </c>
      <c r="Q119" s="38">
        <f t="shared" si="33"/>
        <v>2138.2640000000001</v>
      </c>
      <c r="R119" s="43">
        <f t="shared" si="48"/>
        <v>1080</v>
      </c>
      <c r="S119" s="38">
        <f t="shared" si="34"/>
        <v>28617.563999999998</v>
      </c>
      <c r="T119" s="49">
        <v>415</v>
      </c>
      <c r="U119" s="42">
        <v>26.6813</v>
      </c>
      <c r="V119" s="38">
        <f t="shared" si="44"/>
        <v>11072.7395</v>
      </c>
      <c r="W119" s="42">
        <v>85</v>
      </c>
      <c r="X119" s="42">
        <v>26.8307</v>
      </c>
      <c r="Y119" s="38">
        <f t="shared" si="43"/>
        <v>2280.6095</v>
      </c>
      <c r="Z119" s="42">
        <v>415</v>
      </c>
      <c r="AA119" s="42">
        <v>26.728300000000001</v>
      </c>
      <c r="AB119" s="42">
        <f t="shared" si="45"/>
        <v>11092.244500000001</v>
      </c>
      <c r="AD119" s="42">
        <v>85</v>
      </c>
      <c r="AE119" s="42">
        <v>26.728300000000001</v>
      </c>
      <c r="AF119" s="42">
        <f t="shared" si="46"/>
        <v>2271.9054999999998</v>
      </c>
      <c r="AG119" s="42"/>
      <c r="AH119" s="42"/>
      <c r="AI119" s="42"/>
      <c r="AJ119" s="42">
        <f t="shared" si="47"/>
        <v>0</v>
      </c>
      <c r="AL119" s="42"/>
      <c r="AM119" s="42"/>
      <c r="AN119" s="42">
        <f t="shared" si="30"/>
        <v>0</v>
      </c>
      <c r="AO119" s="44"/>
      <c r="AP119" s="42"/>
      <c r="AQ119" s="42"/>
      <c r="AR119" s="42"/>
      <c r="AU119" s="98"/>
      <c r="AV119" s="35"/>
      <c r="AW119" s="104"/>
      <c r="AX119" s="42"/>
      <c r="AY119" s="42"/>
      <c r="AZ119" s="42">
        <f t="shared" si="27"/>
        <v>0</v>
      </c>
      <c r="BA119" s="42"/>
      <c r="BB119" s="42"/>
      <c r="BC119" s="42"/>
      <c r="BD119" s="38">
        <f t="shared" si="36"/>
        <v>0</v>
      </c>
      <c r="BE119" s="42"/>
      <c r="BF119" s="42"/>
      <c r="BG119" s="42"/>
      <c r="BH119" s="38">
        <f t="shared" si="37"/>
        <v>0</v>
      </c>
      <c r="BI119" s="42"/>
      <c r="BJ119" s="42"/>
      <c r="BK119" s="42"/>
      <c r="BL119" s="38">
        <f t="shared" si="38"/>
        <v>0</v>
      </c>
      <c r="BM119" s="42"/>
      <c r="BN119" s="42"/>
      <c r="BO119" s="42"/>
      <c r="BP119" s="42"/>
      <c r="BR119" s="42">
        <f t="shared" si="39"/>
        <v>26717.499000000003</v>
      </c>
      <c r="BS119" s="43">
        <f t="shared" si="40"/>
        <v>1900.0649999999951</v>
      </c>
      <c r="BT119" s="42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  <c r="IM119" s="31"/>
      <c r="IN119" s="31"/>
      <c r="IO119" s="31"/>
      <c r="IP119" s="31"/>
      <c r="IQ119" s="31"/>
      <c r="IR119" s="31"/>
      <c r="IS119" s="31"/>
      <c r="IT119" s="31"/>
      <c r="IU119" s="31"/>
      <c r="IV119" s="31"/>
      <c r="IW119" s="31"/>
      <c r="IX119" s="31"/>
      <c r="IY119" s="31"/>
      <c r="IZ119" s="31"/>
      <c r="JA119" s="31"/>
      <c r="JB119" s="31"/>
      <c r="JC119" s="31"/>
      <c r="JD119" s="31"/>
      <c r="JE119" s="31"/>
      <c r="JF119" s="31"/>
      <c r="JG119" s="31"/>
      <c r="JH119" s="31"/>
      <c r="JI119" s="31"/>
      <c r="JJ119" s="31"/>
      <c r="JK119" s="31"/>
      <c r="JL119" s="31"/>
      <c r="JM119" s="31"/>
      <c r="JN119" s="31"/>
      <c r="JO119" s="31"/>
      <c r="JP119" s="31"/>
      <c r="JQ119" s="31"/>
      <c r="JR119" s="31"/>
      <c r="JS119" s="31"/>
      <c r="JT119" s="31"/>
      <c r="JU119" s="31"/>
      <c r="JV119" s="31"/>
      <c r="JW119" s="31"/>
      <c r="JX119" s="31"/>
      <c r="JY119" s="31"/>
      <c r="JZ119" s="31"/>
      <c r="KA119" s="31"/>
      <c r="KB119" s="31"/>
      <c r="KC119" s="31"/>
      <c r="KD119" s="31"/>
      <c r="KE119" s="31"/>
      <c r="KF119" s="31"/>
      <c r="KG119" s="31"/>
      <c r="KH119" s="31"/>
      <c r="KI119" s="31"/>
      <c r="KJ119" s="31"/>
      <c r="KK119" s="31"/>
      <c r="KL119" s="31"/>
      <c r="KM119" s="31"/>
      <c r="KN119" s="31"/>
      <c r="KO119" s="31"/>
      <c r="KP119" s="31"/>
      <c r="KQ119" s="31"/>
      <c r="KR119" s="31"/>
      <c r="KS119" s="31"/>
      <c r="KT119" s="31"/>
      <c r="KU119" s="31"/>
      <c r="KV119" s="31"/>
      <c r="KW119" s="31"/>
      <c r="KX119" s="31"/>
      <c r="KY119" s="31"/>
      <c r="KZ119" s="31"/>
      <c r="LA119" s="31"/>
      <c r="LB119" s="31"/>
      <c r="LC119" s="31"/>
      <c r="LD119" s="31"/>
      <c r="LE119" s="31"/>
      <c r="LF119" s="31"/>
      <c r="LG119" s="31"/>
      <c r="LH119" s="31"/>
      <c r="LI119" s="31"/>
      <c r="LJ119" s="31"/>
      <c r="LK119" s="31"/>
      <c r="LL119" s="31"/>
      <c r="LM119" s="31"/>
      <c r="LN119" s="31"/>
      <c r="LO119" s="31"/>
      <c r="LP119" s="31"/>
      <c r="LQ119" s="31"/>
      <c r="LR119" s="31"/>
      <c r="LS119" s="31"/>
      <c r="LT119" s="31"/>
      <c r="LU119" s="31"/>
      <c r="LV119" s="31"/>
      <c r="LW119" s="31"/>
      <c r="LX119" s="31"/>
      <c r="LY119" s="31"/>
      <c r="LZ119" s="31"/>
      <c r="MA119" s="31"/>
      <c r="MB119" s="31"/>
      <c r="MC119" s="31"/>
      <c r="MD119" s="31"/>
      <c r="ME119" s="31"/>
      <c r="MF119" s="31"/>
      <c r="MG119" s="31"/>
      <c r="MH119" s="31"/>
      <c r="MI119" s="31"/>
      <c r="MJ119" s="31"/>
      <c r="MK119" s="31"/>
      <c r="ML119" s="31"/>
      <c r="MM119" s="31"/>
      <c r="MN119" s="31"/>
      <c r="MO119" s="31"/>
      <c r="MP119" s="31"/>
      <c r="MQ119" s="31"/>
      <c r="MR119" s="31"/>
      <c r="MS119" s="31"/>
      <c r="MT119" s="31"/>
      <c r="MU119" s="31"/>
      <c r="MV119" s="31"/>
      <c r="MW119" s="31"/>
      <c r="MX119" s="31"/>
      <c r="MY119" s="31"/>
      <c r="MZ119" s="31"/>
      <c r="NA119" s="31"/>
      <c r="NB119" s="31"/>
      <c r="NC119" s="31"/>
      <c r="ND119" s="31"/>
      <c r="NE119" s="31"/>
      <c r="NF119" s="31"/>
      <c r="NG119" s="31"/>
      <c r="NH119" s="31"/>
      <c r="NI119" s="31"/>
      <c r="NJ119" s="31"/>
      <c r="NK119" s="31"/>
      <c r="NL119" s="31"/>
      <c r="NM119" s="31"/>
      <c r="NN119" s="31"/>
      <c r="NO119" s="31"/>
      <c r="NP119" s="31"/>
      <c r="NQ119" s="31"/>
      <c r="NR119" s="31"/>
      <c r="NS119" s="31"/>
      <c r="NT119" s="31"/>
      <c r="NU119" s="31"/>
      <c r="NV119" s="31"/>
      <c r="NW119" s="31"/>
      <c r="NX119" s="31"/>
      <c r="NY119" s="31"/>
      <c r="NZ119" s="31"/>
      <c r="OA119" s="31"/>
      <c r="OB119" s="31"/>
      <c r="OC119" s="31"/>
      <c r="OD119" s="31"/>
      <c r="OE119" s="31"/>
      <c r="OF119" s="31"/>
      <c r="OG119" s="31"/>
      <c r="OH119" s="31"/>
      <c r="OI119" s="31"/>
      <c r="OJ119" s="31"/>
      <c r="OK119" s="31"/>
      <c r="OL119" s="31"/>
      <c r="OM119" s="31"/>
      <c r="ON119" s="31"/>
      <c r="OO119" s="31"/>
      <c r="OP119" s="31"/>
      <c r="OQ119" s="31"/>
      <c r="OR119" s="31"/>
      <c r="OS119" s="31"/>
      <c r="OT119" s="31"/>
      <c r="OU119" s="31"/>
      <c r="OV119" s="31"/>
      <c r="OW119" s="31"/>
      <c r="OX119" s="31"/>
    </row>
    <row r="120" spans="2:414" s="25" customFormat="1" ht="15.6">
      <c r="B120" s="25" t="s">
        <v>200</v>
      </c>
      <c r="C120" s="27" t="s">
        <v>19</v>
      </c>
      <c r="D120" s="30" t="s">
        <v>105</v>
      </c>
      <c r="G120" s="42">
        <v>500</v>
      </c>
      <c r="H120" s="89">
        <v>26.109000000000002</v>
      </c>
      <c r="I120" s="38">
        <f t="shared" si="31"/>
        <v>13054.5</v>
      </c>
      <c r="K120" s="42">
        <v>500</v>
      </c>
      <c r="L120" s="90">
        <v>26.849599999999999</v>
      </c>
      <c r="M120" s="38">
        <f t="shared" si="32"/>
        <v>13424.8</v>
      </c>
      <c r="O120" s="38">
        <v>80</v>
      </c>
      <c r="P120" s="38">
        <v>26.728300000000001</v>
      </c>
      <c r="Q120" s="38">
        <f t="shared" si="33"/>
        <v>2138.2640000000001</v>
      </c>
      <c r="R120" s="43">
        <f t="shared" si="48"/>
        <v>1080</v>
      </c>
      <c r="S120" s="38">
        <f t="shared" si="34"/>
        <v>28617.563999999998</v>
      </c>
      <c r="T120" s="49">
        <v>265</v>
      </c>
      <c r="U120" s="42">
        <v>26.779299999999999</v>
      </c>
      <c r="V120" s="38">
        <f t="shared" si="44"/>
        <v>7096.5145000000002</v>
      </c>
      <c r="W120" s="42">
        <v>85</v>
      </c>
      <c r="X120" s="42">
        <v>26.940100000000001</v>
      </c>
      <c r="Y120" s="38">
        <f t="shared" si="43"/>
        <v>2289.9085</v>
      </c>
      <c r="Z120" s="42">
        <v>150</v>
      </c>
      <c r="AA120" s="42">
        <v>26.940100000000001</v>
      </c>
      <c r="AB120" s="42">
        <f t="shared" si="45"/>
        <v>4041.0150000000003</v>
      </c>
      <c r="AD120" s="42">
        <v>150</v>
      </c>
      <c r="AE120" s="42">
        <v>26.773800000000001</v>
      </c>
      <c r="AF120" s="42">
        <f t="shared" si="46"/>
        <v>4016.07</v>
      </c>
      <c r="AG120" s="42"/>
      <c r="AH120" s="42">
        <v>100</v>
      </c>
      <c r="AI120" s="42">
        <v>26.903700000000001</v>
      </c>
      <c r="AJ120" s="42">
        <f t="shared" si="47"/>
        <v>2690.37</v>
      </c>
      <c r="AL120" s="42">
        <v>100</v>
      </c>
      <c r="AM120" s="42">
        <v>26.890999999999998</v>
      </c>
      <c r="AN120" s="42">
        <f t="shared" si="30"/>
        <v>2689.1</v>
      </c>
      <c r="AO120" s="44"/>
      <c r="AP120" s="42">
        <v>150</v>
      </c>
      <c r="AQ120" s="42">
        <v>26.779299999999999</v>
      </c>
      <c r="AR120" s="42"/>
      <c r="AU120" s="98"/>
      <c r="AV120" s="35"/>
      <c r="AW120" s="104"/>
      <c r="AX120" s="42"/>
      <c r="AY120" s="42"/>
      <c r="AZ120" s="42">
        <f t="shared" si="27"/>
        <v>0</v>
      </c>
      <c r="BA120" s="42"/>
      <c r="BB120" s="42"/>
      <c r="BC120" s="42"/>
      <c r="BD120" s="38">
        <f t="shared" si="36"/>
        <v>0</v>
      </c>
      <c r="BE120" s="42"/>
      <c r="BF120" s="42"/>
      <c r="BG120" s="42"/>
      <c r="BH120" s="38">
        <f t="shared" si="37"/>
        <v>0</v>
      </c>
      <c r="BI120" s="42"/>
      <c r="BJ120" s="42"/>
      <c r="BK120" s="42"/>
      <c r="BL120" s="38">
        <f t="shared" si="38"/>
        <v>0</v>
      </c>
      <c r="BM120" s="42"/>
      <c r="BN120" s="42"/>
      <c r="BO120" s="42"/>
      <c r="BP120" s="42"/>
      <c r="BR120" s="42">
        <f t="shared" si="39"/>
        <v>22822.977999999999</v>
      </c>
      <c r="BS120" s="43">
        <f t="shared" si="40"/>
        <v>5794.5859999999993</v>
      </c>
      <c r="BT120" s="42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  <c r="IM120" s="31"/>
      <c r="IN120" s="31"/>
      <c r="IO120" s="31"/>
      <c r="IP120" s="31"/>
      <c r="IQ120" s="31"/>
      <c r="IR120" s="31"/>
      <c r="IS120" s="31"/>
      <c r="IT120" s="31"/>
      <c r="IU120" s="31"/>
      <c r="IV120" s="31"/>
      <c r="IW120" s="31"/>
      <c r="IX120" s="31"/>
      <c r="IY120" s="31"/>
      <c r="IZ120" s="31"/>
      <c r="JA120" s="31"/>
      <c r="JB120" s="31"/>
      <c r="JC120" s="31"/>
      <c r="JD120" s="31"/>
      <c r="JE120" s="31"/>
      <c r="JF120" s="31"/>
      <c r="JG120" s="31"/>
      <c r="JH120" s="31"/>
      <c r="JI120" s="31"/>
      <c r="JJ120" s="31"/>
      <c r="JK120" s="31"/>
      <c r="JL120" s="31"/>
      <c r="JM120" s="31"/>
      <c r="JN120" s="31"/>
      <c r="JO120" s="31"/>
      <c r="JP120" s="31"/>
      <c r="JQ120" s="31"/>
      <c r="JR120" s="31"/>
      <c r="JS120" s="31"/>
      <c r="JT120" s="31"/>
      <c r="JU120" s="31"/>
      <c r="JV120" s="31"/>
      <c r="JW120" s="31"/>
      <c r="JX120" s="31"/>
      <c r="JY120" s="31"/>
      <c r="JZ120" s="31"/>
      <c r="KA120" s="31"/>
      <c r="KB120" s="31"/>
      <c r="KC120" s="31"/>
      <c r="KD120" s="31"/>
      <c r="KE120" s="31"/>
      <c r="KF120" s="31"/>
      <c r="KG120" s="31"/>
      <c r="KH120" s="31"/>
      <c r="KI120" s="31"/>
      <c r="KJ120" s="31"/>
      <c r="KK120" s="31"/>
      <c r="KL120" s="31"/>
      <c r="KM120" s="31"/>
      <c r="KN120" s="31"/>
      <c r="KO120" s="31"/>
      <c r="KP120" s="31"/>
      <c r="KQ120" s="31"/>
      <c r="KR120" s="31"/>
      <c r="KS120" s="31"/>
      <c r="KT120" s="31"/>
      <c r="KU120" s="31"/>
      <c r="KV120" s="31"/>
      <c r="KW120" s="31"/>
      <c r="KX120" s="31"/>
      <c r="KY120" s="31"/>
      <c r="KZ120" s="31"/>
      <c r="LA120" s="31"/>
      <c r="LB120" s="31"/>
      <c r="LC120" s="31"/>
      <c r="LD120" s="31"/>
      <c r="LE120" s="31"/>
      <c r="LF120" s="31"/>
      <c r="LG120" s="31"/>
      <c r="LH120" s="31"/>
      <c r="LI120" s="31"/>
      <c r="LJ120" s="31"/>
      <c r="LK120" s="31"/>
      <c r="LL120" s="31"/>
      <c r="LM120" s="31"/>
      <c r="LN120" s="31"/>
      <c r="LO120" s="31"/>
      <c r="LP120" s="31"/>
      <c r="LQ120" s="31"/>
      <c r="LR120" s="31"/>
      <c r="LS120" s="31"/>
      <c r="LT120" s="31"/>
      <c r="LU120" s="31"/>
      <c r="LV120" s="31"/>
      <c r="LW120" s="31"/>
      <c r="LX120" s="31"/>
      <c r="LY120" s="31"/>
      <c r="LZ120" s="31"/>
      <c r="MA120" s="31"/>
      <c r="MB120" s="31"/>
      <c r="MC120" s="31"/>
      <c r="MD120" s="31"/>
      <c r="ME120" s="31"/>
      <c r="MF120" s="31"/>
      <c r="MG120" s="31"/>
      <c r="MH120" s="31"/>
      <c r="MI120" s="31"/>
      <c r="MJ120" s="31"/>
      <c r="MK120" s="31"/>
      <c r="ML120" s="31"/>
      <c r="MM120" s="31"/>
      <c r="MN120" s="31"/>
      <c r="MO120" s="31"/>
      <c r="MP120" s="31"/>
      <c r="MQ120" s="31"/>
      <c r="MR120" s="31"/>
      <c r="MS120" s="31"/>
      <c r="MT120" s="31"/>
      <c r="MU120" s="31"/>
      <c r="MV120" s="31"/>
      <c r="MW120" s="31"/>
      <c r="MX120" s="31"/>
      <c r="MY120" s="31"/>
      <c r="MZ120" s="31"/>
      <c r="NA120" s="31"/>
      <c r="NB120" s="31"/>
      <c r="NC120" s="31"/>
      <c r="ND120" s="31"/>
      <c r="NE120" s="31"/>
      <c r="NF120" s="31"/>
      <c r="NG120" s="31"/>
      <c r="NH120" s="31"/>
      <c r="NI120" s="31"/>
      <c r="NJ120" s="31"/>
      <c r="NK120" s="31"/>
      <c r="NL120" s="31"/>
      <c r="NM120" s="31"/>
      <c r="NN120" s="31"/>
      <c r="NO120" s="31"/>
      <c r="NP120" s="31"/>
      <c r="NQ120" s="31"/>
      <c r="NR120" s="31"/>
      <c r="NS120" s="31"/>
      <c r="NT120" s="31"/>
      <c r="NU120" s="31"/>
      <c r="NV120" s="31"/>
      <c r="NW120" s="31"/>
      <c r="NX120" s="31"/>
      <c r="NY120" s="31"/>
      <c r="NZ120" s="31"/>
      <c r="OA120" s="31"/>
      <c r="OB120" s="31"/>
      <c r="OC120" s="31"/>
      <c r="OD120" s="31"/>
      <c r="OE120" s="31"/>
      <c r="OF120" s="31"/>
      <c r="OG120" s="31"/>
      <c r="OH120" s="31"/>
      <c r="OI120" s="31"/>
      <c r="OJ120" s="31"/>
      <c r="OK120" s="31"/>
      <c r="OL120" s="31"/>
      <c r="OM120" s="31"/>
      <c r="ON120" s="31"/>
      <c r="OO120" s="31"/>
      <c r="OP120" s="31"/>
      <c r="OQ120" s="31"/>
      <c r="OR120" s="31"/>
      <c r="OS120" s="31"/>
      <c r="OT120" s="31"/>
      <c r="OU120" s="31"/>
      <c r="OV120" s="31"/>
      <c r="OW120" s="31"/>
      <c r="OX120" s="31"/>
    </row>
    <row r="121" spans="2:414" s="25" customFormat="1" ht="15.6">
      <c r="B121" s="25" t="s">
        <v>545</v>
      </c>
      <c r="C121" s="27" t="s">
        <v>17</v>
      </c>
      <c r="D121" s="30" t="s">
        <v>201</v>
      </c>
      <c r="G121" s="42">
        <v>500</v>
      </c>
      <c r="H121" s="89">
        <v>26.109000000000002</v>
      </c>
      <c r="I121" s="38">
        <f t="shared" si="31"/>
        <v>13054.5</v>
      </c>
      <c r="K121" s="42">
        <v>500</v>
      </c>
      <c r="L121" s="90">
        <v>26.849599999999999</v>
      </c>
      <c r="M121" s="38">
        <f t="shared" si="32"/>
        <v>13424.8</v>
      </c>
      <c r="O121" s="38">
        <v>80</v>
      </c>
      <c r="P121" s="38">
        <v>26.728300000000001</v>
      </c>
      <c r="Q121" s="38">
        <f t="shared" si="33"/>
        <v>2138.2640000000001</v>
      </c>
      <c r="R121" s="43">
        <f t="shared" si="48"/>
        <v>1080</v>
      </c>
      <c r="S121" s="38">
        <f t="shared" si="34"/>
        <v>28617.563999999998</v>
      </c>
      <c r="T121" s="49">
        <v>85</v>
      </c>
      <c r="U121" s="42"/>
      <c r="V121" s="38">
        <f t="shared" si="44"/>
        <v>0</v>
      </c>
      <c r="W121" s="42"/>
      <c r="X121" s="42"/>
      <c r="Y121" s="38">
        <f t="shared" si="43"/>
        <v>0</v>
      </c>
      <c r="Z121" s="42"/>
      <c r="AA121" s="42"/>
      <c r="AB121" s="42">
        <f t="shared" si="45"/>
        <v>0</v>
      </c>
      <c r="AD121" s="42"/>
      <c r="AE121" s="42"/>
      <c r="AF121" s="42">
        <f t="shared" si="46"/>
        <v>0</v>
      </c>
      <c r="AG121" s="42"/>
      <c r="AH121" s="42"/>
      <c r="AI121" s="42"/>
      <c r="AJ121" s="42">
        <f t="shared" si="47"/>
        <v>0</v>
      </c>
      <c r="AL121" s="42"/>
      <c r="AM121" s="42"/>
      <c r="AN121" s="42">
        <f t="shared" si="30"/>
        <v>0</v>
      </c>
      <c r="AO121" s="44"/>
      <c r="AP121" s="42"/>
      <c r="AQ121" s="42"/>
      <c r="AR121" s="42"/>
      <c r="AU121" s="98"/>
      <c r="AV121" s="35"/>
      <c r="AW121" s="104"/>
      <c r="AX121" s="42"/>
      <c r="AY121" s="42"/>
      <c r="AZ121" s="42">
        <f t="shared" si="27"/>
        <v>0</v>
      </c>
      <c r="BA121" s="42"/>
      <c r="BB121" s="42"/>
      <c r="BC121" s="42"/>
      <c r="BD121" s="38">
        <f t="shared" si="36"/>
        <v>0</v>
      </c>
      <c r="BE121" s="42"/>
      <c r="BF121" s="42"/>
      <c r="BG121" s="42"/>
      <c r="BH121" s="38">
        <f t="shared" si="37"/>
        <v>0</v>
      </c>
      <c r="BI121" s="42"/>
      <c r="BJ121" s="42"/>
      <c r="BK121" s="42"/>
      <c r="BL121" s="38">
        <f t="shared" si="38"/>
        <v>0</v>
      </c>
      <c r="BM121" s="42"/>
      <c r="BN121" s="42"/>
      <c r="BO121" s="42"/>
      <c r="BP121" s="42"/>
      <c r="BR121" s="42">
        <f t="shared" si="39"/>
        <v>0</v>
      </c>
      <c r="BS121" s="43">
        <f t="shared" si="40"/>
        <v>28617.563999999998</v>
      </c>
      <c r="BT121" s="42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  <c r="IM121" s="31"/>
      <c r="IN121" s="31"/>
      <c r="IO121" s="31"/>
      <c r="IP121" s="31"/>
      <c r="IQ121" s="31"/>
      <c r="IR121" s="31"/>
      <c r="IS121" s="31"/>
      <c r="IT121" s="31"/>
      <c r="IU121" s="31"/>
      <c r="IV121" s="31"/>
      <c r="IW121" s="31"/>
      <c r="IX121" s="31"/>
      <c r="IY121" s="31"/>
      <c r="IZ121" s="31"/>
      <c r="JA121" s="31"/>
      <c r="JB121" s="31"/>
      <c r="JC121" s="31"/>
      <c r="JD121" s="31"/>
      <c r="JE121" s="31"/>
      <c r="JF121" s="31"/>
      <c r="JG121" s="31"/>
      <c r="JH121" s="31"/>
      <c r="JI121" s="31"/>
      <c r="JJ121" s="31"/>
      <c r="JK121" s="31"/>
      <c r="JL121" s="31"/>
      <c r="JM121" s="31"/>
      <c r="JN121" s="31"/>
      <c r="JO121" s="31"/>
      <c r="JP121" s="31"/>
      <c r="JQ121" s="31"/>
      <c r="JR121" s="31"/>
      <c r="JS121" s="31"/>
      <c r="JT121" s="31"/>
      <c r="JU121" s="31"/>
      <c r="JV121" s="31"/>
      <c r="JW121" s="31"/>
      <c r="JX121" s="31"/>
      <c r="JY121" s="31"/>
      <c r="JZ121" s="31"/>
      <c r="KA121" s="31"/>
      <c r="KB121" s="31"/>
      <c r="KC121" s="31"/>
      <c r="KD121" s="31"/>
      <c r="KE121" s="31"/>
      <c r="KF121" s="31"/>
      <c r="KG121" s="31"/>
      <c r="KH121" s="31"/>
      <c r="KI121" s="31"/>
      <c r="KJ121" s="31"/>
      <c r="KK121" s="31"/>
      <c r="KL121" s="31"/>
      <c r="KM121" s="31"/>
      <c r="KN121" s="31"/>
      <c r="KO121" s="31"/>
      <c r="KP121" s="31"/>
      <c r="KQ121" s="31"/>
      <c r="KR121" s="31"/>
      <c r="KS121" s="31"/>
      <c r="KT121" s="31"/>
      <c r="KU121" s="31"/>
      <c r="KV121" s="31"/>
      <c r="KW121" s="31"/>
      <c r="KX121" s="31"/>
      <c r="KY121" s="31"/>
      <c r="KZ121" s="31"/>
      <c r="LA121" s="31"/>
      <c r="LB121" s="31"/>
      <c r="LC121" s="31"/>
      <c r="LD121" s="31"/>
      <c r="LE121" s="31"/>
      <c r="LF121" s="31"/>
      <c r="LG121" s="31"/>
      <c r="LH121" s="31"/>
      <c r="LI121" s="31"/>
      <c r="LJ121" s="31"/>
      <c r="LK121" s="31"/>
      <c r="LL121" s="31"/>
      <c r="LM121" s="31"/>
      <c r="LN121" s="31"/>
      <c r="LO121" s="31"/>
      <c r="LP121" s="31"/>
      <c r="LQ121" s="31"/>
      <c r="LR121" s="31"/>
      <c r="LS121" s="31"/>
      <c r="LT121" s="31"/>
      <c r="LU121" s="31"/>
      <c r="LV121" s="31"/>
      <c r="LW121" s="31"/>
      <c r="LX121" s="31"/>
      <c r="LY121" s="31"/>
      <c r="LZ121" s="31"/>
      <c r="MA121" s="31"/>
      <c r="MB121" s="31"/>
      <c r="MC121" s="31"/>
      <c r="MD121" s="31"/>
      <c r="ME121" s="31"/>
      <c r="MF121" s="31"/>
      <c r="MG121" s="31"/>
      <c r="MH121" s="31"/>
      <c r="MI121" s="31"/>
      <c r="MJ121" s="31"/>
      <c r="MK121" s="31"/>
      <c r="ML121" s="31"/>
      <c r="MM121" s="31"/>
      <c r="MN121" s="31"/>
      <c r="MO121" s="31"/>
      <c r="MP121" s="31"/>
      <c r="MQ121" s="31"/>
      <c r="MR121" s="31"/>
      <c r="MS121" s="31"/>
      <c r="MT121" s="31"/>
      <c r="MU121" s="31"/>
      <c r="MV121" s="31"/>
      <c r="MW121" s="31"/>
      <c r="MX121" s="31"/>
      <c r="MY121" s="31"/>
      <c r="MZ121" s="31"/>
      <c r="NA121" s="31"/>
      <c r="NB121" s="31"/>
      <c r="NC121" s="31"/>
      <c r="ND121" s="31"/>
      <c r="NE121" s="31"/>
      <c r="NF121" s="31"/>
      <c r="NG121" s="31"/>
      <c r="NH121" s="31"/>
      <c r="NI121" s="31"/>
      <c r="NJ121" s="31"/>
      <c r="NK121" s="31"/>
      <c r="NL121" s="31"/>
      <c r="NM121" s="31"/>
      <c r="NN121" s="31"/>
      <c r="NO121" s="31"/>
      <c r="NP121" s="31"/>
      <c r="NQ121" s="31"/>
      <c r="NR121" s="31"/>
      <c r="NS121" s="31"/>
      <c r="NT121" s="31"/>
      <c r="NU121" s="31"/>
      <c r="NV121" s="31"/>
      <c r="NW121" s="31"/>
      <c r="NX121" s="31"/>
      <c r="NY121" s="31"/>
      <c r="NZ121" s="31"/>
      <c r="OA121" s="31"/>
      <c r="OB121" s="31"/>
      <c r="OC121" s="31"/>
      <c r="OD121" s="31"/>
      <c r="OE121" s="31"/>
      <c r="OF121" s="31"/>
      <c r="OG121" s="31"/>
      <c r="OH121" s="31"/>
      <c r="OI121" s="31"/>
      <c r="OJ121" s="31"/>
      <c r="OK121" s="31"/>
      <c r="OL121" s="31"/>
      <c r="OM121" s="31"/>
      <c r="ON121" s="31"/>
      <c r="OO121" s="31"/>
      <c r="OP121" s="31"/>
      <c r="OQ121" s="31"/>
      <c r="OR121" s="31"/>
      <c r="OS121" s="31"/>
      <c r="OT121" s="31"/>
      <c r="OU121" s="31"/>
      <c r="OV121" s="31"/>
      <c r="OW121" s="31"/>
      <c r="OX121" s="31"/>
    </row>
    <row r="122" spans="2:414" s="25" customFormat="1" ht="15.6">
      <c r="B122" s="25" t="s">
        <v>202</v>
      </c>
      <c r="C122" s="27" t="s">
        <v>203</v>
      </c>
      <c r="D122" s="30" t="s">
        <v>201</v>
      </c>
      <c r="G122" s="42">
        <v>500</v>
      </c>
      <c r="H122" s="89">
        <v>26.109000000000002</v>
      </c>
      <c r="I122" s="38">
        <f t="shared" si="31"/>
        <v>13054.5</v>
      </c>
      <c r="K122" s="42">
        <v>500</v>
      </c>
      <c r="L122" s="90">
        <v>26.849599999999999</v>
      </c>
      <c r="M122" s="38">
        <f t="shared" si="32"/>
        <v>13424.8</v>
      </c>
      <c r="O122" s="38">
        <v>80</v>
      </c>
      <c r="P122" s="38">
        <v>26.728300000000001</v>
      </c>
      <c r="Q122" s="38">
        <f t="shared" si="33"/>
        <v>2138.2640000000001</v>
      </c>
      <c r="R122" s="43">
        <f t="shared" si="48"/>
        <v>1080</v>
      </c>
      <c r="S122" s="38">
        <f t="shared" si="34"/>
        <v>28617.563999999998</v>
      </c>
      <c r="T122" s="49">
        <v>315</v>
      </c>
      <c r="U122" s="42">
        <v>26.0579</v>
      </c>
      <c r="V122" s="38">
        <f t="shared" si="44"/>
        <v>8208.2384999999995</v>
      </c>
      <c r="W122" s="42">
        <v>85</v>
      </c>
      <c r="X122" s="42">
        <v>26.0579</v>
      </c>
      <c r="Y122" s="38">
        <f t="shared" si="43"/>
        <v>2214.9214999999999</v>
      </c>
      <c r="Z122" s="42">
        <v>100</v>
      </c>
      <c r="AA122" s="42">
        <v>26.0579</v>
      </c>
      <c r="AB122" s="42">
        <f t="shared" si="45"/>
        <v>2605.79</v>
      </c>
      <c r="AD122" s="42">
        <v>250</v>
      </c>
      <c r="AE122" s="42">
        <v>26.8719</v>
      </c>
      <c r="AF122" s="42">
        <f t="shared" si="46"/>
        <v>6717.9750000000004</v>
      </c>
      <c r="AG122" s="42"/>
      <c r="AH122" s="42">
        <v>250</v>
      </c>
      <c r="AI122" s="42">
        <v>26.7913</v>
      </c>
      <c r="AJ122" s="42">
        <f t="shared" si="47"/>
        <v>6697.8249999999998</v>
      </c>
      <c r="AL122" s="42"/>
      <c r="AM122" s="42"/>
      <c r="AN122" s="42">
        <f t="shared" si="30"/>
        <v>0</v>
      </c>
      <c r="AO122" s="44"/>
      <c r="AP122" s="42"/>
      <c r="AQ122" s="42"/>
      <c r="AR122" s="42"/>
      <c r="AU122" s="98"/>
      <c r="AV122" s="35"/>
      <c r="AW122" s="104"/>
      <c r="AX122" s="42"/>
      <c r="AY122" s="42"/>
      <c r="AZ122" s="42">
        <f t="shared" ref="AZ122:AZ185" si="49">AX122*AY122</f>
        <v>0</v>
      </c>
      <c r="BA122" s="42"/>
      <c r="BB122" s="42"/>
      <c r="BC122" s="42"/>
      <c r="BD122" s="38">
        <f t="shared" si="36"/>
        <v>0</v>
      </c>
      <c r="BE122" s="42"/>
      <c r="BF122" s="42"/>
      <c r="BG122" s="42"/>
      <c r="BH122" s="38">
        <f t="shared" si="37"/>
        <v>0</v>
      </c>
      <c r="BI122" s="42"/>
      <c r="BJ122" s="42"/>
      <c r="BK122" s="42"/>
      <c r="BL122" s="38">
        <f t="shared" si="38"/>
        <v>0</v>
      </c>
      <c r="BM122" s="42"/>
      <c r="BN122" s="42"/>
      <c r="BO122" s="42"/>
      <c r="BP122" s="42"/>
      <c r="BR122" s="42">
        <f t="shared" si="39"/>
        <v>26444.750000000004</v>
      </c>
      <c r="BS122" s="43">
        <f t="shared" si="40"/>
        <v>2172.8139999999948</v>
      </c>
      <c r="BT122" s="42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  <c r="JH122" s="31"/>
      <c r="JI122" s="31"/>
      <c r="JJ122" s="31"/>
      <c r="JK122" s="31"/>
      <c r="JL122" s="31"/>
      <c r="JM122" s="31"/>
      <c r="JN122" s="31"/>
      <c r="JO122" s="31"/>
      <c r="JP122" s="31"/>
      <c r="JQ122" s="31"/>
      <c r="JR122" s="31"/>
      <c r="JS122" s="31"/>
      <c r="JT122" s="31"/>
      <c r="JU122" s="31"/>
      <c r="JV122" s="31"/>
      <c r="JW122" s="31"/>
      <c r="JX122" s="31"/>
      <c r="JY122" s="31"/>
      <c r="JZ122" s="31"/>
      <c r="KA122" s="31"/>
      <c r="KB122" s="31"/>
      <c r="KC122" s="31"/>
      <c r="KD122" s="31"/>
      <c r="KE122" s="31"/>
      <c r="KF122" s="31"/>
      <c r="KG122" s="31"/>
      <c r="KH122" s="31"/>
      <c r="KI122" s="31"/>
      <c r="KJ122" s="31"/>
      <c r="KK122" s="31"/>
      <c r="KL122" s="31"/>
      <c r="KM122" s="31"/>
      <c r="KN122" s="31"/>
      <c r="KO122" s="31"/>
      <c r="KP122" s="31"/>
      <c r="KQ122" s="31"/>
      <c r="KR122" s="31"/>
      <c r="KS122" s="31"/>
      <c r="KT122" s="31"/>
      <c r="KU122" s="31"/>
      <c r="KV122" s="31"/>
      <c r="KW122" s="31"/>
      <c r="KX122" s="31"/>
      <c r="KY122" s="31"/>
      <c r="KZ122" s="31"/>
      <c r="LA122" s="31"/>
      <c r="LB122" s="31"/>
      <c r="LC122" s="31"/>
      <c r="LD122" s="31"/>
      <c r="LE122" s="31"/>
      <c r="LF122" s="31"/>
      <c r="LG122" s="31"/>
      <c r="LH122" s="31"/>
      <c r="LI122" s="31"/>
      <c r="LJ122" s="31"/>
      <c r="LK122" s="31"/>
      <c r="LL122" s="31"/>
      <c r="LM122" s="31"/>
      <c r="LN122" s="31"/>
      <c r="LO122" s="31"/>
      <c r="LP122" s="31"/>
      <c r="LQ122" s="31"/>
      <c r="LR122" s="31"/>
      <c r="LS122" s="31"/>
      <c r="LT122" s="31"/>
      <c r="LU122" s="31"/>
      <c r="LV122" s="31"/>
      <c r="LW122" s="31"/>
      <c r="LX122" s="31"/>
      <c r="LY122" s="31"/>
      <c r="LZ122" s="31"/>
      <c r="MA122" s="31"/>
      <c r="MB122" s="31"/>
      <c r="MC122" s="31"/>
      <c r="MD122" s="31"/>
      <c r="ME122" s="31"/>
      <c r="MF122" s="31"/>
      <c r="MG122" s="31"/>
      <c r="MH122" s="31"/>
      <c r="MI122" s="31"/>
      <c r="MJ122" s="31"/>
      <c r="MK122" s="31"/>
      <c r="ML122" s="31"/>
      <c r="MM122" s="31"/>
      <c r="MN122" s="31"/>
      <c r="MO122" s="31"/>
      <c r="MP122" s="31"/>
      <c r="MQ122" s="31"/>
      <c r="MR122" s="31"/>
      <c r="MS122" s="31"/>
      <c r="MT122" s="31"/>
      <c r="MU122" s="31"/>
      <c r="MV122" s="31"/>
      <c r="MW122" s="31"/>
      <c r="MX122" s="31"/>
      <c r="MY122" s="31"/>
      <c r="MZ122" s="31"/>
      <c r="NA122" s="31"/>
      <c r="NB122" s="31"/>
      <c r="NC122" s="31"/>
      <c r="ND122" s="31"/>
      <c r="NE122" s="31"/>
      <c r="NF122" s="31"/>
      <c r="NG122" s="31"/>
      <c r="NH122" s="31"/>
      <c r="NI122" s="31"/>
      <c r="NJ122" s="31"/>
      <c r="NK122" s="31"/>
      <c r="NL122" s="31"/>
      <c r="NM122" s="31"/>
      <c r="NN122" s="31"/>
      <c r="NO122" s="31"/>
      <c r="NP122" s="31"/>
      <c r="NQ122" s="31"/>
      <c r="NR122" s="31"/>
      <c r="NS122" s="31"/>
      <c r="NT122" s="31"/>
      <c r="NU122" s="31"/>
      <c r="NV122" s="31"/>
      <c r="NW122" s="31"/>
      <c r="NX122" s="31"/>
      <c r="NY122" s="31"/>
      <c r="NZ122" s="31"/>
      <c r="OA122" s="31"/>
      <c r="OB122" s="31"/>
      <c r="OC122" s="31"/>
      <c r="OD122" s="31"/>
      <c r="OE122" s="31"/>
      <c r="OF122" s="31"/>
      <c r="OG122" s="31"/>
      <c r="OH122" s="31"/>
      <c r="OI122" s="31"/>
      <c r="OJ122" s="31"/>
      <c r="OK122" s="31"/>
      <c r="OL122" s="31"/>
      <c r="OM122" s="31"/>
      <c r="ON122" s="31"/>
      <c r="OO122" s="31"/>
      <c r="OP122" s="31"/>
      <c r="OQ122" s="31"/>
      <c r="OR122" s="31"/>
      <c r="OS122" s="31"/>
      <c r="OT122" s="31"/>
      <c r="OU122" s="31"/>
      <c r="OV122" s="31"/>
      <c r="OW122" s="31"/>
      <c r="OX122" s="31"/>
    </row>
    <row r="123" spans="2:414" s="25" customFormat="1" ht="15.6">
      <c r="B123" s="25" t="s">
        <v>204</v>
      </c>
      <c r="C123" s="27" t="s">
        <v>205</v>
      </c>
      <c r="D123" s="30" t="s">
        <v>201</v>
      </c>
      <c r="G123" s="42">
        <v>500</v>
      </c>
      <c r="H123" s="89">
        <v>26.109000000000002</v>
      </c>
      <c r="I123" s="38">
        <f t="shared" si="31"/>
        <v>13054.5</v>
      </c>
      <c r="K123" s="42">
        <v>500</v>
      </c>
      <c r="L123" s="90">
        <v>26.849599999999999</v>
      </c>
      <c r="M123" s="38">
        <f t="shared" si="32"/>
        <v>13424.8</v>
      </c>
      <c r="O123" s="38">
        <v>80</v>
      </c>
      <c r="P123" s="38">
        <v>26.728300000000001</v>
      </c>
      <c r="Q123" s="38">
        <f t="shared" si="33"/>
        <v>2138.2640000000001</v>
      </c>
      <c r="R123" s="43">
        <f t="shared" si="48"/>
        <v>1080</v>
      </c>
      <c r="S123" s="38">
        <f t="shared" si="34"/>
        <v>28617.563999999998</v>
      </c>
      <c r="T123" s="49"/>
      <c r="U123" s="42">
        <v>26.0108</v>
      </c>
      <c r="V123" s="38">
        <f t="shared" si="44"/>
        <v>0</v>
      </c>
      <c r="W123" s="42">
        <v>85</v>
      </c>
      <c r="X123" s="42"/>
      <c r="Y123" s="38">
        <f t="shared" si="43"/>
        <v>0</v>
      </c>
      <c r="Z123" s="42">
        <v>85</v>
      </c>
      <c r="AA123" s="42">
        <v>26.869499999999999</v>
      </c>
      <c r="AB123" s="42">
        <f t="shared" si="45"/>
        <v>2283.9074999999998</v>
      </c>
      <c r="AD123" s="42">
        <v>300</v>
      </c>
      <c r="AE123" s="42">
        <v>26.869499999999999</v>
      </c>
      <c r="AF123" s="42">
        <f t="shared" si="46"/>
        <v>8060.8499999999995</v>
      </c>
      <c r="AG123" s="42"/>
      <c r="AH123" s="42"/>
      <c r="AI123" s="42">
        <v>26.864000000000001</v>
      </c>
      <c r="AJ123" s="42">
        <v>3242</v>
      </c>
      <c r="AL123" s="42"/>
      <c r="AM123" s="42"/>
      <c r="AN123" s="42">
        <f t="shared" si="30"/>
        <v>0</v>
      </c>
      <c r="AO123" s="44"/>
      <c r="AP123" s="42"/>
      <c r="AQ123" s="42"/>
      <c r="AR123" s="42"/>
      <c r="AU123" s="98"/>
      <c r="AV123" s="35"/>
      <c r="AW123" s="104"/>
      <c r="AX123" s="42"/>
      <c r="AY123" s="42"/>
      <c r="AZ123" s="42">
        <f t="shared" si="49"/>
        <v>0</v>
      </c>
      <c r="BA123" s="42"/>
      <c r="BB123" s="42"/>
      <c r="BC123" s="42"/>
      <c r="BD123" s="38">
        <f t="shared" si="36"/>
        <v>0</v>
      </c>
      <c r="BE123" s="42"/>
      <c r="BF123" s="42"/>
      <c r="BG123" s="42"/>
      <c r="BH123" s="38">
        <f t="shared" si="37"/>
        <v>0</v>
      </c>
      <c r="BI123" s="42"/>
      <c r="BJ123" s="42"/>
      <c r="BK123" s="42"/>
      <c r="BL123" s="38">
        <f t="shared" si="38"/>
        <v>0</v>
      </c>
      <c r="BM123" s="42"/>
      <c r="BN123" s="42"/>
      <c r="BO123" s="42"/>
      <c r="BP123" s="42"/>
      <c r="BR123" s="42">
        <f t="shared" si="39"/>
        <v>13586.7575</v>
      </c>
      <c r="BS123" s="43">
        <f t="shared" si="40"/>
        <v>15030.806499999999</v>
      </c>
      <c r="BT123" s="42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  <c r="IM123" s="31"/>
      <c r="IN123" s="31"/>
      <c r="IO123" s="31"/>
      <c r="IP123" s="31"/>
      <c r="IQ123" s="31"/>
      <c r="IR123" s="31"/>
      <c r="IS123" s="31"/>
      <c r="IT123" s="31"/>
      <c r="IU123" s="31"/>
      <c r="IV123" s="31"/>
      <c r="IW123" s="31"/>
      <c r="IX123" s="31"/>
      <c r="IY123" s="31"/>
      <c r="IZ123" s="31"/>
      <c r="JA123" s="31"/>
      <c r="JB123" s="31"/>
      <c r="JC123" s="31"/>
      <c r="JD123" s="31"/>
      <c r="JE123" s="31"/>
      <c r="JF123" s="31"/>
      <c r="JG123" s="31"/>
      <c r="JH123" s="31"/>
      <c r="JI123" s="31"/>
      <c r="JJ123" s="31"/>
      <c r="JK123" s="31"/>
      <c r="JL123" s="31"/>
      <c r="JM123" s="31"/>
      <c r="JN123" s="31"/>
      <c r="JO123" s="31"/>
      <c r="JP123" s="31"/>
      <c r="JQ123" s="31"/>
      <c r="JR123" s="31"/>
      <c r="JS123" s="31"/>
      <c r="JT123" s="31"/>
      <c r="JU123" s="31"/>
      <c r="JV123" s="31"/>
      <c r="JW123" s="31"/>
      <c r="JX123" s="31"/>
      <c r="JY123" s="31"/>
      <c r="JZ123" s="31"/>
      <c r="KA123" s="31"/>
      <c r="KB123" s="31"/>
      <c r="KC123" s="31"/>
      <c r="KD123" s="31"/>
      <c r="KE123" s="31"/>
      <c r="KF123" s="31"/>
      <c r="KG123" s="31"/>
      <c r="KH123" s="31"/>
      <c r="KI123" s="31"/>
      <c r="KJ123" s="31"/>
      <c r="KK123" s="31"/>
      <c r="KL123" s="31"/>
      <c r="KM123" s="31"/>
      <c r="KN123" s="31"/>
      <c r="KO123" s="31"/>
      <c r="KP123" s="31"/>
      <c r="KQ123" s="31"/>
      <c r="KR123" s="31"/>
      <c r="KS123" s="31"/>
      <c r="KT123" s="31"/>
      <c r="KU123" s="31"/>
      <c r="KV123" s="31"/>
      <c r="KW123" s="31"/>
      <c r="KX123" s="31"/>
      <c r="KY123" s="31"/>
      <c r="KZ123" s="31"/>
      <c r="LA123" s="31"/>
      <c r="LB123" s="31"/>
      <c r="LC123" s="31"/>
      <c r="LD123" s="31"/>
      <c r="LE123" s="31"/>
      <c r="LF123" s="31"/>
      <c r="LG123" s="31"/>
      <c r="LH123" s="31"/>
      <c r="LI123" s="31"/>
      <c r="LJ123" s="31"/>
      <c r="LK123" s="31"/>
      <c r="LL123" s="31"/>
      <c r="LM123" s="31"/>
      <c r="LN123" s="31"/>
      <c r="LO123" s="31"/>
      <c r="LP123" s="31"/>
      <c r="LQ123" s="31"/>
      <c r="LR123" s="31"/>
      <c r="LS123" s="31"/>
      <c r="LT123" s="31"/>
      <c r="LU123" s="31"/>
      <c r="LV123" s="31"/>
      <c r="LW123" s="31"/>
      <c r="LX123" s="31"/>
      <c r="LY123" s="31"/>
      <c r="LZ123" s="31"/>
      <c r="MA123" s="31"/>
      <c r="MB123" s="31"/>
      <c r="MC123" s="31"/>
      <c r="MD123" s="31"/>
      <c r="ME123" s="31"/>
      <c r="MF123" s="31"/>
      <c r="MG123" s="31"/>
      <c r="MH123" s="31"/>
      <c r="MI123" s="31"/>
      <c r="MJ123" s="31"/>
      <c r="MK123" s="31"/>
      <c r="ML123" s="31"/>
      <c r="MM123" s="31"/>
      <c r="MN123" s="31"/>
      <c r="MO123" s="31"/>
      <c r="MP123" s="31"/>
      <c r="MQ123" s="31"/>
      <c r="MR123" s="31"/>
      <c r="MS123" s="31"/>
      <c r="MT123" s="31"/>
      <c r="MU123" s="31"/>
      <c r="MV123" s="31"/>
      <c r="MW123" s="31"/>
      <c r="MX123" s="31"/>
      <c r="MY123" s="31"/>
      <c r="MZ123" s="31"/>
      <c r="NA123" s="31"/>
      <c r="NB123" s="31"/>
      <c r="NC123" s="31"/>
      <c r="ND123" s="31"/>
      <c r="NE123" s="31"/>
      <c r="NF123" s="31"/>
      <c r="NG123" s="31"/>
      <c r="NH123" s="31"/>
      <c r="NI123" s="31"/>
      <c r="NJ123" s="31"/>
      <c r="NK123" s="31"/>
      <c r="NL123" s="31"/>
      <c r="NM123" s="31"/>
      <c r="NN123" s="31"/>
      <c r="NO123" s="31"/>
      <c r="NP123" s="31"/>
      <c r="NQ123" s="31"/>
      <c r="NR123" s="31"/>
      <c r="NS123" s="31"/>
      <c r="NT123" s="31"/>
      <c r="NU123" s="31"/>
      <c r="NV123" s="31"/>
      <c r="NW123" s="31"/>
      <c r="NX123" s="31"/>
      <c r="NY123" s="31"/>
      <c r="NZ123" s="31"/>
      <c r="OA123" s="31"/>
      <c r="OB123" s="31"/>
      <c r="OC123" s="31"/>
      <c r="OD123" s="31"/>
      <c r="OE123" s="31"/>
      <c r="OF123" s="31"/>
      <c r="OG123" s="31"/>
      <c r="OH123" s="31"/>
      <c r="OI123" s="31"/>
      <c r="OJ123" s="31"/>
      <c r="OK123" s="31"/>
      <c r="OL123" s="31"/>
      <c r="OM123" s="31"/>
      <c r="ON123" s="31"/>
      <c r="OO123" s="31"/>
      <c r="OP123" s="31"/>
      <c r="OQ123" s="31"/>
      <c r="OR123" s="31"/>
      <c r="OS123" s="31"/>
      <c r="OT123" s="31"/>
      <c r="OU123" s="31"/>
      <c r="OV123" s="31"/>
      <c r="OW123" s="31"/>
      <c r="OX123" s="31"/>
    </row>
    <row r="124" spans="2:414" s="25" customFormat="1" ht="15.6">
      <c r="B124" s="25" t="s">
        <v>206</v>
      </c>
      <c r="C124" s="27" t="s">
        <v>72</v>
      </c>
      <c r="D124" s="30" t="s">
        <v>201</v>
      </c>
      <c r="G124" s="42">
        <v>500</v>
      </c>
      <c r="H124" s="89">
        <v>26.109000000000002</v>
      </c>
      <c r="I124" s="38">
        <f t="shared" si="31"/>
        <v>13054.5</v>
      </c>
      <c r="K124" s="42">
        <v>500</v>
      </c>
      <c r="L124" s="90">
        <v>26.849599999999999</v>
      </c>
      <c r="M124" s="38">
        <f t="shared" si="32"/>
        <v>13424.8</v>
      </c>
      <c r="O124" s="38">
        <v>80</v>
      </c>
      <c r="P124" s="38">
        <v>26.728300000000001</v>
      </c>
      <c r="Q124" s="38">
        <f t="shared" si="33"/>
        <v>2138.2640000000001</v>
      </c>
      <c r="R124" s="43">
        <f t="shared" si="48"/>
        <v>1080</v>
      </c>
      <c r="S124" s="38">
        <f t="shared" si="34"/>
        <v>28617.563999999998</v>
      </c>
      <c r="T124" s="49">
        <v>85</v>
      </c>
      <c r="U124" s="42"/>
      <c r="V124" s="38">
        <f t="shared" si="44"/>
        <v>0</v>
      </c>
      <c r="W124" s="42">
        <v>180</v>
      </c>
      <c r="X124" s="42"/>
      <c r="Y124" s="38">
        <f t="shared" si="43"/>
        <v>0</v>
      </c>
      <c r="Z124" s="42">
        <v>110</v>
      </c>
      <c r="AA124" s="42">
        <v>26.150300000000001</v>
      </c>
      <c r="AB124" s="42">
        <f t="shared" si="45"/>
        <v>2876.5330000000004</v>
      </c>
      <c r="AD124" s="42">
        <v>152</v>
      </c>
      <c r="AE124" s="42">
        <v>26.150300000000001</v>
      </c>
      <c r="AF124" s="42">
        <f t="shared" si="46"/>
        <v>3974.8456000000001</v>
      </c>
      <c r="AG124" s="42"/>
      <c r="AH124" s="42"/>
      <c r="AI124" s="42"/>
      <c r="AJ124" s="42">
        <f>AH124*AI124</f>
        <v>0</v>
      </c>
      <c r="AL124" s="42"/>
      <c r="AM124" s="42"/>
      <c r="AN124" s="42">
        <f t="shared" si="30"/>
        <v>0</v>
      </c>
      <c r="AO124" s="44"/>
      <c r="AP124" s="42"/>
      <c r="AQ124" s="42"/>
      <c r="AR124" s="42"/>
      <c r="AU124" s="98"/>
      <c r="AV124" s="35"/>
      <c r="AW124" s="104"/>
      <c r="AX124" s="42"/>
      <c r="AY124" s="42"/>
      <c r="AZ124" s="42">
        <f t="shared" si="49"/>
        <v>0</v>
      </c>
      <c r="BA124" s="42"/>
      <c r="BB124" s="42"/>
      <c r="BC124" s="42"/>
      <c r="BD124" s="38">
        <f t="shared" si="36"/>
        <v>0</v>
      </c>
      <c r="BE124" s="42"/>
      <c r="BF124" s="42"/>
      <c r="BG124" s="42"/>
      <c r="BH124" s="38">
        <f t="shared" si="37"/>
        <v>0</v>
      </c>
      <c r="BI124" s="42"/>
      <c r="BJ124" s="42"/>
      <c r="BK124" s="42"/>
      <c r="BL124" s="38">
        <f t="shared" si="38"/>
        <v>0</v>
      </c>
      <c r="BM124" s="42"/>
      <c r="BN124" s="42"/>
      <c r="BO124" s="42"/>
      <c r="BP124" s="42"/>
      <c r="BR124" s="42">
        <f t="shared" si="39"/>
        <v>6851.3786</v>
      </c>
      <c r="BS124" s="43">
        <f t="shared" si="40"/>
        <v>21766.185399999998</v>
      </c>
      <c r="BT124" s="42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  <c r="JH124" s="31"/>
      <c r="JI124" s="31"/>
      <c r="JJ124" s="31"/>
      <c r="JK124" s="31"/>
      <c r="JL124" s="31"/>
      <c r="JM124" s="31"/>
      <c r="JN124" s="31"/>
      <c r="JO124" s="31"/>
      <c r="JP124" s="31"/>
      <c r="JQ124" s="31"/>
      <c r="JR124" s="31"/>
      <c r="JS124" s="31"/>
      <c r="JT124" s="31"/>
      <c r="JU124" s="31"/>
      <c r="JV124" s="31"/>
      <c r="JW124" s="31"/>
      <c r="JX124" s="31"/>
      <c r="JY124" s="31"/>
      <c r="JZ124" s="31"/>
      <c r="KA124" s="31"/>
      <c r="KB124" s="31"/>
      <c r="KC124" s="31"/>
      <c r="KD124" s="31"/>
      <c r="KE124" s="31"/>
      <c r="KF124" s="31"/>
      <c r="KG124" s="31"/>
      <c r="KH124" s="31"/>
      <c r="KI124" s="31"/>
      <c r="KJ124" s="31"/>
      <c r="KK124" s="31"/>
      <c r="KL124" s="31"/>
      <c r="KM124" s="31"/>
      <c r="KN124" s="31"/>
      <c r="KO124" s="31"/>
      <c r="KP124" s="31"/>
      <c r="KQ124" s="31"/>
      <c r="KR124" s="31"/>
      <c r="KS124" s="31"/>
      <c r="KT124" s="31"/>
      <c r="KU124" s="31"/>
      <c r="KV124" s="31"/>
      <c r="KW124" s="31"/>
      <c r="KX124" s="31"/>
      <c r="KY124" s="31"/>
      <c r="KZ124" s="31"/>
      <c r="LA124" s="31"/>
      <c r="LB124" s="31"/>
      <c r="LC124" s="31"/>
      <c r="LD124" s="31"/>
      <c r="LE124" s="31"/>
      <c r="LF124" s="31"/>
      <c r="LG124" s="31"/>
      <c r="LH124" s="31"/>
      <c r="LI124" s="31"/>
      <c r="LJ124" s="31"/>
      <c r="LK124" s="31"/>
      <c r="LL124" s="31"/>
      <c r="LM124" s="31"/>
      <c r="LN124" s="31"/>
      <c r="LO124" s="31"/>
      <c r="LP124" s="31"/>
      <c r="LQ124" s="31"/>
      <c r="LR124" s="31"/>
      <c r="LS124" s="31"/>
      <c r="LT124" s="31"/>
      <c r="LU124" s="31"/>
      <c r="LV124" s="31"/>
      <c r="LW124" s="31"/>
      <c r="LX124" s="31"/>
      <c r="LY124" s="31"/>
      <c r="LZ124" s="31"/>
      <c r="MA124" s="31"/>
      <c r="MB124" s="31"/>
      <c r="MC124" s="31"/>
      <c r="MD124" s="31"/>
      <c r="ME124" s="31"/>
      <c r="MF124" s="31"/>
      <c r="MG124" s="31"/>
      <c r="MH124" s="31"/>
      <c r="MI124" s="31"/>
      <c r="MJ124" s="31"/>
      <c r="MK124" s="31"/>
      <c r="ML124" s="31"/>
      <c r="MM124" s="31"/>
      <c r="MN124" s="31"/>
      <c r="MO124" s="31"/>
      <c r="MP124" s="31"/>
      <c r="MQ124" s="31"/>
      <c r="MR124" s="31"/>
      <c r="MS124" s="31"/>
      <c r="MT124" s="31"/>
      <c r="MU124" s="31"/>
      <c r="MV124" s="31"/>
      <c r="MW124" s="31"/>
      <c r="MX124" s="31"/>
      <c r="MY124" s="31"/>
      <c r="MZ124" s="31"/>
      <c r="NA124" s="31"/>
      <c r="NB124" s="31"/>
      <c r="NC124" s="31"/>
      <c r="ND124" s="31"/>
      <c r="NE124" s="31"/>
      <c r="NF124" s="31"/>
      <c r="NG124" s="31"/>
      <c r="NH124" s="31"/>
      <c r="NI124" s="31"/>
      <c r="NJ124" s="31"/>
      <c r="NK124" s="31"/>
      <c r="NL124" s="31"/>
      <c r="NM124" s="31"/>
      <c r="NN124" s="31"/>
      <c r="NO124" s="31"/>
      <c r="NP124" s="31"/>
      <c r="NQ124" s="31"/>
      <c r="NR124" s="31"/>
      <c r="NS124" s="31"/>
      <c r="NT124" s="31"/>
      <c r="NU124" s="31"/>
      <c r="NV124" s="31"/>
      <c r="NW124" s="31"/>
      <c r="NX124" s="31"/>
      <c r="NY124" s="31"/>
      <c r="NZ124" s="31"/>
      <c r="OA124" s="31"/>
      <c r="OB124" s="31"/>
      <c r="OC124" s="31"/>
      <c r="OD124" s="31"/>
      <c r="OE124" s="31"/>
      <c r="OF124" s="31"/>
      <c r="OG124" s="31"/>
      <c r="OH124" s="31"/>
      <c r="OI124" s="31"/>
      <c r="OJ124" s="31"/>
      <c r="OK124" s="31"/>
      <c r="OL124" s="31"/>
      <c r="OM124" s="31"/>
      <c r="ON124" s="31"/>
      <c r="OO124" s="31"/>
      <c r="OP124" s="31"/>
      <c r="OQ124" s="31"/>
      <c r="OR124" s="31"/>
      <c r="OS124" s="31"/>
      <c r="OT124" s="31"/>
      <c r="OU124" s="31"/>
      <c r="OV124" s="31"/>
      <c r="OW124" s="31"/>
      <c r="OX124" s="31"/>
    </row>
    <row r="125" spans="2:414" s="25" customFormat="1" ht="15.6">
      <c r="B125" s="25" t="s">
        <v>207</v>
      </c>
      <c r="C125" s="27" t="s">
        <v>44</v>
      </c>
      <c r="D125" s="30" t="s">
        <v>201</v>
      </c>
      <c r="G125" s="42">
        <v>500</v>
      </c>
      <c r="H125" s="89">
        <v>26.109000000000002</v>
      </c>
      <c r="I125" s="38">
        <f t="shared" si="31"/>
        <v>13054.5</v>
      </c>
      <c r="K125" s="42">
        <v>500</v>
      </c>
      <c r="L125" s="90">
        <v>26.849599999999999</v>
      </c>
      <c r="M125" s="38">
        <f t="shared" si="32"/>
        <v>13424.8</v>
      </c>
      <c r="O125" s="38">
        <v>80</v>
      </c>
      <c r="P125" s="38">
        <v>26.728300000000001</v>
      </c>
      <c r="Q125" s="38">
        <f t="shared" si="33"/>
        <v>2138.2640000000001</v>
      </c>
      <c r="R125" s="43">
        <f t="shared" si="48"/>
        <v>1080</v>
      </c>
      <c r="S125" s="38">
        <f t="shared" si="34"/>
        <v>28617.563999999998</v>
      </c>
      <c r="T125" s="49">
        <v>415</v>
      </c>
      <c r="U125" s="42">
        <v>26.150300000000001</v>
      </c>
      <c r="V125" s="38">
        <f t="shared" si="44"/>
        <v>10852.3745</v>
      </c>
      <c r="W125" s="42">
        <v>85</v>
      </c>
      <c r="X125" s="42">
        <v>26.150300000000001</v>
      </c>
      <c r="Y125" s="38">
        <f t="shared" si="43"/>
        <v>2222.7755000000002</v>
      </c>
      <c r="Z125" s="42">
        <v>415</v>
      </c>
      <c r="AA125" s="42">
        <v>26.861899999999999</v>
      </c>
      <c r="AB125" s="42">
        <f t="shared" si="45"/>
        <v>11147.6885</v>
      </c>
      <c r="AD125" s="42">
        <v>85</v>
      </c>
      <c r="AE125" s="42">
        <v>26.861899999999999</v>
      </c>
      <c r="AF125" s="42">
        <f t="shared" si="46"/>
        <v>2283.2615000000001</v>
      </c>
      <c r="AG125" s="42"/>
      <c r="AH125" s="42"/>
      <c r="AI125" s="42"/>
      <c r="AJ125" s="42">
        <f t="shared" ref="AJ125:AJ177" si="50">AH125*AI125</f>
        <v>0</v>
      </c>
      <c r="AL125" s="42"/>
      <c r="AM125" s="42"/>
      <c r="AN125" s="42">
        <f t="shared" si="30"/>
        <v>0</v>
      </c>
      <c r="AO125" s="44"/>
      <c r="AP125" s="42"/>
      <c r="AQ125" s="42"/>
      <c r="AR125" s="42"/>
      <c r="AU125" s="98"/>
      <c r="AV125" s="35"/>
      <c r="AW125" s="104"/>
      <c r="AX125" s="42"/>
      <c r="AY125" s="42"/>
      <c r="AZ125" s="42">
        <f t="shared" si="49"/>
        <v>0</v>
      </c>
      <c r="BA125" s="42"/>
      <c r="BB125" s="42"/>
      <c r="BC125" s="42"/>
      <c r="BD125" s="38">
        <f t="shared" si="36"/>
        <v>0</v>
      </c>
      <c r="BE125" s="42"/>
      <c r="BF125" s="42"/>
      <c r="BG125" s="42"/>
      <c r="BH125" s="38">
        <f t="shared" si="37"/>
        <v>0</v>
      </c>
      <c r="BI125" s="42"/>
      <c r="BJ125" s="42"/>
      <c r="BK125" s="42"/>
      <c r="BL125" s="38">
        <f t="shared" si="38"/>
        <v>0</v>
      </c>
      <c r="BM125" s="42"/>
      <c r="BN125" s="42"/>
      <c r="BO125" s="42"/>
      <c r="BP125" s="42"/>
      <c r="BR125" s="42">
        <f t="shared" si="39"/>
        <v>26506.1</v>
      </c>
      <c r="BS125" s="43">
        <f t="shared" si="40"/>
        <v>2111.4639999999999</v>
      </c>
      <c r="BT125" s="42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  <c r="JH125" s="31"/>
      <c r="JI125" s="31"/>
      <c r="JJ125" s="31"/>
      <c r="JK125" s="31"/>
      <c r="JL125" s="31"/>
      <c r="JM125" s="31"/>
      <c r="JN125" s="31"/>
      <c r="JO125" s="31"/>
      <c r="JP125" s="31"/>
      <c r="JQ125" s="31"/>
      <c r="JR125" s="31"/>
      <c r="JS125" s="31"/>
      <c r="JT125" s="31"/>
      <c r="JU125" s="31"/>
      <c r="JV125" s="31"/>
      <c r="JW125" s="31"/>
      <c r="JX125" s="31"/>
      <c r="JY125" s="31"/>
      <c r="JZ125" s="31"/>
      <c r="KA125" s="31"/>
      <c r="KB125" s="31"/>
      <c r="KC125" s="31"/>
      <c r="KD125" s="31"/>
      <c r="KE125" s="31"/>
      <c r="KF125" s="31"/>
      <c r="KG125" s="31"/>
      <c r="KH125" s="31"/>
      <c r="KI125" s="31"/>
      <c r="KJ125" s="31"/>
      <c r="KK125" s="31"/>
      <c r="KL125" s="31"/>
      <c r="KM125" s="31"/>
      <c r="KN125" s="31"/>
      <c r="KO125" s="31"/>
      <c r="KP125" s="31"/>
      <c r="KQ125" s="31"/>
      <c r="KR125" s="31"/>
      <c r="KS125" s="31"/>
      <c r="KT125" s="31"/>
      <c r="KU125" s="31"/>
      <c r="KV125" s="31"/>
      <c r="KW125" s="31"/>
      <c r="KX125" s="31"/>
      <c r="KY125" s="31"/>
      <c r="KZ125" s="31"/>
      <c r="LA125" s="31"/>
      <c r="LB125" s="31"/>
      <c r="LC125" s="31"/>
      <c r="LD125" s="31"/>
      <c r="LE125" s="31"/>
      <c r="LF125" s="31"/>
      <c r="LG125" s="31"/>
      <c r="LH125" s="31"/>
      <c r="LI125" s="31"/>
      <c r="LJ125" s="31"/>
      <c r="LK125" s="31"/>
      <c r="LL125" s="31"/>
      <c r="LM125" s="31"/>
      <c r="LN125" s="31"/>
      <c r="LO125" s="31"/>
      <c r="LP125" s="31"/>
      <c r="LQ125" s="31"/>
      <c r="LR125" s="31"/>
      <c r="LS125" s="31"/>
      <c r="LT125" s="31"/>
      <c r="LU125" s="31"/>
      <c r="LV125" s="31"/>
      <c r="LW125" s="31"/>
      <c r="LX125" s="31"/>
      <c r="LY125" s="31"/>
      <c r="LZ125" s="31"/>
      <c r="MA125" s="31"/>
      <c r="MB125" s="31"/>
      <c r="MC125" s="31"/>
      <c r="MD125" s="31"/>
      <c r="ME125" s="31"/>
      <c r="MF125" s="31"/>
      <c r="MG125" s="31"/>
      <c r="MH125" s="31"/>
      <c r="MI125" s="31"/>
      <c r="MJ125" s="31"/>
      <c r="MK125" s="31"/>
      <c r="ML125" s="31"/>
      <c r="MM125" s="31"/>
      <c r="MN125" s="31"/>
      <c r="MO125" s="31"/>
      <c r="MP125" s="31"/>
      <c r="MQ125" s="31"/>
      <c r="MR125" s="31"/>
      <c r="MS125" s="31"/>
      <c r="MT125" s="31"/>
      <c r="MU125" s="31"/>
      <c r="MV125" s="31"/>
      <c r="MW125" s="31"/>
      <c r="MX125" s="31"/>
      <c r="MY125" s="31"/>
      <c r="MZ125" s="31"/>
      <c r="NA125" s="31"/>
      <c r="NB125" s="31"/>
      <c r="NC125" s="31"/>
      <c r="ND125" s="31"/>
      <c r="NE125" s="31"/>
      <c r="NF125" s="31"/>
      <c r="NG125" s="31"/>
      <c r="NH125" s="31"/>
      <c r="NI125" s="31"/>
      <c r="NJ125" s="31"/>
      <c r="NK125" s="31"/>
      <c r="NL125" s="31"/>
      <c r="NM125" s="31"/>
      <c r="NN125" s="31"/>
      <c r="NO125" s="31"/>
      <c r="NP125" s="31"/>
      <c r="NQ125" s="31"/>
      <c r="NR125" s="31"/>
      <c r="NS125" s="31"/>
      <c r="NT125" s="31"/>
      <c r="NU125" s="31"/>
      <c r="NV125" s="31"/>
      <c r="NW125" s="31"/>
      <c r="NX125" s="31"/>
      <c r="NY125" s="31"/>
      <c r="NZ125" s="31"/>
      <c r="OA125" s="31"/>
      <c r="OB125" s="31"/>
      <c r="OC125" s="31"/>
      <c r="OD125" s="31"/>
      <c r="OE125" s="31"/>
      <c r="OF125" s="31"/>
      <c r="OG125" s="31"/>
      <c r="OH125" s="31"/>
      <c r="OI125" s="31"/>
      <c r="OJ125" s="31"/>
      <c r="OK125" s="31"/>
      <c r="OL125" s="31"/>
      <c r="OM125" s="31"/>
      <c r="ON125" s="31"/>
      <c r="OO125" s="31"/>
      <c r="OP125" s="31"/>
      <c r="OQ125" s="31"/>
      <c r="OR125" s="31"/>
      <c r="OS125" s="31"/>
      <c r="OT125" s="31"/>
      <c r="OU125" s="31"/>
      <c r="OV125" s="31"/>
      <c r="OW125" s="31"/>
      <c r="OX125" s="31"/>
    </row>
    <row r="126" spans="2:414" s="25" customFormat="1" ht="15.6">
      <c r="B126" s="25" t="s">
        <v>208</v>
      </c>
      <c r="C126" s="27" t="s">
        <v>173</v>
      </c>
      <c r="D126" s="30" t="s">
        <v>201</v>
      </c>
      <c r="G126" s="42">
        <v>500</v>
      </c>
      <c r="H126" s="89">
        <v>26.109000000000002</v>
      </c>
      <c r="I126" s="38">
        <f t="shared" si="31"/>
        <v>13054.5</v>
      </c>
      <c r="K126" s="42">
        <v>500</v>
      </c>
      <c r="L126" s="90">
        <v>26.849599999999999</v>
      </c>
      <c r="M126" s="38">
        <f t="shared" si="32"/>
        <v>13424.8</v>
      </c>
      <c r="O126" s="38">
        <v>80</v>
      </c>
      <c r="P126" s="38">
        <v>26.728300000000001</v>
      </c>
      <c r="Q126" s="38">
        <f t="shared" si="33"/>
        <v>2138.2640000000001</v>
      </c>
      <c r="R126" s="43">
        <f t="shared" si="48"/>
        <v>1080</v>
      </c>
      <c r="S126" s="38">
        <f t="shared" si="34"/>
        <v>28617.563999999998</v>
      </c>
      <c r="T126" s="49">
        <v>85</v>
      </c>
      <c r="U126" s="42">
        <v>26.261399999999998</v>
      </c>
      <c r="V126" s="38">
        <f t="shared" si="44"/>
        <v>2232.2190000000001</v>
      </c>
      <c r="W126" s="42">
        <v>415</v>
      </c>
      <c r="X126" s="42">
        <v>26.261399999999998</v>
      </c>
      <c r="Y126" s="38">
        <f t="shared" si="43"/>
        <v>10898.481</v>
      </c>
      <c r="Z126" s="42">
        <v>215</v>
      </c>
      <c r="AA126" s="42">
        <v>26.8719</v>
      </c>
      <c r="AB126" s="42">
        <f t="shared" si="45"/>
        <v>5777.4584999999997</v>
      </c>
      <c r="AD126" s="42">
        <v>200</v>
      </c>
      <c r="AE126" s="42">
        <v>26.861899999999999</v>
      </c>
      <c r="AF126" s="42">
        <f t="shared" si="46"/>
        <v>5372.38</v>
      </c>
      <c r="AG126" s="42"/>
      <c r="AH126" s="42">
        <v>85</v>
      </c>
      <c r="AI126" s="42">
        <v>26.861899999999999</v>
      </c>
      <c r="AJ126" s="42">
        <f t="shared" si="50"/>
        <v>2283.2615000000001</v>
      </c>
      <c r="AL126" s="42"/>
      <c r="AM126" s="42"/>
      <c r="AN126" s="42">
        <f t="shared" si="30"/>
        <v>0</v>
      </c>
      <c r="AO126" s="44"/>
      <c r="AP126" s="42"/>
      <c r="AQ126" s="42"/>
      <c r="AR126" s="42"/>
      <c r="AU126" s="98"/>
      <c r="AV126" s="35"/>
      <c r="AW126" s="104"/>
      <c r="AX126" s="42"/>
      <c r="AY126" s="42"/>
      <c r="AZ126" s="42">
        <f t="shared" si="49"/>
        <v>0</v>
      </c>
      <c r="BA126" s="42"/>
      <c r="BB126" s="42"/>
      <c r="BC126" s="42"/>
      <c r="BD126" s="38">
        <f t="shared" si="36"/>
        <v>0</v>
      </c>
      <c r="BE126" s="42"/>
      <c r="BF126" s="42"/>
      <c r="BG126" s="42"/>
      <c r="BH126" s="38">
        <f t="shared" si="37"/>
        <v>0</v>
      </c>
      <c r="BI126" s="42"/>
      <c r="BJ126" s="42"/>
      <c r="BK126" s="42"/>
      <c r="BL126" s="38">
        <f t="shared" si="38"/>
        <v>0</v>
      </c>
      <c r="BM126" s="42"/>
      <c r="BN126" s="42"/>
      <c r="BO126" s="42"/>
      <c r="BP126" s="42"/>
      <c r="BR126" s="42">
        <f t="shared" si="39"/>
        <v>26563.800000000003</v>
      </c>
      <c r="BS126" s="43">
        <f t="shared" si="40"/>
        <v>2053.7639999999956</v>
      </c>
      <c r="BT126" s="42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  <c r="JH126" s="31"/>
      <c r="JI126" s="31"/>
      <c r="JJ126" s="31"/>
      <c r="JK126" s="31"/>
      <c r="JL126" s="31"/>
      <c r="JM126" s="31"/>
      <c r="JN126" s="31"/>
      <c r="JO126" s="31"/>
      <c r="JP126" s="31"/>
      <c r="JQ126" s="31"/>
      <c r="JR126" s="31"/>
      <c r="JS126" s="31"/>
      <c r="JT126" s="31"/>
      <c r="JU126" s="31"/>
      <c r="JV126" s="31"/>
      <c r="JW126" s="31"/>
      <c r="JX126" s="31"/>
      <c r="JY126" s="31"/>
      <c r="JZ126" s="31"/>
      <c r="KA126" s="31"/>
      <c r="KB126" s="31"/>
      <c r="KC126" s="31"/>
      <c r="KD126" s="31"/>
      <c r="KE126" s="31"/>
      <c r="KF126" s="31"/>
      <c r="KG126" s="31"/>
      <c r="KH126" s="31"/>
      <c r="KI126" s="31"/>
      <c r="KJ126" s="31"/>
      <c r="KK126" s="31"/>
      <c r="KL126" s="31"/>
      <c r="KM126" s="31"/>
      <c r="KN126" s="31"/>
      <c r="KO126" s="31"/>
      <c r="KP126" s="31"/>
      <c r="KQ126" s="31"/>
      <c r="KR126" s="31"/>
      <c r="KS126" s="31"/>
      <c r="KT126" s="31"/>
      <c r="KU126" s="31"/>
      <c r="KV126" s="31"/>
      <c r="KW126" s="31"/>
      <c r="KX126" s="31"/>
      <c r="KY126" s="31"/>
      <c r="KZ126" s="31"/>
      <c r="LA126" s="31"/>
      <c r="LB126" s="31"/>
      <c r="LC126" s="31"/>
      <c r="LD126" s="31"/>
      <c r="LE126" s="31"/>
      <c r="LF126" s="31"/>
      <c r="LG126" s="31"/>
      <c r="LH126" s="31"/>
      <c r="LI126" s="31"/>
      <c r="LJ126" s="31"/>
      <c r="LK126" s="31"/>
      <c r="LL126" s="31"/>
      <c r="LM126" s="31"/>
      <c r="LN126" s="31"/>
      <c r="LO126" s="31"/>
      <c r="LP126" s="31"/>
      <c r="LQ126" s="31"/>
      <c r="LR126" s="31"/>
      <c r="LS126" s="31"/>
      <c r="LT126" s="31"/>
      <c r="LU126" s="31"/>
      <c r="LV126" s="31"/>
      <c r="LW126" s="31"/>
      <c r="LX126" s="31"/>
      <c r="LY126" s="31"/>
      <c r="LZ126" s="31"/>
      <c r="MA126" s="31"/>
      <c r="MB126" s="31"/>
      <c r="MC126" s="31"/>
      <c r="MD126" s="31"/>
      <c r="ME126" s="31"/>
      <c r="MF126" s="31"/>
      <c r="MG126" s="31"/>
      <c r="MH126" s="31"/>
      <c r="MI126" s="31"/>
      <c r="MJ126" s="31"/>
      <c r="MK126" s="31"/>
      <c r="ML126" s="31"/>
      <c r="MM126" s="31"/>
      <c r="MN126" s="31"/>
      <c r="MO126" s="31"/>
      <c r="MP126" s="31"/>
      <c r="MQ126" s="31"/>
      <c r="MR126" s="31"/>
      <c r="MS126" s="31"/>
      <c r="MT126" s="31"/>
      <c r="MU126" s="31"/>
      <c r="MV126" s="31"/>
      <c r="MW126" s="31"/>
      <c r="MX126" s="31"/>
      <c r="MY126" s="31"/>
      <c r="MZ126" s="31"/>
      <c r="NA126" s="31"/>
      <c r="NB126" s="31"/>
      <c r="NC126" s="31"/>
      <c r="ND126" s="31"/>
      <c r="NE126" s="31"/>
      <c r="NF126" s="31"/>
      <c r="NG126" s="31"/>
      <c r="NH126" s="31"/>
      <c r="NI126" s="31"/>
      <c r="NJ126" s="31"/>
      <c r="NK126" s="31"/>
      <c r="NL126" s="31"/>
      <c r="NM126" s="31"/>
      <c r="NN126" s="31"/>
      <c r="NO126" s="31"/>
      <c r="NP126" s="31"/>
      <c r="NQ126" s="31"/>
      <c r="NR126" s="31"/>
      <c r="NS126" s="31"/>
      <c r="NT126" s="31"/>
      <c r="NU126" s="31"/>
      <c r="NV126" s="31"/>
      <c r="NW126" s="31"/>
      <c r="NX126" s="31"/>
      <c r="NY126" s="31"/>
      <c r="NZ126" s="31"/>
      <c r="OA126" s="31"/>
      <c r="OB126" s="31"/>
      <c r="OC126" s="31"/>
      <c r="OD126" s="31"/>
      <c r="OE126" s="31"/>
      <c r="OF126" s="31"/>
      <c r="OG126" s="31"/>
      <c r="OH126" s="31"/>
      <c r="OI126" s="31"/>
      <c r="OJ126" s="31"/>
      <c r="OK126" s="31"/>
      <c r="OL126" s="31"/>
      <c r="OM126" s="31"/>
      <c r="ON126" s="31"/>
      <c r="OO126" s="31"/>
      <c r="OP126" s="31"/>
      <c r="OQ126" s="31"/>
      <c r="OR126" s="31"/>
      <c r="OS126" s="31"/>
      <c r="OT126" s="31"/>
      <c r="OU126" s="31"/>
      <c r="OV126" s="31"/>
      <c r="OW126" s="31"/>
      <c r="OX126" s="31"/>
    </row>
    <row r="127" spans="2:414" s="25" customFormat="1" ht="15.6">
      <c r="B127" s="25" t="s">
        <v>209</v>
      </c>
      <c r="C127" s="27" t="s">
        <v>210</v>
      </c>
      <c r="D127" s="30" t="s">
        <v>201</v>
      </c>
      <c r="G127" s="42">
        <v>500</v>
      </c>
      <c r="H127" s="89">
        <v>26.109000000000002</v>
      </c>
      <c r="I127" s="38">
        <f t="shared" si="31"/>
        <v>13054.5</v>
      </c>
      <c r="K127" s="42">
        <v>500</v>
      </c>
      <c r="L127" s="90">
        <v>26.849599999999999</v>
      </c>
      <c r="M127" s="38">
        <f t="shared" si="32"/>
        <v>13424.8</v>
      </c>
      <c r="O127" s="38">
        <v>80</v>
      </c>
      <c r="P127" s="38">
        <v>26.728300000000001</v>
      </c>
      <c r="Q127" s="38">
        <f t="shared" si="33"/>
        <v>2138.2640000000001</v>
      </c>
      <c r="R127" s="43">
        <f t="shared" si="48"/>
        <v>1080</v>
      </c>
      <c r="S127" s="38">
        <f t="shared" si="34"/>
        <v>28617.563999999998</v>
      </c>
      <c r="T127" s="49"/>
      <c r="U127" s="42"/>
      <c r="V127" s="38">
        <f t="shared" si="44"/>
        <v>0</v>
      </c>
      <c r="W127" s="42"/>
      <c r="X127" s="42"/>
      <c r="Y127" s="38">
        <f t="shared" si="43"/>
        <v>0</v>
      </c>
      <c r="Z127" s="42"/>
      <c r="AA127" s="42"/>
      <c r="AB127" s="42">
        <f t="shared" si="45"/>
        <v>0</v>
      </c>
      <c r="AD127" s="42"/>
      <c r="AE127" s="42"/>
      <c r="AF127" s="42">
        <f t="shared" si="46"/>
        <v>0</v>
      </c>
      <c r="AG127" s="42"/>
      <c r="AH127" s="42"/>
      <c r="AI127" s="42"/>
      <c r="AJ127" s="42">
        <f t="shared" si="50"/>
        <v>0</v>
      </c>
      <c r="AL127" s="42"/>
      <c r="AM127" s="42"/>
      <c r="AN127" s="42">
        <f t="shared" si="30"/>
        <v>0</v>
      </c>
      <c r="AO127" s="44"/>
      <c r="AP127" s="42"/>
      <c r="AQ127" s="42"/>
      <c r="AR127" s="42"/>
      <c r="AU127" s="98"/>
      <c r="AV127" s="35"/>
      <c r="AW127" s="104"/>
      <c r="AX127" s="42"/>
      <c r="AY127" s="42"/>
      <c r="AZ127" s="42">
        <f t="shared" si="49"/>
        <v>0</v>
      </c>
      <c r="BA127" s="42"/>
      <c r="BB127" s="42"/>
      <c r="BC127" s="42"/>
      <c r="BD127" s="38">
        <f t="shared" si="36"/>
        <v>0</v>
      </c>
      <c r="BE127" s="42"/>
      <c r="BF127" s="42"/>
      <c r="BG127" s="42"/>
      <c r="BH127" s="38">
        <f t="shared" si="37"/>
        <v>0</v>
      </c>
      <c r="BI127" s="42"/>
      <c r="BJ127" s="42"/>
      <c r="BK127" s="42"/>
      <c r="BL127" s="38">
        <f t="shared" si="38"/>
        <v>0</v>
      </c>
      <c r="BM127" s="42"/>
      <c r="BN127" s="42"/>
      <c r="BO127" s="42"/>
      <c r="BP127" s="42"/>
      <c r="BR127" s="42">
        <f t="shared" si="39"/>
        <v>0</v>
      </c>
      <c r="BS127" s="43">
        <f t="shared" si="40"/>
        <v>28617.563999999998</v>
      </c>
      <c r="BT127" s="42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  <c r="IM127" s="31"/>
      <c r="IN127" s="31"/>
      <c r="IO127" s="31"/>
      <c r="IP127" s="31"/>
      <c r="IQ127" s="31"/>
      <c r="IR127" s="31"/>
      <c r="IS127" s="31"/>
      <c r="IT127" s="31"/>
      <c r="IU127" s="31"/>
      <c r="IV127" s="31"/>
      <c r="IW127" s="31"/>
      <c r="IX127" s="31"/>
      <c r="IY127" s="31"/>
      <c r="IZ127" s="31"/>
      <c r="JA127" s="31"/>
      <c r="JB127" s="31"/>
      <c r="JC127" s="31"/>
      <c r="JD127" s="31"/>
      <c r="JE127" s="31"/>
      <c r="JF127" s="31"/>
      <c r="JG127" s="31"/>
      <c r="JH127" s="31"/>
      <c r="JI127" s="31"/>
      <c r="JJ127" s="31"/>
      <c r="JK127" s="31"/>
      <c r="JL127" s="31"/>
      <c r="JM127" s="31"/>
      <c r="JN127" s="31"/>
      <c r="JO127" s="31"/>
      <c r="JP127" s="31"/>
      <c r="JQ127" s="31"/>
      <c r="JR127" s="31"/>
      <c r="JS127" s="31"/>
      <c r="JT127" s="31"/>
      <c r="JU127" s="31"/>
      <c r="JV127" s="31"/>
      <c r="JW127" s="31"/>
      <c r="JX127" s="31"/>
      <c r="JY127" s="31"/>
      <c r="JZ127" s="31"/>
      <c r="KA127" s="31"/>
      <c r="KB127" s="31"/>
      <c r="KC127" s="31"/>
      <c r="KD127" s="31"/>
      <c r="KE127" s="31"/>
      <c r="KF127" s="31"/>
      <c r="KG127" s="31"/>
      <c r="KH127" s="31"/>
      <c r="KI127" s="31"/>
      <c r="KJ127" s="31"/>
      <c r="KK127" s="31"/>
      <c r="KL127" s="31"/>
      <c r="KM127" s="31"/>
      <c r="KN127" s="31"/>
      <c r="KO127" s="31"/>
      <c r="KP127" s="31"/>
      <c r="KQ127" s="31"/>
      <c r="KR127" s="31"/>
      <c r="KS127" s="31"/>
      <c r="KT127" s="31"/>
      <c r="KU127" s="31"/>
      <c r="KV127" s="31"/>
      <c r="KW127" s="31"/>
      <c r="KX127" s="31"/>
      <c r="KY127" s="31"/>
      <c r="KZ127" s="31"/>
      <c r="LA127" s="31"/>
      <c r="LB127" s="31"/>
      <c r="LC127" s="31"/>
      <c r="LD127" s="31"/>
      <c r="LE127" s="31"/>
      <c r="LF127" s="31"/>
      <c r="LG127" s="31"/>
      <c r="LH127" s="31"/>
      <c r="LI127" s="31"/>
      <c r="LJ127" s="31"/>
      <c r="LK127" s="31"/>
      <c r="LL127" s="31"/>
      <c r="LM127" s="31"/>
      <c r="LN127" s="31"/>
      <c r="LO127" s="31"/>
      <c r="LP127" s="31"/>
      <c r="LQ127" s="31"/>
      <c r="LR127" s="31"/>
      <c r="LS127" s="31"/>
      <c r="LT127" s="31"/>
      <c r="LU127" s="31"/>
      <c r="LV127" s="31"/>
      <c r="LW127" s="31"/>
      <c r="LX127" s="31"/>
      <c r="LY127" s="31"/>
      <c r="LZ127" s="31"/>
      <c r="MA127" s="31"/>
      <c r="MB127" s="31"/>
      <c r="MC127" s="31"/>
      <c r="MD127" s="31"/>
      <c r="ME127" s="31"/>
      <c r="MF127" s="31"/>
      <c r="MG127" s="31"/>
      <c r="MH127" s="31"/>
      <c r="MI127" s="31"/>
      <c r="MJ127" s="31"/>
      <c r="MK127" s="31"/>
      <c r="ML127" s="31"/>
      <c r="MM127" s="31"/>
      <c r="MN127" s="31"/>
      <c r="MO127" s="31"/>
      <c r="MP127" s="31"/>
      <c r="MQ127" s="31"/>
      <c r="MR127" s="31"/>
      <c r="MS127" s="31"/>
      <c r="MT127" s="31"/>
      <c r="MU127" s="31"/>
      <c r="MV127" s="31"/>
      <c r="MW127" s="31"/>
      <c r="MX127" s="31"/>
      <c r="MY127" s="31"/>
      <c r="MZ127" s="31"/>
      <c r="NA127" s="31"/>
      <c r="NB127" s="31"/>
      <c r="NC127" s="31"/>
      <c r="ND127" s="31"/>
      <c r="NE127" s="31"/>
      <c r="NF127" s="31"/>
      <c r="NG127" s="31"/>
      <c r="NH127" s="31"/>
      <c r="NI127" s="31"/>
      <c r="NJ127" s="31"/>
      <c r="NK127" s="31"/>
      <c r="NL127" s="31"/>
      <c r="NM127" s="31"/>
      <c r="NN127" s="31"/>
      <c r="NO127" s="31"/>
      <c r="NP127" s="31"/>
      <c r="NQ127" s="31"/>
      <c r="NR127" s="31"/>
      <c r="NS127" s="31"/>
      <c r="NT127" s="31"/>
      <c r="NU127" s="31"/>
      <c r="NV127" s="31"/>
      <c r="NW127" s="31"/>
      <c r="NX127" s="31"/>
      <c r="NY127" s="31"/>
      <c r="NZ127" s="31"/>
      <c r="OA127" s="31"/>
      <c r="OB127" s="31"/>
      <c r="OC127" s="31"/>
      <c r="OD127" s="31"/>
      <c r="OE127" s="31"/>
      <c r="OF127" s="31"/>
      <c r="OG127" s="31"/>
      <c r="OH127" s="31"/>
      <c r="OI127" s="31"/>
      <c r="OJ127" s="31"/>
      <c r="OK127" s="31"/>
      <c r="OL127" s="31"/>
      <c r="OM127" s="31"/>
      <c r="ON127" s="31"/>
      <c r="OO127" s="31"/>
      <c r="OP127" s="31"/>
      <c r="OQ127" s="31"/>
      <c r="OR127" s="31"/>
      <c r="OS127" s="31"/>
      <c r="OT127" s="31"/>
      <c r="OU127" s="31"/>
      <c r="OV127" s="31"/>
      <c r="OW127" s="31"/>
      <c r="OX127" s="31"/>
    </row>
    <row r="128" spans="2:414" s="25" customFormat="1" ht="15.6">
      <c r="B128" s="25" t="s">
        <v>211</v>
      </c>
      <c r="C128" s="27" t="s">
        <v>121</v>
      </c>
      <c r="D128" s="30" t="s">
        <v>201</v>
      </c>
      <c r="G128" s="42">
        <v>500</v>
      </c>
      <c r="H128" s="89">
        <v>26.109000000000002</v>
      </c>
      <c r="I128" s="38">
        <f t="shared" si="31"/>
        <v>13054.5</v>
      </c>
      <c r="K128" s="42">
        <v>500</v>
      </c>
      <c r="L128" s="90">
        <v>26.849599999999999</v>
      </c>
      <c r="M128" s="38">
        <f t="shared" si="32"/>
        <v>13424.8</v>
      </c>
      <c r="O128" s="38">
        <v>80</v>
      </c>
      <c r="P128" s="38">
        <v>26.728300000000001</v>
      </c>
      <c r="Q128" s="38">
        <f t="shared" si="33"/>
        <v>2138.2640000000001</v>
      </c>
      <c r="R128" s="43">
        <f t="shared" si="48"/>
        <v>1080</v>
      </c>
      <c r="S128" s="38">
        <f t="shared" si="34"/>
        <v>28617.563999999998</v>
      </c>
      <c r="T128" s="49">
        <v>415</v>
      </c>
      <c r="U128" s="42">
        <v>26.194800000000001</v>
      </c>
      <c r="V128" s="38">
        <f t="shared" si="44"/>
        <v>10870.842000000001</v>
      </c>
      <c r="W128" s="42">
        <v>85</v>
      </c>
      <c r="X128" s="42">
        <v>26.194800000000001</v>
      </c>
      <c r="Y128" s="38">
        <f t="shared" si="43"/>
        <v>2226.558</v>
      </c>
      <c r="Z128" s="42">
        <v>415</v>
      </c>
      <c r="AA128" s="42">
        <v>26.856000000000002</v>
      </c>
      <c r="AB128" s="42">
        <f t="shared" si="45"/>
        <v>11145.24</v>
      </c>
      <c r="AD128" s="42">
        <v>85</v>
      </c>
      <c r="AE128" s="42">
        <v>26.856000000000002</v>
      </c>
      <c r="AF128" s="42">
        <f t="shared" si="46"/>
        <v>2282.7600000000002</v>
      </c>
      <c r="AG128" s="42"/>
      <c r="AH128" s="42"/>
      <c r="AI128" s="42"/>
      <c r="AJ128" s="42">
        <f t="shared" si="50"/>
        <v>0</v>
      </c>
      <c r="AL128" s="42"/>
      <c r="AM128" s="42"/>
      <c r="AN128" s="42">
        <f t="shared" si="30"/>
        <v>0</v>
      </c>
      <c r="AO128" s="44"/>
      <c r="AP128" s="42"/>
      <c r="AQ128" s="42"/>
      <c r="AR128" s="42"/>
      <c r="AU128" s="98"/>
      <c r="AV128" s="35"/>
      <c r="AW128" s="104"/>
      <c r="AX128" s="42"/>
      <c r="AY128" s="42"/>
      <c r="AZ128" s="42">
        <f t="shared" si="49"/>
        <v>0</v>
      </c>
      <c r="BA128" s="42"/>
      <c r="BB128" s="42"/>
      <c r="BC128" s="42"/>
      <c r="BD128" s="38">
        <f t="shared" si="36"/>
        <v>0</v>
      </c>
      <c r="BE128" s="42"/>
      <c r="BF128" s="42"/>
      <c r="BG128" s="42"/>
      <c r="BH128" s="38">
        <f t="shared" si="37"/>
        <v>0</v>
      </c>
      <c r="BI128" s="42"/>
      <c r="BJ128" s="42"/>
      <c r="BK128" s="42"/>
      <c r="BL128" s="38">
        <f t="shared" si="38"/>
        <v>0</v>
      </c>
      <c r="BM128" s="42"/>
      <c r="BN128" s="42"/>
      <c r="BO128" s="42"/>
      <c r="BP128" s="42"/>
      <c r="BR128" s="42">
        <f t="shared" si="39"/>
        <v>26525.4</v>
      </c>
      <c r="BS128" s="43">
        <f t="shared" si="40"/>
        <v>2092.163999999997</v>
      </c>
      <c r="BT128" s="42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  <c r="IM128" s="31"/>
      <c r="IN128" s="31"/>
      <c r="IO128" s="31"/>
      <c r="IP128" s="31"/>
      <c r="IQ128" s="31"/>
      <c r="IR128" s="31"/>
      <c r="IS128" s="31"/>
      <c r="IT128" s="31"/>
      <c r="IU128" s="31"/>
      <c r="IV128" s="31"/>
      <c r="IW128" s="31"/>
      <c r="IX128" s="31"/>
      <c r="IY128" s="31"/>
      <c r="IZ128" s="31"/>
      <c r="JA128" s="31"/>
      <c r="JB128" s="31"/>
      <c r="JC128" s="31"/>
      <c r="JD128" s="31"/>
      <c r="JE128" s="31"/>
      <c r="JF128" s="31"/>
      <c r="JG128" s="31"/>
      <c r="JH128" s="31"/>
      <c r="JI128" s="31"/>
      <c r="JJ128" s="31"/>
      <c r="JK128" s="31"/>
      <c r="JL128" s="31"/>
      <c r="JM128" s="31"/>
      <c r="JN128" s="31"/>
      <c r="JO128" s="31"/>
      <c r="JP128" s="31"/>
      <c r="JQ128" s="31"/>
      <c r="JR128" s="31"/>
      <c r="JS128" s="31"/>
      <c r="JT128" s="31"/>
      <c r="JU128" s="31"/>
      <c r="JV128" s="31"/>
      <c r="JW128" s="31"/>
      <c r="JX128" s="31"/>
      <c r="JY128" s="31"/>
      <c r="JZ128" s="31"/>
      <c r="KA128" s="31"/>
      <c r="KB128" s="31"/>
      <c r="KC128" s="31"/>
      <c r="KD128" s="31"/>
      <c r="KE128" s="31"/>
      <c r="KF128" s="31"/>
      <c r="KG128" s="31"/>
      <c r="KH128" s="31"/>
      <c r="KI128" s="31"/>
      <c r="KJ128" s="31"/>
      <c r="KK128" s="31"/>
      <c r="KL128" s="31"/>
      <c r="KM128" s="31"/>
      <c r="KN128" s="31"/>
      <c r="KO128" s="31"/>
      <c r="KP128" s="31"/>
      <c r="KQ128" s="31"/>
      <c r="KR128" s="31"/>
      <c r="KS128" s="31"/>
      <c r="KT128" s="31"/>
      <c r="KU128" s="31"/>
      <c r="KV128" s="31"/>
      <c r="KW128" s="31"/>
      <c r="KX128" s="31"/>
      <c r="KY128" s="31"/>
      <c r="KZ128" s="31"/>
      <c r="LA128" s="31"/>
      <c r="LB128" s="31"/>
      <c r="LC128" s="31"/>
      <c r="LD128" s="31"/>
      <c r="LE128" s="31"/>
      <c r="LF128" s="31"/>
      <c r="LG128" s="31"/>
      <c r="LH128" s="31"/>
      <c r="LI128" s="31"/>
      <c r="LJ128" s="31"/>
      <c r="LK128" s="31"/>
      <c r="LL128" s="31"/>
      <c r="LM128" s="31"/>
      <c r="LN128" s="31"/>
      <c r="LO128" s="31"/>
      <c r="LP128" s="31"/>
      <c r="LQ128" s="31"/>
      <c r="LR128" s="31"/>
      <c r="LS128" s="31"/>
      <c r="LT128" s="31"/>
      <c r="LU128" s="31"/>
      <c r="LV128" s="31"/>
      <c r="LW128" s="31"/>
      <c r="LX128" s="31"/>
      <c r="LY128" s="31"/>
      <c r="LZ128" s="31"/>
      <c r="MA128" s="31"/>
      <c r="MB128" s="31"/>
      <c r="MC128" s="31"/>
      <c r="MD128" s="31"/>
      <c r="ME128" s="31"/>
      <c r="MF128" s="31"/>
      <c r="MG128" s="31"/>
      <c r="MH128" s="31"/>
      <c r="MI128" s="31"/>
      <c r="MJ128" s="31"/>
      <c r="MK128" s="31"/>
      <c r="ML128" s="31"/>
      <c r="MM128" s="31"/>
      <c r="MN128" s="31"/>
      <c r="MO128" s="31"/>
      <c r="MP128" s="31"/>
      <c r="MQ128" s="31"/>
      <c r="MR128" s="31"/>
      <c r="MS128" s="31"/>
      <c r="MT128" s="31"/>
      <c r="MU128" s="31"/>
      <c r="MV128" s="31"/>
      <c r="MW128" s="31"/>
      <c r="MX128" s="31"/>
      <c r="MY128" s="31"/>
      <c r="MZ128" s="31"/>
      <c r="NA128" s="31"/>
      <c r="NB128" s="31"/>
      <c r="NC128" s="31"/>
      <c r="ND128" s="31"/>
      <c r="NE128" s="31"/>
      <c r="NF128" s="31"/>
      <c r="NG128" s="31"/>
      <c r="NH128" s="31"/>
      <c r="NI128" s="31"/>
      <c r="NJ128" s="31"/>
      <c r="NK128" s="31"/>
      <c r="NL128" s="31"/>
      <c r="NM128" s="31"/>
      <c r="NN128" s="31"/>
      <c r="NO128" s="31"/>
      <c r="NP128" s="31"/>
      <c r="NQ128" s="31"/>
      <c r="NR128" s="31"/>
      <c r="NS128" s="31"/>
      <c r="NT128" s="31"/>
      <c r="NU128" s="31"/>
      <c r="NV128" s="31"/>
      <c r="NW128" s="31"/>
      <c r="NX128" s="31"/>
      <c r="NY128" s="31"/>
      <c r="NZ128" s="31"/>
      <c r="OA128" s="31"/>
      <c r="OB128" s="31"/>
      <c r="OC128" s="31"/>
      <c r="OD128" s="31"/>
      <c r="OE128" s="31"/>
      <c r="OF128" s="31"/>
      <c r="OG128" s="31"/>
      <c r="OH128" s="31"/>
      <c r="OI128" s="31"/>
      <c r="OJ128" s="31"/>
      <c r="OK128" s="31"/>
      <c r="OL128" s="31"/>
      <c r="OM128" s="31"/>
      <c r="ON128" s="31"/>
      <c r="OO128" s="31"/>
      <c r="OP128" s="31"/>
      <c r="OQ128" s="31"/>
      <c r="OR128" s="31"/>
      <c r="OS128" s="31"/>
      <c r="OT128" s="31"/>
      <c r="OU128" s="31"/>
      <c r="OV128" s="31"/>
      <c r="OW128" s="31"/>
      <c r="OX128" s="31"/>
    </row>
    <row r="129" spans="2:414" s="25" customFormat="1" ht="15.6">
      <c r="B129" s="25" t="s">
        <v>212</v>
      </c>
      <c r="C129" s="27" t="s">
        <v>213</v>
      </c>
      <c r="D129" s="30" t="s">
        <v>201</v>
      </c>
      <c r="G129" s="42">
        <v>500</v>
      </c>
      <c r="H129" s="89">
        <v>26.109000000000002</v>
      </c>
      <c r="I129" s="38">
        <f t="shared" si="31"/>
        <v>13054.5</v>
      </c>
      <c r="K129" s="42">
        <v>500</v>
      </c>
      <c r="L129" s="90">
        <v>26.849599999999999</v>
      </c>
      <c r="M129" s="38">
        <f t="shared" si="32"/>
        <v>13424.8</v>
      </c>
      <c r="O129" s="38">
        <v>80</v>
      </c>
      <c r="P129" s="38">
        <v>26.728300000000001</v>
      </c>
      <c r="Q129" s="38">
        <f t="shared" si="33"/>
        <v>2138.2640000000001</v>
      </c>
      <c r="R129" s="43">
        <f t="shared" si="48"/>
        <v>1080</v>
      </c>
      <c r="S129" s="38">
        <f t="shared" si="34"/>
        <v>28617.563999999998</v>
      </c>
      <c r="T129" s="49">
        <v>415</v>
      </c>
      <c r="U129" s="42">
        <v>26.109000000000002</v>
      </c>
      <c r="V129" s="38">
        <f t="shared" si="44"/>
        <v>10835.235000000001</v>
      </c>
      <c r="W129" s="42">
        <v>85</v>
      </c>
      <c r="X129" s="42">
        <v>26.109000000000002</v>
      </c>
      <c r="Y129" s="38">
        <f t="shared" si="43"/>
        <v>2219.2650000000003</v>
      </c>
      <c r="Z129" s="42">
        <v>415</v>
      </c>
      <c r="AA129" s="42">
        <v>26.849599999999999</v>
      </c>
      <c r="AB129" s="42">
        <f t="shared" si="45"/>
        <v>11142.583999999999</v>
      </c>
      <c r="AD129" s="42">
        <v>85</v>
      </c>
      <c r="AE129" s="42">
        <v>26.849599999999999</v>
      </c>
      <c r="AF129" s="42">
        <f t="shared" si="46"/>
        <v>2282.2159999999999</v>
      </c>
      <c r="AG129" s="42"/>
      <c r="AH129" s="42"/>
      <c r="AI129" s="42"/>
      <c r="AJ129" s="42">
        <f t="shared" si="50"/>
        <v>0</v>
      </c>
      <c r="AL129" s="42"/>
      <c r="AM129" s="42"/>
      <c r="AN129" s="42">
        <f t="shared" si="30"/>
        <v>0</v>
      </c>
      <c r="AO129" s="44"/>
      <c r="AP129" s="42"/>
      <c r="AQ129" s="42"/>
      <c r="AR129" s="42"/>
      <c r="AU129" s="98"/>
      <c r="AV129" s="35"/>
      <c r="AW129" s="104"/>
      <c r="AX129" s="42"/>
      <c r="AY129" s="42"/>
      <c r="AZ129" s="42">
        <f t="shared" si="49"/>
        <v>0</v>
      </c>
      <c r="BA129" s="42"/>
      <c r="BB129" s="42"/>
      <c r="BC129" s="42"/>
      <c r="BD129" s="38">
        <f t="shared" si="36"/>
        <v>0</v>
      </c>
      <c r="BE129" s="42"/>
      <c r="BF129" s="42"/>
      <c r="BG129" s="42"/>
      <c r="BH129" s="38">
        <f t="shared" si="37"/>
        <v>0</v>
      </c>
      <c r="BI129" s="42"/>
      <c r="BJ129" s="42"/>
      <c r="BK129" s="42"/>
      <c r="BL129" s="38">
        <f t="shared" si="38"/>
        <v>0</v>
      </c>
      <c r="BM129" s="42"/>
      <c r="BN129" s="42"/>
      <c r="BO129" s="42"/>
      <c r="BP129" s="42"/>
      <c r="BR129" s="42">
        <f t="shared" si="39"/>
        <v>26479.3</v>
      </c>
      <c r="BS129" s="43">
        <f t="shared" si="40"/>
        <v>2138.2639999999992</v>
      </c>
      <c r="BT129" s="42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  <c r="IM129" s="31"/>
      <c r="IN129" s="31"/>
      <c r="IO129" s="31"/>
      <c r="IP129" s="31"/>
      <c r="IQ129" s="31"/>
      <c r="IR129" s="31"/>
      <c r="IS129" s="31"/>
      <c r="IT129" s="31"/>
      <c r="IU129" s="31"/>
      <c r="IV129" s="31"/>
      <c r="IW129" s="31"/>
      <c r="IX129" s="31"/>
      <c r="IY129" s="31"/>
      <c r="IZ129" s="31"/>
      <c r="JA129" s="31"/>
      <c r="JB129" s="31"/>
      <c r="JC129" s="31"/>
      <c r="JD129" s="31"/>
      <c r="JE129" s="31"/>
      <c r="JF129" s="31"/>
      <c r="JG129" s="31"/>
      <c r="JH129" s="31"/>
      <c r="JI129" s="31"/>
      <c r="JJ129" s="31"/>
      <c r="JK129" s="31"/>
      <c r="JL129" s="31"/>
      <c r="JM129" s="31"/>
      <c r="JN129" s="31"/>
      <c r="JO129" s="31"/>
      <c r="JP129" s="31"/>
      <c r="JQ129" s="31"/>
      <c r="JR129" s="31"/>
      <c r="JS129" s="31"/>
      <c r="JT129" s="31"/>
      <c r="JU129" s="31"/>
      <c r="JV129" s="31"/>
      <c r="JW129" s="31"/>
      <c r="JX129" s="31"/>
      <c r="JY129" s="31"/>
      <c r="JZ129" s="31"/>
      <c r="KA129" s="31"/>
      <c r="KB129" s="31"/>
      <c r="KC129" s="31"/>
      <c r="KD129" s="31"/>
      <c r="KE129" s="31"/>
      <c r="KF129" s="31"/>
      <c r="KG129" s="31"/>
      <c r="KH129" s="31"/>
      <c r="KI129" s="31"/>
      <c r="KJ129" s="31"/>
      <c r="KK129" s="31"/>
      <c r="KL129" s="31"/>
      <c r="KM129" s="31"/>
      <c r="KN129" s="31"/>
      <c r="KO129" s="31"/>
      <c r="KP129" s="31"/>
      <c r="KQ129" s="31"/>
      <c r="KR129" s="31"/>
      <c r="KS129" s="31"/>
      <c r="KT129" s="31"/>
      <c r="KU129" s="31"/>
      <c r="KV129" s="31"/>
      <c r="KW129" s="31"/>
      <c r="KX129" s="31"/>
      <c r="KY129" s="31"/>
      <c r="KZ129" s="31"/>
      <c r="LA129" s="31"/>
      <c r="LB129" s="31"/>
      <c r="LC129" s="31"/>
      <c r="LD129" s="31"/>
      <c r="LE129" s="31"/>
      <c r="LF129" s="31"/>
      <c r="LG129" s="31"/>
      <c r="LH129" s="31"/>
      <c r="LI129" s="31"/>
      <c r="LJ129" s="31"/>
      <c r="LK129" s="31"/>
      <c r="LL129" s="31"/>
      <c r="LM129" s="31"/>
      <c r="LN129" s="31"/>
      <c r="LO129" s="31"/>
      <c r="LP129" s="31"/>
      <c r="LQ129" s="31"/>
      <c r="LR129" s="31"/>
      <c r="LS129" s="31"/>
      <c r="LT129" s="31"/>
      <c r="LU129" s="31"/>
      <c r="LV129" s="31"/>
      <c r="LW129" s="31"/>
      <c r="LX129" s="31"/>
      <c r="LY129" s="31"/>
      <c r="LZ129" s="31"/>
      <c r="MA129" s="31"/>
      <c r="MB129" s="31"/>
      <c r="MC129" s="31"/>
      <c r="MD129" s="31"/>
      <c r="ME129" s="31"/>
      <c r="MF129" s="31"/>
      <c r="MG129" s="31"/>
      <c r="MH129" s="31"/>
      <c r="MI129" s="31"/>
      <c r="MJ129" s="31"/>
      <c r="MK129" s="31"/>
      <c r="ML129" s="31"/>
      <c r="MM129" s="31"/>
      <c r="MN129" s="31"/>
      <c r="MO129" s="31"/>
      <c r="MP129" s="31"/>
      <c r="MQ129" s="31"/>
      <c r="MR129" s="31"/>
      <c r="MS129" s="31"/>
      <c r="MT129" s="31"/>
      <c r="MU129" s="31"/>
      <c r="MV129" s="31"/>
      <c r="MW129" s="31"/>
      <c r="MX129" s="31"/>
      <c r="MY129" s="31"/>
      <c r="MZ129" s="31"/>
      <c r="NA129" s="31"/>
      <c r="NB129" s="31"/>
      <c r="NC129" s="31"/>
      <c r="ND129" s="31"/>
      <c r="NE129" s="31"/>
      <c r="NF129" s="31"/>
      <c r="NG129" s="31"/>
      <c r="NH129" s="31"/>
      <c r="NI129" s="31"/>
      <c r="NJ129" s="31"/>
      <c r="NK129" s="31"/>
      <c r="NL129" s="31"/>
      <c r="NM129" s="31"/>
      <c r="NN129" s="31"/>
      <c r="NO129" s="31"/>
      <c r="NP129" s="31"/>
      <c r="NQ129" s="31"/>
      <c r="NR129" s="31"/>
      <c r="NS129" s="31"/>
      <c r="NT129" s="31"/>
      <c r="NU129" s="31"/>
      <c r="NV129" s="31"/>
      <c r="NW129" s="31"/>
      <c r="NX129" s="31"/>
      <c r="NY129" s="31"/>
      <c r="NZ129" s="31"/>
      <c r="OA129" s="31"/>
      <c r="OB129" s="31"/>
      <c r="OC129" s="31"/>
      <c r="OD129" s="31"/>
      <c r="OE129" s="31"/>
      <c r="OF129" s="31"/>
      <c r="OG129" s="31"/>
      <c r="OH129" s="31"/>
      <c r="OI129" s="31"/>
      <c r="OJ129" s="31"/>
      <c r="OK129" s="31"/>
      <c r="OL129" s="31"/>
      <c r="OM129" s="31"/>
      <c r="ON129" s="31"/>
      <c r="OO129" s="31"/>
      <c r="OP129" s="31"/>
      <c r="OQ129" s="31"/>
      <c r="OR129" s="31"/>
      <c r="OS129" s="31"/>
      <c r="OT129" s="31"/>
      <c r="OU129" s="31"/>
      <c r="OV129" s="31"/>
      <c r="OW129" s="31"/>
      <c r="OX129" s="31"/>
    </row>
    <row r="130" spans="2:414" s="25" customFormat="1" ht="15.6">
      <c r="B130" s="25" t="s">
        <v>214</v>
      </c>
      <c r="C130" s="27" t="s">
        <v>215</v>
      </c>
      <c r="D130" s="30" t="s">
        <v>201</v>
      </c>
      <c r="G130" s="42">
        <v>500</v>
      </c>
      <c r="H130" s="89">
        <v>26.109000000000002</v>
      </c>
      <c r="I130" s="38">
        <f t="shared" si="31"/>
        <v>13054.5</v>
      </c>
      <c r="K130" s="42">
        <v>500</v>
      </c>
      <c r="L130" s="90">
        <v>26.849599999999999</v>
      </c>
      <c r="M130" s="38">
        <f t="shared" si="32"/>
        <v>13424.8</v>
      </c>
      <c r="O130" s="38">
        <v>80</v>
      </c>
      <c r="P130" s="38">
        <v>26.728300000000001</v>
      </c>
      <c r="Q130" s="38">
        <f t="shared" si="33"/>
        <v>2138.2640000000001</v>
      </c>
      <c r="R130" s="43">
        <f t="shared" si="48"/>
        <v>1080</v>
      </c>
      <c r="S130" s="38">
        <f t="shared" si="34"/>
        <v>28617.563999999998</v>
      </c>
      <c r="T130" s="49">
        <v>500</v>
      </c>
      <c r="U130" s="42"/>
      <c r="V130" s="38">
        <f t="shared" si="44"/>
        <v>0</v>
      </c>
      <c r="W130" s="42">
        <v>500</v>
      </c>
      <c r="X130" s="42">
        <v>26.0579</v>
      </c>
      <c r="Y130" s="38">
        <f t="shared" si="43"/>
        <v>13028.95</v>
      </c>
      <c r="Z130" s="42">
        <v>500</v>
      </c>
      <c r="AA130" s="42">
        <v>26.861899999999999</v>
      </c>
      <c r="AB130" s="42">
        <f t="shared" si="45"/>
        <v>13430.949999999999</v>
      </c>
      <c r="AD130" s="42"/>
      <c r="AE130" s="42"/>
      <c r="AF130" s="42">
        <f t="shared" si="46"/>
        <v>0</v>
      </c>
      <c r="AG130" s="42"/>
      <c r="AH130" s="42"/>
      <c r="AI130" s="42"/>
      <c r="AJ130" s="42">
        <f t="shared" si="50"/>
        <v>0</v>
      </c>
      <c r="AL130" s="42"/>
      <c r="AM130" s="42"/>
      <c r="AN130" s="42">
        <f t="shared" si="30"/>
        <v>0</v>
      </c>
      <c r="AO130" s="44"/>
      <c r="AP130" s="42"/>
      <c r="AQ130" s="42"/>
      <c r="AR130" s="42"/>
      <c r="AU130" s="98"/>
      <c r="AV130" s="35"/>
      <c r="AW130" s="104"/>
      <c r="AX130" s="42"/>
      <c r="AY130" s="42"/>
      <c r="AZ130" s="42">
        <f t="shared" si="49"/>
        <v>0</v>
      </c>
      <c r="BA130" s="42"/>
      <c r="BB130" s="42"/>
      <c r="BC130" s="42"/>
      <c r="BD130" s="38">
        <f t="shared" si="36"/>
        <v>0</v>
      </c>
      <c r="BE130" s="42"/>
      <c r="BF130" s="42"/>
      <c r="BG130" s="42"/>
      <c r="BH130" s="38">
        <f t="shared" si="37"/>
        <v>0</v>
      </c>
      <c r="BI130" s="42"/>
      <c r="BJ130" s="42"/>
      <c r="BK130" s="42"/>
      <c r="BL130" s="38">
        <f t="shared" si="38"/>
        <v>0</v>
      </c>
      <c r="BM130" s="42"/>
      <c r="BN130" s="42"/>
      <c r="BO130" s="42"/>
      <c r="BP130" s="42"/>
      <c r="BR130" s="42">
        <f t="shared" si="39"/>
        <v>26459.9</v>
      </c>
      <c r="BS130" s="43">
        <f t="shared" si="40"/>
        <v>2157.663999999997</v>
      </c>
      <c r="BT130" s="42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  <c r="JH130" s="31"/>
      <c r="JI130" s="31"/>
      <c r="JJ130" s="31"/>
      <c r="JK130" s="31"/>
      <c r="JL130" s="31"/>
      <c r="JM130" s="31"/>
      <c r="JN130" s="31"/>
      <c r="JO130" s="31"/>
      <c r="JP130" s="31"/>
      <c r="JQ130" s="31"/>
      <c r="JR130" s="31"/>
      <c r="JS130" s="31"/>
      <c r="JT130" s="31"/>
      <c r="JU130" s="31"/>
      <c r="JV130" s="31"/>
      <c r="JW130" s="31"/>
      <c r="JX130" s="31"/>
      <c r="JY130" s="31"/>
      <c r="JZ130" s="31"/>
      <c r="KA130" s="31"/>
      <c r="KB130" s="31"/>
      <c r="KC130" s="31"/>
      <c r="KD130" s="31"/>
      <c r="KE130" s="31"/>
      <c r="KF130" s="31"/>
      <c r="KG130" s="31"/>
      <c r="KH130" s="31"/>
      <c r="KI130" s="31"/>
      <c r="KJ130" s="31"/>
      <c r="KK130" s="31"/>
      <c r="KL130" s="31"/>
      <c r="KM130" s="31"/>
      <c r="KN130" s="31"/>
      <c r="KO130" s="31"/>
      <c r="KP130" s="31"/>
      <c r="KQ130" s="31"/>
      <c r="KR130" s="31"/>
      <c r="KS130" s="31"/>
      <c r="KT130" s="31"/>
      <c r="KU130" s="31"/>
      <c r="KV130" s="31"/>
      <c r="KW130" s="31"/>
      <c r="KX130" s="31"/>
      <c r="KY130" s="31"/>
      <c r="KZ130" s="31"/>
      <c r="LA130" s="31"/>
      <c r="LB130" s="31"/>
      <c r="LC130" s="31"/>
      <c r="LD130" s="31"/>
      <c r="LE130" s="31"/>
      <c r="LF130" s="31"/>
      <c r="LG130" s="31"/>
      <c r="LH130" s="31"/>
      <c r="LI130" s="31"/>
      <c r="LJ130" s="31"/>
      <c r="LK130" s="31"/>
      <c r="LL130" s="31"/>
      <c r="LM130" s="31"/>
      <c r="LN130" s="31"/>
      <c r="LO130" s="31"/>
      <c r="LP130" s="31"/>
      <c r="LQ130" s="31"/>
      <c r="LR130" s="31"/>
      <c r="LS130" s="31"/>
      <c r="LT130" s="31"/>
      <c r="LU130" s="31"/>
      <c r="LV130" s="31"/>
      <c r="LW130" s="31"/>
      <c r="LX130" s="31"/>
      <c r="LY130" s="31"/>
      <c r="LZ130" s="31"/>
      <c r="MA130" s="31"/>
      <c r="MB130" s="31"/>
      <c r="MC130" s="31"/>
      <c r="MD130" s="31"/>
      <c r="ME130" s="31"/>
      <c r="MF130" s="31"/>
      <c r="MG130" s="31"/>
      <c r="MH130" s="31"/>
      <c r="MI130" s="31"/>
      <c r="MJ130" s="31"/>
      <c r="MK130" s="31"/>
      <c r="ML130" s="31"/>
      <c r="MM130" s="31"/>
      <c r="MN130" s="31"/>
      <c r="MO130" s="31"/>
      <c r="MP130" s="31"/>
      <c r="MQ130" s="31"/>
      <c r="MR130" s="31"/>
      <c r="MS130" s="31"/>
      <c r="MT130" s="31"/>
      <c r="MU130" s="31"/>
      <c r="MV130" s="31"/>
      <c r="MW130" s="31"/>
      <c r="MX130" s="31"/>
      <c r="MY130" s="31"/>
      <c r="MZ130" s="31"/>
      <c r="NA130" s="31"/>
      <c r="NB130" s="31"/>
      <c r="NC130" s="31"/>
      <c r="ND130" s="31"/>
      <c r="NE130" s="31"/>
      <c r="NF130" s="31"/>
      <c r="NG130" s="31"/>
      <c r="NH130" s="31"/>
      <c r="NI130" s="31"/>
      <c r="NJ130" s="31"/>
      <c r="NK130" s="31"/>
      <c r="NL130" s="31"/>
      <c r="NM130" s="31"/>
      <c r="NN130" s="31"/>
      <c r="NO130" s="31"/>
      <c r="NP130" s="31"/>
      <c r="NQ130" s="31"/>
      <c r="NR130" s="31"/>
      <c r="NS130" s="31"/>
      <c r="NT130" s="31"/>
      <c r="NU130" s="31"/>
      <c r="NV130" s="31"/>
      <c r="NW130" s="31"/>
      <c r="NX130" s="31"/>
      <c r="NY130" s="31"/>
      <c r="NZ130" s="31"/>
      <c r="OA130" s="31"/>
      <c r="OB130" s="31"/>
      <c r="OC130" s="31"/>
      <c r="OD130" s="31"/>
      <c r="OE130" s="31"/>
      <c r="OF130" s="31"/>
      <c r="OG130" s="31"/>
      <c r="OH130" s="31"/>
      <c r="OI130" s="31"/>
      <c r="OJ130" s="31"/>
      <c r="OK130" s="31"/>
      <c r="OL130" s="31"/>
      <c r="OM130" s="31"/>
      <c r="ON130" s="31"/>
      <c r="OO130" s="31"/>
      <c r="OP130" s="31"/>
      <c r="OQ130" s="31"/>
      <c r="OR130" s="31"/>
      <c r="OS130" s="31"/>
      <c r="OT130" s="31"/>
      <c r="OU130" s="31"/>
      <c r="OV130" s="31"/>
      <c r="OW130" s="31"/>
      <c r="OX130" s="31"/>
    </row>
    <row r="131" spans="2:414" s="25" customFormat="1" ht="15.6">
      <c r="B131" s="25" t="s">
        <v>64</v>
      </c>
      <c r="C131" s="27" t="s">
        <v>216</v>
      </c>
      <c r="D131" s="30" t="s">
        <v>201</v>
      </c>
      <c r="G131" s="42">
        <v>500</v>
      </c>
      <c r="H131" s="89">
        <v>26.109000000000002</v>
      </c>
      <c r="I131" s="38">
        <f t="shared" si="31"/>
        <v>13054.5</v>
      </c>
      <c r="K131" s="42">
        <v>500</v>
      </c>
      <c r="L131" s="90">
        <v>26.849599999999999</v>
      </c>
      <c r="M131" s="38">
        <f t="shared" si="32"/>
        <v>13424.8</v>
      </c>
      <c r="O131" s="38">
        <v>80</v>
      </c>
      <c r="P131" s="38">
        <v>26.728300000000001</v>
      </c>
      <c r="Q131" s="38">
        <f t="shared" si="33"/>
        <v>2138.2640000000001</v>
      </c>
      <c r="R131" s="43">
        <f t="shared" si="48"/>
        <v>1080</v>
      </c>
      <c r="S131" s="38">
        <f t="shared" si="34"/>
        <v>28617.563999999998</v>
      </c>
      <c r="T131" s="49">
        <v>415</v>
      </c>
      <c r="U131" s="42"/>
      <c r="V131" s="38">
        <f t="shared" si="44"/>
        <v>0</v>
      </c>
      <c r="W131" s="42">
        <v>85</v>
      </c>
      <c r="X131" s="42">
        <v>26.194800000000001</v>
      </c>
      <c r="Y131" s="38">
        <f t="shared" si="43"/>
        <v>2226.558</v>
      </c>
      <c r="Z131" s="42">
        <v>26.799399999999999</v>
      </c>
      <c r="AA131" s="42"/>
      <c r="AB131" s="42">
        <f t="shared" si="45"/>
        <v>0</v>
      </c>
      <c r="AD131" s="42">
        <v>70</v>
      </c>
      <c r="AE131" s="42">
        <v>26.885300000000001</v>
      </c>
      <c r="AF131" s="42">
        <f t="shared" si="46"/>
        <v>1881.971</v>
      </c>
      <c r="AG131" s="42"/>
      <c r="AH131" s="42"/>
      <c r="AI131" s="42"/>
      <c r="AJ131" s="42">
        <f t="shared" si="50"/>
        <v>0</v>
      </c>
      <c r="AL131" s="42"/>
      <c r="AM131" s="42"/>
      <c r="AN131" s="42">
        <f t="shared" si="30"/>
        <v>0</v>
      </c>
      <c r="AO131" s="44"/>
      <c r="AP131" s="42"/>
      <c r="AQ131" s="42"/>
      <c r="AR131" s="42"/>
      <c r="AU131" s="98"/>
      <c r="AV131" s="35"/>
      <c r="AW131" s="104"/>
      <c r="AX131" s="42"/>
      <c r="AY131" s="42"/>
      <c r="AZ131" s="42">
        <f t="shared" si="49"/>
        <v>0</v>
      </c>
      <c r="BA131" s="42"/>
      <c r="BB131" s="42"/>
      <c r="BC131" s="42"/>
      <c r="BD131" s="38">
        <f t="shared" si="36"/>
        <v>0</v>
      </c>
      <c r="BE131" s="42"/>
      <c r="BF131" s="42"/>
      <c r="BG131" s="42"/>
      <c r="BH131" s="38">
        <f t="shared" si="37"/>
        <v>0</v>
      </c>
      <c r="BI131" s="42"/>
      <c r="BJ131" s="42"/>
      <c r="BK131" s="42"/>
      <c r="BL131" s="38">
        <f t="shared" si="38"/>
        <v>0</v>
      </c>
      <c r="BM131" s="42"/>
      <c r="BN131" s="42"/>
      <c r="BO131" s="42"/>
      <c r="BP131" s="42"/>
      <c r="BR131" s="42">
        <f t="shared" si="39"/>
        <v>4108.5290000000005</v>
      </c>
      <c r="BS131" s="43">
        <f t="shared" si="40"/>
        <v>24509.034999999996</v>
      </c>
      <c r="BT131" s="42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  <c r="IM131" s="31"/>
      <c r="IN131" s="31"/>
      <c r="IO131" s="31"/>
      <c r="IP131" s="31"/>
      <c r="IQ131" s="31"/>
      <c r="IR131" s="31"/>
      <c r="IS131" s="31"/>
      <c r="IT131" s="31"/>
      <c r="IU131" s="31"/>
      <c r="IV131" s="31"/>
      <c r="IW131" s="31"/>
      <c r="IX131" s="31"/>
      <c r="IY131" s="31"/>
      <c r="IZ131" s="31"/>
      <c r="JA131" s="31"/>
      <c r="JB131" s="31"/>
      <c r="JC131" s="31"/>
      <c r="JD131" s="31"/>
      <c r="JE131" s="31"/>
      <c r="JF131" s="31"/>
      <c r="JG131" s="31"/>
      <c r="JH131" s="31"/>
      <c r="JI131" s="31"/>
      <c r="JJ131" s="31"/>
      <c r="JK131" s="31"/>
      <c r="JL131" s="31"/>
      <c r="JM131" s="31"/>
      <c r="JN131" s="31"/>
      <c r="JO131" s="31"/>
      <c r="JP131" s="31"/>
      <c r="JQ131" s="31"/>
      <c r="JR131" s="31"/>
      <c r="JS131" s="31"/>
      <c r="JT131" s="31"/>
      <c r="JU131" s="31"/>
      <c r="JV131" s="31"/>
      <c r="JW131" s="31"/>
      <c r="JX131" s="31"/>
      <c r="JY131" s="31"/>
      <c r="JZ131" s="31"/>
      <c r="KA131" s="31"/>
      <c r="KB131" s="31"/>
      <c r="KC131" s="31"/>
      <c r="KD131" s="31"/>
      <c r="KE131" s="31"/>
      <c r="KF131" s="31"/>
      <c r="KG131" s="31"/>
      <c r="KH131" s="31"/>
      <c r="KI131" s="31"/>
      <c r="KJ131" s="31"/>
      <c r="KK131" s="31"/>
      <c r="KL131" s="31"/>
      <c r="KM131" s="31"/>
      <c r="KN131" s="31"/>
      <c r="KO131" s="31"/>
      <c r="KP131" s="31"/>
      <c r="KQ131" s="31"/>
      <c r="KR131" s="31"/>
      <c r="KS131" s="31"/>
      <c r="KT131" s="31"/>
      <c r="KU131" s="31"/>
      <c r="KV131" s="31"/>
      <c r="KW131" s="31"/>
      <c r="KX131" s="31"/>
      <c r="KY131" s="31"/>
      <c r="KZ131" s="31"/>
      <c r="LA131" s="31"/>
      <c r="LB131" s="31"/>
      <c r="LC131" s="31"/>
      <c r="LD131" s="31"/>
      <c r="LE131" s="31"/>
      <c r="LF131" s="31"/>
      <c r="LG131" s="31"/>
      <c r="LH131" s="31"/>
      <c r="LI131" s="31"/>
      <c r="LJ131" s="31"/>
      <c r="LK131" s="31"/>
      <c r="LL131" s="31"/>
      <c r="LM131" s="31"/>
      <c r="LN131" s="31"/>
      <c r="LO131" s="31"/>
      <c r="LP131" s="31"/>
      <c r="LQ131" s="31"/>
      <c r="LR131" s="31"/>
      <c r="LS131" s="31"/>
      <c r="LT131" s="31"/>
      <c r="LU131" s="31"/>
      <c r="LV131" s="31"/>
      <c r="LW131" s="31"/>
      <c r="LX131" s="31"/>
      <c r="LY131" s="31"/>
      <c r="LZ131" s="31"/>
      <c r="MA131" s="31"/>
      <c r="MB131" s="31"/>
      <c r="MC131" s="31"/>
      <c r="MD131" s="31"/>
      <c r="ME131" s="31"/>
      <c r="MF131" s="31"/>
      <c r="MG131" s="31"/>
      <c r="MH131" s="31"/>
      <c r="MI131" s="31"/>
      <c r="MJ131" s="31"/>
      <c r="MK131" s="31"/>
      <c r="ML131" s="31"/>
      <c r="MM131" s="31"/>
      <c r="MN131" s="31"/>
      <c r="MO131" s="31"/>
      <c r="MP131" s="31"/>
      <c r="MQ131" s="31"/>
      <c r="MR131" s="31"/>
      <c r="MS131" s="31"/>
      <c r="MT131" s="31"/>
      <c r="MU131" s="31"/>
      <c r="MV131" s="31"/>
      <c r="MW131" s="31"/>
      <c r="MX131" s="31"/>
      <c r="MY131" s="31"/>
      <c r="MZ131" s="31"/>
      <c r="NA131" s="31"/>
      <c r="NB131" s="31"/>
      <c r="NC131" s="31"/>
      <c r="ND131" s="31"/>
      <c r="NE131" s="31"/>
      <c r="NF131" s="31"/>
      <c r="NG131" s="31"/>
      <c r="NH131" s="31"/>
      <c r="NI131" s="31"/>
      <c r="NJ131" s="31"/>
      <c r="NK131" s="31"/>
      <c r="NL131" s="31"/>
      <c r="NM131" s="31"/>
      <c r="NN131" s="31"/>
      <c r="NO131" s="31"/>
      <c r="NP131" s="31"/>
      <c r="NQ131" s="31"/>
      <c r="NR131" s="31"/>
      <c r="NS131" s="31"/>
      <c r="NT131" s="31"/>
      <c r="NU131" s="31"/>
      <c r="NV131" s="31"/>
      <c r="NW131" s="31"/>
      <c r="NX131" s="31"/>
      <c r="NY131" s="31"/>
      <c r="NZ131" s="31"/>
      <c r="OA131" s="31"/>
      <c r="OB131" s="31"/>
      <c r="OC131" s="31"/>
      <c r="OD131" s="31"/>
      <c r="OE131" s="31"/>
      <c r="OF131" s="31"/>
      <c r="OG131" s="31"/>
      <c r="OH131" s="31"/>
      <c r="OI131" s="31"/>
      <c r="OJ131" s="31"/>
      <c r="OK131" s="31"/>
      <c r="OL131" s="31"/>
      <c r="OM131" s="31"/>
      <c r="ON131" s="31"/>
      <c r="OO131" s="31"/>
      <c r="OP131" s="31"/>
      <c r="OQ131" s="31"/>
      <c r="OR131" s="31"/>
      <c r="OS131" s="31"/>
      <c r="OT131" s="31"/>
      <c r="OU131" s="31"/>
      <c r="OV131" s="31"/>
      <c r="OW131" s="31"/>
      <c r="OX131" s="31"/>
    </row>
    <row r="132" spans="2:414" s="25" customFormat="1" ht="15.6">
      <c r="B132" s="25" t="s">
        <v>217</v>
      </c>
      <c r="C132" s="27" t="s">
        <v>218</v>
      </c>
      <c r="D132" s="30" t="s">
        <v>201</v>
      </c>
      <c r="G132" s="42">
        <v>500</v>
      </c>
      <c r="H132" s="89">
        <v>26.109000000000002</v>
      </c>
      <c r="I132" s="38">
        <f t="shared" si="31"/>
        <v>13054.5</v>
      </c>
      <c r="K132" s="42">
        <v>500</v>
      </c>
      <c r="L132" s="90">
        <v>26.849599999999999</v>
      </c>
      <c r="M132" s="38">
        <f t="shared" si="32"/>
        <v>13424.8</v>
      </c>
      <c r="O132" s="38">
        <v>80</v>
      </c>
      <c r="P132" s="38">
        <v>26.728300000000001</v>
      </c>
      <c r="Q132" s="38">
        <f t="shared" si="33"/>
        <v>2138.2640000000001</v>
      </c>
      <c r="R132" s="43">
        <f t="shared" si="48"/>
        <v>1080</v>
      </c>
      <c r="S132" s="38">
        <f t="shared" si="34"/>
        <v>28617.563999999998</v>
      </c>
      <c r="T132" s="49">
        <v>85</v>
      </c>
      <c r="U132" s="42">
        <v>26.0579</v>
      </c>
      <c r="V132" s="38">
        <f t="shared" si="44"/>
        <v>2214.9214999999999</v>
      </c>
      <c r="W132" s="42"/>
      <c r="X132" s="42"/>
      <c r="Y132" s="38">
        <f t="shared" si="43"/>
        <v>0</v>
      </c>
      <c r="Z132" s="42"/>
      <c r="AA132" s="42"/>
      <c r="AB132" s="42">
        <f t="shared" si="45"/>
        <v>0</v>
      </c>
      <c r="AD132" s="42"/>
      <c r="AE132" s="42"/>
      <c r="AF132" s="42">
        <f t="shared" si="46"/>
        <v>0</v>
      </c>
      <c r="AG132" s="42"/>
      <c r="AH132" s="42"/>
      <c r="AI132" s="42"/>
      <c r="AJ132" s="42">
        <f t="shared" si="50"/>
        <v>0</v>
      </c>
      <c r="AL132" s="42"/>
      <c r="AM132" s="42"/>
      <c r="AN132" s="42">
        <f t="shared" si="30"/>
        <v>0</v>
      </c>
      <c r="AO132" s="44"/>
      <c r="AP132" s="42"/>
      <c r="AQ132" s="42"/>
      <c r="AR132" s="42"/>
      <c r="AU132" s="98"/>
      <c r="AV132" s="35"/>
      <c r="AW132" s="104"/>
      <c r="AX132" s="42"/>
      <c r="AY132" s="42"/>
      <c r="AZ132" s="42">
        <f t="shared" si="49"/>
        <v>0</v>
      </c>
      <c r="BA132" s="42"/>
      <c r="BB132" s="42"/>
      <c r="BC132" s="42"/>
      <c r="BD132" s="38">
        <f t="shared" si="36"/>
        <v>0</v>
      </c>
      <c r="BE132" s="42"/>
      <c r="BF132" s="42"/>
      <c r="BG132" s="42"/>
      <c r="BH132" s="38">
        <f t="shared" si="37"/>
        <v>0</v>
      </c>
      <c r="BI132" s="42"/>
      <c r="BJ132" s="42"/>
      <c r="BK132" s="42"/>
      <c r="BL132" s="38">
        <f t="shared" si="38"/>
        <v>0</v>
      </c>
      <c r="BM132" s="42"/>
      <c r="BN132" s="42"/>
      <c r="BO132" s="42"/>
      <c r="BP132" s="42"/>
      <c r="BR132" s="42">
        <f t="shared" si="39"/>
        <v>2214.9214999999999</v>
      </c>
      <c r="BS132" s="43">
        <f t="shared" si="40"/>
        <v>26402.642499999998</v>
      </c>
      <c r="BT132" s="42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  <c r="IM132" s="31"/>
      <c r="IN132" s="31"/>
      <c r="IO132" s="31"/>
      <c r="IP132" s="31"/>
      <c r="IQ132" s="31"/>
      <c r="IR132" s="31"/>
      <c r="IS132" s="31"/>
      <c r="IT132" s="31"/>
      <c r="IU132" s="31"/>
      <c r="IV132" s="31"/>
      <c r="IW132" s="31"/>
      <c r="IX132" s="31"/>
      <c r="IY132" s="31"/>
      <c r="IZ132" s="31"/>
      <c r="JA132" s="31"/>
      <c r="JB132" s="31"/>
      <c r="JC132" s="31"/>
      <c r="JD132" s="31"/>
      <c r="JE132" s="31"/>
      <c r="JF132" s="31"/>
      <c r="JG132" s="31"/>
      <c r="JH132" s="31"/>
      <c r="JI132" s="31"/>
      <c r="JJ132" s="31"/>
      <c r="JK132" s="31"/>
      <c r="JL132" s="31"/>
      <c r="JM132" s="31"/>
      <c r="JN132" s="31"/>
      <c r="JO132" s="31"/>
      <c r="JP132" s="31"/>
      <c r="JQ132" s="31"/>
      <c r="JR132" s="31"/>
      <c r="JS132" s="31"/>
      <c r="JT132" s="31"/>
      <c r="JU132" s="31"/>
      <c r="JV132" s="31"/>
      <c r="JW132" s="31"/>
      <c r="JX132" s="31"/>
      <c r="JY132" s="31"/>
      <c r="JZ132" s="31"/>
      <c r="KA132" s="31"/>
      <c r="KB132" s="31"/>
      <c r="KC132" s="31"/>
      <c r="KD132" s="31"/>
      <c r="KE132" s="31"/>
      <c r="KF132" s="31"/>
      <c r="KG132" s="31"/>
      <c r="KH132" s="31"/>
      <c r="KI132" s="31"/>
      <c r="KJ132" s="31"/>
      <c r="KK132" s="31"/>
      <c r="KL132" s="31"/>
      <c r="KM132" s="31"/>
      <c r="KN132" s="31"/>
      <c r="KO132" s="31"/>
      <c r="KP132" s="31"/>
      <c r="KQ132" s="31"/>
      <c r="KR132" s="31"/>
      <c r="KS132" s="31"/>
      <c r="KT132" s="31"/>
      <c r="KU132" s="31"/>
      <c r="KV132" s="31"/>
      <c r="KW132" s="31"/>
      <c r="KX132" s="31"/>
      <c r="KY132" s="31"/>
      <c r="KZ132" s="31"/>
      <c r="LA132" s="31"/>
      <c r="LB132" s="31"/>
      <c r="LC132" s="31"/>
      <c r="LD132" s="31"/>
      <c r="LE132" s="31"/>
      <c r="LF132" s="31"/>
      <c r="LG132" s="31"/>
      <c r="LH132" s="31"/>
      <c r="LI132" s="31"/>
      <c r="LJ132" s="31"/>
      <c r="LK132" s="31"/>
      <c r="LL132" s="31"/>
      <c r="LM132" s="31"/>
      <c r="LN132" s="31"/>
      <c r="LO132" s="31"/>
      <c r="LP132" s="31"/>
      <c r="LQ132" s="31"/>
      <c r="LR132" s="31"/>
      <c r="LS132" s="31"/>
      <c r="LT132" s="31"/>
      <c r="LU132" s="31"/>
      <c r="LV132" s="31"/>
      <c r="LW132" s="31"/>
      <c r="LX132" s="31"/>
      <c r="LY132" s="31"/>
      <c r="LZ132" s="31"/>
      <c r="MA132" s="31"/>
      <c r="MB132" s="31"/>
      <c r="MC132" s="31"/>
      <c r="MD132" s="31"/>
      <c r="ME132" s="31"/>
      <c r="MF132" s="31"/>
      <c r="MG132" s="31"/>
      <c r="MH132" s="31"/>
      <c r="MI132" s="31"/>
      <c r="MJ132" s="31"/>
      <c r="MK132" s="31"/>
      <c r="ML132" s="31"/>
      <c r="MM132" s="31"/>
      <c r="MN132" s="31"/>
      <c r="MO132" s="31"/>
      <c r="MP132" s="31"/>
      <c r="MQ132" s="31"/>
      <c r="MR132" s="31"/>
      <c r="MS132" s="31"/>
      <c r="MT132" s="31"/>
      <c r="MU132" s="31"/>
      <c r="MV132" s="31"/>
      <c r="MW132" s="31"/>
      <c r="MX132" s="31"/>
      <c r="MY132" s="31"/>
      <c r="MZ132" s="31"/>
      <c r="NA132" s="31"/>
      <c r="NB132" s="31"/>
      <c r="NC132" s="31"/>
      <c r="ND132" s="31"/>
      <c r="NE132" s="31"/>
      <c r="NF132" s="31"/>
      <c r="NG132" s="31"/>
      <c r="NH132" s="31"/>
      <c r="NI132" s="31"/>
      <c r="NJ132" s="31"/>
      <c r="NK132" s="31"/>
      <c r="NL132" s="31"/>
      <c r="NM132" s="31"/>
      <c r="NN132" s="31"/>
      <c r="NO132" s="31"/>
      <c r="NP132" s="31"/>
      <c r="NQ132" s="31"/>
      <c r="NR132" s="31"/>
      <c r="NS132" s="31"/>
      <c r="NT132" s="31"/>
      <c r="NU132" s="31"/>
      <c r="NV132" s="31"/>
      <c r="NW132" s="31"/>
      <c r="NX132" s="31"/>
      <c r="NY132" s="31"/>
      <c r="NZ132" s="31"/>
      <c r="OA132" s="31"/>
      <c r="OB132" s="31"/>
      <c r="OC132" s="31"/>
      <c r="OD132" s="31"/>
      <c r="OE132" s="31"/>
      <c r="OF132" s="31"/>
      <c r="OG132" s="31"/>
      <c r="OH132" s="31"/>
      <c r="OI132" s="31"/>
      <c r="OJ132" s="31"/>
      <c r="OK132" s="31"/>
      <c r="OL132" s="31"/>
      <c r="OM132" s="31"/>
      <c r="ON132" s="31"/>
      <c r="OO132" s="31"/>
      <c r="OP132" s="31"/>
      <c r="OQ132" s="31"/>
      <c r="OR132" s="31"/>
      <c r="OS132" s="31"/>
      <c r="OT132" s="31"/>
      <c r="OU132" s="31"/>
      <c r="OV132" s="31"/>
      <c r="OW132" s="31"/>
      <c r="OX132" s="31"/>
    </row>
    <row r="133" spans="2:414" s="25" customFormat="1" ht="15.6">
      <c r="B133" s="25" t="s">
        <v>194</v>
      </c>
      <c r="C133" s="27" t="s">
        <v>219</v>
      </c>
      <c r="D133" s="30" t="s">
        <v>201</v>
      </c>
      <c r="G133" s="42">
        <v>500</v>
      </c>
      <c r="H133" s="89">
        <v>26.109000000000002</v>
      </c>
      <c r="I133" s="38">
        <f t="shared" si="31"/>
        <v>13054.5</v>
      </c>
      <c r="K133" s="42">
        <v>500</v>
      </c>
      <c r="L133" s="90">
        <v>26.849599999999999</v>
      </c>
      <c r="M133" s="38">
        <f t="shared" si="32"/>
        <v>13424.8</v>
      </c>
      <c r="O133" s="38">
        <v>80</v>
      </c>
      <c r="P133" s="38">
        <v>26.728300000000001</v>
      </c>
      <c r="Q133" s="38">
        <f t="shared" si="33"/>
        <v>2138.2640000000001</v>
      </c>
      <c r="R133" s="43">
        <f t="shared" si="48"/>
        <v>1080</v>
      </c>
      <c r="S133" s="38">
        <f t="shared" si="34"/>
        <v>28617.563999999998</v>
      </c>
      <c r="T133" s="49">
        <v>415</v>
      </c>
      <c r="U133" s="42">
        <v>26.298200000000001</v>
      </c>
      <c r="V133" s="38">
        <f t="shared" si="44"/>
        <v>10913.753000000001</v>
      </c>
      <c r="W133" s="42">
        <v>85</v>
      </c>
      <c r="X133" s="42"/>
      <c r="Y133" s="38">
        <f t="shared" si="43"/>
        <v>0</v>
      </c>
      <c r="Z133" s="42">
        <v>415</v>
      </c>
      <c r="AA133" s="42">
        <v>26.856000000000002</v>
      </c>
      <c r="AB133" s="42">
        <f t="shared" si="45"/>
        <v>11145.24</v>
      </c>
      <c r="AD133" s="42">
        <v>85</v>
      </c>
      <c r="AE133" s="42">
        <v>26.974900000000002</v>
      </c>
      <c r="AF133" s="42">
        <f t="shared" si="46"/>
        <v>2292.8665000000001</v>
      </c>
      <c r="AG133" s="42"/>
      <c r="AH133" s="42"/>
      <c r="AI133" s="42"/>
      <c r="AJ133" s="42">
        <f t="shared" si="50"/>
        <v>0</v>
      </c>
      <c r="AL133" s="42"/>
      <c r="AM133" s="42"/>
      <c r="AN133" s="42">
        <f t="shared" ref="AN133:AN177" si="51">AL133*AM133</f>
        <v>0</v>
      </c>
      <c r="AO133" s="44"/>
      <c r="AP133" s="42"/>
      <c r="AQ133" s="42"/>
      <c r="AR133" s="42"/>
      <c r="AU133" s="98"/>
      <c r="AV133" s="35"/>
      <c r="AW133" s="104"/>
      <c r="AX133" s="42"/>
      <c r="AY133" s="42"/>
      <c r="AZ133" s="42">
        <f t="shared" si="49"/>
        <v>0</v>
      </c>
      <c r="BA133" s="42"/>
      <c r="BB133" s="42"/>
      <c r="BC133" s="42"/>
      <c r="BD133" s="38">
        <f t="shared" si="36"/>
        <v>0</v>
      </c>
      <c r="BE133" s="42"/>
      <c r="BF133" s="42"/>
      <c r="BG133" s="42"/>
      <c r="BH133" s="38">
        <f t="shared" si="37"/>
        <v>0</v>
      </c>
      <c r="BI133" s="42"/>
      <c r="BJ133" s="42"/>
      <c r="BK133" s="42"/>
      <c r="BL133" s="38">
        <f t="shared" si="38"/>
        <v>0</v>
      </c>
      <c r="BM133" s="42"/>
      <c r="BN133" s="42"/>
      <c r="BO133" s="42"/>
      <c r="BP133" s="42"/>
      <c r="BR133" s="42">
        <f t="shared" si="39"/>
        <v>24351.859500000002</v>
      </c>
      <c r="BS133" s="43">
        <f t="shared" si="40"/>
        <v>4265.7044999999962</v>
      </c>
      <c r="BT133" s="42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  <c r="IM133" s="31"/>
      <c r="IN133" s="31"/>
      <c r="IO133" s="31"/>
      <c r="IP133" s="31"/>
      <c r="IQ133" s="31"/>
      <c r="IR133" s="31"/>
      <c r="IS133" s="31"/>
      <c r="IT133" s="31"/>
      <c r="IU133" s="31"/>
      <c r="IV133" s="31"/>
      <c r="IW133" s="31"/>
      <c r="IX133" s="31"/>
      <c r="IY133" s="31"/>
      <c r="IZ133" s="31"/>
      <c r="JA133" s="31"/>
      <c r="JB133" s="31"/>
      <c r="JC133" s="31"/>
      <c r="JD133" s="31"/>
      <c r="JE133" s="31"/>
      <c r="JF133" s="31"/>
      <c r="JG133" s="31"/>
      <c r="JH133" s="31"/>
      <c r="JI133" s="31"/>
      <c r="JJ133" s="31"/>
      <c r="JK133" s="31"/>
      <c r="JL133" s="31"/>
      <c r="JM133" s="31"/>
      <c r="JN133" s="31"/>
      <c r="JO133" s="31"/>
      <c r="JP133" s="31"/>
      <c r="JQ133" s="31"/>
      <c r="JR133" s="31"/>
      <c r="JS133" s="31"/>
      <c r="JT133" s="31"/>
      <c r="JU133" s="31"/>
      <c r="JV133" s="31"/>
      <c r="JW133" s="31"/>
      <c r="JX133" s="31"/>
      <c r="JY133" s="31"/>
      <c r="JZ133" s="31"/>
      <c r="KA133" s="31"/>
      <c r="KB133" s="31"/>
      <c r="KC133" s="31"/>
      <c r="KD133" s="31"/>
      <c r="KE133" s="31"/>
      <c r="KF133" s="31"/>
      <c r="KG133" s="31"/>
      <c r="KH133" s="31"/>
      <c r="KI133" s="31"/>
      <c r="KJ133" s="31"/>
      <c r="KK133" s="31"/>
      <c r="KL133" s="31"/>
      <c r="KM133" s="31"/>
      <c r="KN133" s="31"/>
      <c r="KO133" s="31"/>
      <c r="KP133" s="31"/>
      <c r="KQ133" s="31"/>
      <c r="KR133" s="31"/>
      <c r="KS133" s="31"/>
      <c r="KT133" s="31"/>
      <c r="KU133" s="31"/>
      <c r="KV133" s="31"/>
      <c r="KW133" s="31"/>
      <c r="KX133" s="31"/>
      <c r="KY133" s="31"/>
      <c r="KZ133" s="31"/>
      <c r="LA133" s="31"/>
      <c r="LB133" s="31"/>
      <c r="LC133" s="31"/>
      <c r="LD133" s="31"/>
      <c r="LE133" s="31"/>
      <c r="LF133" s="31"/>
      <c r="LG133" s="31"/>
      <c r="LH133" s="31"/>
      <c r="LI133" s="31"/>
      <c r="LJ133" s="31"/>
      <c r="LK133" s="31"/>
      <c r="LL133" s="31"/>
      <c r="LM133" s="31"/>
      <c r="LN133" s="31"/>
      <c r="LO133" s="31"/>
      <c r="LP133" s="31"/>
      <c r="LQ133" s="31"/>
      <c r="LR133" s="31"/>
      <c r="LS133" s="31"/>
      <c r="LT133" s="31"/>
      <c r="LU133" s="31"/>
      <c r="LV133" s="31"/>
      <c r="LW133" s="31"/>
      <c r="LX133" s="31"/>
      <c r="LY133" s="31"/>
      <c r="LZ133" s="31"/>
      <c r="MA133" s="31"/>
      <c r="MB133" s="31"/>
      <c r="MC133" s="31"/>
      <c r="MD133" s="31"/>
      <c r="ME133" s="31"/>
      <c r="MF133" s="31"/>
      <c r="MG133" s="31"/>
      <c r="MH133" s="31"/>
      <c r="MI133" s="31"/>
      <c r="MJ133" s="31"/>
      <c r="MK133" s="31"/>
      <c r="ML133" s="31"/>
      <c r="MM133" s="31"/>
      <c r="MN133" s="31"/>
      <c r="MO133" s="31"/>
      <c r="MP133" s="31"/>
      <c r="MQ133" s="31"/>
      <c r="MR133" s="31"/>
      <c r="MS133" s="31"/>
      <c r="MT133" s="31"/>
      <c r="MU133" s="31"/>
      <c r="MV133" s="31"/>
      <c r="MW133" s="31"/>
      <c r="MX133" s="31"/>
      <c r="MY133" s="31"/>
      <c r="MZ133" s="31"/>
      <c r="NA133" s="31"/>
      <c r="NB133" s="31"/>
      <c r="NC133" s="31"/>
      <c r="ND133" s="31"/>
      <c r="NE133" s="31"/>
      <c r="NF133" s="31"/>
      <c r="NG133" s="31"/>
      <c r="NH133" s="31"/>
      <c r="NI133" s="31"/>
      <c r="NJ133" s="31"/>
      <c r="NK133" s="31"/>
      <c r="NL133" s="31"/>
      <c r="NM133" s="31"/>
      <c r="NN133" s="31"/>
      <c r="NO133" s="31"/>
      <c r="NP133" s="31"/>
      <c r="NQ133" s="31"/>
      <c r="NR133" s="31"/>
      <c r="NS133" s="31"/>
      <c r="NT133" s="31"/>
      <c r="NU133" s="31"/>
      <c r="NV133" s="31"/>
      <c r="NW133" s="31"/>
      <c r="NX133" s="31"/>
      <c r="NY133" s="31"/>
      <c r="NZ133" s="31"/>
      <c r="OA133" s="31"/>
      <c r="OB133" s="31"/>
      <c r="OC133" s="31"/>
      <c r="OD133" s="31"/>
      <c r="OE133" s="31"/>
      <c r="OF133" s="31"/>
      <c r="OG133" s="31"/>
      <c r="OH133" s="31"/>
      <c r="OI133" s="31"/>
      <c r="OJ133" s="31"/>
      <c r="OK133" s="31"/>
      <c r="OL133" s="31"/>
      <c r="OM133" s="31"/>
      <c r="ON133" s="31"/>
      <c r="OO133" s="31"/>
      <c r="OP133" s="31"/>
      <c r="OQ133" s="31"/>
      <c r="OR133" s="31"/>
      <c r="OS133" s="31"/>
      <c r="OT133" s="31"/>
      <c r="OU133" s="31"/>
      <c r="OV133" s="31"/>
      <c r="OW133" s="31"/>
      <c r="OX133" s="31"/>
    </row>
    <row r="134" spans="2:414" s="25" customFormat="1" ht="15.6">
      <c r="B134" s="25" t="s">
        <v>220</v>
      </c>
      <c r="C134" s="27" t="s">
        <v>185</v>
      </c>
      <c r="D134" s="30" t="s">
        <v>201</v>
      </c>
      <c r="G134" s="42">
        <v>500</v>
      </c>
      <c r="H134" s="89">
        <v>26.109000000000002</v>
      </c>
      <c r="I134" s="38">
        <f t="shared" si="31"/>
        <v>13054.5</v>
      </c>
      <c r="K134" s="42">
        <v>500</v>
      </c>
      <c r="L134" s="90">
        <v>26.849599999999999</v>
      </c>
      <c r="M134" s="38">
        <f t="shared" si="32"/>
        <v>13424.8</v>
      </c>
      <c r="O134" s="38">
        <v>80</v>
      </c>
      <c r="P134" s="38">
        <v>26.728300000000001</v>
      </c>
      <c r="Q134" s="38">
        <f t="shared" si="33"/>
        <v>2138.2640000000001</v>
      </c>
      <c r="R134" s="43">
        <f t="shared" si="48"/>
        <v>1080</v>
      </c>
      <c r="S134" s="38">
        <f t="shared" si="34"/>
        <v>28617.563999999998</v>
      </c>
      <c r="T134" s="49">
        <v>415</v>
      </c>
      <c r="U134" s="42">
        <v>26.0579</v>
      </c>
      <c r="V134" s="38">
        <f t="shared" si="44"/>
        <v>10814.0285</v>
      </c>
      <c r="W134" s="42">
        <v>85</v>
      </c>
      <c r="X134" s="42">
        <v>26.0579</v>
      </c>
      <c r="Y134" s="38">
        <f t="shared" si="43"/>
        <v>2214.9214999999999</v>
      </c>
      <c r="Z134" s="42">
        <v>270</v>
      </c>
      <c r="AA134" s="42">
        <v>26.869499999999999</v>
      </c>
      <c r="AB134" s="42">
        <f t="shared" si="45"/>
        <v>7254.7649999999994</v>
      </c>
      <c r="AD134" s="42">
        <v>85</v>
      </c>
      <c r="AE134" s="42">
        <v>26.869499999999999</v>
      </c>
      <c r="AF134" s="42">
        <f t="shared" si="46"/>
        <v>2283.9074999999998</v>
      </c>
      <c r="AG134" s="42"/>
      <c r="AH134" s="42">
        <v>26.952500000000001</v>
      </c>
      <c r="AI134" s="42"/>
      <c r="AJ134" s="42">
        <f t="shared" si="50"/>
        <v>0</v>
      </c>
      <c r="AL134" s="42"/>
      <c r="AM134" s="42"/>
      <c r="AN134" s="42">
        <f t="shared" si="51"/>
        <v>0</v>
      </c>
      <c r="AO134" s="44"/>
      <c r="AP134" s="42"/>
      <c r="AQ134" s="42"/>
      <c r="AR134" s="42"/>
      <c r="AU134" s="98"/>
      <c r="AV134" s="35"/>
      <c r="AW134" s="104"/>
      <c r="AX134" s="42"/>
      <c r="AY134" s="42"/>
      <c r="AZ134" s="42">
        <f t="shared" si="49"/>
        <v>0</v>
      </c>
      <c r="BA134" s="42"/>
      <c r="BB134" s="42"/>
      <c r="BC134" s="42"/>
      <c r="BD134" s="38">
        <f t="shared" si="36"/>
        <v>0</v>
      </c>
      <c r="BE134" s="42"/>
      <c r="BF134" s="42"/>
      <c r="BG134" s="42"/>
      <c r="BH134" s="38">
        <f t="shared" si="37"/>
        <v>0</v>
      </c>
      <c r="BI134" s="42"/>
      <c r="BJ134" s="42"/>
      <c r="BK134" s="42"/>
      <c r="BL134" s="38">
        <f t="shared" si="38"/>
        <v>0</v>
      </c>
      <c r="BM134" s="42"/>
      <c r="BN134" s="42"/>
      <c r="BO134" s="42"/>
      <c r="BP134" s="42"/>
      <c r="BR134" s="42">
        <f t="shared" si="39"/>
        <v>22567.622500000001</v>
      </c>
      <c r="BS134" s="43">
        <f t="shared" si="40"/>
        <v>6049.9414999999972</v>
      </c>
      <c r="BT134" s="42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  <c r="IM134" s="31"/>
      <c r="IN134" s="31"/>
      <c r="IO134" s="31"/>
      <c r="IP134" s="31"/>
      <c r="IQ134" s="31"/>
      <c r="IR134" s="31"/>
      <c r="IS134" s="31"/>
      <c r="IT134" s="31"/>
      <c r="IU134" s="31"/>
      <c r="IV134" s="31"/>
      <c r="IW134" s="31"/>
      <c r="IX134" s="31"/>
      <c r="IY134" s="31"/>
      <c r="IZ134" s="31"/>
      <c r="JA134" s="31"/>
      <c r="JB134" s="31"/>
      <c r="JC134" s="31"/>
      <c r="JD134" s="31"/>
      <c r="JE134" s="31"/>
      <c r="JF134" s="31"/>
      <c r="JG134" s="31"/>
      <c r="JH134" s="31"/>
      <c r="JI134" s="31"/>
      <c r="JJ134" s="31"/>
      <c r="JK134" s="31"/>
      <c r="JL134" s="31"/>
      <c r="JM134" s="31"/>
      <c r="JN134" s="31"/>
      <c r="JO134" s="31"/>
      <c r="JP134" s="31"/>
      <c r="JQ134" s="31"/>
      <c r="JR134" s="31"/>
      <c r="JS134" s="31"/>
      <c r="JT134" s="31"/>
      <c r="JU134" s="31"/>
      <c r="JV134" s="31"/>
      <c r="JW134" s="31"/>
      <c r="JX134" s="31"/>
      <c r="JY134" s="31"/>
      <c r="JZ134" s="31"/>
      <c r="KA134" s="31"/>
      <c r="KB134" s="31"/>
      <c r="KC134" s="31"/>
      <c r="KD134" s="31"/>
      <c r="KE134" s="31"/>
      <c r="KF134" s="31"/>
      <c r="KG134" s="31"/>
      <c r="KH134" s="31"/>
      <c r="KI134" s="31"/>
      <c r="KJ134" s="31"/>
      <c r="KK134" s="31"/>
      <c r="KL134" s="31"/>
      <c r="KM134" s="31"/>
      <c r="KN134" s="31"/>
      <c r="KO134" s="31"/>
      <c r="KP134" s="31"/>
      <c r="KQ134" s="31"/>
      <c r="KR134" s="31"/>
      <c r="KS134" s="31"/>
      <c r="KT134" s="31"/>
      <c r="KU134" s="31"/>
      <c r="KV134" s="31"/>
      <c r="KW134" s="31"/>
      <c r="KX134" s="31"/>
      <c r="KY134" s="31"/>
      <c r="KZ134" s="31"/>
      <c r="LA134" s="31"/>
      <c r="LB134" s="31"/>
      <c r="LC134" s="31"/>
      <c r="LD134" s="31"/>
      <c r="LE134" s="31"/>
      <c r="LF134" s="31"/>
      <c r="LG134" s="31"/>
      <c r="LH134" s="31"/>
      <c r="LI134" s="31"/>
      <c r="LJ134" s="31"/>
      <c r="LK134" s="31"/>
      <c r="LL134" s="31"/>
      <c r="LM134" s="31"/>
      <c r="LN134" s="31"/>
      <c r="LO134" s="31"/>
      <c r="LP134" s="31"/>
      <c r="LQ134" s="31"/>
      <c r="LR134" s="31"/>
      <c r="LS134" s="31"/>
      <c r="LT134" s="31"/>
      <c r="LU134" s="31"/>
      <c r="LV134" s="31"/>
      <c r="LW134" s="31"/>
      <c r="LX134" s="31"/>
      <c r="LY134" s="31"/>
      <c r="LZ134" s="31"/>
      <c r="MA134" s="31"/>
      <c r="MB134" s="31"/>
      <c r="MC134" s="31"/>
      <c r="MD134" s="31"/>
      <c r="ME134" s="31"/>
      <c r="MF134" s="31"/>
      <c r="MG134" s="31"/>
      <c r="MH134" s="31"/>
      <c r="MI134" s="31"/>
      <c r="MJ134" s="31"/>
      <c r="MK134" s="31"/>
      <c r="ML134" s="31"/>
      <c r="MM134" s="31"/>
      <c r="MN134" s="31"/>
      <c r="MO134" s="31"/>
      <c r="MP134" s="31"/>
      <c r="MQ134" s="31"/>
      <c r="MR134" s="31"/>
      <c r="MS134" s="31"/>
      <c r="MT134" s="31"/>
      <c r="MU134" s="31"/>
      <c r="MV134" s="31"/>
      <c r="MW134" s="31"/>
      <c r="MX134" s="31"/>
      <c r="MY134" s="31"/>
      <c r="MZ134" s="31"/>
      <c r="NA134" s="31"/>
      <c r="NB134" s="31"/>
      <c r="NC134" s="31"/>
      <c r="ND134" s="31"/>
      <c r="NE134" s="31"/>
      <c r="NF134" s="31"/>
      <c r="NG134" s="31"/>
      <c r="NH134" s="31"/>
      <c r="NI134" s="31"/>
      <c r="NJ134" s="31"/>
      <c r="NK134" s="31"/>
      <c r="NL134" s="31"/>
      <c r="NM134" s="31"/>
      <c r="NN134" s="31"/>
      <c r="NO134" s="31"/>
      <c r="NP134" s="31"/>
      <c r="NQ134" s="31"/>
      <c r="NR134" s="31"/>
      <c r="NS134" s="31"/>
      <c r="NT134" s="31"/>
      <c r="NU134" s="31"/>
      <c r="NV134" s="31"/>
      <c r="NW134" s="31"/>
      <c r="NX134" s="31"/>
      <c r="NY134" s="31"/>
      <c r="NZ134" s="31"/>
      <c r="OA134" s="31"/>
      <c r="OB134" s="31"/>
      <c r="OC134" s="31"/>
      <c r="OD134" s="31"/>
      <c r="OE134" s="31"/>
      <c r="OF134" s="31"/>
      <c r="OG134" s="31"/>
      <c r="OH134" s="31"/>
      <c r="OI134" s="31"/>
      <c r="OJ134" s="31"/>
      <c r="OK134" s="31"/>
      <c r="OL134" s="31"/>
      <c r="OM134" s="31"/>
      <c r="ON134" s="31"/>
      <c r="OO134" s="31"/>
      <c r="OP134" s="31"/>
      <c r="OQ134" s="31"/>
      <c r="OR134" s="31"/>
      <c r="OS134" s="31"/>
      <c r="OT134" s="31"/>
      <c r="OU134" s="31"/>
      <c r="OV134" s="31"/>
      <c r="OW134" s="31"/>
      <c r="OX134" s="31"/>
    </row>
    <row r="135" spans="2:414" s="25" customFormat="1" ht="15.6">
      <c r="B135" s="25" t="s">
        <v>220</v>
      </c>
      <c r="C135" s="27" t="s">
        <v>221</v>
      </c>
      <c r="D135" s="30" t="s">
        <v>201</v>
      </c>
      <c r="G135" s="42">
        <v>500</v>
      </c>
      <c r="H135" s="89">
        <v>26.109000000000002</v>
      </c>
      <c r="I135" s="38">
        <f t="shared" si="31"/>
        <v>13054.5</v>
      </c>
      <c r="K135" s="42">
        <v>500</v>
      </c>
      <c r="L135" s="90">
        <v>26.849599999999999</v>
      </c>
      <c r="M135" s="38">
        <f t="shared" si="32"/>
        <v>13424.8</v>
      </c>
      <c r="O135" s="38">
        <v>80</v>
      </c>
      <c r="P135" s="38">
        <v>26.728300000000001</v>
      </c>
      <c r="Q135" s="38">
        <f t="shared" si="33"/>
        <v>2138.2640000000001</v>
      </c>
      <c r="R135" s="43">
        <f t="shared" si="48"/>
        <v>1080</v>
      </c>
      <c r="S135" s="38">
        <f t="shared" si="34"/>
        <v>28617.563999999998</v>
      </c>
      <c r="T135" s="49">
        <v>85</v>
      </c>
      <c r="U135" s="42">
        <v>26.267499999999998</v>
      </c>
      <c r="V135" s="38">
        <f t="shared" si="44"/>
        <v>2232.7374999999997</v>
      </c>
      <c r="W135" s="42">
        <v>415</v>
      </c>
      <c r="X135" s="42">
        <v>26.267499999999998</v>
      </c>
      <c r="Y135" s="38">
        <f t="shared" si="43"/>
        <v>10901.012499999999</v>
      </c>
      <c r="Z135" s="42">
        <v>270</v>
      </c>
      <c r="AA135" s="42">
        <v>26.869499999999999</v>
      </c>
      <c r="AB135" s="42">
        <f t="shared" si="45"/>
        <v>7254.7649999999994</v>
      </c>
      <c r="AD135" s="42">
        <v>85</v>
      </c>
      <c r="AE135" s="42">
        <v>26.869499999999999</v>
      </c>
      <c r="AF135" s="42">
        <f t="shared" si="46"/>
        <v>2283.9074999999998</v>
      </c>
      <c r="AG135" s="42"/>
      <c r="AH135" s="42">
        <v>145</v>
      </c>
      <c r="AI135" s="42">
        <v>26.952500000000001</v>
      </c>
      <c r="AJ135" s="42">
        <f t="shared" si="50"/>
        <v>3908.1125000000002</v>
      </c>
      <c r="AL135" s="42"/>
      <c r="AM135" s="42"/>
      <c r="AN135" s="42">
        <f t="shared" si="51"/>
        <v>0</v>
      </c>
      <c r="AO135" s="44"/>
      <c r="AP135" s="42"/>
      <c r="AQ135" s="42"/>
      <c r="AR135" s="42"/>
      <c r="AU135" s="98"/>
      <c r="AV135" s="35"/>
      <c r="AW135" s="104"/>
      <c r="AX135" s="42"/>
      <c r="AY135" s="42"/>
      <c r="AZ135" s="42">
        <f t="shared" si="49"/>
        <v>0</v>
      </c>
      <c r="BA135" s="42"/>
      <c r="BB135" s="42"/>
      <c r="BC135" s="42"/>
      <c r="BD135" s="38">
        <f t="shared" si="36"/>
        <v>0</v>
      </c>
      <c r="BE135" s="42"/>
      <c r="BF135" s="42"/>
      <c r="BG135" s="42"/>
      <c r="BH135" s="38">
        <f t="shared" si="37"/>
        <v>0</v>
      </c>
      <c r="BI135" s="42"/>
      <c r="BJ135" s="42"/>
      <c r="BK135" s="42"/>
      <c r="BL135" s="38">
        <f t="shared" si="38"/>
        <v>0</v>
      </c>
      <c r="BM135" s="42"/>
      <c r="BN135" s="42"/>
      <c r="BO135" s="42"/>
      <c r="BP135" s="42"/>
      <c r="BR135" s="42">
        <f t="shared" si="39"/>
        <v>26580.535</v>
      </c>
      <c r="BS135" s="43">
        <f t="shared" si="40"/>
        <v>2037.0289999999986</v>
      </c>
      <c r="BT135" s="42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  <c r="IM135" s="31"/>
      <c r="IN135" s="31"/>
      <c r="IO135" s="31"/>
      <c r="IP135" s="31"/>
      <c r="IQ135" s="31"/>
      <c r="IR135" s="31"/>
      <c r="IS135" s="31"/>
      <c r="IT135" s="31"/>
      <c r="IU135" s="31"/>
      <c r="IV135" s="31"/>
      <c r="IW135" s="31"/>
      <c r="IX135" s="31"/>
      <c r="IY135" s="31"/>
      <c r="IZ135" s="31"/>
      <c r="JA135" s="31"/>
      <c r="JB135" s="31"/>
      <c r="JC135" s="31"/>
      <c r="JD135" s="31"/>
      <c r="JE135" s="31"/>
      <c r="JF135" s="31"/>
      <c r="JG135" s="31"/>
      <c r="JH135" s="31"/>
      <c r="JI135" s="31"/>
      <c r="JJ135" s="31"/>
      <c r="JK135" s="31"/>
      <c r="JL135" s="31"/>
      <c r="JM135" s="31"/>
      <c r="JN135" s="31"/>
      <c r="JO135" s="31"/>
      <c r="JP135" s="31"/>
      <c r="JQ135" s="31"/>
      <c r="JR135" s="31"/>
      <c r="JS135" s="31"/>
      <c r="JT135" s="31"/>
      <c r="JU135" s="31"/>
      <c r="JV135" s="31"/>
      <c r="JW135" s="31"/>
      <c r="JX135" s="31"/>
      <c r="JY135" s="31"/>
      <c r="JZ135" s="31"/>
      <c r="KA135" s="31"/>
      <c r="KB135" s="31"/>
      <c r="KC135" s="31"/>
      <c r="KD135" s="31"/>
      <c r="KE135" s="31"/>
      <c r="KF135" s="31"/>
      <c r="KG135" s="31"/>
      <c r="KH135" s="31"/>
      <c r="KI135" s="31"/>
      <c r="KJ135" s="31"/>
      <c r="KK135" s="31"/>
      <c r="KL135" s="31"/>
      <c r="KM135" s="31"/>
      <c r="KN135" s="31"/>
      <c r="KO135" s="31"/>
      <c r="KP135" s="31"/>
      <c r="KQ135" s="31"/>
      <c r="KR135" s="31"/>
      <c r="KS135" s="31"/>
      <c r="KT135" s="31"/>
      <c r="KU135" s="31"/>
      <c r="KV135" s="31"/>
      <c r="KW135" s="31"/>
      <c r="KX135" s="31"/>
      <c r="KY135" s="31"/>
      <c r="KZ135" s="31"/>
      <c r="LA135" s="31"/>
      <c r="LB135" s="31"/>
      <c r="LC135" s="31"/>
      <c r="LD135" s="31"/>
      <c r="LE135" s="31"/>
      <c r="LF135" s="31"/>
      <c r="LG135" s="31"/>
      <c r="LH135" s="31"/>
      <c r="LI135" s="31"/>
      <c r="LJ135" s="31"/>
      <c r="LK135" s="31"/>
      <c r="LL135" s="31"/>
      <c r="LM135" s="31"/>
      <c r="LN135" s="31"/>
      <c r="LO135" s="31"/>
      <c r="LP135" s="31"/>
      <c r="LQ135" s="31"/>
      <c r="LR135" s="31"/>
      <c r="LS135" s="31"/>
      <c r="LT135" s="31"/>
      <c r="LU135" s="31"/>
      <c r="LV135" s="31"/>
      <c r="LW135" s="31"/>
      <c r="LX135" s="31"/>
      <c r="LY135" s="31"/>
      <c r="LZ135" s="31"/>
      <c r="MA135" s="31"/>
      <c r="MB135" s="31"/>
      <c r="MC135" s="31"/>
      <c r="MD135" s="31"/>
      <c r="ME135" s="31"/>
      <c r="MF135" s="31"/>
      <c r="MG135" s="31"/>
      <c r="MH135" s="31"/>
      <c r="MI135" s="31"/>
      <c r="MJ135" s="31"/>
      <c r="MK135" s="31"/>
      <c r="ML135" s="31"/>
      <c r="MM135" s="31"/>
      <c r="MN135" s="31"/>
      <c r="MO135" s="31"/>
      <c r="MP135" s="31"/>
      <c r="MQ135" s="31"/>
      <c r="MR135" s="31"/>
      <c r="MS135" s="31"/>
      <c r="MT135" s="31"/>
      <c r="MU135" s="31"/>
      <c r="MV135" s="31"/>
      <c r="MW135" s="31"/>
      <c r="MX135" s="31"/>
      <c r="MY135" s="31"/>
      <c r="MZ135" s="31"/>
      <c r="NA135" s="31"/>
      <c r="NB135" s="31"/>
      <c r="NC135" s="31"/>
      <c r="ND135" s="31"/>
      <c r="NE135" s="31"/>
      <c r="NF135" s="31"/>
      <c r="NG135" s="31"/>
      <c r="NH135" s="31"/>
      <c r="NI135" s="31"/>
      <c r="NJ135" s="31"/>
      <c r="NK135" s="31"/>
      <c r="NL135" s="31"/>
      <c r="NM135" s="31"/>
      <c r="NN135" s="31"/>
      <c r="NO135" s="31"/>
      <c r="NP135" s="31"/>
      <c r="NQ135" s="31"/>
      <c r="NR135" s="31"/>
      <c r="NS135" s="31"/>
      <c r="NT135" s="31"/>
      <c r="NU135" s="31"/>
      <c r="NV135" s="31"/>
      <c r="NW135" s="31"/>
      <c r="NX135" s="31"/>
      <c r="NY135" s="31"/>
      <c r="NZ135" s="31"/>
      <c r="OA135" s="31"/>
      <c r="OB135" s="31"/>
      <c r="OC135" s="31"/>
      <c r="OD135" s="31"/>
      <c r="OE135" s="31"/>
      <c r="OF135" s="31"/>
      <c r="OG135" s="31"/>
      <c r="OH135" s="31"/>
      <c r="OI135" s="31"/>
      <c r="OJ135" s="31"/>
      <c r="OK135" s="31"/>
      <c r="OL135" s="31"/>
      <c r="OM135" s="31"/>
      <c r="ON135" s="31"/>
      <c r="OO135" s="31"/>
      <c r="OP135" s="31"/>
      <c r="OQ135" s="31"/>
      <c r="OR135" s="31"/>
      <c r="OS135" s="31"/>
      <c r="OT135" s="31"/>
      <c r="OU135" s="31"/>
      <c r="OV135" s="31"/>
      <c r="OW135" s="31"/>
      <c r="OX135" s="31"/>
    </row>
    <row r="136" spans="2:414" s="25" customFormat="1" ht="15.6">
      <c r="B136" s="25" t="s">
        <v>222</v>
      </c>
      <c r="C136" s="27" t="s">
        <v>223</v>
      </c>
      <c r="D136" s="30" t="s">
        <v>201</v>
      </c>
      <c r="G136" s="42">
        <v>500</v>
      </c>
      <c r="H136" s="89">
        <v>26.109000000000002</v>
      </c>
      <c r="I136" s="38">
        <f t="shared" si="31"/>
        <v>13054.5</v>
      </c>
      <c r="K136" s="42">
        <v>500</v>
      </c>
      <c r="L136" s="90">
        <v>26.849599999999999</v>
      </c>
      <c r="M136" s="38">
        <f t="shared" si="32"/>
        <v>13424.8</v>
      </c>
      <c r="O136" s="38">
        <v>80</v>
      </c>
      <c r="P136" s="38">
        <v>26.728300000000001</v>
      </c>
      <c r="Q136" s="38">
        <f t="shared" si="33"/>
        <v>2138.2640000000001</v>
      </c>
      <c r="R136" s="43">
        <f t="shared" si="48"/>
        <v>1080</v>
      </c>
      <c r="S136" s="38">
        <f t="shared" si="34"/>
        <v>28617.563999999998</v>
      </c>
      <c r="T136" s="49">
        <v>85</v>
      </c>
      <c r="U136" s="42">
        <v>26.267499999999998</v>
      </c>
      <c r="V136" s="38">
        <f t="shared" si="44"/>
        <v>2232.7374999999997</v>
      </c>
      <c r="W136" s="42">
        <v>200</v>
      </c>
      <c r="X136" s="42">
        <v>26.267499999999998</v>
      </c>
      <c r="Y136" s="38">
        <f t="shared" si="43"/>
        <v>5253.5</v>
      </c>
      <c r="Z136" s="42">
        <v>215</v>
      </c>
      <c r="AA136" s="42">
        <v>26.674900000000001</v>
      </c>
      <c r="AB136" s="42">
        <f t="shared" si="45"/>
        <v>5735.1035000000002</v>
      </c>
      <c r="AD136" s="42">
        <v>150</v>
      </c>
      <c r="AE136" s="42">
        <v>26.840599999999998</v>
      </c>
      <c r="AF136" s="42">
        <f t="shared" si="46"/>
        <v>4026.0899999999997</v>
      </c>
      <c r="AG136" s="42"/>
      <c r="AH136" s="42">
        <v>350</v>
      </c>
      <c r="AI136" s="42">
        <v>26.840599999999998</v>
      </c>
      <c r="AJ136" s="42">
        <f t="shared" si="50"/>
        <v>9394.2099999999991</v>
      </c>
      <c r="AL136" s="42"/>
      <c r="AM136" s="42"/>
      <c r="AN136" s="42">
        <f t="shared" si="51"/>
        <v>0</v>
      </c>
      <c r="AO136" s="44"/>
      <c r="AP136" s="42"/>
      <c r="AQ136" s="42"/>
      <c r="AR136" s="42"/>
      <c r="AU136" s="98"/>
      <c r="AV136" s="35"/>
      <c r="AW136" s="104"/>
      <c r="AX136" s="42"/>
      <c r="AY136" s="42"/>
      <c r="AZ136" s="42">
        <f t="shared" si="49"/>
        <v>0</v>
      </c>
      <c r="BA136" s="42"/>
      <c r="BB136" s="42"/>
      <c r="BC136" s="42"/>
      <c r="BD136" s="38">
        <f t="shared" si="36"/>
        <v>0</v>
      </c>
      <c r="BE136" s="42"/>
      <c r="BF136" s="42"/>
      <c r="BG136" s="42"/>
      <c r="BH136" s="38">
        <f t="shared" si="37"/>
        <v>0</v>
      </c>
      <c r="BI136" s="42"/>
      <c r="BJ136" s="42"/>
      <c r="BK136" s="42"/>
      <c r="BL136" s="38">
        <f t="shared" si="38"/>
        <v>0</v>
      </c>
      <c r="BM136" s="42"/>
      <c r="BN136" s="42"/>
      <c r="BO136" s="42"/>
      <c r="BP136" s="42"/>
      <c r="BR136" s="42">
        <f t="shared" si="39"/>
        <v>26641.641</v>
      </c>
      <c r="BS136" s="43">
        <f t="shared" si="40"/>
        <v>1975.9229999999989</v>
      </c>
      <c r="BT136" s="42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  <c r="JH136" s="31"/>
      <c r="JI136" s="31"/>
      <c r="JJ136" s="31"/>
      <c r="JK136" s="31"/>
      <c r="JL136" s="31"/>
      <c r="JM136" s="31"/>
      <c r="JN136" s="31"/>
      <c r="JO136" s="31"/>
      <c r="JP136" s="31"/>
      <c r="JQ136" s="31"/>
      <c r="JR136" s="31"/>
      <c r="JS136" s="31"/>
      <c r="JT136" s="31"/>
      <c r="JU136" s="31"/>
      <c r="JV136" s="31"/>
      <c r="JW136" s="31"/>
      <c r="JX136" s="31"/>
      <c r="JY136" s="31"/>
      <c r="JZ136" s="31"/>
      <c r="KA136" s="31"/>
      <c r="KB136" s="31"/>
      <c r="KC136" s="31"/>
      <c r="KD136" s="31"/>
      <c r="KE136" s="31"/>
      <c r="KF136" s="31"/>
      <c r="KG136" s="31"/>
      <c r="KH136" s="31"/>
      <c r="KI136" s="31"/>
      <c r="KJ136" s="31"/>
      <c r="KK136" s="31"/>
      <c r="KL136" s="31"/>
      <c r="KM136" s="31"/>
      <c r="KN136" s="31"/>
      <c r="KO136" s="31"/>
      <c r="KP136" s="31"/>
      <c r="KQ136" s="31"/>
      <c r="KR136" s="31"/>
      <c r="KS136" s="31"/>
      <c r="KT136" s="31"/>
      <c r="KU136" s="31"/>
      <c r="KV136" s="31"/>
      <c r="KW136" s="31"/>
      <c r="KX136" s="31"/>
      <c r="KY136" s="31"/>
      <c r="KZ136" s="31"/>
      <c r="LA136" s="31"/>
      <c r="LB136" s="31"/>
      <c r="LC136" s="31"/>
      <c r="LD136" s="31"/>
      <c r="LE136" s="31"/>
      <c r="LF136" s="31"/>
      <c r="LG136" s="31"/>
      <c r="LH136" s="31"/>
      <c r="LI136" s="31"/>
      <c r="LJ136" s="31"/>
      <c r="LK136" s="31"/>
      <c r="LL136" s="31"/>
      <c r="LM136" s="31"/>
      <c r="LN136" s="31"/>
      <c r="LO136" s="31"/>
      <c r="LP136" s="31"/>
      <c r="LQ136" s="31"/>
      <c r="LR136" s="31"/>
      <c r="LS136" s="31"/>
      <c r="LT136" s="31"/>
      <c r="LU136" s="31"/>
      <c r="LV136" s="31"/>
      <c r="LW136" s="31"/>
      <c r="LX136" s="31"/>
      <c r="LY136" s="31"/>
      <c r="LZ136" s="31"/>
      <c r="MA136" s="31"/>
      <c r="MB136" s="31"/>
      <c r="MC136" s="31"/>
      <c r="MD136" s="31"/>
      <c r="ME136" s="31"/>
      <c r="MF136" s="31"/>
      <c r="MG136" s="31"/>
      <c r="MH136" s="31"/>
      <c r="MI136" s="31"/>
      <c r="MJ136" s="31"/>
      <c r="MK136" s="31"/>
      <c r="ML136" s="31"/>
      <c r="MM136" s="31"/>
      <c r="MN136" s="31"/>
      <c r="MO136" s="31"/>
      <c r="MP136" s="31"/>
      <c r="MQ136" s="31"/>
      <c r="MR136" s="31"/>
      <c r="MS136" s="31"/>
      <c r="MT136" s="31"/>
      <c r="MU136" s="31"/>
      <c r="MV136" s="31"/>
      <c r="MW136" s="31"/>
      <c r="MX136" s="31"/>
      <c r="MY136" s="31"/>
      <c r="MZ136" s="31"/>
      <c r="NA136" s="31"/>
      <c r="NB136" s="31"/>
      <c r="NC136" s="31"/>
      <c r="ND136" s="31"/>
      <c r="NE136" s="31"/>
      <c r="NF136" s="31"/>
      <c r="NG136" s="31"/>
      <c r="NH136" s="31"/>
      <c r="NI136" s="31"/>
      <c r="NJ136" s="31"/>
      <c r="NK136" s="31"/>
      <c r="NL136" s="31"/>
      <c r="NM136" s="31"/>
      <c r="NN136" s="31"/>
      <c r="NO136" s="31"/>
      <c r="NP136" s="31"/>
      <c r="NQ136" s="31"/>
      <c r="NR136" s="31"/>
      <c r="NS136" s="31"/>
      <c r="NT136" s="31"/>
      <c r="NU136" s="31"/>
      <c r="NV136" s="31"/>
      <c r="NW136" s="31"/>
      <c r="NX136" s="31"/>
      <c r="NY136" s="31"/>
      <c r="NZ136" s="31"/>
      <c r="OA136" s="31"/>
      <c r="OB136" s="31"/>
      <c r="OC136" s="31"/>
      <c r="OD136" s="31"/>
      <c r="OE136" s="31"/>
      <c r="OF136" s="31"/>
      <c r="OG136" s="31"/>
      <c r="OH136" s="31"/>
      <c r="OI136" s="31"/>
      <c r="OJ136" s="31"/>
      <c r="OK136" s="31"/>
      <c r="OL136" s="31"/>
      <c r="OM136" s="31"/>
      <c r="ON136" s="31"/>
      <c r="OO136" s="31"/>
      <c r="OP136" s="31"/>
      <c r="OQ136" s="31"/>
      <c r="OR136" s="31"/>
      <c r="OS136" s="31"/>
      <c r="OT136" s="31"/>
      <c r="OU136" s="31"/>
      <c r="OV136" s="31"/>
      <c r="OW136" s="31"/>
      <c r="OX136" s="31"/>
    </row>
    <row r="137" spans="2:414" s="25" customFormat="1" ht="15.6">
      <c r="B137" s="25" t="s">
        <v>546</v>
      </c>
      <c r="C137" s="27" t="s">
        <v>475</v>
      </c>
      <c r="D137" s="30" t="s">
        <v>201</v>
      </c>
      <c r="G137" s="42">
        <v>500</v>
      </c>
      <c r="H137" s="89">
        <v>26.109000000000002</v>
      </c>
      <c r="I137" s="38">
        <f t="shared" ref="I137:I200" si="52">G137*H137</f>
        <v>13054.5</v>
      </c>
      <c r="K137" s="42">
        <v>500</v>
      </c>
      <c r="L137" s="90">
        <v>26.849599999999999</v>
      </c>
      <c r="M137" s="38">
        <f t="shared" ref="M137:M200" si="53">K137*L137</f>
        <v>13424.8</v>
      </c>
      <c r="O137" s="38">
        <v>80</v>
      </c>
      <c r="P137" s="38">
        <v>26.728300000000001</v>
      </c>
      <c r="Q137" s="38">
        <f t="shared" ref="Q137:Q200" si="54">O137*P137</f>
        <v>2138.2640000000001</v>
      </c>
      <c r="R137" s="43">
        <f t="shared" si="48"/>
        <v>1080</v>
      </c>
      <c r="S137" s="38">
        <f t="shared" ref="S137:S200" si="55">I137+M137+Q137</f>
        <v>28617.563999999998</v>
      </c>
      <c r="T137" s="49">
        <v>415</v>
      </c>
      <c r="U137" s="42">
        <v>26.864000000000001</v>
      </c>
      <c r="V137" s="38">
        <f t="shared" si="44"/>
        <v>11148.56</v>
      </c>
      <c r="W137" s="42">
        <v>85</v>
      </c>
      <c r="X137" s="42">
        <v>26.856000000000002</v>
      </c>
      <c r="Y137" s="38">
        <f t="shared" si="43"/>
        <v>2282.7600000000002</v>
      </c>
      <c r="Z137" s="42">
        <v>415</v>
      </c>
      <c r="AA137" s="42">
        <v>26.555099999999999</v>
      </c>
      <c r="AB137" s="42">
        <f t="shared" si="45"/>
        <v>11020.3665</v>
      </c>
      <c r="AD137" s="42">
        <v>85</v>
      </c>
      <c r="AE137" s="42">
        <v>26.731200000000001</v>
      </c>
      <c r="AF137" s="42">
        <f t="shared" si="46"/>
        <v>2272.152</v>
      </c>
      <c r="AG137" s="42"/>
      <c r="AH137" s="42"/>
      <c r="AI137" s="42"/>
      <c r="AJ137" s="42">
        <f t="shared" si="50"/>
        <v>0</v>
      </c>
      <c r="AL137" s="42"/>
      <c r="AM137" s="42"/>
      <c r="AN137" s="42">
        <f t="shared" si="51"/>
        <v>0</v>
      </c>
      <c r="AO137" s="44"/>
      <c r="AP137" s="42"/>
      <c r="AQ137" s="42"/>
      <c r="AR137" s="42"/>
      <c r="AU137" s="98"/>
      <c r="AV137" s="35"/>
      <c r="AW137" s="104"/>
      <c r="AX137" s="42"/>
      <c r="AY137" s="42"/>
      <c r="AZ137" s="42">
        <f t="shared" si="49"/>
        <v>0</v>
      </c>
      <c r="BA137" s="42"/>
      <c r="BB137" s="42"/>
      <c r="BC137" s="42"/>
      <c r="BD137" s="38">
        <f t="shared" ref="BD137:BD200" si="56">BB137*BC137</f>
        <v>0</v>
      </c>
      <c r="BE137" s="42"/>
      <c r="BF137" s="42"/>
      <c r="BG137" s="42"/>
      <c r="BH137" s="38">
        <f t="shared" ref="BH137:BH200" si="57">BF137*BG137</f>
        <v>0</v>
      </c>
      <c r="BI137" s="42"/>
      <c r="BJ137" s="42"/>
      <c r="BK137" s="42"/>
      <c r="BL137" s="38">
        <f t="shared" ref="BL137:BL200" si="58">BJ137*BK137</f>
        <v>0</v>
      </c>
      <c r="BM137" s="42"/>
      <c r="BN137" s="42"/>
      <c r="BO137" s="42"/>
      <c r="BP137" s="42"/>
      <c r="BR137" s="42">
        <f t="shared" ref="BR137:BR200" si="59">V137+Y137+AB137+AF137+AJ137+AN137+AR137+AV137+AZ137+BD137+BH137+BL137+BP137</f>
        <v>26723.838499999998</v>
      </c>
      <c r="BS137" s="43">
        <f t="shared" ref="BS137:BS200" si="60">S137-BR137</f>
        <v>1893.7255000000005</v>
      </c>
      <c r="BT137" s="42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  <c r="IM137" s="31"/>
      <c r="IN137" s="31"/>
      <c r="IO137" s="31"/>
      <c r="IP137" s="31"/>
      <c r="IQ137" s="31"/>
      <c r="IR137" s="31"/>
      <c r="IS137" s="31"/>
      <c r="IT137" s="31"/>
      <c r="IU137" s="31"/>
      <c r="IV137" s="31"/>
      <c r="IW137" s="31"/>
      <c r="IX137" s="31"/>
      <c r="IY137" s="31"/>
      <c r="IZ137" s="31"/>
      <c r="JA137" s="31"/>
      <c r="JB137" s="31"/>
      <c r="JC137" s="31"/>
      <c r="JD137" s="31"/>
      <c r="JE137" s="31"/>
      <c r="JF137" s="31"/>
      <c r="JG137" s="31"/>
      <c r="JH137" s="31"/>
      <c r="JI137" s="31"/>
      <c r="JJ137" s="31"/>
      <c r="JK137" s="31"/>
      <c r="JL137" s="31"/>
      <c r="JM137" s="31"/>
      <c r="JN137" s="31"/>
      <c r="JO137" s="31"/>
      <c r="JP137" s="31"/>
      <c r="JQ137" s="31"/>
      <c r="JR137" s="31"/>
      <c r="JS137" s="31"/>
      <c r="JT137" s="31"/>
      <c r="JU137" s="31"/>
      <c r="JV137" s="31"/>
      <c r="JW137" s="31"/>
      <c r="JX137" s="31"/>
      <c r="JY137" s="31"/>
      <c r="JZ137" s="31"/>
      <c r="KA137" s="31"/>
      <c r="KB137" s="31"/>
      <c r="KC137" s="31"/>
      <c r="KD137" s="31"/>
      <c r="KE137" s="31"/>
      <c r="KF137" s="31"/>
      <c r="KG137" s="31"/>
      <c r="KH137" s="31"/>
      <c r="KI137" s="31"/>
      <c r="KJ137" s="31"/>
      <c r="KK137" s="31"/>
      <c r="KL137" s="31"/>
      <c r="KM137" s="31"/>
      <c r="KN137" s="31"/>
      <c r="KO137" s="31"/>
      <c r="KP137" s="31"/>
      <c r="KQ137" s="31"/>
      <c r="KR137" s="31"/>
      <c r="KS137" s="31"/>
      <c r="KT137" s="31"/>
      <c r="KU137" s="31"/>
      <c r="KV137" s="31"/>
      <c r="KW137" s="31"/>
      <c r="KX137" s="31"/>
      <c r="KY137" s="31"/>
      <c r="KZ137" s="31"/>
      <c r="LA137" s="31"/>
      <c r="LB137" s="31"/>
      <c r="LC137" s="31"/>
      <c r="LD137" s="31"/>
      <c r="LE137" s="31"/>
      <c r="LF137" s="31"/>
      <c r="LG137" s="31"/>
      <c r="LH137" s="31"/>
      <c r="LI137" s="31"/>
      <c r="LJ137" s="31"/>
      <c r="LK137" s="31"/>
      <c r="LL137" s="31"/>
      <c r="LM137" s="31"/>
      <c r="LN137" s="31"/>
      <c r="LO137" s="31"/>
      <c r="LP137" s="31"/>
      <c r="LQ137" s="31"/>
      <c r="LR137" s="31"/>
      <c r="LS137" s="31"/>
      <c r="LT137" s="31"/>
      <c r="LU137" s="31"/>
      <c r="LV137" s="31"/>
      <c r="LW137" s="31"/>
      <c r="LX137" s="31"/>
      <c r="LY137" s="31"/>
      <c r="LZ137" s="31"/>
      <c r="MA137" s="31"/>
      <c r="MB137" s="31"/>
      <c r="MC137" s="31"/>
      <c r="MD137" s="31"/>
      <c r="ME137" s="31"/>
      <c r="MF137" s="31"/>
      <c r="MG137" s="31"/>
      <c r="MH137" s="31"/>
      <c r="MI137" s="31"/>
      <c r="MJ137" s="31"/>
      <c r="MK137" s="31"/>
      <c r="ML137" s="31"/>
      <c r="MM137" s="31"/>
      <c r="MN137" s="31"/>
      <c r="MO137" s="31"/>
      <c r="MP137" s="31"/>
      <c r="MQ137" s="31"/>
      <c r="MR137" s="31"/>
      <c r="MS137" s="31"/>
      <c r="MT137" s="31"/>
      <c r="MU137" s="31"/>
      <c r="MV137" s="31"/>
      <c r="MW137" s="31"/>
      <c r="MX137" s="31"/>
      <c r="MY137" s="31"/>
      <c r="MZ137" s="31"/>
      <c r="NA137" s="31"/>
      <c r="NB137" s="31"/>
      <c r="NC137" s="31"/>
      <c r="ND137" s="31"/>
      <c r="NE137" s="31"/>
      <c r="NF137" s="31"/>
      <c r="NG137" s="31"/>
      <c r="NH137" s="31"/>
      <c r="NI137" s="31"/>
      <c r="NJ137" s="31"/>
      <c r="NK137" s="31"/>
      <c r="NL137" s="31"/>
      <c r="NM137" s="31"/>
      <c r="NN137" s="31"/>
      <c r="NO137" s="31"/>
      <c r="NP137" s="31"/>
      <c r="NQ137" s="31"/>
      <c r="NR137" s="31"/>
      <c r="NS137" s="31"/>
      <c r="NT137" s="31"/>
      <c r="NU137" s="31"/>
      <c r="NV137" s="31"/>
      <c r="NW137" s="31"/>
      <c r="NX137" s="31"/>
      <c r="NY137" s="31"/>
      <c r="NZ137" s="31"/>
      <c r="OA137" s="31"/>
      <c r="OB137" s="31"/>
      <c r="OC137" s="31"/>
      <c r="OD137" s="31"/>
      <c r="OE137" s="31"/>
      <c r="OF137" s="31"/>
      <c r="OG137" s="31"/>
      <c r="OH137" s="31"/>
      <c r="OI137" s="31"/>
      <c r="OJ137" s="31"/>
      <c r="OK137" s="31"/>
      <c r="OL137" s="31"/>
      <c r="OM137" s="31"/>
      <c r="ON137" s="31"/>
      <c r="OO137" s="31"/>
      <c r="OP137" s="31"/>
      <c r="OQ137" s="31"/>
      <c r="OR137" s="31"/>
      <c r="OS137" s="31"/>
      <c r="OT137" s="31"/>
      <c r="OU137" s="31"/>
      <c r="OV137" s="31"/>
      <c r="OW137" s="31"/>
      <c r="OX137" s="31"/>
    </row>
    <row r="138" spans="2:414" s="25" customFormat="1" ht="15.6">
      <c r="B138" s="25" t="s">
        <v>549</v>
      </c>
      <c r="C138" s="27" t="s">
        <v>167</v>
      </c>
      <c r="D138" s="30" t="s">
        <v>201</v>
      </c>
      <c r="G138" s="42">
        <v>500</v>
      </c>
      <c r="H138" s="89">
        <v>26.109000000000002</v>
      </c>
      <c r="I138" s="38">
        <f t="shared" si="52"/>
        <v>13054.5</v>
      </c>
      <c r="K138" s="42">
        <v>500</v>
      </c>
      <c r="L138" s="90">
        <v>26.849599999999999</v>
      </c>
      <c r="M138" s="38">
        <f t="shared" si="53"/>
        <v>13424.8</v>
      </c>
      <c r="O138" s="38">
        <v>80</v>
      </c>
      <c r="P138" s="38">
        <v>26.728300000000001</v>
      </c>
      <c r="Q138" s="38">
        <f t="shared" si="54"/>
        <v>2138.2640000000001</v>
      </c>
      <c r="R138" s="43">
        <f t="shared" si="48"/>
        <v>1080</v>
      </c>
      <c r="S138" s="38">
        <f t="shared" si="55"/>
        <v>28617.563999999998</v>
      </c>
      <c r="T138" s="49">
        <v>415</v>
      </c>
      <c r="U138" s="42">
        <v>26.861899999999999</v>
      </c>
      <c r="V138" s="38">
        <f t="shared" si="44"/>
        <v>11147.6885</v>
      </c>
      <c r="W138" s="42">
        <v>85</v>
      </c>
      <c r="X138" s="42">
        <v>26.861899999999999</v>
      </c>
      <c r="Y138" s="38">
        <f t="shared" si="43"/>
        <v>2283.2615000000001</v>
      </c>
      <c r="Z138" s="42">
        <v>415</v>
      </c>
      <c r="AA138" s="42">
        <v>26.773199999999999</v>
      </c>
      <c r="AB138" s="42">
        <f t="shared" si="45"/>
        <v>11110.877999999999</v>
      </c>
      <c r="AD138" s="42">
        <v>85</v>
      </c>
      <c r="AE138" s="42">
        <v>26.773199999999999</v>
      </c>
      <c r="AF138" s="42">
        <f t="shared" si="46"/>
        <v>2275.7219999999998</v>
      </c>
      <c r="AG138" s="42"/>
      <c r="AH138" s="42"/>
      <c r="AI138" s="42"/>
      <c r="AJ138" s="42">
        <f t="shared" si="50"/>
        <v>0</v>
      </c>
      <c r="AL138" s="42"/>
      <c r="AM138" s="42"/>
      <c r="AN138" s="42">
        <f t="shared" si="51"/>
        <v>0</v>
      </c>
      <c r="AO138" s="44"/>
      <c r="AP138" s="42"/>
      <c r="AQ138" s="42"/>
      <c r="AR138" s="42"/>
      <c r="AU138" s="98"/>
      <c r="AV138" s="35"/>
      <c r="AW138" s="104"/>
      <c r="AX138" s="42"/>
      <c r="AY138" s="42"/>
      <c r="AZ138" s="42">
        <f t="shared" si="49"/>
        <v>0</v>
      </c>
      <c r="BA138" s="42"/>
      <c r="BB138" s="42"/>
      <c r="BC138" s="42"/>
      <c r="BD138" s="38">
        <f t="shared" si="56"/>
        <v>0</v>
      </c>
      <c r="BE138" s="42"/>
      <c r="BF138" s="42"/>
      <c r="BG138" s="42"/>
      <c r="BH138" s="38">
        <f t="shared" si="57"/>
        <v>0</v>
      </c>
      <c r="BI138" s="42"/>
      <c r="BJ138" s="42"/>
      <c r="BK138" s="42"/>
      <c r="BL138" s="38">
        <f t="shared" si="58"/>
        <v>0</v>
      </c>
      <c r="BM138" s="42"/>
      <c r="BN138" s="42"/>
      <c r="BO138" s="42"/>
      <c r="BP138" s="42"/>
      <c r="BR138" s="42">
        <f t="shared" si="59"/>
        <v>26817.550000000003</v>
      </c>
      <c r="BS138" s="43">
        <f t="shared" si="60"/>
        <v>1800.0139999999956</v>
      </c>
      <c r="BT138" s="42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  <c r="JH138" s="31"/>
      <c r="JI138" s="31"/>
      <c r="JJ138" s="31"/>
      <c r="JK138" s="31"/>
      <c r="JL138" s="31"/>
      <c r="JM138" s="31"/>
      <c r="JN138" s="31"/>
      <c r="JO138" s="31"/>
      <c r="JP138" s="31"/>
      <c r="JQ138" s="31"/>
      <c r="JR138" s="31"/>
      <c r="JS138" s="31"/>
      <c r="JT138" s="31"/>
      <c r="JU138" s="31"/>
      <c r="JV138" s="31"/>
      <c r="JW138" s="31"/>
      <c r="JX138" s="31"/>
      <c r="JY138" s="31"/>
      <c r="JZ138" s="31"/>
      <c r="KA138" s="31"/>
      <c r="KB138" s="31"/>
      <c r="KC138" s="31"/>
      <c r="KD138" s="31"/>
      <c r="KE138" s="31"/>
      <c r="KF138" s="31"/>
      <c r="KG138" s="31"/>
      <c r="KH138" s="31"/>
      <c r="KI138" s="31"/>
      <c r="KJ138" s="31"/>
      <c r="KK138" s="31"/>
      <c r="KL138" s="31"/>
      <c r="KM138" s="31"/>
      <c r="KN138" s="31"/>
      <c r="KO138" s="31"/>
      <c r="KP138" s="31"/>
      <c r="KQ138" s="31"/>
      <c r="KR138" s="31"/>
      <c r="KS138" s="31"/>
      <c r="KT138" s="31"/>
      <c r="KU138" s="31"/>
      <c r="KV138" s="31"/>
      <c r="KW138" s="31"/>
      <c r="KX138" s="31"/>
      <c r="KY138" s="31"/>
      <c r="KZ138" s="31"/>
      <c r="LA138" s="31"/>
      <c r="LB138" s="31"/>
      <c r="LC138" s="31"/>
      <c r="LD138" s="31"/>
      <c r="LE138" s="31"/>
      <c r="LF138" s="31"/>
      <c r="LG138" s="31"/>
      <c r="LH138" s="31"/>
      <c r="LI138" s="31"/>
      <c r="LJ138" s="31"/>
      <c r="LK138" s="31"/>
      <c r="LL138" s="31"/>
      <c r="LM138" s="31"/>
      <c r="LN138" s="31"/>
      <c r="LO138" s="31"/>
      <c r="LP138" s="31"/>
      <c r="LQ138" s="31"/>
      <c r="LR138" s="31"/>
      <c r="LS138" s="31"/>
      <c r="LT138" s="31"/>
      <c r="LU138" s="31"/>
      <c r="LV138" s="31"/>
      <c r="LW138" s="31"/>
      <c r="LX138" s="31"/>
      <c r="LY138" s="31"/>
      <c r="LZ138" s="31"/>
      <c r="MA138" s="31"/>
      <c r="MB138" s="31"/>
      <c r="MC138" s="31"/>
      <c r="MD138" s="31"/>
      <c r="ME138" s="31"/>
      <c r="MF138" s="31"/>
      <c r="MG138" s="31"/>
      <c r="MH138" s="31"/>
      <c r="MI138" s="31"/>
      <c r="MJ138" s="31"/>
      <c r="MK138" s="31"/>
      <c r="ML138" s="31"/>
      <c r="MM138" s="31"/>
      <c r="MN138" s="31"/>
      <c r="MO138" s="31"/>
      <c r="MP138" s="31"/>
      <c r="MQ138" s="31"/>
      <c r="MR138" s="31"/>
      <c r="MS138" s="31"/>
      <c r="MT138" s="31"/>
      <c r="MU138" s="31"/>
      <c r="MV138" s="31"/>
      <c r="MW138" s="31"/>
      <c r="MX138" s="31"/>
      <c r="MY138" s="31"/>
      <c r="MZ138" s="31"/>
      <c r="NA138" s="31"/>
      <c r="NB138" s="31"/>
      <c r="NC138" s="31"/>
      <c r="ND138" s="31"/>
      <c r="NE138" s="31"/>
      <c r="NF138" s="31"/>
      <c r="NG138" s="31"/>
      <c r="NH138" s="31"/>
      <c r="NI138" s="31"/>
      <c r="NJ138" s="31"/>
      <c r="NK138" s="31"/>
      <c r="NL138" s="31"/>
      <c r="NM138" s="31"/>
      <c r="NN138" s="31"/>
      <c r="NO138" s="31"/>
      <c r="NP138" s="31"/>
      <c r="NQ138" s="31"/>
      <c r="NR138" s="31"/>
      <c r="NS138" s="31"/>
      <c r="NT138" s="31"/>
      <c r="NU138" s="31"/>
      <c r="NV138" s="31"/>
      <c r="NW138" s="31"/>
      <c r="NX138" s="31"/>
      <c r="NY138" s="31"/>
      <c r="NZ138" s="31"/>
      <c r="OA138" s="31"/>
      <c r="OB138" s="31"/>
      <c r="OC138" s="31"/>
      <c r="OD138" s="31"/>
      <c r="OE138" s="31"/>
      <c r="OF138" s="31"/>
      <c r="OG138" s="31"/>
      <c r="OH138" s="31"/>
      <c r="OI138" s="31"/>
      <c r="OJ138" s="31"/>
      <c r="OK138" s="31"/>
      <c r="OL138" s="31"/>
      <c r="OM138" s="31"/>
      <c r="ON138" s="31"/>
      <c r="OO138" s="31"/>
      <c r="OP138" s="31"/>
      <c r="OQ138" s="31"/>
      <c r="OR138" s="31"/>
      <c r="OS138" s="31"/>
      <c r="OT138" s="31"/>
      <c r="OU138" s="31"/>
      <c r="OV138" s="31"/>
      <c r="OW138" s="31"/>
      <c r="OX138" s="31"/>
    </row>
    <row r="139" spans="2:414" s="25" customFormat="1" ht="15.6">
      <c r="B139" s="25" t="s">
        <v>550</v>
      </c>
      <c r="C139" s="27" t="s">
        <v>551</v>
      </c>
      <c r="D139" s="30" t="s">
        <v>201</v>
      </c>
      <c r="G139" s="42">
        <v>500</v>
      </c>
      <c r="H139" s="89">
        <v>26.109000000000002</v>
      </c>
      <c r="I139" s="38">
        <f t="shared" si="52"/>
        <v>13054.5</v>
      </c>
      <c r="K139" s="42">
        <v>500</v>
      </c>
      <c r="L139" s="90">
        <v>26.849599999999999</v>
      </c>
      <c r="M139" s="38">
        <f t="shared" si="53"/>
        <v>13424.8</v>
      </c>
      <c r="O139" s="38">
        <v>80</v>
      </c>
      <c r="P139" s="38">
        <v>26.728300000000001</v>
      </c>
      <c r="Q139" s="38">
        <f t="shared" si="54"/>
        <v>2138.2640000000001</v>
      </c>
      <c r="R139" s="43">
        <f t="shared" si="48"/>
        <v>1080</v>
      </c>
      <c r="S139" s="38">
        <f t="shared" si="55"/>
        <v>28617.563999999998</v>
      </c>
      <c r="T139" s="49">
        <v>220</v>
      </c>
      <c r="U139" s="42">
        <v>26.856000000000002</v>
      </c>
      <c r="V139" s="38">
        <f t="shared" si="44"/>
        <v>5908.3200000000006</v>
      </c>
      <c r="W139" s="42">
        <v>85</v>
      </c>
      <c r="X139" s="42">
        <v>26.856000000000002</v>
      </c>
      <c r="Y139" s="38">
        <f t="shared" si="43"/>
        <v>2282.7600000000002</v>
      </c>
      <c r="Z139" s="42"/>
      <c r="AA139" s="42"/>
      <c r="AB139" s="42">
        <f t="shared" si="45"/>
        <v>0</v>
      </c>
      <c r="AD139" s="42"/>
      <c r="AE139" s="42"/>
      <c r="AF139" s="42">
        <f t="shared" si="46"/>
        <v>0</v>
      </c>
      <c r="AG139" s="42"/>
      <c r="AH139" s="42"/>
      <c r="AI139" s="42"/>
      <c r="AJ139" s="42">
        <f t="shared" si="50"/>
        <v>0</v>
      </c>
      <c r="AL139" s="42"/>
      <c r="AM139" s="42"/>
      <c r="AN139" s="42">
        <f t="shared" si="51"/>
        <v>0</v>
      </c>
      <c r="AO139" s="44"/>
      <c r="AP139" s="42"/>
      <c r="AQ139" s="42"/>
      <c r="AR139" s="42"/>
      <c r="AU139" s="98"/>
      <c r="AV139" s="35"/>
      <c r="AW139" s="104"/>
      <c r="AX139" s="42"/>
      <c r="AY139" s="42"/>
      <c r="AZ139" s="42">
        <f t="shared" si="49"/>
        <v>0</v>
      </c>
      <c r="BA139" s="42"/>
      <c r="BB139" s="42"/>
      <c r="BC139" s="42"/>
      <c r="BD139" s="38">
        <f t="shared" si="56"/>
        <v>0</v>
      </c>
      <c r="BE139" s="42"/>
      <c r="BF139" s="42"/>
      <c r="BG139" s="42"/>
      <c r="BH139" s="38">
        <f t="shared" si="57"/>
        <v>0</v>
      </c>
      <c r="BI139" s="42"/>
      <c r="BJ139" s="42"/>
      <c r="BK139" s="42"/>
      <c r="BL139" s="38">
        <f t="shared" si="58"/>
        <v>0</v>
      </c>
      <c r="BM139" s="42"/>
      <c r="BN139" s="42"/>
      <c r="BO139" s="42"/>
      <c r="BP139" s="42"/>
      <c r="BR139" s="42">
        <f t="shared" si="59"/>
        <v>8191.0800000000008</v>
      </c>
      <c r="BS139" s="43">
        <f t="shared" si="60"/>
        <v>20426.483999999997</v>
      </c>
      <c r="BT139" s="42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  <c r="IM139" s="31"/>
      <c r="IN139" s="31"/>
      <c r="IO139" s="31"/>
      <c r="IP139" s="31"/>
      <c r="IQ139" s="31"/>
      <c r="IR139" s="31"/>
      <c r="IS139" s="31"/>
      <c r="IT139" s="31"/>
      <c r="IU139" s="31"/>
      <c r="IV139" s="31"/>
      <c r="IW139" s="31"/>
      <c r="IX139" s="31"/>
      <c r="IY139" s="31"/>
      <c r="IZ139" s="31"/>
      <c r="JA139" s="31"/>
      <c r="JB139" s="31"/>
      <c r="JC139" s="31"/>
      <c r="JD139" s="31"/>
      <c r="JE139" s="31"/>
      <c r="JF139" s="31"/>
      <c r="JG139" s="31"/>
      <c r="JH139" s="31"/>
      <c r="JI139" s="31"/>
      <c r="JJ139" s="31"/>
      <c r="JK139" s="31"/>
      <c r="JL139" s="31"/>
      <c r="JM139" s="31"/>
      <c r="JN139" s="31"/>
      <c r="JO139" s="31"/>
      <c r="JP139" s="31"/>
      <c r="JQ139" s="31"/>
      <c r="JR139" s="31"/>
      <c r="JS139" s="31"/>
      <c r="JT139" s="31"/>
      <c r="JU139" s="31"/>
      <c r="JV139" s="31"/>
      <c r="JW139" s="31"/>
      <c r="JX139" s="31"/>
      <c r="JY139" s="31"/>
      <c r="JZ139" s="31"/>
      <c r="KA139" s="31"/>
      <c r="KB139" s="31"/>
      <c r="KC139" s="31"/>
      <c r="KD139" s="31"/>
      <c r="KE139" s="31"/>
      <c r="KF139" s="31"/>
      <c r="KG139" s="31"/>
      <c r="KH139" s="31"/>
      <c r="KI139" s="31"/>
      <c r="KJ139" s="31"/>
      <c r="KK139" s="31"/>
      <c r="KL139" s="31"/>
      <c r="KM139" s="31"/>
      <c r="KN139" s="31"/>
      <c r="KO139" s="31"/>
      <c r="KP139" s="31"/>
      <c r="KQ139" s="31"/>
      <c r="KR139" s="31"/>
      <c r="KS139" s="31"/>
      <c r="KT139" s="31"/>
      <c r="KU139" s="31"/>
      <c r="KV139" s="31"/>
      <c r="KW139" s="31"/>
      <c r="KX139" s="31"/>
      <c r="KY139" s="31"/>
      <c r="KZ139" s="31"/>
      <c r="LA139" s="31"/>
      <c r="LB139" s="31"/>
      <c r="LC139" s="31"/>
      <c r="LD139" s="31"/>
      <c r="LE139" s="31"/>
      <c r="LF139" s="31"/>
      <c r="LG139" s="31"/>
      <c r="LH139" s="31"/>
      <c r="LI139" s="31"/>
      <c r="LJ139" s="31"/>
      <c r="LK139" s="31"/>
      <c r="LL139" s="31"/>
      <c r="LM139" s="31"/>
      <c r="LN139" s="31"/>
      <c r="LO139" s="31"/>
      <c r="LP139" s="31"/>
      <c r="LQ139" s="31"/>
      <c r="LR139" s="31"/>
      <c r="LS139" s="31"/>
      <c r="LT139" s="31"/>
      <c r="LU139" s="31"/>
      <c r="LV139" s="31"/>
      <c r="LW139" s="31"/>
      <c r="LX139" s="31"/>
      <c r="LY139" s="31"/>
      <c r="LZ139" s="31"/>
      <c r="MA139" s="31"/>
      <c r="MB139" s="31"/>
      <c r="MC139" s="31"/>
      <c r="MD139" s="31"/>
      <c r="ME139" s="31"/>
      <c r="MF139" s="31"/>
      <c r="MG139" s="31"/>
      <c r="MH139" s="31"/>
      <c r="MI139" s="31"/>
      <c r="MJ139" s="31"/>
      <c r="MK139" s="31"/>
      <c r="ML139" s="31"/>
      <c r="MM139" s="31"/>
      <c r="MN139" s="31"/>
      <c r="MO139" s="31"/>
      <c r="MP139" s="31"/>
      <c r="MQ139" s="31"/>
      <c r="MR139" s="31"/>
      <c r="MS139" s="31"/>
      <c r="MT139" s="31"/>
      <c r="MU139" s="31"/>
      <c r="MV139" s="31"/>
      <c r="MW139" s="31"/>
      <c r="MX139" s="31"/>
      <c r="MY139" s="31"/>
      <c r="MZ139" s="31"/>
      <c r="NA139" s="31"/>
      <c r="NB139" s="31"/>
      <c r="NC139" s="31"/>
      <c r="ND139" s="31"/>
      <c r="NE139" s="31"/>
      <c r="NF139" s="31"/>
      <c r="NG139" s="31"/>
      <c r="NH139" s="31"/>
      <c r="NI139" s="31"/>
      <c r="NJ139" s="31"/>
      <c r="NK139" s="31"/>
      <c r="NL139" s="31"/>
      <c r="NM139" s="31"/>
      <c r="NN139" s="31"/>
      <c r="NO139" s="31"/>
      <c r="NP139" s="31"/>
      <c r="NQ139" s="31"/>
      <c r="NR139" s="31"/>
      <c r="NS139" s="31"/>
      <c r="NT139" s="31"/>
      <c r="NU139" s="31"/>
      <c r="NV139" s="31"/>
      <c r="NW139" s="31"/>
      <c r="NX139" s="31"/>
      <c r="NY139" s="31"/>
      <c r="NZ139" s="31"/>
      <c r="OA139" s="31"/>
      <c r="OB139" s="31"/>
      <c r="OC139" s="31"/>
      <c r="OD139" s="31"/>
      <c r="OE139" s="31"/>
      <c r="OF139" s="31"/>
      <c r="OG139" s="31"/>
      <c r="OH139" s="31"/>
      <c r="OI139" s="31"/>
      <c r="OJ139" s="31"/>
      <c r="OK139" s="31"/>
      <c r="OL139" s="31"/>
      <c r="OM139" s="31"/>
      <c r="ON139" s="31"/>
      <c r="OO139" s="31"/>
      <c r="OP139" s="31"/>
      <c r="OQ139" s="31"/>
      <c r="OR139" s="31"/>
      <c r="OS139" s="31"/>
      <c r="OT139" s="31"/>
      <c r="OU139" s="31"/>
      <c r="OV139" s="31"/>
      <c r="OW139" s="31"/>
      <c r="OX139" s="31"/>
    </row>
    <row r="140" spans="2:414" s="25" customFormat="1" ht="15.6">
      <c r="B140" s="25" t="s">
        <v>552</v>
      </c>
      <c r="C140" s="27" t="s">
        <v>553</v>
      </c>
      <c r="D140" s="30" t="s">
        <v>201</v>
      </c>
      <c r="G140" s="42">
        <v>500</v>
      </c>
      <c r="H140" s="89">
        <v>26.109000000000002</v>
      </c>
      <c r="I140" s="38">
        <f t="shared" si="52"/>
        <v>13054.5</v>
      </c>
      <c r="K140" s="42">
        <v>500</v>
      </c>
      <c r="L140" s="90">
        <v>26.849599999999999</v>
      </c>
      <c r="M140" s="38">
        <f t="shared" si="53"/>
        <v>13424.8</v>
      </c>
      <c r="O140" s="38">
        <v>80</v>
      </c>
      <c r="P140" s="38">
        <v>26.728300000000001</v>
      </c>
      <c r="Q140" s="38">
        <f t="shared" si="54"/>
        <v>2138.2640000000001</v>
      </c>
      <c r="R140" s="43">
        <f t="shared" si="48"/>
        <v>1080</v>
      </c>
      <c r="S140" s="38">
        <f t="shared" si="55"/>
        <v>28617.563999999998</v>
      </c>
      <c r="T140" s="49"/>
      <c r="U140" s="42"/>
      <c r="V140" s="38">
        <f t="shared" si="44"/>
        <v>0</v>
      </c>
      <c r="W140" s="42"/>
      <c r="X140" s="42"/>
      <c r="Y140" s="38">
        <f t="shared" si="43"/>
        <v>0</v>
      </c>
      <c r="Z140" s="42"/>
      <c r="AA140" s="42"/>
      <c r="AB140" s="42">
        <f t="shared" si="45"/>
        <v>0</v>
      </c>
      <c r="AD140" s="42"/>
      <c r="AE140" s="42"/>
      <c r="AF140" s="42">
        <f t="shared" si="46"/>
        <v>0</v>
      </c>
      <c r="AG140" s="42"/>
      <c r="AH140" s="42"/>
      <c r="AI140" s="42"/>
      <c r="AJ140" s="42">
        <f t="shared" si="50"/>
        <v>0</v>
      </c>
      <c r="AL140" s="42"/>
      <c r="AM140" s="42"/>
      <c r="AN140" s="42">
        <f t="shared" si="51"/>
        <v>0</v>
      </c>
      <c r="AO140" s="44"/>
      <c r="AP140" s="42"/>
      <c r="AQ140" s="42"/>
      <c r="AR140" s="42"/>
      <c r="AU140" s="98"/>
      <c r="AV140" s="35"/>
      <c r="AW140" s="104"/>
      <c r="AX140" s="42"/>
      <c r="AY140" s="42"/>
      <c r="AZ140" s="42">
        <f t="shared" si="49"/>
        <v>0</v>
      </c>
      <c r="BA140" s="42"/>
      <c r="BB140" s="42"/>
      <c r="BC140" s="42"/>
      <c r="BD140" s="38">
        <f t="shared" si="56"/>
        <v>0</v>
      </c>
      <c r="BE140" s="42"/>
      <c r="BF140" s="42"/>
      <c r="BG140" s="42"/>
      <c r="BH140" s="38">
        <f t="shared" si="57"/>
        <v>0</v>
      </c>
      <c r="BI140" s="42"/>
      <c r="BJ140" s="42"/>
      <c r="BK140" s="42"/>
      <c r="BL140" s="38">
        <f t="shared" si="58"/>
        <v>0</v>
      </c>
      <c r="BM140" s="42"/>
      <c r="BN140" s="42"/>
      <c r="BO140" s="42"/>
      <c r="BP140" s="42"/>
      <c r="BR140" s="42">
        <f t="shared" si="59"/>
        <v>0</v>
      </c>
      <c r="BS140" s="43">
        <f t="shared" si="60"/>
        <v>28617.563999999998</v>
      </c>
      <c r="BT140" s="42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  <c r="IM140" s="31"/>
      <c r="IN140" s="31"/>
      <c r="IO140" s="31"/>
      <c r="IP140" s="31"/>
      <c r="IQ140" s="31"/>
      <c r="IR140" s="31"/>
      <c r="IS140" s="31"/>
      <c r="IT140" s="31"/>
      <c r="IU140" s="31"/>
      <c r="IV140" s="31"/>
      <c r="IW140" s="31"/>
      <c r="IX140" s="31"/>
      <c r="IY140" s="31"/>
      <c r="IZ140" s="31"/>
      <c r="JA140" s="31"/>
      <c r="JB140" s="31"/>
      <c r="JC140" s="31"/>
      <c r="JD140" s="31"/>
      <c r="JE140" s="31"/>
      <c r="JF140" s="31"/>
      <c r="JG140" s="31"/>
      <c r="JH140" s="31"/>
      <c r="JI140" s="31"/>
      <c r="JJ140" s="31"/>
      <c r="JK140" s="31"/>
      <c r="JL140" s="31"/>
      <c r="JM140" s="31"/>
      <c r="JN140" s="31"/>
      <c r="JO140" s="31"/>
      <c r="JP140" s="31"/>
      <c r="JQ140" s="31"/>
      <c r="JR140" s="31"/>
      <c r="JS140" s="31"/>
      <c r="JT140" s="31"/>
      <c r="JU140" s="31"/>
      <c r="JV140" s="31"/>
      <c r="JW140" s="31"/>
      <c r="JX140" s="31"/>
      <c r="JY140" s="31"/>
      <c r="JZ140" s="31"/>
      <c r="KA140" s="31"/>
      <c r="KB140" s="31"/>
      <c r="KC140" s="31"/>
      <c r="KD140" s="31"/>
      <c r="KE140" s="31"/>
      <c r="KF140" s="31"/>
      <c r="KG140" s="31"/>
      <c r="KH140" s="31"/>
      <c r="KI140" s="31"/>
      <c r="KJ140" s="31"/>
      <c r="KK140" s="31"/>
      <c r="KL140" s="31"/>
      <c r="KM140" s="31"/>
      <c r="KN140" s="31"/>
      <c r="KO140" s="31"/>
      <c r="KP140" s="31"/>
      <c r="KQ140" s="31"/>
      <c r="KR140" s="31"/>
      <c r="KS140" s="31"/>
      <c r="KT140" s="31"/>
      <c r="KU140" s="31"/>
      <c r="KV140" s="31"/>
      <c r="KW140" s="31"/>
      <c r="KX140" s="31"/>
      <c r="KY140" s="31"/>
      <c r="KZ140" s="31"/>
      <c r="LA140" s="31"/>
      <c r="LB140" s="31"/>
      <c r="LC140" s="31"/>
      <c r="LD140" s="31"/>
      <c r="LE140" s="31"/>
      <c r="LF140" s="31"/>
      <c r="LG140" s="31"/>
      <c r="LH140" s="31"/>
      <c r="LI140" s="31"/>
      <c r="LJ140" s="31"/>
      <c r="LK140" s="31"/>
      <c r="LL140" s="31"/>
      <c r="LM140" s="31"/>
      <c r="LN140" s="31"/>
      <c r="LO140" s="31"/>
      <c r="LP140" s="31"/>
      <c r="LQ140" s="31"/>
      <c r="LR140" s="31"/>
      <c r="LS140" s="31"/>
      <c r="LT140" s="31"/>
      <c r="LU140" s="31"/>
      <c r="LV140" s="31"/>
      <c r="LW140" s="31"/>
      <c r="LX140" s="31"/>
      <c r="LY140" s="31"/>
      <c r="LZ140" s="31"/>
      <c r="MA140" s="31"/>
      <c r="MB140" s="31"/>
      <c r="MC140" s="31"/>
      <c r="MD140" s="31"/>
      <c r="ME140" s="31"/>
      <c r="MF140" s="31"/>
      <c r="MG140" s="31"/>
      <c r="MH140" s="31"/>
      <c r="MI140" s="31"/>
      <c r="MJ140" s="31"/>
      <c r="MK140" s="31"/>
      <c r="ML140" s="31"/>
      <c r="MM140" s="31"/>
      <c r="MN140" s="31"/>
      <c r="MO140" s="31"/>
      <c r="MP140" s="31"/>
      <c r="MQ140" s="31"/>
      <c r="MR140" s="31"/>
      <c r="MS140" s="31"/>
      <c r="MT140" s="31"/>
      <c r="MU140" s="31"/>
      <c r="MV140" s="31"/>
      <c r="MW140" s="31"/>
      <c r="MX140" s="31"/>
      <c r="MY140" s="31"/>
      <c r="MZ140" s="31"/>
      <c r="NA140" s="31"/>
      <c r="NB140" s="31"/>
      <c r="NC140" s="31"/>
      <c r="ND140" s="31"/>
      <c r="NE140" s="31"/>
      <c r="NF140" s="31"/>
      <c r="NG140" s="31"/>
      <c r="NH140" s="31"/>
      <c r="NI140" s="31"/>
      <c r="NJ140" s="31"/>
      <c r="NK140" s="31"/>
      <c r="NL140" s="31"/>
      <c r="NM140" s="31"/>
      <c r="NN140" s="31"/>
      <c r="NO140" s="31"/>
      <c r="NP140" s="31"/>
      <c r="NQ140" s="31"/>
      <c r="NR140" s="31"/>
      <c r="NS140" s="31"/>
      <c r="NT140" s="31"/>
      <c r="NU140" s="31"/>
      <c r="NV140" s="31"/>
      <c r="NW140" s="31"/>
      <c r="NX140" s="31"/>
      <c r="NY140" s="31"/>
      <c r="NZ140" s="31"/>
      <c r="OA140" s="31"/>
      <c r="OB140" s="31"/>
      <c r="OC140" s="31"/>
      <c r="OD140" s="31"/>
      <c r="OE140" s="31"/>
      <c r="OF140" s="31"/>
      <c r="OG140" s="31"/>
      <c r="OH140" s="31"/>
      <c r="OI140" s="31"/>
      <c r="OJ140" s="31"/>
      <c r="OK140" s="31"/>
      <c r="OL140" s="31"/>
      <c r="OM140" s="31"/>
      <c r="ON140" s="31"/>
      <c r="OO140" s="31"/>
      <c r="OP140" s="31"/>
      <c r="OQ140" s="31"/>
      <c r="OR140" s="31"/>
      <c r="OS140" s="31"/>
      <c r="OT140" s="31"/>
      <c r="OU140" s="31"/>
      <c r="OV140" s="31"/>
      <c r="OW140" s="31"/>
      <c r="OX140" s="31"/>
    </row>
    <row r="141" spans="2:414" s="25" customFormat="1" ht="15.6">
      <c r="B141" s="25" t="s">
        <v>554</v>
      </c>
      <c r="C141" s="27" t="s">
        <v>290</v>
      </c>
      <c r="D141" s="30" t="s">
        <v>201</v>
      </c>
      <c r="G141" s="42">
        <v>500</v>
      </c>
      <c r="H141" s="89">
        <v>26.109000000000002</v>
      </c>
      <c r="I141" s="38">
        <f t="shared" si="52"/>
        <v>13054.5</v>
      </c>
      <c r="K141" s="42">
        <v>500</v>
      </c>
      <c r="L141" s="90">
        <v>26.849599999999999</v>
      </c>
      <c r="M141" s="38">
        <f t="shared" si="53"/>
        <v>13424.8</v>
      </c>
      <c r="O141" s="38">
        <v>80</v>
      </c>
      <c r="P141" s="38">
        <v>26.728300000000001</v>
      </c>
      <c r="Q141" s="38">
        <f t="shared" si="54"/>
        <v>2138.2640000000001</v>
      </c>
      <c r="R141" s="43">
        <f t="shared" si="48"/>
        <v>1080</v>
      </c>
      <c r="S141" s="38">
        <f t="shared" si="55"/>
        <v>28617.563999999998</v>
      </c>
      <c r="T141" s="49">
        <v>415</v>
      </c>
      <c r="U141" s="42">
        <v>26.72</v>
      </c>
      <c r="V141" s="38">
        <f t="shared" si="44"/>
        <v>11088.8</v>
      </c>
      <c r="W141" s="42">
        <v>45</v>
      </c>
      <c r="X141" s="42">
        <v>26.745899999999999</v>
      </c>
      <c r="Y141" s="38">
        <f t="shared" si="43"/>
        <v>1203.5654999999999</v>
      </c>
      <c r="Z141" s="42">
        <v>40</v>
      </c>
      <c r="AA141" s="42">
        <v>26.861899999999999</v>
      </c>
      <c r="AB141" s="42">
        <f t="shared" si="45"/>
        <v>1074.4759999999999</v>
      </c>
      <c r="AD141" s="42">
        <v>420</v>
      </c>
      <c r="AE141" s="42">
        <v>26.731200000000001</v>
      </c>
      <c r="AF141" s="42">
        <f t="shared" si="46"/>
        <v>11227.104000000001</v>
      </c>
      <c r="AG141" s="42"/>
      <c r="AH141" s="42">
        <v>85</v>
      </c>
      <c r="AI141" s="42">
        <v>26.731200000000001</v>
      </c>
      <c r="AJ141" s="42">
        <f t="shared" si="50"/>
        <v>2272.152</v>
      </c>
      <c r="AL141" s="42"/>
      <c r="AM141" s="42"/>
      <c r="AN141" s="42">
        <f t="shared" si="51"/>
        <v>0</v>
      </c>
      <c r="AO141" s="44"/>
      <c r="AP141" s="42"/>
      <c r="AQ141" s="42"/>
      <c r="AR141" s="42"/>
      <c r="AU141" s="98"/>
      <c r="AV141" s="35"/>
      <c r="AW141" s="104"/>
      <c r="AX141" s="42"/>
      <c r="AY141" s="42"/>
      <c r="AZ141" s="42">
        <f t="shared" si="49"/>
        <v>0</v>
      </c>
      <c r="BA141" s="42"/>
      <c r="BB141" s="42"/>
      <c r="BC141" s="42"/>
      <c r="BD141" s="38">
        <f t="shared" si="56"/>
        <v>0</v>
      </c>
      <c r="BE141" s="42"/>
      <c r="BF141" s="42"/>
      <c r="BG141" s="42"/>
      <c r="BH141" s="38">
        <f t="shared" si="57"/>
        <v>0</v>
      </c>
      <c r="BI141" s="42"/>
      <c r="BJ141" s="42"/>
      <c r="BK141" s="42"/>
      <c r="BL141" s="38">
        <f t="shared" si="58"/>
        <v>0</v>
      </c>
      <c r="BM141" s="42"/>
      <c r="BN141" s="42"/>
      <c r="BO141" s="42"/>
      <c r="BP141" s="42"/>
      <c r="BR141" s="42">
        <f t="shared" si="59"/>
        <v>26866.097500000003</v>
      </c>
      <c r="BS141" s="43">
        <f t="shared" si="60"/>
        <v>1751.466499999995</v>
      </c>
      <c r="BT141" s="42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  <c r="IM141" s="31"/>
      <c r="IN141" s="31"/>
      <c r="IO141" s="31"/>
      <c r="IP141" s="31"/>
      <c r="IQ141" s="31"/>
      <c r="IR141" s="31"/>
      <c r="IS141" s="31"/>
      <c r="IT141" s="31"/>
      <c r="IU141" s="31"/>
      <c r="IV141" s="31"/>
      <c r="IW141" s="31"/>
      <c r="IX141" s="31"/>
      <c r="IY141" s="31"/>
      <c r="IZ141" s="31"/>
      <c r="JA141" s="31"/>
      <c r="JB141" s="31"/>
      <c r="JC141" s="31"/>
      <c r="JD141" s="31"/>
      <c r="JE141" s="31"/>
      <c r="JF141" s="31"/>
      <c r="JG141" s="31"/>
      <c r="JH141" s="31"/>
      <c r="JI141" s="31"/>
      <c r="JJ141" s="31"/>
      <c r="JK141" s="31"/>
      <c r="JL141" s="31"/>
      <c r="JM141" s="31"/>
      <c r="JN141" s="31"/>
      <c r="JO141" s="31"/>
      <c r="JP141" s="31"/>
      <c r="JQ141" s="31"/>
      <c r="JR141" s="31"/>
      <c r="JS141" s="31"/>
      <c r="JT141" s="31"/>
      <c r="JU141" s="31"/>
      <c r="JV141" s="31"/>
      <c r="JW141" s="31"/>
      <c r="JX141" s="31"/>
      <c r="JY141" s="31"/>
      <c r="JZ141" s="31"/>
      <c r="KA141" s="31"/>
      <c r="KB141" s="31"/>
      <c r="KC141" s="31"/>
      <c r="KD141" s="31"/>
      <c r="KE141" s="31"/>
      <c r="KF141" s="31"/>
      <c r="KG141" s="31"/>
      <c r="KH141" s="31"/>
      <c r="KI141" s="31"/>
      <c r="KJ141" s="31"/>
      <c r="KK141" s="31"/>
      <c r="KL141" s="31"/>
      <c r="KM141" s="31"/>
      <c r="KN141" s="31"/>
      <c r="KO141" s="31"/>
      <c r="KP141" s="31"/>
      <c r="KQ141" s="31"/>
      <c r="KR141" s="31"/>
      <c r="KS141" s="31"/>
      <c r="KT141" s="31"/>
      <c r="KU141" s="31"/>
      <c r="KV141" s="31"/>
      <c r="KW141" s="31"/>
      <c r="KX141" s="31"/>
      <c r="KY141" s="31"/>
      <c r="KZ141" s="31"/>
      <c r="LA141" s="31"/>
      <c r="LB141" s="31"/>
      <c r="LC141" s="31"/>
      <c r="LD141" s="31"/>
      <c r="LE141" s="31"/>
      <c r="LF141" s="31"/>
      <c r="LG141" s="31"/>
      <c r="LH141" s="31"/>
      <c r="LI141" s="31"/>
      <c r="LJ141" s="31"/>
      <c r="LK141" s="31"/>
      <c r="LL141" s="31"/>
      <c r="LM141" s="31"/>
      <c r="LN141" s="31"/>
      <c r="LO141" s="31"/>
      <c r="LP141" s="31"/>
      <c r="LQ141" s="31"/>
      <c r="LR141" s="31"/>
      <c r="LS141" s="31"/>
      <c r="LT141" s="31"/>
      <c r="LU141" s="31"/>
      <c r="LV141" s="31"/>
      <c r="LW141" s="31"/>
      <c r="LX141" s="31"/>
      <c r="LY141" s="31"/>
      <c r="LZ141" s="31"/>
      <c r="MA141" s="31"/>
      <c r="MB141" s="31"/>
      <c r="MC141" s="31"/>
      <c r="MD141" s="31"/>
      <c r="ME141" s="31"/>
      <c r="MF141" s="31"/>
      <c r="MG141" s="31"/>
      <c r="MH141" s="31"/>
      <c r="MI141" s="31"/>
      <c r="MJ141" s="31"/>
      <c r="MK141" s="31"/>
      <c r="ML141" s="31"/>
      <c r="MM141" s="31"/>
      <c r="MN141" s="31"/>
      <c r="MO141" s="31"/>
      <c r="MP141" s="31"/>
      <c r="MQ141" s="31"/>
      <c r="MR141" s="31"/>
      <c r="MS141" s="31"/>
      <c r="MT141" s="31"/>
      <c r="MU141" s="31"/>
      <c r="MV141" s="31"/>
      <c r="MW141" s="31"/>
      <c r="MX141" s="31"/>
      <c r="MY141" s="31"/>
      <c r="MZ141" s="31"/>
      <c r="NA141" s="31"/>
      <c r="NB141" s="31"/>
      <c r="NC141" s="31"/>
      <c r="ND141" s="31"/>
      <c r="NE141" s="31"/>
      <c r="NF141" s="31"/>
      <c r="NG141" s="31"/>
      <c r="NH141" s="31"/>
      <c r="NI141" s="31"/>
      <c r="NJ141" s="31"/>
      <c r="NK141" s="31"/>
      <c r="NL141" s="31"/>
      <c r="NM141" s="31"/>
      <c r="NN141" s="31"/>
      <c r="NO141" s="31"/>
      <c r="NP141" s="31"/>
      <c r="NQ141" s="31"/>
      <c r="NR141" s="31"/>
      <c r="NS141" s="31"/>
      <c r="NT141" s="31"/>
      <c r="NU141" s="31"/>
      <c r="NV141" s="31"/>
      <c r="NW141" s="31"/>
      <c r="NX141" s="31"/>
      <c r="NY141" s="31"/>
      <c r="NZ141" s="31"/>
      <c r="OA141" s="31"/>
      <c r="OB141" s="31"/>
      <c r="OC141" s="31"/>
      <c r="OD141" s="31"/>
      <c r="OE141" s="31"/>
      <c r="OF141" s="31"/>
      <c r="OG141" s="31"/>
      <c r="OH141" s="31"/>
      <c r="OI141" s="31"/>
      <c r="OJ141" s="31"/>
      <c r="OK141" s="31"/>
      <c r="OL141" s="31"/>
      <c r="OM141" s="31"/>
      <c r="ON141" s="31"/>
      <c r="OO141" s="31"/>
      <c r="OP141" s="31"/>
      <c r="OQ141" s="31"/>
      <c r="OR141" s="31"/>
      <c r="OS141" s="31"/>
      <c r="OT141" s="31"/>
      <c r="OU141" s="31"/>
      <c r="OV141" s="31"/>
      <c r="OW141" s="31"/>
      <c r="OX141" s="31"/>
    </row>
    <row r="142" spans="2:414" s="25" customFormat="1" ht="15.6">
      <c r="B142" s="25" t="s">
        <v>545</v>
      </c>
      <c r="C142" s="27" t="s">
        <v>17</v>
      </c>
      <c r="D142" s="30" t="s">
        <v>201</v>
      </c>
      <c r="G142" s="42">
        <v>500</v>
      </c>
      <c r="H142" s="89">
        <v>26.109000000000002</v>
      </c>
      <c r="I142" s="38">
        <f t="shared" si="52"/>
        <v>13054.5</v>
      </c>
      <c r="K142" s="42">
        <v>500</v>
      </c>
      <c r="L142" s="90">
        <v>26.849599999999999</v>
      </c>
      <c r="M142" s="38">
        <f t="shared" si="53"/>
        <v>13424.8</v>
      </c>
      <c r="O142" s="38">
        <v>80</v>
      </c>
      <c r="P142" s="38">
        <v>26.728300000000001</v>
      </c>
      <c r="Q142" s="38">
        <f t="shared" si="54"/>
        <v>2138.2640000000001</v>
      </c>
      <c r="R142" s="43">
        <f t="shared" si="48"/>
        <v>1080</v>
      </c>
      <c r="S142" s="38">
        <f t="shared" si="55"/>
        <v>28617.563999999998</v>
      </c>
      <c r="T142" s="49">
        <v>85</v>
      </c>
      <c r="U142" s="42">
        <v>26.8337</v>
      </c>
      <c r="V142" s="38">
        <f t="shared" si="44"/>
        <v>2280.8645000000001</v>
      </c>
      <c r="W142" s="42"/>
      <c r="X142" s="42"/>
      <c r="Y142" s="38">
        <f t="shared" si="43"/>
        <v>0</v>
      </c>
      <c r="Z142" s="42"/>
      <c r="AA142" s="42"/>
      <c r="AB142" s="42">
        <f t="shared" si="45"/>
        <v>0</v>
      </c>
      <c r="AD142" s="42"/>
      <c r="AE142" s="42"/>
      <c r="AF142" s="42">
        <f t="shared" si="46"/>
        <v>0</v>
      </c>
      <c r="AG142" s="42"/>
      <c r="AH142" s="42"/>
      <c r="AI142" s="42"/>
      <c r="AJ142" s="42">
        <f t="shared" si="50"/>
        <v>0</v>
      </c>
      <c r="AL142" s="42"/>
      <c r="AM142" s="42"/>
      <c r="AN142" s="42">
        <f t="shared" si="51"/>
        <v>0</v>
      </c>
      <c r="AO142" s="44"/>
      <c r="AP142" s="42"/>
      <c r="AQ142" s="42"/>
      <c r="AR142" s="42"/>
      <c r="AU142" s="98"/>
      <c r="AV142" s="35"/>
      <c r="AW142" s="104"/>
      <c r="AX142" s="42"/>
      <c r="AY142" s="42"/>
      <c r="AZ142" s="42">
        <f t="shared" si="49"/>
        <v>0</v>
      </c>
      <c r="BA142" s="42"/>
      <c r="BB142" s="42"/>
      <c r="BC142" s="42"/>
      <c r="BD142" s="38">
        <f t="shared" si="56"/>
        <v>0</v>
      </c>
      <c r="BE142" s="42"/>
      <c r="BF142" s="42"/>
      <c r="BG142" s="42"/>
      <c r="BH142" s="38">
        <f t="shared" si="57"/>
        <v>0</v>
      </c>
      <c r="BI142" s="42"/>
      <c r="BJ142" s="42"/>
      <c r="BK142" s="42"/>
      <c r="BL142" s="38">
        <f t="shared" si="58"/>
        <v>0</v>
      </c>
      <c r="BM142" s="42"/>
      <c r="BN142" s="42"/>
      <c r="BO142" s="42"/>
      <c r="BP142" s="42"/>
      <c r="BR142" s="42">
        <f t="shared" si="59"/>
        <v>2280.8645000000001</v>
      </c>
      <c r="BS142" s="43">
        <f t="shared" si="60"/>
        <v>26336.699499999999</v>
      </c>
      <c r="BT142" s="42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  <c r="IM142" s="31"/>
      <c r="IN142" s="31"/>
      <c r="IO142" s="31"/>
      <c r="IP142" s="31"/>
      <c r="IQ142" s="31"/>
      <c r="IR142" s="31"/>
      <c r="IS142" s="31"/>
      <c r="IT142" s="31"/>
      <c r="IU142" s="31"/>
      <c r="IV142" s="31"/>
      <c r="IW142" s="31"/>
      <c r="IX142" s="31"/>
      <c r="IY142" s="31"/>
      <c r="IZ142" s="31"/>
      <c r="JA142" s="31"/>
      <c r="JB142" s="31"/>
      <c r="JC142" s="31"/>
      <c r="JD142" s="31"/>
      <c r="JE142" s="31"/>
      <c r="JF142" s="31"/>
      <c r="JG142" s="31"/>
      <c r="JH142" s="31"/>
      <c r="JI142" s="31"/>
      <c r="JJ142" s="31"/>
      <c r="JK142" s="31"/>
      <c r="JL142" s="31"/>
      <c r="JM142" s="31"/>
      <c r="JN142" s="31"/>
      <c r="JO142" s="31"/>
      <c r="JP142" s="31"/>
      <c r="JQ142" s="31"/>
      <c r="JR142" s="31"/>
      <c r="JS142" s="31"/>
      <c r="JT142" s="31"/>
      <c r="JU142" s="31"/>
      <c r="JV142" s="31"/>
      <c r="JW142" s="31"/>
      <c r="JX142" s="31"/>
      <c r="JY142" s="31"/>
      <c r="JZ142" s="31"/>
      <c r="KA142" s="31"/>
      <c r="KB142" s="31"/>
      <c r="KC142" s="31"/>
      <c r="KD142" s="31"/>
      <c r="KE142" s="31"/>
      <c r="KF142" s="31"/>
      <c r="KG142" s="31"/>
      <c r="KH142" s="31"/>
      <c r="KI142" s="31"/>
      <c r="KJ142" s="31"/>
      <c r="KK142" s="31"/>
      <c r="KL142" s="31"/>
      <c r="KM142" s="31"/>
      <c r="KN142" s="31"/>
      <c r="KO142" s="31"/>
      <c r="KP142" s="31"/>
      <c r="KQ142" s="31"/>
      <c r="KR142" s="31"/>
      <c r="KS142" s="31"/>
      <c r="KT142" s="31"/>
      <c r="KU142" s="31"/>
      <c r="KV142" s="31"/>
      <c r="KW142" s="31"/>
      <c r="KX142" s="31"/>
      <c r="KY142" s="31"/>
      <c r="KZ142" s="31"/>
      <c r="LA142" s="31"/>
      <c r="LB142" s="31"/>
      <c r="LC142" s="31"/>
      <c r="LD142" s="31"/>
      <c r="LE142" s="31"/>
      <c r="LF142" s="31"/>
      <c r="LG142" s="31"/>
      <c r="LH142" s="31"/>
      <c r="LI142" s="31"/>
      <c r="LJ142" s="31"/>
      <c r="LK142" s="31"/>
      <c r="LL142" s="31"/>
      <c r="LM142" s="31"/>
      <c r="LN142" s="31"/>
      <c r="LO142" s="31"/>
      <c r="LP142" s="31"/>
      <c r="LQ142" s="31"/>
      <c r="LR142" s="31"/>
      <c r="LS142" s="31"/>
      <c r="LT142" s="31"/>
      <c r="LU142" s="31"/>
      <c r="LV142" s="31"/>
      <c r="LW142" s="31"/>
      <c r="LX142" s="31"/>
      <c r="LY142" s="31"/>
      <c r="LZ142" s="31"/>
      <c r="MA142" s="31"/>
      <c r="MB142" s="31"/>
      <c r="MC142" s="31"/>
      <c r="MD142" s="31"/>
      <c r="ME142" s="31"/>
      <c r="MF142" s="31"/>
      <c r="MG142" s="31"/>
      <c r="MH142" s="31"/>
      <c r="MI142" s="31"/>
      <c r="MJ142" s="31"/>
      <c r="MK142" s="31"/>
      <c r="ML142" s="31"/>
      <c r="MM142" s="31"/>
      <c r="MN142" s="31"/>
      <c r="MO142" s="31"/>
      <c r="MP142" s="31"/>
      <c r="MQ142" s="31"/>
      <c r="MR142" s="31"/>
      <c r="MS142" s="31"/>
      <c r="MT142" s="31"/>
      <c r="MU142" s="31"/>
      <c r="MV142" s="31"/>
      <c r="MW142" s="31"/>
      <c r="MX142" s="31"/>
      <c r="MY142" s="31"/>
      <c r="MZ142" s="31"/>
      <c r="NA142" s="31"/>
      <c r="NB142" s="31"/>
      <c r="NC142" s="31"/>
      <c r="ND142" s="31"/>
      <c r="NE142" s="31"/>
      <c r="NF142" s="31"/>
      <c r="NG142" s="31"/>
      <c r="NH142" s="31"/>
      <c r="NI142" s="31"/>
      <c r="NJ142" s="31"/>
      <c r="NK142" s="31"/>
      <c r="NL142" s="31"/>
      <c r="NM142" s="31"/>
      <c r="NN142" s="31"/>
      <c r="NO142" s="31"/>
      <c r="NP142" s="31"/>
      <c r="NQ142" s="31"/>
      <c r="NR142" s="31"/>
      <c r="NS142" s="31"/>
      <c r="NT142" s="31"/>
      <c r="NU142" s="31"/>
      <c r="NV142" s="31"/>
      <c r="NW142" s="31"/>
      <c r="NX142" s="31"/>
      <c r="NY142" s="31"/>
      <c r="NZ142" s="31"/>
      <c r="OA142" s="31"/>
      <c r="OB142" s="31"/>
      <c r="OC142" s="31"/>
      <c r="OD142" s="31"/>
      <c r="OE142" s="31"/>
      <c r="OF142" s="31"/>
      <c r="OG142" s="31"/>
      <c r="OH142" s="31"/>
      <c r="OI142" s="31"/>
      <c r="OJ142" s="31"/>
      <c r="OK142" s="31"/>
      <c r="OL142" s="31"/>
      <c r="OM142" s="31"/>
      <c r="ON142" s="31"/>
      <c r="OO142" s="31"/>
      <c r="OP142" s="31"/>
      <c r="OQ142" s="31"/>
      <c r="OR142" s="31"/>
      <c r="OS142" s="31"/>
      <c r="OT142" s="31"/>
      <c r="OU142" s="31"/>
      <c r="OV142" s="31"/>
      <c r="OW142" s="31"/>
      <c r="OX142" s="31"/>
    </row>
    <row r="143" spans="2:414" s="25" customFormat="1" ht="15.6">
      <c r="B143" s="25" t="s">
        <v>547</v>
      </c>
      <c r="C143" s="27" t="s">
        <v>548</v>
      </c>
      <c r="D143" s="30" t="s">
        <v>201</v>
      </c>
      <c r="G143" s="42">
        <v>500</v>
      </c>
      <c r="H143" s="89">
        <v>26.109000000000002</v>
      </c>
      <c r="I143" s="38">
        <f t="shared" si="52"/>
        <v>13054.5</v>
      </c>
      <c r="K143" s="42">
        <v>500</v>
      </c>
      <c r="L143" s="90">
        <v>26.849599999999999</v>
      </c>
      <c r="M143" s="38">
        <f t="shared" si="53"/>
        <v>13424.8</v>
      </c>
      <c r="O143" s="38">
        <v>80</v>
      </c>
      <c r="P143" s="38">
        <v>26.728300000000001</v>
      </c>
      <c r="Q143" s="38">
        <f t="shared" si="54"/>
        <v>2138.2640000000001</v>
      </c>
      <c r="R143" s="43">
        <f t="shared" ref="R143:R174" si="61">G143+K143+O143</f>
        <v>1080</v>
      </c>
      <c r="S143" s="38">
        <f t="shared" si="55"/>
        <v>28617.563999999998</v>
      </c>
      <c r="T143" s="49">
        <v>500</v>
      </c>
      <c r="U143" s="42">
        <v>26.827200000000001</v>
      </c>
      <c r="V143" s="38">
        <f t="shared" si="44"/>
        <v>13413.6</v>
      </c>
      <c r="W143" s="42">
        <v>300</v>
      </c>
      <c r="X143" s="42">
        <v>26.7624</v>
      </c>
      <c r="Y143" s="38">
        <f t="shared" si="43"/>
        <v>8028.72</v>
      </c>
      <c r="Z143" s="42">
        <v>102</v>
      </c>
      <c r="AA143" s="42">
        <v>26.7624</v>
      </c>
      <c r="AB143" s="42">
        <f t="shared" si="45"/>
        <v>2729.7647999999999</v>
      </c>
      <c r="AD143" s="42">
        <v>15</v>
      </c>
      <c r="AE143" s="42">
        <v>26.827200000000001</v>
      </c>
      <c r="AF143" s="42">
        <f t="shared" si="46"/>
        <v>402.40800000000002</v>
      </c>
      <c r="AG143" s="42"/>
      <c r="AH143" s="42">
        <v>85</v>
      </c>
      <c r="AI143" s="42">
        <v>26.827200000000001</v>
      </c>
      <c r="AJ143" s="42">
        <f t="shared" si="50"/>
        <v>2280.3119999999999</v>
      </c>
      <c r="AL143" s="42"/>
      <c r="AM143" s="42"/>
      <c r="AN143" s="42">
        <f t="shared" si="51"/>
        <v>0</v>
      </c>
      <c r="AO143" s="44"/>
      <c r="AP143" s="42"/>
      <c r="AQ143" s="42"/>
      <c r="AR143" s="42"/>
      <c r="AU143" s="98"/>
      <c r="AV143" s="35"/>
      <c r="AW143" s="104"/>
      <c r="AX143" s="42"/>
      <c r="AY143" s="42"/>
      <c r="AZ143" s="42">
        <f t="shared" si="49"/>
        <v>0</v>
      </c>
      <c r="BA143" s="42"/>
      <c r="BB143" s="42"/>
      <c r="BC143" s="42"/>
      <c r="BD143" s="38">
        <f t="shared" si="56"/>
        <v>0</v>
      </c>
      <c r="BE143" s="42"/>
      <c r="BF143" s="42"/>
      <c r="BG143" s="42"/>
      <c r="BH143" s="38">
        <f t="shared" si="57"/>
        <v>0</v>
      </c>
      <c r="BI143" s="42"/>
      <c r="BJ143" s="42"/>
      <c r="BK143" s="42"/>
      <c r="BL143" s="38">
        <f t="shared" si="58"/>
        <v>0</v>
      </c>
      <c r="BM143" s="42"/>
      <c r="BN143" s="42"/>
      <c r="BO143" s="42"/>
      <c r="BP143" s="42"/>
      <c r="BR143" s="42">
        <f t="shared" si="59"/>
        <v>26854.804799999998</v>
      </c>
      <c r="BS143" s="43">
        <f t="shared" si="60"/>
        <v>1762.7592000000004</v>
      </c>
      <c r="BT143" s="42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  <c r="IM143" s="31"/>
      <c r="IN143" s="31"/>
      <c r="IO143" s="31"/>
      <c r="IP143" s="31"/>
      <c r="IQ143" s="31"/>
      <c r="IR143" s="31"/>
      <c r="IS143" s="31"/>
      <c r="IT143" s="31"/>
      <c r="IU143" s="31"/>
      <c r="IV143" s="31"/>
      <c r="IW143" s="31"/>
      <c r="IX143" s="31"/>
      <c r="IY143" s="31"/>
      <c r="IZ143" s="31"/>
      <c r="JA143" s="31"/>
      <c r="JB143" s="31"/>
      <c r="JC143" s="31"/>
      <c r="JD143" s="31"/>
      <c r="JE143" s="31"/>
      <c r="JF143" s="31"/>
      <c r="JG143" s="31"/>
      <c r="JH143" s="31"/>
      <c r="JI143" s="31"/>
      <c r="JJ143" s="31"/>
      <c r="JK143" s="31"/>
      <c r="JL143" s="31"/>
      <c r="JM143" s="31"/>
      <c r="JN143" s="31"/>
      <c r="JO143" s="31"/>
      <c r="JP143" s="31"/>
      <c r="JQ143" s="31"/>
      <c r="JR143" s="31"/>
      <c r="JS143" s="31"/>
      <c r="JT143" s="31"/>
      <c r="JU143" s="31"/>
      <c r="JV143" s="31"/>
      <c r="JW143" s="31"/>
      <c r="JX143" s="31"/>
      <c r="JY143" s="31"/>
      <c r="JZ143" s="31"/>
      <c r="KA143" s="31"/>
      <c r="KB143" s="31"/>
      <c r="KC143" s="31"/>
      <c r="KD143" s="31"/>
      <c r="KE143" s="31"/>
      <c r="KF143" s="31"/>
      <c r="KG143" s="31"/>
      <c r="KH143" s="31"/>
      <c r="KI143" s="31"/>
      <c r="KJ143" s="31"/>
      <c r="KK143" s="31"/>
      <c r="KL143" s="31"/>
      <c r="KM143" s="31"/>
      <c r="KN143" s="31"/>
      <c r="KO143" s="31"/>
      <c r="KP143" s="31"/>
      <c r="KQ143" s="31"/>
      <c r="KR143" s="31"/>
      <c r="KS143" s="31"/>
      <c r="KT143" s="31"/>
      <c r="KU143" s="31"/>
      <c r="KV143" s="31"/>
      <c r="KW143" s="31"/>
      <c r="KX143" s="31"/>
      <c r="KY143" s="31"/>
      <c r="KZ143" s="31"/>
      <c r="LA143" s="31"/>
      <c r="LB143" s="31"/>
      <c r="LC143" s="31"/>
      <c r="LD143" s="31"/>
      <c r="LE143" s="31"/>
      <c r="LF143" s="31"/>
      <c r="LG143" s="31"/>
      <c r="LH143" s="31"/>
      <c r="LI143" s="31"/>
      <c r="LJ143" s="31"/>
      <c r="LK143" s="31"/>
      <c r="LL143" s="31"/>
      <c r="LM143" s="31"/>
      <c r="LN143" s="31"/>
      <c r="LO143" s="31"/>
      <c r="LP143" s="31"/>
      <c r="LQ143" s="31"/>
      <c r="LR143" s="31"/>
      <c r="LS143" s="31"/>
      <c r="LT143" s="31"/>
      <c r="LU143" s="31"/>
      <c r="LV143" s="31"/>
      <c r="LW143" s="31"/>
      <c r="LX143" s="31"/>
      <c r="LY143" s="31"/>
      <c r="LZ143" s="31"/>
      <c r="MA143" s="31"/>
      <c r="MB143" s="31"/>
      <c r="MC143" s="31"/>
      <c r="MD143" s="31"/>
      <c r="ME143" s="31"/>
      <c r="MF143" s="31"/>
      <c r="MG143" s="31"/>
      <c r="MH143" s="31"/>
      <c r="MI143" s="31"/>
      <c r="MJ143" s="31"/>
      <c r="MK143" s="31"/>
      <c r="ML143" s="31"/>
      <c r="MM143" s="31"/>
      <c r="MN143" s="31"/>
      <c r="MO143" s="31"/>
      <c r="MP143" s="31"/>
      <c r="MQ143" s="31"/>
      <c r="MR143" s="31"/>
      <c r="MS143" s="31"/>
      <c r="MT143" s="31"/>
      <c r="MU143" s="31"/>
      <c r="MV143" s="31"/>
      <c r="MW143" s="31"/>
      <c r="MX143" s="31"/>
      <c r="MY143" s="31"/>
      <c r="MZ143" s="31"/>
      <c r="NA143" s="31"/>
      <c r="NB143" s="31"/>
      <c r="NC143" s="31"/>
      <c r="ND143" s="31"/>
      <c r="NE143" s="31"/>
      <c r="NF143" s="31"/>
      <c r="NG143" s="31"/>
      <c r="NH143" s="31"/>
      <c r="NI143" s="31"/>
      <c r="NJ143" s="31"/>
      <c r="NK143" s="31"/>
      <c r="NL143" s="31"/>
      <c r="NM143" s="31"/>
      <c r="NN143" s="31"/>
      <c r="NO143" s="31"/>
      <c r="NP143" s="31"/>
      <c r="NQ143" s="31"/>
      <c r="NR143" s="31"/>
      <c r="NS143" s="31"/>
      <c r="NT143" s="31"/>
      <c r="NU143" s="31"/>
      <c r="NV143" s="31"/>
      <c r="NW143" s="31"/>
      <c r="NX143" s="31"/>
      <c r="NY143" s="31"/>
      <c r="NZ143" s="31"/>
      <c r="OA143" s="31"/>
      <c r="OB143" s="31"/>
      <c r="OC143" s="31"/>
      <c r="OD143" s="31"/>
      <c r="OE143" s="31"/>
      <c r="OF143" s="31"/>
      <c r="OG143" s="31"/>
      <c r="OH143" s="31"/>
      <c r="OI143" s="31"/>
      <c r="OJ143" s="31"/>
      <c r="OK143" s="31"/>
      <c r="OL143" s="31"/>
      <c r="OM143" s="31"/>
      <c r="ON143" s="31"/>
      <c r="OO143" s="31"/>
      <c r="OP143" s="31"/>
      <c r="OQ143" s="31"/>
      <c r="OR143" s="31"/>
      <c r="OS143" s="31"/>
      <c r="OT143" s="31"/>
      <c r="OU143" s="31"/>
      <c r="OV143" s="31"/>
      <c r="OW143" s="31"/>
      <c r="OX143" s="31"/>
    </row>
    <row r="144" spans="2:414" s="25" customFormat="1" ht="15.6">
      <c r="B144" s="25" t="s">
        <v>555</v>
      </c>
      <c r="C144" s="27" t="s">
        <v>87</v>
      </c>
      <c r="D144" s="30" t="s">
        <v>201</v>
      </c>
      <c r="G144" s="42">
        <v>500</v>
      </c>
      <c r="H144" s="89">
        <v>26.109000000000002</v>
      </c>
      <c r="I144" s="38">
        <f t="shared" si="52"/>
        <v>13054.5</v>
      </c>
      <c r="K144" s="42">
        <v>500</v>
      </c>
      <c r="L144" s="90">
        <v>26.849599999999999</v>
      </c>
      <c r="M144" s="38">
        <f t="shared" si="53"/>
        <v>13424.8</v>
      </c>
      <c r="O144" s="38">
        <v>80</v>
      </c>
      <c r="P144" s="38">
        <v>26.728300000000001</v>
      </c>
      <c r="Q144" s="38">
        <f t="shared" si="54"/>
        <v>2138.2640000000001</v>
      </c>
      <c r="R144" s="43">
        <f t="shared" si="61"/>
        <v>1080</v>
      </c>
      <c r="S144" s="38">
        <f t="shared" si="55"/>
        <v>28617.563999999998</v>
      </c>
      <c r="T144" s="49">
        <v>415</v>
      </c>
      <c r="U144" s="42">
        <v>26.8719</v>
      </c>
      <c r="V144" s="38">
        <f t="shared" si="44"/>
        <v>11151.8385</v>
      </c>
      <c r="W144" s="42">
        <v>85</v>
      </c>
      <c r="X144" s="42">
        <v>26.8719</v>
      </c>
      <c r="Y144" s="38">
        <f t="shared" si="43"/>
        <v>2284.1115</v>
      </c>
      <c r="Z144" s="42">
        <v>215</v>
      </c>
      <c r="AA144" s="42">
        <v>26.677399999999999</v>
      </c>
      <c r="AB144" s="42">
        <f t="shared" si="45"/>
        <v>5735.6409999999996</v>
      </c>
      <c r="AD144" s="42">
        <v>200</v>
      </c>
      <c r="AE144" s="42">
        <v>26.677399999999999</v>
      </c>
      <c r="AF144" s="42">
        <f t="shared" si="46"/>
        <v>5335.48</v>
      </c>
      <c r="AG144" s="42"/>
      <c r="AH144" s="42">
        <v>85</v>
      </c>
      <c r="AI144" s="42">
        <v>26.677399999999999</v>
      </c>
      <c r="AJ144" s="42">
        <f t="shared" si="50"/>
        <v>2267.5789999999997</v>
      </c>
      <c r="AL144" s="42">
        <v>215</v>
      </c>
      <c r="AM144" s="42">
        <v>26.677399999999999</v>
      </c>
      <c r="AN144" s="42">
        <f t="shared" si="51"/>
        <v>5735.6409999999996</v>
      </c>
      <c r="AO144" s="44"/>
      <c r="AP144" s="42">
        <v>85</v>
      </c>
      <c r="AQ144" s="42">
        <v>26.677399999999999</v>
      </c>
      <c r="AR144" s="42"/>
      <c r="AT144" s="25">
        <v>200</v>
      </c>
      <c r="AU144" s="98">
        <v>26.677399999999999</v>
      </c>
      <c r="AV144" s="35">
        <f>AT144*AU144</f>
        <v>5335.48</v>
      </c>
      <c r="AW144" s="104"/>
      <c r="AX144" s="42"/>
      <c r="AY144" s="42"/>
      <c r="AZ144" s="42">
        <f t="shared" si="49"/>
        <v>0</v>
      </c>
      <c r="BA144" s="42"/>
      <c r="BB144" s="42"/>
      <c r="BC144" s="42"/>
      <c r="BD144" s="38">
        <f t="shared" si="56"/>
        <v>0</v>
      </c>
      <c r="BE144" s="42"/>
      <c r="BF144" s="42"/>
      <c r="BG144" s="42"/>
      <c r="BH144" s="38">
        <f t="shared" si="57"/>
        <v>0</v>
      </c>
      <c r="BI144" s="42"/>
      <c r="BJ144" s="42"/>
      <c r="BK144" s="42"/>
      <c r="BL144" s="38">
        <f t="shared" si="58"/>
        <v>0</v>
      </c>
      <c r="BM144" s="42"/>
      <c r="BN144" s="42"/>
      <c r="BO144" s="42"/>
      <c r="BP144" s="42"/>
      <c r="BR144" s="42">
        <f t="shared" si="59"/>
        <v>37845.771000000001</v>
      </c>
      <c r="BS144" s="43"/>
      <c r="BT144" s="42">
        <v>4951.6880000000001</v>
      </c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  <c r="IM144" s="31"/>
      <c r="IN144" s="31"/>
      <c r="IO144" s="31"/>
      <c r="IP144" s="31"/>
      <c r="IQ144" s="31"/>
      <c r="IR144" s="31"/>
      <c r="IS144" s="31"/>
      <c r="IT144" s="31"/>
      <c r="IU144" s="31"/>
      <c r="IV144" s="31"/>
      <c r="IW144" s="31"/>
      <c r="IX144" s="31"/>
      <c r="IY144" s="31"/>
      <c r="IZ144" s="31"/>
      <c r="JA144" s="31"/>
      <c r="JB144" s="31"/>
      <c r="JC144" s="31"/>
      <c r="JD144" s="31"/>
      <c r="JE144" s="31"/>
      <c r="JF144" s="31"/>
      <c r="JG144" s="31"/>
      <c r="JH144" s="31"/>
      <c r="JI144" s="31"/>
      <c r="JJ144" s="31"/>
      <c r="JK144" s="31"/>
      <c r="JL144" s="31"/>
      <c r="JM144" s="31"/>
      <c r="JN144" s="31"/>
      <c r="JO144" s="31"/>
      <c r="JP144" s="31"/>
      <c r="JQ144" s="31"/>
      <c r="JR144" s="31"/>
      <c r="JS144" s="31"/>
      <c r="JT144" s="31"/>
      <c r="JU144" s="31"/>
      <c r="JV144" s="31"/>
      <c r="JW144" s="31"/>
      <c r="JX144" s="31"/>
      <c r="JY144" s="31"/>
      <c r="JZ144" s="31"/>
      <c r="KA144" s="31"/>
      <c r="KB144" s="31"/>
      <c r="KC144" s="31"/>
      <c r="KD144" s="31"/>
      <c r="KE144" s="31"/>
      <c r="KF144" s="31"/>
      <c r="KG144" s="31"/>
      <c r="KH144" s="31"/>
      <c r="KI144" s="31"/>
      <c r="KJ144" s="31"/>
      <c r="KK144" s="31"/>
      <c r="KL144" s="31"/>
      <c r="KM144" s="31"/>
      <c r="KN144" s="31"/>
      <c r="KO144" s="31"/>
      <c r="KP144" s="31"/>
      <c r="KQ144" s="31"/>
      <c r="KR144" s="31"/>
      <c r="KS144" s="31"/>
      <c r="KT144" s="31"/>
      <c r="KU144" s="31"/>
      <c r="KV144" s="31"/>
      <c r="KW144" s="31"/>
      <c r="KX144" s="31"/>
      <c r="KY144" s="31"/>
      <c r="KZ144" s="31"/>
      <c r="LA144" s="31"/>
      <c r="LB144" s="31"/>
      <c r="LC144" s="31"/>
      <c r="LD144" s="31"/>
      <c r="LE144" s="31"/>
      <c r="LF144" s="31"/>
      <c r="LG144" s="31"/>
      <c r="LH144" s="31"/>
      <c r="LI144" s="31"/>
      <c r="LJ144" s="31"/>
      <c r="LK144" s="31"/>
      <c r="LL144" s="31"/>
      <c r="LM144" s="31"/>
      <c r="LN144" s="31"/>
      <c r="LO144" s="31"/>
      <c r="LP144" s="31"/>
      <c r="LQ144" s="31"/>
      <c r="LR144" s="31"/>
      <c r="LS144" s="31"/>
      <c r="LT144" s="31"/>
      <c r="LU144" s="31"/>
      <c r="LV144" s="31"/>
      <c r="LW144" s="31"/>
      <c r="LX144" s="31"/>
      <c r="LY144" s="31"/>
      <c r="LZ144" s="31"/>
      <c r="MA144" s="31"/>
      <c r="MB144" s="31"/>
      <c r="MC144" s="31"/>
      <c r="MD144" s="31"/>
      <c r="ME144" s="31"/>
      <c r="MF144" s="31"/>
      <c r="MG144" s="31"/>
      <c r="MH144" s="31"/>
      <c r="MI144" s="31"/>
      <c r="MJ144" s="31"/>
      <c r="MK144" s="31"/>
      <c r="ML144" s="31"/>
      <c r="MM144" s="31"/>
      <c r="MN144" s="31"/>
      <c r="MO144" s="31"/>
      <c r="MP144" s="31"/>
      <c r="MQ144" s="31"/>
      <c r="MR144" s="31"/>
      <c r="MS144" s="31"/>
      <c r="MT144" s="31"/>
      <c r="MU144" s="31"/>
      <c r="MV144" s="31"/>
      <c r="MW144" s="31"/>
      <c r="MX144" s="31"/>
      <c r="MY144" s="31"/>
      <c r="MZ144" s="31"/>
      <c r="NA144" s="31"/>
      <c r="NB144" s="31"/>
      <c r="NC144" s="31"/>
      <c r="ND144" s="31"/>
      <c r="NE144" s="31"/>
      <c r="NF144" s="31"/>
      <c r="NG144" s="31"/>
      <c r="NH144" s="31"/>
      <c r="NI144" s="31"/>
      <c r="NJ144" s="31"/>
      <c r="NK144" s="31"/>
      <c r="NL144" s="31"/>
      <c r="NM144" s="31"/>
      <c r="NN144" s="31"/>
      <c r="NO144" s="31"/>
      <c r="NP144" s="31"/>
      <c r="NQ144" s="31"/>
      <c r="NR144" s="31"/>
      <c r="NS144" s="31"/>
      <c r="NT144" s="31"/>
      <c r="NU144" s="31"/>
      <c r="NV144" s="31"/>
      <c r="NW144" s="31"/>
      <c r="NX144" s="31"/>
      <c r="NY144" s="31"/>
      <c r="NZ144" s="31"/>
      <c r="OA144" s="31"/>
      <c r="OB144" s="31"/>
      <c r="OC144" s="31"/>
      <c r="OD144" s="31"/>
      <c r="OE144" s="31"/>
      <c r="OF144" s="31"/>
      <c r="OG144" s="31"/>
      <c r="OH144" s="31"/>
      <c r="OI144" s="31"/>
      <c r="OJ144" s="31"/>
      <c r="OK144" s="31"/>
      <c r="OL144" s="31"/>
      <c r="OM144" s="31"/>
      <c r="ON144" s="31"/>
      <c r="OO144" s="31"/>
      <c r="OP144" s="31"/>
      <c r="OQ144" s="31"/>
      <c r="OR144" s="31"/>
      <c r="OS144" s="31"/>
      <c r="OT144" s="31"/>
      <c r="OU144" s="31"/>
      <c r="OV144" s="31"/>
      <c r="OW144" s="31"/>
      <c r="OX144" s="31"/>
    </row>
    <row r="145" spans="2:414" s="25" customFormat="1" ht="15.6">
      <c r="B145" s="25" t="s">
        <v>556</v>
      </c>
      <c r="C145" s="27" t="s">
        <v>185</v>
      </c>
      <c r="D145" s="30" t="s">
        <v>201</v>
      </c>
      <c r="G145" s="42">
        <v>500</v>
      </c>
      <c r="H145" s="89">
        <v>26.109000000000002</v>
      </c>
      <c r="I145" s="38">
        <f t="shared" si="52"/>
        <v>13054.5</v>
      </c>
      <c r="K145" s="42">
        <v>500</v>
      </c>
      <c r="L145" s="90">
        <v>26.849599999999999</v>
      </c>
      <c r="M145" s="38">
        <f t="shared" si="53"/>
        <v>13424.8</v>
      </c>
      <c r="O145" s="38">
        <v>80</v>
      </c>
      <c r="P145" s="38">
        <v>26.728300000000001</v>
      </c>
      <c r="Q145" s="38">
        <f t="shared" si="54"/>
        <v>2138.2640000000001</v>
      </c>
      <c r="R145" s="43">
        <f t="shared" si="61"/>
        <v>1080</v>
      </c>
      <c r="S145" s="38">
        <f t="shared" si="55"/>
        <v>28617.563999999998</v>
      </c>
      <c r="T145" s="49">
        <v>215</v>
      </c>
      <c r="U145" s="42">
        <v>26.885300000000001</v>
      </c>
      <c r="V145" s="38">
        <f t="shared" si="44"/>
        <v>5780.3395</v>
      </c>
      <c r="W145" s="42">
        <v>85</v>
      </c>
      <c r="X145" s="42">
        <v>26.885300000000001</v>
      </c>
      <c r="Y145" s="38">
        <f t="shared" si="43"/>
        <v>2285.2505000000001</v>
      </c>
      <c r="Z145" s="42">
        <v>150</v>
      </c>
      <c r="AA145" s="42">
        <v>26.885300000000001</v>
      </c>
      <c r="AB145" s="42">
        <f t="shared" si="45"/>
        <v>4032.7950000000001</v>
      </c>
      <c r="AD145" s="42"/>
      <c r="AE145" s="42"/>
      <c r="AF145" s="42">
        <v>1410</v>
      </c>
      <c r="AG145" s="42"/>
      <c r="AH145" s="42">
        <v>415</v>
      </c>
      <c r="AI145" s="42">
        <v>26.569700000000001</v>
      </c>
      <c r="AJ145" s="42">
        <f t="shared" si="50"/>
        <v>11026.425500000001</v>
      </c>
      <c r="AL145" s="42">
        <v>85</v>
      </c>
      <c r="AM145" s="42">
        <v>26.569700000000001</v>
      </c>
      <c r="AN145" s="42">
        <f t="shared" si="51"/>
        <v>2258.4245000000001</v>
      </c>
      <c r="AO145" s="44"/>
      <c r="AP145" s="42"/>
      <c r="AQ145" s="42"/>
      <c r="AR145" s="42"/>
      <c r="AU145" s="98"/>
      <c r="AV145" s="35"/>
      <c r="AW145" s="104"/>
      <c r="AX145" s="42"/>
      <c r="AY145" s="42"/>
      <c r="AZ145" s="42">
        <f t="shared" si="49"/>
        <v>0</v>
      </c>
      <c r="BA145" s="42"/>
      <c r="BB145" s="42"/>
      <c r="BC145" s="42"/>
      <c r="BD145" s="38">
        <f t="shared" si="56"/>
        <v>0</v>
      </c>
      <c r="BE145" s="42"/>
      <c r="BF145" s="42"/>
      <c r="BG145" s="42"/>
      <c r="BH145" s="38">
        <f t="shared" si="57"/>
        <v>0</v>
      </c>
      <c r="BI145" s="42"/>
      <c r="BJ145" s="42"/>
      <c r="BK145" s="42"/>
      <c r="BL145" s="38">
        <f t="shared" si="58"/>
        <v>0</v>
      </c>
      <c r="BM145" s="42"/>
      <c r="BN145" s="42"/>
      <c r="BO145" s="42"/>
      <c r="BP145" s="42"/>
      <c r="BR145" s="42">
        <f t="shared" si="59"/>
        <v>26793.235000000001</v>
      </c>
      <c r="BS145" s="43">
        <f t="shared" si="60"/>
        <v>1824.3289999999979</v>
      </c>
      <c r="BT145" s="42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  <c r="IM145" s="31"/>
      <c r="IN145" s="31"/>
      <c r="IO145" s="31"/>
      <c r="IP145" s="31"/>
      <c r="IQ145" s="31"/>
      <c r="IR145" s="31"/>
      <c r="IS145" s="31"/>
      <c r="IT145" s="31"/>
      <c r="IU145" s="31"/>
      <c r="IV145" s="31"/>
      <c r="IW145" s="31"/>
      <c r="IX145" s="31"/>
      <c r="IY145" s="31"/>
      <c r="IZ145" s="31"/>
      <c r="JA145" s="31"/>
      <c r="JB145" s="31"/>
      <c r="JC145" s="31"/>
      <c r="JD145" s="31"/>
      <c r="JE145" s="31"/>
      <c r="JF145" s="31"/>
      <c r="JG145" s="31"/>
      <c r="JH145" s="31"/>
      <c r="JI145" s="31"/>
      <c r="JJ145" s="31"/>
      <c r="JK145" s="31"/>
      <c r="JL145" s="31"/>
      <c r="JM145" s="31"/>
      <c r="JN145" s="31"/>
      <c r="JO145" s="31"/>
      <c r="JP145" s="31"/>
      <c r="JQ145" s="31"/>
      <c r="JR145" s="31"/>
      <c r="JS145" s="31"/>
      <c r="JT145" s="31"/>
      <c r="JU145" s="31"/>
      <c r="JV145" s="31"/>
      <c r="JW145" s="31"/>
      <c r="JX145" s="31"/>
      <c r="JY145" s="31"/>
      <c r="JZ145" s="31"/>
      <c r="KA145" s="31"/>
      <c r="KB145" s="31"/>
      <c r="KC145" s="31"/>
      <c r="KD145" s="31"/>
      <c r="KE145" s="31"/>
      <c r="KF145" s="31"/>
      <c r="KG145" s="31"/>
      <c r="KH145" s="31"/>
      <c r="KI145" s="31"/>
      <c r="KJ145" s="31"/>
      <c r="KK145" s="31"/>
      <c r="KL145" s="31"/>
      <c r="KM145" s="31"/>
      <c r="KN145" s="31"/>
      <c r="KO145" s="31"/>
      <c r="KP145" s="31"/>
      <c r="KQ145" s="31"/>
      <c r="KR145" s="31"/>
      <c r="KS145" s="31"/>
      <c r="KT145" s="31"/>
      <c r="KU145" s="31"/>
      <c r="KV145" s="31"/>
      <c r="KW145" s="31"/>
      <c r="KX145" s="31"/>
      <c r="KY145" s="31"/>
      <c r="KZ145" s="31"/>
      <c r="LA145" s="31"/>
      <c r="LB145" s="31"/>
      <c r="LC145" s="31"/>
      <c r="LD145" s="31"/>
      <c r="LE145" s="31"/>
      <c r="LF145" s="31"/>
      <c r="LG145" s="31"/>
      <c r="LH145" s="31"/>
      <c r="LI145" s="31"/>
      <c r="LJ145" s="31"/>
      <c r="LK145" s="31"/>
      <c r="LL145" s="31"/>
      <c r="LM145" s="31"/>
      <c r="LN145" s="31"/>
      <c r="LO145" s="31"/>
      <c r="LP145" s="31"/>
      <c r="LQ145" s="31"/>
      <c r="LR145" s="31"/>
      <c r="LS145" s="31"/>
      <c r="LT145" s="31"/>
      <c r="LU145" s="31"/>
      <c r="LV145" s="31"/>
      <c r="LW145" s="31"/>
      <c r="LX145" s="31"/>
      <c r="LY145" s="31"/>
      <c r="LZ145" s="31"/>
      <c r="MA145" s="31"/>
      <c r="MB145" s="31"/>
      <c r="MC145" s="31"/>
      <c r="MD145" s="31"/>
      <c r="ME145" s="31"/>
      <c r="MF145" s="31"/>
      <c r="MG145" s="31"/>
      <c r="MH145" s="31"/>
      <c r="MI145" s="31"/>
      <c r="MJ145" s="31"/>
      <c r="MK145" s="31"/>
      <c r="ML145" s="31"/>
      <c r="MM145" s="31"/>
      <c r="MN145" s="31"/>
      <c r="MO145" s="31"/>
      <c r="MP145" s="31"/>
      <c r="MQ145" s="31"/>
      <c r="MR145" s="31"/>
      <c r="MS145" s="31"/>
      <c r="MT145" s="31"/>
      <c r="MU145" s="31"/>
      <c r="MV145" s="31"/>
      <c r="MW145" s="31"/>
      <c r="MX145" s="31"/>
      <c r="MY145" s="31"/>
      <c r="MZ145" s="31"/>
      <c r="NA145" s="31"/>
      <c r="NB145" s="31"/>
      <c r="NC145" s="31"/>
      <c r="ND145" s="31"/>
      <c r="NE145" s="31"/>
      <c r="NF145" s="31"/>
      <c r="NG145" s="31"/>
      <c r="NH145" s="31"/>
      <c r="NI145" s="31"/>
      <c r="NJ145" s="31"/>
      <c r="NK145" s="31"/>
      <c r="NL145" s="31"/>
      <c r="NM145" s="31"/>
      <c r="NN145" s="31"/>
      <c r="NO145" s="31"/>
      <c r="NP145" s="31"/>
      <c r="NQ145" s="31"/>
      <c r="NR145" s="31"/>
      <c r="NS145" s="31"/>
      <c r="NT145" s="31"/>
      <c r="NU145" s="31"/>
      <c r="NV145" s="31"/>
      <c r="NW145" s="31"/>
      <c r="NX145" s="31"/>
      <c r="NY145" s="31"/>
      <c r="NZ145" s="31"/>
      <c r="OA145" s="31"/>
      <c r="OB145" s="31"/>
      <c r="OC145" s="31"/>
      <c r="OD145" s="31"/>
      <c r="OE145" s="31"/>
      <c r="OF145" s="31"/>
      <c r="OG145" s="31"/>
      <c r="OH145" s="31"/>
      <c r="OI145" s="31"/>
      <c r="OJ145" s="31"/>
      <c r="OK145" s="31"/>
      <c r="OL145" s="31"/>
      <c r="OM145" s="31"/>
      <c r="ON145" s="31"/>
      <c r="OO145" s="31"/>
      <c r="OP145" s="31"/>
      <c r="OQ145" s="31"/>
      <c r="OR145" s="31"/>
      <c r="OS145" s="31"/>
      <c r="OT145" s="31"/>
      <c r="OU145" s="31"/>
      <c r="OV145" s="31"/>
      <c r="OW145" s="31"/>
      <c r="OX145" s="31"/>
    </row>
    <row r="146" spans="2:414" s="25" customFormat="1" ht="15.6">
      <c r="B146" s="25" t="s">
        <v>557</v>
      </c>
      <c r="C146" s="27" t="s">
        <v>163</v>
      </c>
      <c r="D146" s="30" t="s">
        <v>201</v>
      </c>
      <c r="G146" s="42">
        <v>500</v>
      </c>
      <c r="H146" s="89">
        <v>26.109000000000002</v>
      </c>
      <c r="I146" s="38">
        <f t="shared" si="52"/>
        <v>13054.5</v>
      </c>
      <c r="K146" s="42">
        <v>500</v>
      </c>
      <c r="L146" s="90">
        <v>26.849599999999999</v>
      </c>
      <c r="M146" s="38">
        <f t="shared" si="53"/>
        <v>13424.8</v>
      </c>
      <c r="O146" s="38">
        <v>80</v>
      </c>
      <c r="P146" s="38">
        <v>26.728300000000001</v>
      </c>
      <c r="Q146" s="38">
        <f t="shared" si="54"/>
        <v>2138.2640000000001</v>
      </c>
      <c r="R146" s="43">
        <f t="shared" si="61"/>
        <v>1080</v>
      </c>
      <c r="S146" s="38">
        <f t="shared" si="55"/>
        <v>28617.563999999998</v>
      </c>
      <c r="T146" s="49">
        <v>415</v>
      </c>
      <c r="U146" s="42">
        <v>26.952500000000001</v>
      </c>
      <c r="V146" s="38">
        <f t="shared" si="44"/>
        <v>11185.2875</v>
      </c>
      <c r="W146" s="42">
        <v>85</v>
      </c>
      <c r="X146" s="42">
        <v>26.952500000000001</v>
      </c>
      <c r="Y146" s="38">
        <f t="shared" si="43"/>
        <v>2290.9625000000001</v>
      </c>
      <c r="Z146" s="42">
        <v>420</v>
      </c>
      <c r="AA146" s="42">
        <v>26.7103</v>
      </c>
      <c r="AB146" s="42">
        <f t="shared" si="45"/>
        <v>11218.326000000001</v>
      </c>
      <c r="AD146" s="42">
        <v>85</v>
      </c>
      <c r="AE146" s="42">
        <v>26.7103</v>
      </c>
      <c r="AF146" s="42">
        <f>AD146*AE146</f>
        <v>2270.3755000000001</v>
      </c>
      <c r="AG146" s="42"/>
      <c r="AH146" s="42"/>
      <c r="AI146" s="42"/>
      <c r="AJ146" s="42">
        <f t="shared" si="50"/>
        <v>0</v>
      </c>
      <c r="AL146" s="42"/>
      <c r="AM146" s="42"/>
      <c r="AN146" s="42">
        <f t="shared" si="51"/>
        <v>0</v>
      </c>
      <c r="AO146" s="44"/>
      <c r="AP146" s="42"/>
      <c r="AQ146" s="42"/>
      <c r="AR146" s="42"/>
      <c r="AU146" s="98"/>
      <c r="AV146" s="35"/>
      <c r="AW146" s="104"/>
      <c r="AX146" s="42"/>
      <c r="AY146" s="42"/>
      <c r="AZ146" s="42">
        <f t="shared" si="49"/>
        <v>0</v>
      </c>
      <c r="BA146" s="42"/>
      <c r="BB146" s="42"/>
      <c r="BC146" s="42"/>
      <c r="BD146" s="38">
        <f t="shared" si="56"/>
        <v>0</v>
      </c>
      <c r="BE146" s="42"/>
      <c r="BF146" s="42"/>
      <c r="BG146" s="42"/>
      <c r="BH146" s="38">
        <f t="shared" si="57"/>
        <v>0</v>
      </c>
      <c r="BI146" s="42"/>
      <c r="BJ146" s="42"/>
      <c r="BK146" s="42"/>
      <c r="BL146" s="38">
        <f t="shared" si="58"/>
        <v>0</v>
      </c>
      <c r="BM146" s="42"/>
      <c r="BN146" s="42"/>
      <c r="BO146" s="42"/>
      <c r="BP146" s="42"/>
      <c r="BR146" s="42">
        <f t="shared" si="59"/>
        <v>26964.951500000003</v>
      </c>
      <c r="BS146" s="43">
        <f t="shared" si="60"/>
        <v>1652.6124999999956</v>
      </c>
      <c r="BT146" s="42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  <c r="IM146" s="31"/>
      <c r="IN146" s="31"/>
      <c r="IO146" s="31"/>
      <c r="IP146" s="31"/>
      <c r="IQ146" s="31"/>
      <c r="IR146" s="31"/>
      <c r="IS146" s="31"/>
      <c r="IT146" s="31"/>
      <c r="IU146" s="31"/>
      <c r="IV146" s="31"/>
      <c r="IW146" s="31"/>
      <c r="IX146" s="31"/>
      <c r="IY146" s="31"/>
      <c r="IZ146" s="31"/>
      <c r="JA146" s="31"/>
      <c r="JB146" s="31"/>
      <c r="JC146" s="31"/>
      <c r="JD146" s="31"/>
      <c r="JE146" s="31"/>
      <c r="JF146" s="31"/>
      <c r="JG146" s="31"/>
      <c r="JH146" s="31"/>
      <c r="JI146" s="31"/>
      <c r="JJ146" s="31"/>
      <c r="JK146" s="31"/>
      <c r="JL146" s="31"/>
      <c r="JM146" s="31"/>
      <c r="JN146" s="31"/>
      <c r="JO146" s="31"/>
      <c r="JP146" s="31"/>
      <c r="JQ146" s="31"/>
      <c r="JR146" s="31"/>
      <c r="JS146" s="31"/>
      <c r="JT146" s="31"/>
      <c r="JU146" s="31"/>
      <c r="JV146" s="31"/>
      <c r="JW146" s="31"/>
      <c r="JX146" s="31"/>
      <c r="JY146" s="31"/>
      <c r="JZ146" s="31"/>
      <c r="KA146" s="31"/>
      <c r="KB146" s="31"/>
      <c r="KC146" s="31"/>
      <c r="KD146" s="31"/>
      <c r="KE146" s="31"/>
      <c r="KF146" s="31"/>
      <c r="KG146" s="31"/>
      <c r="KH146" s="31"/>
      <c r="KI146" s="31"/>
      <c r="KJ146" s="31"/>
      <c r="KK146" s="31"/>
      <c r="KL146" s="31"/>
      <c r="KM146" s="31"/>
      <c r="KN146" s="31"/>
      <c r="KO146" s="31"/>
      <c r="KP146" s="31"/>
      <c r="KQ146" s="31"/>
      <c r="KR146" s="31"/>
      <c r="KS146" s="31"/>
      <c r="KT146" s="31"/>
      <c r="KU146" s="31"/>
      <c r="KV146" s="31"/>
      <c r="KW146" s="31"/>
      <c r="KX146" s="31"/>
      <c r="KY146" s="31"/>
      <c r="KZ146" s="31"/>
      <c r="LA146" s="31"/>
      <c r="LB146" s="31"/>
      <c r="LC146" s="31"/>
      <c r="LD146" s="31"/>
      <c r="LE146" s="31"/>
      <c r="LF146" s="31"/>
      <c r="LG146" s="31"/>
      <c r="LH146" s="31"/>
      <c r="LI146" s="31"/>
      <c r="LJ146" s="31"/>
      <c r="LK146" s="31"/>
      <c r="LL146" s="31"/>
      <c r="LM146" s="31"/>
      <c r="LN146" s="31"/>
      <c r="LO146" s="31"/>
      <c r="LP146" s="31"/>
      <c r="LQ146" s="31"/>
      <c r="LR146" s="31"/>
      <c r="LS146" s="31"/>
      <c r="LT146" s="31"/>
      <c r="LU146" s="31"/>
      <c r="LV146" s="31"/>
      <c r="LW146" s="31"/>
      <c r="LX146" s="31"/>
      <c r="LY146" s="31"/>
      <c r="LZ146" s="31"/>
      <c r="MA146" s="31"/>
      <c r="MB146" s="31"/>
      <c r="MC146" s="31"/>
      <c r="MD146" s="31"/>
      <c r="ME146" s="31"/>
      <c r="MF146" s="31"/>
      <c r="MG146" s="31"/>
      <c r="MH146" s="31"/>
      <c r="MI146" s="31"/>
      <c r="MJ146" s="31"/>
      <c r="MK146" s="31"/>
      <c r="ML146" s="31"/>
      <c r="MM146" s="31"/>
      <c r="MN146" s="31"/>
      <c r="MO146" s="31"/>
      <c r="MP146" s="31"/>
      <c r="MQ146" s="31"/>
      <c r="MR146" s="31"/>
      <c r="MS146" s="31"/>
      <c r="MT146" s="31"/>
      <c r="MU146" s="31"/>
      <c r="MV146" s="31"/>
      <c r="MW146" s="31"/>
      <c r="MX146" s="31"/>
      <c r="MY146" s="31"/>
      <c r="MZ146" s="31"/>
      <c r="NA146" s="31"/>
      <c r="NB146" s="31"/>
      <c r="NC146" s="31"/>
      <c r="ND146" s="31"/>
      <c r="NE146" s="31"/>
      <c r="NF146" s="31"/>
      <c r="NG146" s="31"/>
      <c r="NH146" s="31"/>
      <c r="NI146" s="31"/>
      <c r="NJ146" s="31"/>
      <c r="NK146" s="31"/>
      <c r="NL146" s="31"/>
      <c r="NM146" s="31"/>
      <c r="NN146" s="31"/>
      <c r="NO146" s="31"/>
      <c r="NP146" s="31"/>
      <c r="NQ146" s="31"/>
      <c r="NR146" s="31"/>
      <c r="NS146" s="31"/>
      <c r="NT146" s="31"/>
      <c r="NU146" s="31"/>
      <c r="NV146" s="31"/>
      <c r="NW146" s="31"/>
      <c r="NX146" s="31"/>
      <c r="NY146" s="31"/>
      <c r="NZ146" s="31"/>
      <c r="OA146" s="31"/>
      <c r="OB146" s="31"/>
      <c r="OC146" s="31"/>
      <c r="OD146" s="31"/>
      <c r="OE146" s="31"/>
      <c r="OF146" s="31"/>
      <c r="OG146" s="31"/>
      <c r="OH146" s="31"/>
      <c r="OI146" s="31"/>
      <c r="OJ146" s="31"/>
      <c r="OK146" s="31"/>
      <c r="OL146" s="31"/>
      <c r="OM146" s="31"/>
      <c r="ON146" s="31"/>
      <c r="OO146" s="31"/>
      <c r="OP146" s="31"/>
      <c r="OQ146" s="31"/>
      <c r="OR146" s="31"/>
      <c r="OS146" s="31"/>
      <c r="OT146" s="31"/>
      <c r="OU146" s="31"/>
      <c r="OV146" s="31"/>
      <c r="OW146" s="31"/>
      <c r="OX146" s="31"/>
    </row>
    <row r="147" spans="2:414" s="25" customFormat="1" ht="15.6">
      <c r="B147" s="25" t="s">
        <v>541</v>
      </c>
      <c r="C147" s="27" t="s">
        <v>19</v>
      </c>
      <c r="D147" s="30" t="s">
        <v>201</v>
      </c>
      <c r="G147" s="42">
        <v>500</v>
      </c>
      <c r="H147" s="89">
        <v>26.109000000000002</v>
      </c>
      <c r="I147" s="38">
        <f t="shared" si="52"/>
        <v>13054.5</v>
      </c>
      <c r="K147" s="42">
        <v>500</v>
      </c>
      <c r="L147" s="90">
        <v>26.849599999999999</v>
      </c>
      <c r="M147" s="38">
        <f t="shared" si="53"/>
        <v>13424.8</v>
      </c>
      <c r="O147" s="38">
        <v>80</v>
      </c>
      <c r="P147" s="38">
        <v>26.728300000000001</v>
      </c>
      <c r="Q147" s="38">
        <f t="shared" si="54"/>
        <v>2138.2640000000001</v>
      </c>
      <c r="R147" s="43">
        <f t="shared" si="61"/>
        <v>1080</v>
      </c>
      <c r="S147" s="38">
        <f t="shared" si="55"/>
        <v>28617.563999999998</v>
      </c>
      <c r="T147" s="49">
        <v>415</v>
      </c>
      <c r="U147" s="42">
        <v>26.555099999999999</v>
      </c>
      <c r="V147" s="38">
        <f t="shared" si="44"/>
        <v>11020.3665</v>
      </c>
      <c r="W147" s="42">
        <v>85</v>
      </c>
      <c r="X147" s="42">
        <v>26.555099999999999</v>
      </c>
      <c r="Y147" s="38">
        <f t="shared" si="43"/>
        <v>2257.1835000000001</v>
      </c>
      <c r="Z147" s="42">
        <v>415</v>
      </c>
      <c r="AA147" s="42">
        <v>26.390799999999999</v>
      </c>
      <c r="AB147" s="42">
        <f t="shared" si="45"/>
        <v>10952.181999999999</v>
      </c>
      <c r="AD147" s="42">
        <v>85</v>
      </c>
      <c r="AE147" s="42">
        <v>26.390799999999999</v>
      </c>
      <c r="AF147" s="42">
        <f t="shared" ref="AF147:AF175" si="62">AD147*AE147</f>
        <v>2243.2179999999998</v>
      </c>
      <c r="AG147" s="42"/>
      <c r="AH147" s="42"/>
      <c r="AI147" s="42"/>
      <c r="AJ147" s="42">
        <f t="shared" si="50"/>
        <v>0</v>
      </c>
      <c r="AL147" s="42"/>
      <c r="AM147" s="42"/>
      <c r="AN147" s="42">
        <f t="shared" si="51"/>
        <v>0</v>
      </c>
      <c r="AO147" s="44"/>
      <c r="AP147" s="42"/>
      <c r="AQ147" s="42"/>
      <c r="AR147" s="42"/>
      <c r="AU147" s="98"/>
      <c r="AV147" s="35"/>
      <c r="AW147" s="104"/>
      <c r="AX147" s="42"/>
      <c r="AY147" s="42"/>
      <c r="AZ147" s="42">
        <f t="shared" si="49"/>
        <v>0</v>
      </c>
      <c r="BA147" s="42"/>
      <c r="BB147" s="42"/>
      <c r="BC147" s="42"/>
      <c r="BD147" s="38">
        <f t="shared" si="56"/>
        <v>0</v>
      </c>
      <c r="BE147" s="42"/>
      <c r="BF147" s="42"/>
      <c r="BG147" s="42"/>
      <c r="BH147" s="38">
        <f t="shared" si="57"/>
        <v>0</v>
      </c>
      <c r="BI147" s="42"/>
      <c r="BJ147" s="42"/>
      <c r="BK147" s="42"/>
      <c r="BL147" s="38">
        <f t="shared" si="58"/>
        <v>0</v>
      </c>
      <c r="BM147" s="42"/>
      <c r="BN147" s="42"/>
      <c r="BO147" s="42"/>
      <c r="BP147" s="42"/>
      <c r="BR147" s="42">
        <f t="shared" si="59"/>
        <v>26472.949999999997</v>
      </c>
      <c r="BS147" s="43">
        <f t="shared" si="60"/>
        <v>2144.6140000000014</v>
      </c>
      <c r="BT147" s="42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  <c r="JH147" s="31"/>
      <c r="JI147" s="31"/>
      <c r="JJ147" s="31"/>
      <c r="JK147" s="31"/>
      <c r="JL147" s="31"/>
      <c r="JM147" s="31"/>
      <c r="JN147" s="31"/>
      <c r="JO147" s="31"/>
      <c r="JP147" s="31"/>
      <c r="JQ147" s="31"/>
      <c r="JR147" s="31"/>
      <c r="JS147" s="31"/>
      <c r="JT147" s="31"/>
      <c r="JU147" s="31"/>
      <c r="JV147" s="31"/>
      <c r="JW147" s="31"/>
      <c r="JX147" s="31"/>
      <c r="JY147" s="31"/>
      <c r="JZ147" s="31"/>
      <c r="KA147" s="31"/>
      <c r="KB147" s="31"/>
      <c r="KC147" s="31"/>
      <c r="KD147" s="31"/>
      <c r="KE147" s="31"/>
      <c r="KF147" s="31"/>
      <c r="KG147" s="31"/>
      <c r="KH147" s="31"/>
      <c r="KI147" s="31"/>
      <c r="KJ147" s="31"/>
      <c r="KK147" s="31"/>
      <c r="KL147" s="31"/>
      <c r="KM147" s="31"/>
      <c r="KN147" s="31"/>
      <c r="KO147" s="31"/>
      <c r="KP147" s="31"/>
      <c r="KQ147" s="31"/>
      <c r="KR147" s="31"/>
      <c r="KS147" s="31"/>
      <c r="KT147" s="31"/>
      <c r="KU147" s="31"/>
      <c r="KV147" s="31"/>
      <c r="KW147" s="31"/>
      <c r="KX147" s="31"/>
      <c r="KY147" s="31"/>
      <c r="KZ147" s="31"/>
      <c r="LA147" s="31"/>
      <c r="LB147" s="31"/>
      <c r="LC147" s="31"/>
      <c r="LD147" s="31"/>
      <c r="LE147" s="31"/>
      <c r="LF147" s="31"/>
      <c r="LG147" s="31"/>
      <c r="LH147" s="31"/>
      <c r="LI147" s="31"/>
      <c r="LJ147" s="31"/>
      <c r="LK147" s="31"/>
      <c r="LL147" s="31"/>
      <c r="LM147" s="31"/>
      <c r="LN147" s="31"/>
      <c r="LO147" s="31"/>
      <c r="LP147" s="31"/>
      <c r="LQ147" s="31"/>
      <c r="LR147" s="31"/>
      <c r="LS147" s="31"/>
      <c r="LT147" s="31"/>
      <c r="LU147" s="31"/>
      <c r="LV147" s="31"/>
      <c r="LW147" s="31"/>
      <c r="LX147" s="31"/>
      <c r="LY147" s="31"/>
      <c r="LZ147" s="31"/>
      <c r="MA147" s="31"/>
      <c r="MB147" s="31"/>
      <c r="MC147" s="31"/>
      <c r="MD147" s="31"/>
      <c r="ME147" s="31"/>
      <c r="MF147" s="31"/>
      <c r="MG147" s="31"/>
      <c r="MH147" s="31"/>
      <c r="MI147" s="31"/>
      <c r="MJ147" s="31"/>
      <c r="MK147" s="31"/>
      <c r="ML147" s="31"/>
      <c r="MM147" s="31"/>
      <c r="MN147" s="31"/>
      <c r="MO147" s="31"/>
      <c r="MP147" s="31"/>
      <c r="MQ147" s="31"/>
      <c r="MR147" s="31"/>
      <c r="MS147" s="31"/>
      <c r="MT147" s="31"/>
      <c r="MU147" s="31"/>
      <c r="MV147" s="31"/>
      <c r="MW147" s="31"/>
      <c r="MX147" s="31"/>
      <c r="MY147" s="31"/>
      <c r="MZ147" s="31"/>
      <c r="NA147" s="31"/>
      <c r="NB147" s="31"/>
      <c r="NC147" s="31"/>
      <c r="ND147" s="31"/>
      <c r="NE147" s="31"/>
      <c r="NF147" s="31"/>
      <c r="NG147" s="31"/>
      <c r="NH147" s="31"/>
      <c r="NI147" s="31"/>
      <c r="NJ147" s="31"/>
      <c r="NK147" s="31"/>
      <c r="NL147" s="31"/>
      <c r="NM147" s="31"/>
      <c r="NN147" s="31"/>
      <c r="NO147" s="31"/>
      <c r="NP147" s="31"/>
      <c r="NQ147" s="31"/>
      <c r="NR147" s="31"/>
      <c r="NS147" s="31"/>
      <c r="NT147" s="31"/>
      <c r="NU147" s="31"/>
      <c r="NV147" s="31"/>
      <c r="NW147" s="31"/>
      <c r="NX147" s="31"/>
      <c r="NY147" s="31"/>
      <c r="NZ147" s="31"/>
      <c r="OA147" s="31"/>
      <c r="OB147" s="31"/>
      <c r="OC147" s="31"/>
      <c r="OD147" s="31"/>
      <c r="OE147" s="31"/>
      <c r="OF147" s="31"/>
      <c r="OG147" s="31"/>
      <c r="OH147" s="31"/>
      <c r="OI147" s="31"/>
      <c r="OJ147" s="31"/>
      <c r="OK147" s="31"/>
      <c r="OL147" s="31"/>
      <c r="OM147" s="31"/>
      <c r="ON147" s="31"/>
      <c r="OO147" s="31"/>
      <c r="OP147" s="31"/>
      <c r="OQ147" s="31"/>
      <c r="OR147" s="31"/>
      <c r="OS147" s="31"/>
      <c r="OT147" s="31"/>
      <c r="OU147" s="31"/>
      <c r="OV147" s="31"/>
      <c r="OW147" s="31"/>
      <c r="OX147" s="31"/>
    </row>
    <row r="148" spans="2:414" s="25" customFormat="1" ht="15.6">
      <c r="B148" s="25" t="s">
        <v>224</v>
      </c>
      <c r="C148" s="27" t="s">
        <v>157</v>
      </c>
      <c r="D148" s="30" t="s">
        <v>201</v>
      </c>
      <c r="G148" s="42">
        <v>500</v>
      </c>
      <c r="H148" s="89">
        <v>26.109000000000002</v>
      </c>
      <c r="I148" s="38">
        <f t="shared" si="52"/>
        <v>13054.5</v>
      </c>
      <c r="K148" s="42">
        <v>500</v>
      </c>
      <c r="L148" s="90">
        <v>26.849599999999999</v>
      </c>
      <c r="M148" s="38">
        <f t="shared" si="53"/>
        <v>13424.8</v>
      </c>
      <c r="O148" s="38">
        <v>80</v>
      </c>
      <c r="P148" s="38">
        <v>26.728300000000001</v>
      </c>
      <c r="Q148" s="38">
        <f t="shared" si="54"/>
        <v>2138.2640000000001</v>
      </c>
      <c r="R148" s="43">
        <f t="shared" si="61"/>
        <v>1080</v>
      </c>
      <c r="S148" s="38">
        <f t="shared" si="55"/>
        <v>28617.563999999998</v>
      </c>
      <c r="T148" s="49">
        <v>385</v>
      </c>
      <c r="U148" s="42">
        <v>26.883199999999999</v>
      </c>
      <c r="V148" s="38">
        <f t="shared" si="44"/>
        <v>10350.031999999999</v>
      </c>
      <c r="W148" s="42">
        <v>85</v>
      </c>
      <c r="X148" s="42">
        <v>26.883199999999999</v>
      </c>
      <c r="Y148" s="38">
        <f t="shared" si="43"/>
        <v>2285.0719999999997</v>
      </c>
      <c r="Z148" s="42">
        <v>30</v>
      </c>
      <c r="AA148" s="42">
        <v>26.674900000000001</v>
      </c>
      <c r="AB148" s="42">
        <f t="shared" si="45"/>
        <v>800.24700000000007</v>
      </c>
      <c r="AD148" s="42">
        <v>100</v>
      </c>
      <c r="AE148" s="42">
        <v>26.890499999999999</v>
      </c>
      <c r="AF148" s="42">
        <f t="shared" si="62"/>
        <v>2689.0499999999997</v>
      </c>
      <c r="AG148" s="42"/>
      <c r="AH148" s="42">
        <v>115</v>
      </c>
      <c r="AI148" s="42">
        <v>26.9023</v>
      </c>
      <c r="AJ148" s="42">
        <f t="shared" si="50"/>
        <v>3093.7645000000002</v>
      </c>
      <c r="AL148" s="42">
        <v>85</v>
      </c>
      <c r="AM148" s="42">
        <v>26.9023</v>
      </c>
      <c r="AN148" s="42">
        <f t="shared" si="51"/>
        <v>2286.6954999999998</v>
      </c>
      <c r="AO148" s="44"/>
      <c r="AP148" s="42"/>
      <c r="AQ148" s="42"/>
      <c r="AR148" s="42"/>
      <c r="AU148" s="98"/>
      <c r="AV148" s="35"/>
      <c r="AW148" s="104"/>
      <c r="AX148" s="42"/>
      <c r="AY148" s="42"/>
      <c r="AZ148" s="42">
        <f t="shared" si="49"/>
        <v>0</v>
      </c>
      <c r="BA148" s="42"/>
      <c r="BB148" s="42"/>
      <c r="BC148" s="42"/>
      <c r="BD148" s="38">
        <f t="shared" si="56"/>
        <v>0</v>
      </c>
      <c r="BE148" s="42"/>
      <c r="BF148" s="42"/>
      <c r="BG148" s="42"/>
      <c r="BH148" s="38">
        <f t="shared" si="57"/>
        <v>0</v>
      </c>
      <c r="BI148" s="42"/>
      <c r="BJ148" s="42"/>
      <c r="BK148" s="42"/>
      <c r="BL148" s="38">
        <f t="shared" si="58"/>
        <v>0</v>
      </c>
      <c r="BM148" s="42"/>
      <c r="BN148" s="42"/>
      <c r="BO148" s="42"/>
      <c r="BP148" s="42"/>
      <c r="BR148" s="42">
        <f t="shared" si="59"/>
        <v>21504.860999999997</v>
      </c>
      <c r="BS148" s="43">
        <f t="shared" si="60"/>
        <v>7112.7030000000013</v>
      </c>
      <c r="BT148" s="42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  <c r="IM148" s="31"/>
      <c r="IN148" s="31"/>
      <c r="IO148" s="31"/>
      <c r="IP148" s="31"/>
      <c r="IQ148" s="31"/>
      <c r="IR148" s="31"/>
      <c r="IS148" s="31"/>
      <c r="IT148" s="31"/>
      <c r="IU148" s="31"/>
      <c r="IV148" s="31"/>
      <c r="IW148" s="31"/>
      <c r="IX148" s="31"/>
      <c r="IY148" s="31"/>
      <c r="IZ148" s="31"/>
      <c r="JA148" s="31"/>
      <c r="JB148" s="31"/>
      <c r="JC148" s="31"/>
      <c r="JD148" s="31"/>
      <c r="JE148" s="31"/>
      <c r="JF148" s="31"/>
      <c r="JG148" s="31"/>
      <c r="JH148" s="31"/>
      <c r="JI148" s="31"/>
      <c r="JJ148" s="31"/>
      <c r="JK148" s="31"/>
      <c r="JL148" s="31"/>
      <c r="JM148" s="31"/>
      <c r="JN148" s="31"/>
      <c r="JO148" s="31"/>
      <c r="JP148" s="31"/>
      <c r="JQ148" s="31"/>
      <c r="JR148" s="31"/>
      <c r="JS148" s="31"/>
      <c r="JT148" s="31"/>
      <c r="JU148" s="31"/>
      <c r="JV148" s="31"/>
      <c r="JW148" s="31"/>
      <c r="JX148" s="31"/>
      <c r="JY148" s="31"/>
      <c r="JZ148" s="31"/>
      <c r="KA148" s="31"/>
      <c r="KB148" s="31"/>
      <c r="KC148" s="31"/>
      <c r="KD148" s="31"/>
      <c r="KE148" s="31"/>
      <c r="KF148" s="31"/>
      <c r="KG148" s="31"/>
      <c r="KH148" s="31"/>
      <c r="KI148" s="31"/>
      <c r="KJ148" s="31"/>
      <c r="KK148" s="31"/>
      <c r="KL148" s="31"/>
      <c r="KM148" s="31"/>
      <c r="KN148" s="31"/>
      <c r="KO148" s="31"/>
      <c r="KP148" s="31"/>
      <c r="KQ148" s="31"/>
      <c r="KR148" s="31"/>
      <c r="KS148" s="31"/>
      <c r="KT148" s="31"/>
      <c r="KU148" s="31"/>
      <c r="KV148" s="31"/>
      <c r="KW148" s="31"/>
      <c r="KX148" s="31"/>
      <c r="KY148" s="31"/>
      <c r="KZ148" s="31"/>
      <c r="LA148" s="31"/>
      <c r="LB148" s="31"/>
      <c r="LC148" s="31"/>
      <c r="LD148" s="31"/>
      <c r="LE148" s="31"/>
      <c r="LF148" s="31"/>
      <c r="LG148" s="31"/>
      <c r="LH148" s="31"/>
      <c r="LI148" s="31"/>
      <c r="LJ148" s="31"/>
      <c r="LK148" s="31"/>
      <c r="LL148" s="31"/>
      <c r="LM148" s="31"/>
      <c r="LN148" s="31"/>
      <c r="LO148" s="31"/>
      <c r="LP148" s="31"/>
      <c r="LQ148" s="31"/>
      <c r="LR148" s="31"/>
      <c r="LS148" s="31"/>
      <c r="LT148" s="31"/>
      <c r="LU148" s="31"/>
      <c r="LV148" s="31"/>
      <c r="LW148" s="31"/>
      <c r="LX148" s="31"/>
      <c r="LY148" s="31"/>
      <c r="LZ148" s="31"/>
      <c r="MA148" s="31"/>
      <c r="MB148" s="31"/>
      <c r="MC148" s="31"/>
      <c r="MD148" s="31"/>
      <c r="ME148" s="31"/>
      <c r="MF148" s="31"/>
      <c r="MG148" s="31"/>
      <c r="MH148" s="31"/>
      <c r="MI148" s="31"/>
      <c r="MJ148" s="31"/>
      <c r="MK148" s="31"/>
      <c r="ML148" s="31"/>
      <c r="MM148" s="31"/>
      <c r="MN148" s="31"/>
      <c r="MO148" s="31"/>
      <c r="MP148" s="31"/>
      <c r="MQ148" s="31"/>
      <c r="MR148" s="31"/>
      <c r="MS148" s="31"/>
      <c r="MT148" s="31"/>
      <c r="MU148" s="31"/>
      <c r="MV148" s="31"/>
      <c r="MW148" s="31"/>
      <c r="MX148" s="31"/>
      <c r="MY148" s="31"/>
      <c r="MZ148" s="31"/>
      <c r="NA148" s="31"/>
      <c r="NB148" s="31"/>
      <c r="NC148" s="31"/>
      <c r="ND148" s="31"/>
      <c r="NE148" s="31"/>
      <c r="NF148" s="31"/>
      <c r="NG148" s="31"/>
      <c r="NH148" s="31"/>
      <c r="NI148" s="31"/>
      <c r="NJ148" s="31"/>
      <c r="NK148" s="31"/>
      <c r="NL148" s="31"/>
      <c r="NM148" s="31"/>
      <c r="NN148" s="31"/>
      <c r="NO148" s="31"/>
      <c r="NP148" s="31"/>
      <c r="NQ148" s="31"/>
      <c r="NR148" s="31"/>
      <c r="NS148" s="31"/>
      <c r="NT148" s="31"/>
      <c r="NU148" s="31"/>
      <c r="NV148" s="31"/>
      <c r="NW148" s="31"/>
      <c r="NX148" s="31"/>
      <c r="NY148" s="31"/>
      <c r="NZ148" s="31"/>
      <c r="OA148" s="31"/>
      <c r="OB148" s="31"/>
      <c r="OC148" s="31"/>
      <c r="OD148" s="31"/>
      <c r="OE148" s="31"/>
      <c r="OF148" s="31"/>
      <c r="OG148" s="31"/>
      <c r="OH148" s="31"/>
      <c r="OI148" s="31"/>
      <c r="OJ148" s="31"/>
      <c r="OK148" s="31"/>
      <c r="OL148" s="31"/>
      <c r="OM148" s="31"/>
      <c r="ON148" s="31"/>
      <c r="OO148" s="31"/>
      <c r="OP148" s="31"/>
      <c r="OQ148" s="31"/>
      <c r="OR148" s="31"/>
      <c r="OS148" s="31"/>
      <c r="OT148" s="31"/>
      <c r="OU148" s="31"/>
      <c r="OV148" s="31"/>
      <c r="OW148" s="31"/>
      <c r="OX148" s="31"/>
    </row>
    <row r="149" spans="2:414" s="25" customFormat="1" ht="15.6">
      <c r="B149" s="25" t="s">
        <v>225</v>
      </c>
      <c r="C149" s="27" t="s">
        <v>148</v>
      </c>
      <c r="D149" s="30" t="s">
        <v>201</v>
      </c>
      <c r="G149" s="42">
        <v>500</v>
      </c>
      <c r="H149" s="89">
        <v>26.109000000000002</v>
      </c>
      <c r="I149" s="38">
        <f t="shared" si="52"/>
        <v>13054.5</v>
      </c>
      <c r="K149" s="42">
        <v>500</v>
      </c>
      <c r="L149" s="90">
        <v>26.849599999999999</v>
      </c>
      <c r="M149" s="38">
        <f t="shared" si="53"/>
        <v>13424.8</v>
      </c>
      <c r="O149" s="38">
        <v>80</v>
      </c>
      <c r="P149" s="38">
        <v>26.728300000000001</v>
      </c>
      <c r="Q149" s="38">
        <f t="shared" si="54"/>
        <v>2138.2640000000001</v>
      </c>
      <c r="R149" s="43">
        <f t="shared" si="61"/>
        <v>1080</v>
      </c>
      <c r="S149" s="38">
        <f t="shared" si="55"/>
        <v>28617.563999999998</v>
      </c>
      <c r="T149" s="49">
        <v>300</v>
      </c>
      <c r="U149" s="42">
        <v>26.150300000000001</v>
      </c>
      <c r="V149" s="38">
        <f t="shared" si="44"/>
        <v>7845.09</v>
      </c>
      <c r="W149" s="42">
        <v>85</v>
      </c>
      <c r="X149" s="42">
        <v>26.150300000000001</v>
      </c>
      <c r="Y149" s="38">
        <f t="shared" si="43"/>
        <v>2222.7755000000002</v>
      </c>
      <c r="Z149" s="42">
        <v>83</v>
      </c>
      <c r="AA149" s="42">
        <v>26.3461</v>
      </c>
      <c r="AB149" s="42">
        <f t="shared" si="45"/>
        <v>2186.7262999999998</v>
      </c>
      <c r="AD149" s="42">
        <v>32</v>
      </c>
      <c r="AE149" s="42">
        <v>26.3461</v>
      </c>
      <c r="AF149" s="42">
        <f t="shared" si="62"/>
        <v>843.0752</v>
      </c>
      <c r="AG149" s="42"/>
      <c r="AH149" s="42">
        <v>85</v>
      </c>
      <c r="AI149" s="42">
        <v>26.803799999999999</v>
      </c>
      <c r="AJ149" s="42">
        <f t="shared" si="50"/>
        <v>2278.3229999999999</v>
      </c>
      <c r="AL149" s="42">
        <v>335</v>
      </c>
      <c r="AM149" s="42">
        <v>26.803799999999999</v>
      </c>
      <c r="AN149" s="42">
        <f t="shared" si="51"/>
        <v>8979.2729999999992</v>
      </c>
      <c r="AO149" s="44"/>
      <c r="AP149" s="42"/>
      <c r="AQ149" s="42"/>
      <c r="AR149" s="42">
        <v>2335</v>
      </c>
      <c r="AU149" s="98"/>
      <c r="AV149" s="35"/>
      <c r="AW149" s="104"/>
      <c r="AX149" s="42"/>
      <c r="AY149" s="42"/>
      <c r="AZ149" s="42">
        <f t="shared" si="49"/>
        <v>0</v>
      </c>
      <c r="BA149" s="42"/>
      <c r="BB149" s="42"/>
      <c r="BC149" s="42"/>
      <c r="BD149" s="38">
        <f t="shared" si="56"/>
        <v>0</v>
      </c>
      <c r="BE149" s="42"/>
      <c r="BF149" s="42"/>
      <c r="BG149" s="42"/>
      <c r="BH149" s="38">
        <f t="shared" si="57"/>
        <v>0</v>
      </c>
      <c r="BI149" s="42"/>
      <c r="BJ149" s="42"/>
      <c r="BK149" s="42"/>
      <c r="BL149" s="38">
        <f t="shared" si="58"/>
        <v>0</v>
      </c>
      <c r="BM149" s="42"/>
      <c r="BN149" s="42"/>
      <c r="BO149" s="42"/>
      <c r="BP149" s="42"/>
      <c r="BR149" s="42">
        <f t="shared" si="59"/>
        <v>26690.262999999999</v>
      </c>
      <c r="BS149" s="43">
        <f t="shared" si="60"/>
        <v>1927.3009999999995</v>
      </c>
      <c r="BT149" s="42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  <c r="IM149" s="31"/>
      <c r="IN149" s="31"/>
      <c r="IO149" s="31"/>
      <c r="IP149" s="31"/>
      <c r="IQ149" s="31"/>
      <c r="IR149" s="31"/>
      <c r="IS149" s="31"/>
      <c r="IT149" s="31"/>
      <c r="IU149" s="31"/>
      <c r="IV149" s="31"/>
      <c r="IW149" s="31"/>
      <c r="IX149" s="31"/>
      <c r="IY149" s="31"/>
      <c r="IZ149" s="31"/>
      <c r="JA149" s="31"/>
      <c r="JB149" s="31"/>
      <c r="JC149" s="31"/>
      <c r="JD149" s="31"/>
      <c r="JE149" s="31"/>
      <c r="JF149" s="31"/>
      <c r="JG149" s="31"/>
      <c r="JH149" s="31"/>
      <c r="JI149" s="31"/>
      <c r="JJ149" s="31"/>
      <c r="JK149" s="31"/>
      <c r="JL149" s="31"/>
      <c r="JM149" s="31"/>
      <c r="JN149" s="31"/>
      <c r="JO149" s="31"/>
      <c r="JP149" s="31"/>
      <c r="JQ149" s="31"/>
      <c r="JR149" s="31"/>
      <c r="JS149" s="31"/>
      <c r="JT149" s="31"/>
      <c r="JU149" s="31"/>
      <c r="JV149" s="31"/>
      <c r="JW149" s="31"/>
      <c r="JX149" s="31"/>
      <c r="JY149" s="31"/>
      <c r="JZ149" s="31"/>
      <c r="KA149" s="31"/>
      <c r="KB149" s="31"/>
      <c r="KC149" s="31"/>
      <c r="KD149" s="31"/>
      <c r="KE149" s="31"/>
      <c r="KF149" s="31"/>
      <c r="KG149" s="31"/>
      <c r="KH149" s="31"/>
      <c r="KI149" s="31"/>
      <c r="KJ149" s="31"/>
      <c r="KK149" s="31"/>
      <c r="KL149" s="31"/>
      <c r="KM149" s="31"/>
      <c r="KN149" s="31"/>
      <c r="KO149" s="31"/>
      <c r="KP149" s="31"/>
      <c r="KQ149" s="31"/>
      <c r="KR149" s="31"/>
      <c r="KS149" s="31"/>
      <c r="KT149" s="31"/>
      <c r="KU149" s="31"/>
      <c r="KV149" s="31"/>
      <c r="KW149" s="31"/>
      <c r="KX149" s="31"/>
      <c r="KY149" s="31"/>
      <c r="KZ149" s="31"/>
      <c r="LA149" s="31"/>
      <c r="LB149" s="31"/>
      <c r="LC149" s="31"/>
      <c r="LD149" s="31"/>
      <c r="LE149" s="31"/>
      <c r="LF149" s="31"/>
      <c r="LG149" s="31"/>
      <c r="LH149" s="31"/>
      <c r="LI149" s="31"/>
      <c r="LJ149" s="31"/>
      <c r="LK149" s="31"/>
      <c r="LL149" s="31"/>
      <c r="LM149" s="31"/>
      <c r="LN149" s="31"/>
      <c r="LO149" s="31"/>
      <c r="LP149" s="31"/>
      <c r="LQ149" s="31"/>
      <c r="LR149" s="31"/>
      <c r="LS149" s="31"/>
      <c r="LT149" s="31"/>
      <c r="LU149" s="31"/>
      <c r="LV149" s="31"/>
      <c r="LW149" s="31"/>
      <c r="LX149" s="31"/>
      <c r="LY149" s="31"/>
      <c r="LZ149" s="31"/>
      <c r="MA149" s="31"/>
      <c r="MB149" s="31"/>
      <c r="MC149" s="31"/>
      <c r="MD149" s="31"/>
      <c r="ME149" s="31"/>
      <c r="MF149" s="31"/>
      <c r="MG149" s="31"/>
      <c r="MH149" s="31"/>
      <c r="MI149" s="31"/>
      <c r="MJ149" s="31"/>
      <c r="MK149" s="31"/>
      <c r="ML149" s="31"/>
      <c r="MM149" s="31"/>
      <c r="MN149" s="31"/>
      <c r="MO149" s="31"/>
      <c r="MP149" s="31"/>
      <c r="MQ149" s="31"/>
      <c r="MR149" s="31"/>
      <c r="MS149" s="31"/>
      <c r="MT149" s="31"/>
      <c r="MU149" s="31"/>
      <c r="MV149" s="31"/>
      <c r="MW149" s="31"/>
      <c r="MX149" s="31"/>
      <c r="MY149" s="31"/>
      <c r="MZ149" s="31"/>
      <c r="NA149" s="31"/>
      <c r="NB149" s="31"/>
      <c r="NC149" s="31"/>
      <c r="ND149" s="31"/>
      <c r="NE149" s="31"/>
      <c r="NF149" s="31"/>
      <c r="NG149" s="31"/>
      <c r="NH149" s="31"/>
      <c r="NI149" s="31"/>
      <c r="NJ149" s="31"/>
      <c r="NK149" s="31"/>
      <c r="NL149" s="31"/>
      <c r="NM149" s="31"/>
      <c r="NN149" s="31"/>
      <c r="NO149" s="31"/>
      <c r="NP149" s="31"/>
      <c r="NQ149" s="31"/>
      <c r="NR149" s="31"/>
      <c r="NS149" s="31"/>
      <c r="NT149" s="31"/>
      <c r="NU149" s="31"/>
      <c r="NV149" s="31"/>
      <c r="NW149" s="31"/>
      <c r="NX149" s="31"/>
      <c r="NY149" s="31"/>
      <c r="NZ149" s="31"/>
      <c r="OA149" s="31"/>
      <c r="OB149" s="31"/>
      <c r="OC149" s="31"/>
      <c r="OD149" s="31"/>
      <c r="OE149" s="31"/>
      <c r="OF149" s="31"/>
      <c r="OG149" s="31"/>
      <c r="OH149" s="31"/>
      <c r="OI149" s="31"/>
      <c r="OJ149" s="31"/>
      <c r="OK149" s="31"/>
      <c r="OL149" s="31"/>
      <c r="OM149" s="31"/>
      <c r="ON149" s="31"/>
      <c r="OO149" s="31"/>
      <c r="OP149" s="31"/>
      <c r="OQ149" s="31"/>
      <c r="OR149" s="31"/>
      <c r="OS149" s="31"/>
      <c r="OT149" s="31"/>
      <c r="OU149" s="31"/>
      <c r="OV149" s="31"/>
      <c r="OW149" s="31"/>
      <c r="OX149" s="31"/>
    </row>
    <row r="150" spans="2:414" s="25" customFormat="1" ht="15.6">
      <c r="B150" s="25" t="s">
        <v>226</v>
      </c>
      <c r="C150" s="27" t="s">
        <v>227</v>
      </c>
      <c r="D150" s="30" t="s">
        <v>201</v>
      </c>
      <c r="G150" s="42">
        <v>500</v>
      </c>
      <c r="H150" s="89">
        <v>26.109000000000002</v>
      </c>
      <c r="I150" s="38">
        <f t="shared" si="52"/>
        <v>13054.5</v>
      </c>
      <c r="K150" s="42">
        <v>500</v>
      </c>
      <c r="L150" s="90">
        <v>26.849599999999999</v>
      </c>
      <c r="M150" s="38">
        <f t="shared" si="53"/>
        <v>13424.8</v>
      </c>
      <c r="O150" s="38">
        <v>80</v>
      </c>
      <c r="P150" s="38">
        <v>26.728300000000001</v>
      </c>
      <c r="Q150" s="38">
        <f t="shared" si="54"/>
        <v>2138.2640000000001</v>
      </c>
      <c r="R150" s="43">
        <f t="shared" si="61"/>
        <v>1080</v>
      </c>
      <c r="S150" s="38">
        <f t="shared" si="55"/>
        <v>28617.563999999998</v>
      </c>
      <c r="T150" s="49">
        <v>415</v>
      </c>
      <c r="U150" s="42">
        <v>26.261399999999998</v>
      </c>
      <c r="V150" s="38">
        <f t="shared" si="44"/>
        <v>10898.481</v>
      </c>
      <c r="W150" s="42">
        <v>85</v>
      </c>
      <c r="X150" s="42">
        <v>26.261399999999998</v>
      </c>
      <c r="Y150" s="38">
        <f t="shared" si="43"/>
        <v>2232.2190000000001</v>
      </c>
      <c r="Z150" s="42">
        <v>522</v>
      </c>
      <c r="AA150" s="42">
        <v>26.803799999999999</v>
      </c>
      <c r="AB150" s="42">
        <f t="shared" si="45"/>
        <v>13991.5836</v>
      </c>
      <c r="AD150" s="42"/>
      <c r="AE150" s="42"/>
      <c r="AF150" s="42">
        <f t="shared" si="62"/>
        <v>0</v>
      </c>
      <c r="AG150" s="42"/>
      <c r="AH150" s="42"/>
      <c r="AI150" s="42"/>
      <c r="AJ150" s="42">
        <f t="shared" si="50"/>
        <v>0</v>
      </c>
      <c r="AL150" s="42"/>
      <c r="AM150" s="42"/>
      <c r="AN150" s="42">
        <f t="shared" si="51"/>
        <v>0</v>
      </c>
      <c r="AO150" s="44"/>
      <c r="AP150" s="42"/>
      <c r="AQ150" s="42"/>
      <c r="AR150" s="42"/>
      <c r="AU150" s="98"/>
      <c r="AV150" s="35"/>
      <c r="AW150" s="104"/>
      <c r="AX150" s="42"/>
      <c r="AY150" s="42"/>
      <c r="AZ150" s="42">
        <f t="shared" si="49"/>
        <v>0</v>
      </c>
      <c r="BA150" s="42"/>
      <c r="BB150" s="42"/>
      <c r="BC150" s="42"/>
      <c r="BD150" s="38">
        <f t="shared" si="56"/>
        <v>0</v>
      </c>
      <c r="BE150" s="42"/>
      <c r="BF150" s="42"/>
      <c r="BG150" s="42"/>
      <c r="BH150" s="38">
        <f t="shared" si="57"/>
        <v>0</v>
      </c>
      <c r="BI150" s="42"/>
      <c r="BJ150" s="42"/>
      <c r="BK150" s="42"/>
      <c r="BL150" s="38">
        <f t="shared" si="58"/>
        <v>0</v>
      </c>
      <c r="BM150" s="42"/>
      <c r="BN150" s="42"/>
      <c r="BO150" s="42"/>
      <c r="BP150" s="42"/>
      <c r="BR150" s="42">
        <f t="shared" si="59"/>
        <v>27122.283600000002</v>
      </c>
      <c r="BS150" s="43">
        <f t="shared" si="60"/>
        <v>1495.280399999996</v>
      </c>
      <c r="BT150" s="42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  <c r="IM150" s="31"/>
      <c r="IN150" s="31"/>
      <c r="IO150" s="31"/>
      <c r="IP150" s="31"/>
      <c r="IQ150" s="31"/>
      <c r="IR150" s="31"/>
      <c r="IS150" s="31"/>
      <c r="IT150" s="31"/>
      <c r="IU150" s="31"/>
      <c r="IV150" s="31"/>
      <c r="IW150" s="31"/>
      <c r="IX150" s="31"/>
      <c r="IY150" s="31"/>
      <c r="IZ150" s="31"/>
      <c r="JA150" s="31"/>
      <c r="JB150" s="31"/>
      <c r="JC150" s="31"/>
      <c r="JD150" s="31"/>
      <c r="JE150" s="31"/>
      <c r="JF150" s="31"/>
      <c r="JG150" s="31"/>
      <c r="JH150" s="31"/>
      <c r="JI150" s="31"/>
      <c r="JJ150" s="31"/>
      <c r="JK150" s="31"/>
      <c r="JL150" s="31"/>
      <c r="JM150" s="31"/>
      <c r="JN150" s="31"/>
      <c r="JO150" s="31"/>
      <c r="JP150" s="31"/>
      <c r="JQ150" s="31"/>
      <c r="JR150" s="31"/>
      <c r="JS150" s="31"/>
      <c r="JT150" s="31"/>
      <c r="JU150" s="31"/>
      <c r="JV150" s="31"/>
      <c r="JW150" s="31"/>
      <c r="JX150" s="31"/>
      <c r="JY150" s="31"/>
      <c r="JZ150" s="31"/>
      <c r="KA150" s="31"/>
      <c r="KB150" s="31"/>
      <c r="KC150" s="31"/>
      <c r="KD150" s="31"/>
      <c r="KE150" s="31"/>
      <c r="KF150" s="31"/>
      <c r="KG150" s="31"/>
      <c r="KH150" s="31"/>
      <c r="KI150" s="31"/>
      <c r="KJ150" s="31"/>
      <c r="KK150" s="31"/>
      <c r="KL150" s="31"/>
      <c r="KM150" s="31"/>
      <c r="KN150" s="31"/>
      <c r="KO150" s="31"/>
      <c r="KP150" s="31"/>
      <c r="KQ150" s="31"/>
      <c r="KR150" s="31"/>
      <c r="KS150" s="31"/>
      <c r="KT150" s="31"/>
      <c r="KU150" s="31"/>
      <c r="KV150" s="31"/>
      <c r="KW150" s="31"/>
      <c r="KX150" s="31"/>
      <c r="KY150" s="31"/>
      <c r="KZ150" s="31"/>
      <c r="LA150" s="31"/>
      <c r="LB150" s="31"/>
      <c r="LC150" s="31"/>
      <c r="LD150" s="31"/>
      <c r="LE150" s="31"/>
      <c r="LF150" s="31"/>
      <c r="LG150" s="31"/>
      <c r="LH150" s="31"/>
      <c r="LI150" s="31"/>
      <c r="LJ150" s="31"/>
      <c r="LK150" s="31"/>
      <c r="LL150" s="31"/>
      <c r="LM150" s="31"/>
      <c r="LN150" s="31"/>
      <c r="LO150" s="31"/>
      <c r="LP150" s="31"/>
      <c r="LQ150" s="31"/>
      <c r="LR150" s="31"/>
      <c r="LS150" s="31"/>
      <c r="LT150" s="31"/>
      <c r="LU150" s="31"/>
      <c r="LV150" s="31"/>
      <c r="LW150" s="31"/>
      <c r="LX150" s="31"/>
      <c r="LY150" s="31"/>
      <c r="LZ150" s="31"/>
      <c r="MA150" s="31"/>
      <c r="MB150" s="31"/>
      <c r="MC150" s="31"/>
      <c r="MD150" s="31"/>
      <c r="ME150" s="31"/>
      <c r="MF150" s="31"/>
      <c r="MG150" s="31"/>
      <c r="MH150" s="31"/>
      <c r="MI150" s="31"/>
      <c r="MJ150" s="31"/>
      <c r="MK150" s="31"/>
      <c r="ML150" s="31"/>
      <c r="MM150" s="31"/>
      <c r="MN150" s="31"/>
      <c r="MO150" s="31"/>
      <c r="MP150" s="31"/>
      <c r="MQ150" s="31"/>
      <c r="MR150" s="31"/>
      <c r="MS150" s="31"/>
      <c r="MT150" s="31"/>
      <c r="MU150" s="31"/>
      <c r="MV150" s="31"/>
      <c r="MW150" s="31"/>
      <c r="MX150" s="31"/>
      <c r="MY150" s="31"/>
      <c r="MZ150" s="31"/>
      <c r="NA150" s="31"/>
      <c r="NB150" s="31"/>
      <c r="NC150" s="31"/>
      <c r="ND150" s="31"/>
      <c r="NE150" s="31"/>
      <c r="NF150" s="31"/>
      <c r="NG150" s="31"/>
      <c r="NH150" s="31"/>
      <c r="NI150" s="31"/>
      <c r="NJ150" s="31"/>
      <c r="NK150" s="31"/>
      <c r="NL150" s="31"/>
      <c r="NM150" s="31"/>
      <c r="NN150" s="31"/>
      <c r="NO150" s="31"/>
      <c r="NP150" s="31"/>
      <c r="NQ150" s="31"/>
      <c r="NR150" s="31"/>
      <c r="NS150" s="31"/>
      <c r="NT150" s="31"/>
      <c r="NU150" s="31"/>
      <c r="NV150" s="31"/>
      <c r="NW150" s="31"/>
      <c r="NX150" s="31"/>
      <c r="NY150" s="31"/>
      <c r="NZ150" s="31"/>
      <c r="OA150" s="31"/>
      <c r="OB150" s="31"/>
      <c r="OC150" s="31"/>
      <c r="OD150" s="31"/>
      <c r="OE150" s="31"/>
      <c r="OF150" s="31"/>
      <c r="OG150" s="31"/>
      <c r="OH150" s="31"/>
      <c r="OI150" s="31"/>
      <c r="OJ150" s="31"/>
      <c r="OK150" s="31"/>
      <c r="OL150" s="31"/>
      <c r="OM150" s="31"/>
      <c r="ON150" s="31"/>
      <c r="OO150" s="31"/>
      <c r="OP150" s="31"/>
      <c r="OQ150" s="31"/>
      <c r="OR150" s="31"/>
      <c r="OS150" s="31"/>
      <c r="OT150" s="31"/>
      <c r="OU150" s="31"/>
      <c r="OV150" s="31"/>
      <c r="OW150" s="31"/>
      <c r="OX150" s="31"/>
    </row>
    <row r="151" spans="2:414" s="25" customFormat="1" ht="15.6">
      <c r="B151" s="25" t="s">
        <v>228</v>
      </c>
      <c r="C151" s="27" t="s">
        <v>229</v>
      </c>
      <c r="D151" s="30" t="s">
        <v>201</v>
      </c>
      <c r="G151" s="42">
        <v>500</v>
      </c>
      <c r="H151" s="89">
        <v>26.109000000000002</v>
      </c>
      <c r="I151" s="38">
        <f t="shared" si="52"/>
        <v>13054.5</v>
      </c>
      <c r="K151" s="42">
        <v>500</v>
      </c>
      <c r="L151" s="90">
        <v>26.849599999999999</v>
      </c>
      <c r="M151" s="38">
        <f t="shared" si="53"/>
        <v>13424.8</v>
      </c>
      <c r="O151" s="38">
        <v>80</v>
      </c>
      <c r="P151" s="38">
        <v>26.728300000000001</v>
      </c>
      <c r="Q151" s="38">
        <f t="shared" si="54"/>
        <v>2138.2640000000001</v>
      </c>
      <c r="R151" s="43">
        <f t="shared" si="61"/>
        <v>1080</v>
      </c>
      <c r="S151" s="38">
        <f t="shared" si="55"/>
        <v>28617.563999999998</v>
      </c>
      <c r="T151" s="49">
        <v>85</v>
      </c>
      <c r="U151" s="42">
        <v>26.261399999999998</v>
      </c>
      <c r="V151" s="38">
        <f t="shared" si="44"/>
        <v>2232.2190000000001</v>
      </c>
      <c r="W151" s="42">
        <v>200</v>
      </c>
      <c r="X151" s="42">
        <v>26.261399999999998</v>
      </c>
      <c r="Y151" s="38">
        <f t="shared" si="43"/>
        <v>5252.28</v>
      </c>
      <c r="Z151" s="42">
        <v>215</v>
      </c>
      <c r="AA151" s="42">
        <v>26.261399999999998</v>
      </c>
      <c r="AB151" s="42">
        <f t="shared" si="45"/>
        <v>5646.201</v>
      </c>
      <c r="AD151" s="42">
        <v>200</v>
      </c>
      <c r="AE151" s="42">
        <v>26.799399999999999</v>
      </c>
      <c r="AF151" s="42">
        <f t="shared" si="62"/>
        <v>5359.88</v>
      </c>
      <c r="AG151" s="42"/>
      <c r="AH151" s="42">
        <v>150</v>
      </c>
      <c r="AI151" s="42">
        <v>26.758099999999999</v>
      </c>
      <c r="AJ151" s="42">
        <f t="shared" si="50"/>
        <v>4013.7149999999997</v>
      </c>
      <c r="AL151" s="42">
        <v>50</v>
      </c>
      <c r="AM151" s="42">
        <v>26.945699999999999</v>
      </c>
      <c r="AN151" s="42">
        <f t="shared" si="51"/>
        <v>1347.2849999999999</v>
      </c>
      <c r="AO151" s="44"/>
      <c r="AP151" s="42">
        <v>60</v>
      </c>
      <c r="AQ151" s="42">
        <v>26.945699999999999</v>
      </c>
      <c r="AR151" s="42"/>
      <c r="AU151" s="98"/>
      <c r="AV151" s="35"/>
      <c r="AW151" s="104"/>
      <c r="AX151" s="42"/>
      <c r="AY151" s="42"/>
      <c r="AZ151" s="42">
        <f t="shared" si="49"/>
        <v>0</v>
      </c>
      <c r="BA151" s="42"/>
      <c r="BB151" s="42"/>
      <c r="BC151" s="42"/>
      <c r="BD151" s="38">
        <f t="shared" si="56"/>
        <v>0</v>
      </c>
      <c r="BE151" s="42"/>
      <c r="BF151" s="42"/>
      <c r="BG151" s="42"/>
      <c r="BH151" s="38">
        <f t="shared" si="57"/>
        <v>0</v>
      </c>
      <c r="BI151" s="42"/>
      <c r="BJ151" s="42"/>
      <c r="BK151" s="42"/>
      <c r="BL151" s="38">
        <f t="shared" si="58"/>
        <v>0</v>
      </c>
      <c r="BM151" s="42"/>
      <c r="BN151" s="42"/>
      <c r="BO151" s="42"/>
      <c r="BP151" s="42"/>
      <c r="BR151" s="42">
        <f t="shared" si="59"/>
        <v>23851.58</v>
      </c>
      <c r="BS151" s="43">
        <f t="shared" si="60"/>
        <v>4765.9839999999967</v>
      </c>
      <c r="BT151" s="42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  <c r="JH151" s="31"/>
      <c r="JI151" s="31"/>
      <c r="JJ151" s="31"/>
      <c r="JK151" s="31"/>
      <c r="JL151" s="31"/>
      <c r="JM151" s="31"/>
      <c r="JN151" s="31"/>
      <c r="JO151" s="31"/>
      <c r="JP151" s="31"/>
      <c r="JQ151" s="31"/>
      <c r="JR151" s="31"/>
      <c r="JS151" s="31"/>
      <c r="JT151" s="31"/>
      <c r="JU151" s="31"/>
      <c r="JV151" s="31"/>
      <c r="JW151" s="31"/>
      <c r="JX151" s="31"/>
      <c r="JY151" s="31"/>
      <c r="JZ151" s="31"/>
      <c r="KA151" s="31"/>
      <c r="KB151" s="31"/>
      <c r="KC151" s="31"/>
      <c r="KD151" s="31"/>
      <c r="KE151" s="31"/>
      <c r="KF151" s="31"/>
      <c r="KG151" s="31"/>
      <c r="KH151" s="31"/>
      <c r="KI151" s="31"/>
      <c r="KJ151" s="31"/>
      <c r="KK151" s="31"/>
      <c r="KL151" s="31"/>
      <c r="KM151" s="31"/>
      <c r="KN151" s="31"/>
      <c r="KO151" s="31"/>
      <c r="KP151" s="31"/>
      <c r="KQ151" s="31"/>
      <c r="KR151" s="31"/>
      <c r="KS151" s="31"/>
      <c r="KT151" s="31"/>
      <c r="KU151" s="31"/>
      <c r="KV151" s="31"/>
      <c r="KW151" s="31"/>
      <c r="KX151" s="31"/>
      <c r="KY151" s="31"/>
      <c r="KZ151" s="31"/>
      <c r="LA151" s="31"/>
      <c r="LB151" s="31"/>
      <c r="LC151" s="31"/>
      <c r="LD151" s="31"/>
      <c r="LE151" s="31"/>
      <c r="LF151" s="31"/>
      <c r="LG151" s="31"/>
      <c r="LH151" s="31"/>
      <c r="LI151" s="31"/>
      <c r="LJ151" s="31"/>
      <c r="LK151" s="31"/>
      <c r="LL151" s="31"/>
      <c r="LM151" s="31"/>
      <c r="LN151" s="31"/>
      <c r="LO151" s="31"/>
      <c r="LP151" s="31"/>
      <c r="LQ151" s="31"/>
      <c r="LR151" s="31"/>
      <c r="LS151" s="31"/>
      <c r="LT151" s="31"/>
      <c r="LU151" s="31"/>
      <c r="LV151" s="31"/>
      <c r="LW151" s="31"/>
      <c r="LX151" s="31"/>
      <c r="LY151" s="31"/>
      <c r="LZ151" s="31"/>
      <c r="MA151" s="31"/>
      <c r="MB151" s="31"/>
      <c r="MC151" s="31"/>
      <c r="MD151" s="31"/>
      <c r="ME151" s="31"/>
      <c r="MF151" s="31"/>
      <c r="MG151" s="31"/>
      <c r="MH151" s="31"/>
      <c r="MI151" s="31"/>
      <c r="MJ151" s="31"/>
      <c r="MK151" s="31"/>
      <c r="ML151" s="31"/>
      <c r="MM151" s="31"/>
      <c r="MN151" s="31"/>
      <c r="MO151" s="31"/>
      <c r="MP151" s="31"/>
      <c r="MQ151" s="31"/>
      <c r="MR151" s="31"/>
      <c r="MS151" s="31"/>
      <c r="MT151" s="31"/>
      <c r="MU151" s="31"/>
      <c r="MV151" s="31"/>
      <c r="MW151" s="31"/>
      <c r="MX151" s="31"/>
      <c r="MY151" s="31"/>
      <c r="MZ151" s="31"/>
      <c r="NA151" s="31"/>
      <c r="NB151" s="31"/>
      <c r="NC151" s="31"/>
      <c r="ND151" s="31"/>
      <c r="NE151" s="31"/>
      <c r="NF151" s="31"/>
      <c r="NG151" s="31"/>
      <c r="NH151" s="31"/>
      <c r="NI151" s="31"/>
      <c r="NJ151" s="31"/>
      <c r="NK151" s="31"/>
      <c r="NL151" s="31"/>
      <c r="NM151" s="31"/>
      <c r="NN151" s="31"/>
      <c r="NO151" s="31"/>
      <c r="NP151" s="31"/>
      <c r="NQ151" s="31"/>
      <c r="NR151" s="31"/>
      <c r="NS151" s="31"/>
      <c r="NT151" s="31"/>
      <c r="NU151" s="31"/>
      <c r="NV151" s="31"/>
      <c r="NW151" s="31"/>
      <c r="NX151" s="31"/>
      <c r="NY151" s="31"/>
      <c r="NZ151" s="31"/>
      <c r="OA151" s="31"/>
      <c r="OB151" s="31"/>
      <c r="OC151" s="31"/>
      <c r="OD151" s="31"/>
      <c r="OE151" s="31"/>
      <c r="OF151" s="31"/>
      <c r="OG151" s="31"/>
      <c r="OH151" s="31"/>
      <c r="OI151" s="31"/>
      <c r="OJ151" s="31"/>
      <c r="OK151" s="31"/>
      <c r="OL151" s="31"/>
      <c r="OM151" s="31"/>
      <c r="ON151" s="31"/>
      <c r="OO151" s="31"/>
      <c r="OP151" s="31"/>
      <c r="OQ151" s="31"/>
      <c r="OR151" s="31"/>
      <c r="OS151" s="31"/>
      <c r="OT151" s="31"/>
      <c r="OU151" s="31"/>
      <c r="OV151" s="31"/>
      <c r="OW151" s="31"/>
      <c r="OX151" s="31"/>
    </row>
    <row r="152" spans="2:414" s="25" customFormat="1" ht="15.6">
      <c r="B152" s="25" t="s">
        <v>230</v>
      </c>
      <c r="C152" s="27" t="s">
        <v>231</v>
      </c>
      <c r="D152" s="30" t="s">
        <v>201</v>
      </c>
      <c r="G152" s="42">
        <v>500</v>
      </c>
      <c r="H152" s="89">
        <v>26.109000000000002</v>
      </c>
      <c r="I152" s="38">
        <f t="shared" si="52"/>
        <v>13054.5</v>
      </c>
      <c r="K152" s="42">
        <v>500</v>
      </c>
      <c r="L152" s="90">
        <v>26.849599999999999</v>
      </c>
      <c r="M152" s="38">
        <f t="shared" si="53"/>
        <v>13424.8</v>
      </c>
      <c r="O152" s="38">
        <v>80</v>
      </c>
      <c r="P152" s="38">
        <v>26.728300000000001</v>
      </c>
      <c r="Q152" s="38">
        <f t="shared" si="54"/>
        <v>2138.2640000000001</v>
      </c>
      <c r="R152" s="43">
        <f t="shared" si="61"/>
        <v>1080</v>
      </c>
      <c r="S152" s="38">
        <f t="shared" si="55"/>
        <v>28617.563999999998</v>
      </c>
      <c r="T152" s="49">
        <v>205</v>
      </c>
      <c r="U152" s="42">
        <v>26.0579</v>
      </c>
      <c r="V152" s="38">
        <f t="shared" si="44"/>
        <v>5341.8694999999998</v>
      </c>
      <c r="W152" s="42">
        <v>190</v>
      </c>
      <c r="X152" s="42">
        <v>26.0579</v>
      </c>
      <c r="Y152" s="38">
        <f t="shared" ref="Y152:Y177" si="63">W152*X152</f>
        <v>4951.0010000000002</v>
      </c>
      <c r="Z152" s="42">
        <v>50</v>
      </c>
      <c r="AA152" s="42">
        <v>26.412600000000001</v>
      </c>
      <c r="AB152" s="42">
        <f t="shared" si="45"/>
        <v>1320.63</v>
      </c>
      <c r="AD152" s="42">
        <v>45</v>
      </c>
      <c r="AE152" s="42">
        <v>26.8719</v>
      </c>
      <c r="AF152" s="42">
        <f t="shared" si="62"/>
        <v>1209.2355</v>
      </c>
      <c r="AG152" s="42"/>
      <c r="AH152" s="42">
        <v>200</v>
      </c>
      <c r="AI152" s="42">
        <v>26.8719</v>
      </c>
      <c r="AJ152" s="42">
        <f t="shared" si="50"/>
        <v>5374.38</v>
      </c>
      <c r="AL152" s="42">
        <v>150</v>
      </c>
      <c r="AM152" s="42">
        <v>26.890999999999998</v>
      </c>
      <c r="AN152" s="42">
        <f t="shared" si="51"/>
        <v>4033.6499999999996</v>
      </c>
      <c r="AO152" s="44"/>
      <c r="AP152" s="42">
        <v>150</v>
      </c>
      <c r="AQ152" s="42">
        <v>26.840599999999998</v>
      </c>
      <c r="AR152" s="42"/>
      <c r="AU152" s="98"/>
      <c r="AV152" s="35"/>
      <c r="AW152" s="104"/>
      <c r="AX152" s="42"/>
      <c r="AY152" s="42"/>
      <c r="AZ152" s="42">
        <f t="shared" si="49"/>
        <v>0</v>
      </c>
      <c r="BA152" s="42"/>
      <c r="BB152" s="42"/>
      <c r="BC152" s="42"/>
      <c r="BD152" s="38">
        <f t="shared" si="56"/>
        <v>0</v>
      </c>
      <c r="BE152" s="42"/>
      <c r="BF152" s="42"/>
      <c r="BG152" s="42"/>
      <c r="BH152" s="38">
        <f t="shared" si="57"/>
        <v>0</v>
      </c>
      <c r="BI152" s="42"/>
      <c r="BJ152" s="42"/>
      <c r="BK152" s="42"/>
      <c r="BL152" s="38">
        <f t="shared" si="58"/>
        <v>0</v>
      </c>
      <c r="BM152" s="42"/>
      <c r="BN152" s="42"/>
      <c r="BO152" s="42"/>
      <c r="BP152" s="42"/>
      <c r="BR152" s="42">
        <f t="shared" si="59"/>
        <v>22230.766000000003</v>
      </c>
      <c r="BS152" s="43">
        <f t="shared" si="60"/>
        <v>6386.7979999999952</v>
      </c>
      <c r="BT152" s="42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  <c r="IM152" s="31"/>
      <c r="IN152" s="31"/>
      <c r="IO152" s="31"/>
      <c r="IP152" s="31"/>
      <c r="IQ152" s="31"/>
      <c r="IR152" s="31"/>
      <c r="IS152" s="31"/>
      <c r="IT152" s="31"/>
      <c r="IU152" s="31"/>
      <c r="IV152" s="31"/>
      <c r="IW152" s="31"/>
      <c r="IX152" s="31"/>
      <c r="IY152" s="31"/>
      <c r="IZ152" s="31"/>
      <c r="JA152" s="31"/>
      <c r="JB152" s="31"/>
      <c r="JC152" s="31"/>
      <c r="JD152" s="31"/>
      <c r="JE152" s="31"/>
      <c r="JF152" s="31"/>
      <c r="JG152" s="31"/>
      <c r="JH152" s="31"/>
      <c r="JI152" s="31"/>
      <c r="JJ152" s="31"/>
      <c r="JK152" s="31"/>
      <c r="JL152" s="31"/>
      <c r="JM152" s="31"/>
      <c r="JN152" s="31"/>
      <c r="JO152" s="31"/>
      <c r="JP152" s="31"/>
      <c r="JQ152" s="31"/>
      <c r="JR152" s="31"/>
      <c r="JS152" s="31"/>
      <c r="JT152" s="31"/>
      <c r="JU152" s="31"/>
      <c r="JV152" s="31"/>
      <c r="JW152" s="31"/>
      <c r="JX152" s="31"/>
      <c r="JY152" s="31"/>
      <c r="JZ152" s="31"/>
      <c r="KA152" s="31"/>
      <c r="KB152" s="31"/>
      <c r="KC152" s="31"/>
      <c r="KD152" s="31"/>
      <c r="KE152" s="31"/>
      <c r="KF152" s="31"/>
      <c r="KG152" s="31"/>
      <c r="KH152" s="31"/>
      <c r="KI152" s="31"/>
      <c r="KJ152" s="31"/>
      <c r="KK152" s="31"/>
      <c r="KL152" s="31"/>
      <c r="KM152" s="31"/>
      <c r="KN152" s="31"/>
      <c r="KO152" s="31"/>
      <c r="KP152" s="31"/>
      <c r="KQ152" s="31"/>
      <c r="KR152" s="31"/>
      <c r="KS152" s="31"/>
      <c r="KT152" s="31"/>
      <c r="KU152" s="31"/>
      <c r="KV152" s="31"/>
      <c r="KW152" s="31"/>
      <c r="KX152" s="31"/>
      <c r="KY152" s="31"/>
      <c r="KZ152" s="31"/>
      <c r="LA152" s="31"/>
      <c r="LB152" s="31"/>
      <c r="LC152" s="31"/>
      <c r="LD152" s="31"/>
      <c r="LE152" s="31"/>
      <c r="LF152" s="31"/>
      <c r="LG152" s="31"/>
      <c r="LH152" s="31"/>
      <c r="LI152" s="31"/>
      <c r="LJ152" s="31"/>
      <c r="LK152" s="31"/>
      <c r="LL152" s="31"/>
      <c r="LM152" s="31"/>
      <c r="LN152" s="31"/>
      <c r="LO152" s="31"/>
      <c r="LP152" s="31"/>
      <c r="LQ152" s="31"/>
      <c r="LR152" s="31"/>
      <c r="LS152" s="31"/>
      <c r="LT152" s="31"/>
      <c r="LU152" s="31"/>
      <c r="LV152" s="31"/>
      <c r="LW152" s="31"/>
      <c r="LX152" s="31"/>
      <c r="LY152" s="31"/>
      <c r="LZ152" s="31"/>
      <c r="MA152" s="31"/>
      <c r="MB152" s="31"/>
      <c r="MC152" s="31"/>
      <c r="MD152" s="31"/>
      <c r="ME152" s="31"/>
      <c r="MF152" s="31"/>
      <c r="MG152" s="31"/>
      <c r="MH152" s="31"/>
      <c r="MI152" s="31"/>
      <c r="MJ152" s="31"/>
      <c r="MK152" s="31"/>
      <c r="ML152" s="31"/>
      <c r="MM152" s="31"/>
      <c r="MN152" s="31"/>
      <c r="MO152" s="31"/>
      <c r="MP152" s="31"/>
      <c r="MQ152" s="31"/>
      <c r="MR152" s="31"/>
      <c r="MS152" s="31"/>
      <c r="MT152" s="31"/>
      <c r="MU152" s="31"/>
      <c r="MV152" s="31"/>
      <c r="MW152" s="31"/>
      <c r="MX152" s="31"/>
      <c r="MY152" s="31"/>
      <c r="MZ152" s="31"/>
      <c r="NA152" s="31"/>
      <c r="NB152" s="31"/>
      <c r="NC152" s="31"/>
      <c r="ND152" s="31"/>
      <c r="NE152" s="31"/>
      <c r="NF152" s="31"/>
      <c r="NG152" s="31"/>
      <c r="NH152" s="31"/>
      <c r="NI152" s="31"/>
      <c r="NJ152" s="31"/>
      <c r="NK152" s="31"/>
      <c r="NL152" s="31"/>
      <c r="NM152" s="31"/>
      <c r="NN152" s="31"/>
      <c r="NO152" s="31"/>
      <c r="NP152" s="31"/>
      <c r="NQ152" s="31"/>
      <c r="NR152" s="31"/>
      <c r="NS152" s="31"/>
      <c r="NT152" s="31"/>
      <c r="NU152" s="31"/>
      <c r="NV152" s="31"/>
      <c r="NW152" s="31"/>
      <c r="NX152" s="31"/>
      <c r="NY152" s="31"/>
      <c r="NZ152" s="31"/>
      <c r="OA152" s="31"/>
      <c r="OB152" s="31"/>
      <c r="OC152" s="31"/>
      <c r="OD152" s="31"/>
      <c r="OE152" s="31"/>
      <c r="OF152" s="31"/>
      <c r="OG152" s="31"/>
      <c r="OH152" s="31"/>
      <c r="OI152" s="31"/>
      <c r="OJ152" s="31"/>
      <c r="OK152" s="31"/>
      <c r="OL152" s="31"/>
      <c r="OM152" s="31"/>
      <c r="ON152" s="31"/>
      <c r="OO152" s="31"/>
      <c r="OP152" s="31"/>
      <c r="OQ152" s="31"/>
      <c r="OR152" s="31"/>
      <c r="OS152" s="31"/>
      <c r="OT152" s="31"/>
      <c r="OU152" s="31"/>
      <c r="OV152" s="31"/>
      <c r="OW152" s="31"/>
      <c r="OX152" s="31"/>
    </row>
    <row r="153" spans="2:414" s="25" customFormat="1" ht="15.6">
      <c r="B153" s="25" t="s">
        <v>232</v>
      </c>
      <c r="C153" s="27" t="s">
        <v>185</v>
      </c>
      <c r="D153" s="30" t="s">
        <v>201</v>
      </c>
      <c r="G153" s="42">
        <v>500</v>
      </c>
      <c r="H153" s="89">
        <v>26.109000000000002</v>
      </c>
      <c r="I153" s="38">
        <f t="shared" si="52"/>
        <v>13054.5</v>
      </c>
      <c r="K153" s="42">
        <v>500</v>
      </c>
      <c r="L153" s="90">
        <v>26.849599999999999</v>
      </c>
      <c r="M153" s="38">
        <f t="shared" si="53"/>
        <v>13424.8</v>
      </c>
      <c r="O153" s="38">
        <v>80</v>
      </c>
      <c r="P153" s="38">
        <v>26.728300000000001</v>
      </c>
      <c r="Q153" s="38">
        <f t="shared" si="54"/>
        <v>2138.2640000000001</v>
      </c>
      <c r="R153" s="43">
        <f t="shared" si="61"/>
        <v>1080</v>
      </c>
      <c r="S153" s="38">
        <f t="shared" si="55"/>
        <v>28617.563999999998</v>
      </c>
      <c r="T153" s="49">
        <v>285</v>
      </c>
      <c r="U153" s="42">
        <v>26.194800000000001</v>
      </c>
      <c r="V153" s="38">
        <f t="shared" ref="V153:V216" si="64">T153*U153</f>
        <v>7465.518</v>
      </c>
      <c r="W153" s="42">
        <v>85</v>
      </c>
      <c r="X153" s="42">
        <v>26.194800000000001</v>
      </c>
      <c r="Y153" s="38">
        <f t="shared" si="63"/>
        <v>2226.558</v>
      </c>
      <c r="Z153" s="42">
        <v>150</v>
      </c>
      <c r="AA153" s="42">
        <v>26.194800000000001</v>
      </c>
      <c r="AB153" s="42">
        <f t="shared" si="45"/>
        <v>3929.2200000000003</v>
      </c>
      <c r="AD153" s="42"/>
      <c r="AE153" s="42"/>
      <c r="AF153" s="42">
        <f t="shared" si="62"/>
        <v>0</v>
      </c>
      <c r="AG153" s="42"/>
      <c r="AH153" s="42"/>
      <c r="AI153" s="42"/>
      <c r="AJ153" s="42">
        <f t="shared" si="50"/>
        <v>0</v>
      </c>
      <c r="AL153" s="42"/>
      <c r="AM153" s="42"/>
      <c r="AN153" s="42">
        <f t="shared" si="51"/>
        <v>0</v>
      </c>
      <c r="AO153" s="44"/>
      <c r="AP153" s="42"/>
      <c r="AQ153" s="42"/>
      <c r="AR153" s="42"/>
      <c r="AU153" s="98"/>
      <c r="AV153" s="35"/>
      <c r="AW153" s="104"/>
      <c r="AX153" s="42"/>
      <c r="AY153" s="42"/>
      <c r="AZ153" s="42">
        <f t="shared" si="49"/>
        <v>0</v>
      </c>
      <c r="BA153" s="42"/>
      <c r="BB153" s="42"/>
      <c r="BC153" s="42"/>
      <c r="BD153" s="38">
        <f t="shared" si="56"/>
        <v>0</v>
      </c>
      <c r="BE153" s="42"/>
      <c r="BF153" s="42"/>
      <c r="BG153" s="42"/>
      <c r="BH153" s="38">
        <f t="shared" si="57"/>
        <v>0</v>
      </c>
      <c r="BI153" s="42"/>
      <c r="BJ153" s="42"/>
      <c r="BK153" s="42"/>
      <c r="BL153" s="38">
        <f t="shared" si="58"/>
        <v>0</v>
      </c>
      <c r="BM153" s="42"/>
      <c r="BN153" s="42"/>
      <c r="BO153" s="42"/>
      <c r="BP153" s="42"/>
      <c r="BR153" s="42">
        <f t="shared" si="59"/>
        <v>13621.296000000002</v>
      </c>
      <c r="BS153" s="43">
        <f t="shared" si="60"/>
        <v>14996.267999999996</v>
      </c>
      <c r="BT153" s="42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  <c r="IM153" s="31"/>
      <c r="IN153" s="31"/>
      <c r="IO153" s="31"/>
      <c r="IP153" s="31"/>
      <c r="IQ153" s="31"/>
      <c r="IR153" s="31"/>
      <c r="IS153" s="31"/>
      <c r="IT153" s="31"/>
      <c r="IU153" s="31"/>
      <c r="IV153" s="31"/>
      <c r="IW153" s="31"/>
      <c r="IX153" s="31"/>
      <c r="IY153" s="31"/>
      <c r="IZ153" s="31"/>
      <c r="JA153" s="31"/>
      <c r="JB153" s="31"/>
      <c r="JC153" s="31"/>
      <c r="JD153" s="31"/>
      <c r="JE153" s="31"/>
      <c r="JF153" s="31"/>
      <c r="JG153" s="31"/>
      <c r="JH153" s="31"/>
      <c r="JI153" s="31"/>
      <c r="JJ153" s="31"/>
      <c r="JK153" s="31"/>
      <c r="JL153" s="31"/>
      <c r="JM153" s="31"/>
      <c r="JN153" s="31"/>
      <c r="JO153" s="31"/>
      <c r="JP153" s="31"/>
      <c r="JQ153" s="31"/>
      <c r="JR153" s="31"/>
      <c r="JS153" s="31"/>
      <c r="JT153" s="31"/>
      <c r="JU153" s="31"/>
      <c r="JV153" s="31"/>
      <c r="JW153" s="31"/>
      <c r="JX153" s="31"/>
      <c r="JY153" s="31"/>
      <c r="JZ153" s="31"/>
      <c r="KA153" s="31"/>
      <c r="KB153" s="31"/>
      <c r="KC153" s="31"/>
      <c r="KD153" s="31"/>
      <c r="KE153" s="31"/>
      <c r="KF153" s="31"/>
      <c r="KG153" s="31"/>
      <c r="KH153" s="31"/>
      <c r="KI153" s="31"/>
      <c r="KJ153" s="31"/>
      <c r="KK153" s="31"/>
      <c r="KL153" s="31"/>
      <c r="KM153" s="31"/>
      <c r="KN153" s="31"/>
      <c r="KO153" s="31"/>
      <c r="KP153" s="31"/>
      <c r="KQ153" s="31"/>
      <c r="KR153" s="31"/>
      <c r="KS153" s="31"/>
      <c r="KT153" s="31"/>
      <c r="KU153" s="31"/>
      <c r="KV153" s="31"/>
      <c r="KW153" s="31"/>
      <c r="KX153" s="31"/>
      <c r="KY153" s="31"/>
      <c r="KZ153" s="31"/>
      <c r="LA153" s="31"/>
      <c r="LB153" s="31"/>
      <c r="LC153" s="31"/>
      <c r="LD153" s="31"/>
      <c r="LE153" s="31"/>
      <c r="LF153" s="31"/>
      <c r="LG153" s="31"/>
      <c r="LH153" s="31"/>
      <c r="LI153" s="31"/>
      <c r="LJ153" s="31"/>
      <c r="LK153" s="31"/>
      <c r="LL153" s="31"/>
      <c r="LM153" s="31"/>
      <c r="LN153" s="31"/>
      <c r="LO153" s="31"/>
      <c r="LP153" s="31"/>
      <c r="LQ153" s="31"/>
      <c r="LR153" s="31"/>
      <c r="LS153" s="31"/>
      <c r="LT153" s="31"/>
      <c r="LU153" s="31"/>
      <c r="LV153" s="31"/>
      <c r="LW153" s="31"/>
      <c r="LX153" s="31"/>
      <c r="LY153" s="31"/>
      <c r="LZ153" s="31"/>
      <c r="MA153" s="31"/>
      <c r="MB153" s="31"/>
      <c r="MC153" s="31"/>
      <c r="MD153" s="31"/>
      <c r="ME153" s="31"/>
      <c r="MF153" s="31"/>
      <c r="MG153" s="31"/>
      <c r="MH153" s="31"/>
      <c r="MI153" s="31"/>
      <c r="MJ153" s="31"/>
      <c r="MK153" s="31"/>
      <c r="ML153" s="31"/>
      <c r="MM153" s="31"/>
      <c r="MN153" s="31"/>
      <c r="MO153" s="31"/>
      <c r="MP153" s="31"/>
      <c r="MQ153" s="31"/>
      <c r="MR153" s="31"/>
      <c r="MS153" s="31"/>
      <c r="MT153" s="31"/>
      <c r="MU153" s="31"/>
      <c r="MV153" s="31"/>
      <c r="MW153" s="31"/>
      <c r="MX153" s="31"/>
      <c r="MY153" s="31"/>
      <c r="MZ153" s="31"/>
      <c r="NA153" s="31"/>
      <c r="NB153" s="31"/>
      <c r="NC153" s="31"/>
      <c r="ND153" s="31"/>
      <c r="NE153" s="31"/>
      <c r="NF153" s="31"/>
      <c r="NG153" s="31"/>
      <c r="NH153" s="31"/>
      <c r="NI153" s="31"/>
      <c r="NJ153" s="31"/>
      <c r="NK153" s="31"/>
      <c r="NL153" s="31"/>
      <c r="NM153" s="31"/>
      <c r="NN153" s="31"/>
      <c r="NO153" s="31"/>
      <c r="NP153" s="31"/>
      <c r="NQ153" s="31"/>
      <c r="NR153" s="31"/>
      <c r="NS153" s="31"/>
      <c r="NT153" s="31"/>
      <c r="NU153" s="31"/>
      <c r="NV153" s="31"/>
      <c r="NW153" s="31"/>
      <c r="NX153" s="31"/>
      <c r="NY153" s="31"/>
      <c r="NZ153" s="31"/>
      <c r="OA153" s="31"/>
      <c r="OB153" s="31"/>
      <c r="OC153" s="31"/>
      <c r="OD153" s="31"/>
      <c r="OE153" s="31"/>
      <c r="OF153" s="31"/>
      <c r="OG153" s="31"/>
      <c r="OH153" s="31"/>
      <c r="OI153" s="31"/>
      <c r="OJ153" s="31"/>
      <c r="OK153" s="31"/>
      <c r="OL153" s="31"/>
      <c r="OM153" s="31"/>
      <c r="ON153" s="31"/>
      <c r="OO153" s="31"/>
      <c r="OP153" s="31"/>
      <c r="OQ153" s="31"/>
      <c r="OR153" s="31"/>
      <c r="OS153" s="31"/>
      <c r="OT153" s="31"/>
      <c r="OU153" s="31"/>
      <c r="OV153" s="31"/>
      <c r="OW153" s="31"/>
      <c r="OX153" s="31"/>
    </row>
    <row r="154" spans="2:414" s="25" customFormat="1" ht="15.6">
      <c r="B154" s="25" t="s">
        <v>233</v>
      </c>
      <c r="C154" s="27" t="s">
        <v>234</v>
      </c>
      <c r="D154" s="30" t="s">
        <v>201</v>
      </c>
      <c r="G154" s="42">
        <v>500</v>
      </c>
      <c r="H154" s="89">
        <v>26.109000000000002</v>
      </c>
      <c r="I154" s="38">
        <f t="shared" si="52"/>
        <v>13054.5</v>
      </c>
      <c r="K154" s="42">
        <v>500</v>
      </c>
      <c r="L154" s="90">
        <v>26.849599999999999</v>
      </c>
      <c r="M154" s="38">
        <f t="shared" si="53"/>
        <v>13424.8</v>
      </c>
      <c r="O154" s="38">
        <v>80</v>
      </c>
      <c r="P154" s="38">
        <v>26.728300000000001</v>
      </c>
      <c r="Q154" s="38">
        <f t="shared" si="54"/>
        <v>2138.2640000000001</v>
      </c>
      <c r="R154" s="43">
        <f t="shared" si="61"/>
        <v>1080</v>
      </c>
      <c r="S154" s="38">
        <f t="shared" si="55"/>
        <v>28617.563999999998</v>
      </c>
      <c r="T154" s="49">
        <v>415</v>
      </c>
      <c r="U154" s="42">
        <v>26.194800000000001</v>
      </c>
      <c r="V154" s="38">
        <f t="shared" si="64"/>
        <v>10870.842000000001</v>
      </c>
      <c r="W154" s="42">
        <v>85</v>
      </c>
      <c r="X154" s="42">
        <v>26.194800000000001</v>
      </c>
      <c r="Y154" s="38">
        <f t="shared" si="63"/>
        <v>2226.558</v>
      </c>
      <c r="Z154" s="42">
        <v>100</v>
      </c>
      <c r="AA154" s="42">
        <v>26.856000000000002</v>
      </c>
      <c r="AB154" s="42">
        <f t="shared" si="45"/>
        <v>2685.6000000000004</v>
      </c>
      <c r="AD154" s="42">
        <v>100</v>
      </c>
      <c r="AE154" s="42">
        <v>26.861899999999999</v>
      </c>
      <c r="AF154" s="42">
        <f t="shared" si="62"/>
        <v>2686.19</v>
      </c>
      <c r="AG154" s="42"/>
      <c r="AH154" s="42">
        <v>150</v>
      </c>
      <c r="AI154" s="42">
        <v>26.940100000000001</v>
      </c>
      <c r="AJ154" s="42">
        <f t="shared" si="50"/>
        <v>4041.0150000000003</v>
      </c>
      <c r="AL154" s="42">
        <v>150</v>
      </c>
      <c r="AM154" s="42">
        <v>26.952500000000001</v>
      </c>
      <c r="AN154" s="42">
        <f t="shared" si="51"/>
        <v>4042.875</v>
      </c>
      <c r="AO154" s="44"/>
      <c r="AP154" s="42"/>
      <c r="AQ154" s="42"/>
      <c r="AR154" s="42"/>
      <c r="AU154" s="98"/>
      <c r="AV154" s="35"/>
      <c r="AW154" s="104"/>
      <c r="AX154" s="42"/>
      <c r="AY154" s="42"/>
      <c r="AZ154" s="42">
        <f t="shared" si="49"/>
        <v>0</v>
      </c>
      <c r="BA154" s="42"/>
      <c r="BB154" s="42"/>
      <c r="BC154" s="42"/>
      <c r="BD154" s="38">
        <f t="shared" si="56"/>
        <v>0</v>
      </c>
      <c r="BE154" s="42"/>
      <c r="BF154" s="42"/>
      <c r="BG154" s="42"/>
      <c r="BH154" s="38">
        <f t="shared" si="57"/>
        <v>0</v>
      </c>
      <c r="BI154" s="42"/>
      <c r="BJ154" s="42"/>
      <c r="BK154" s="42"/>
      <c r="BL154" s="38">
        <f t="shared" si="58"/>
        <v>0</v>
      </c>
      <c r="BM154" s="42"/>
      <c r="BN154" s="42"/>
      <c r="BO154" s="42"/>
      <c r="BP154" s="42"/>
      <c r="BR154" s="42">
        <f t="shared" si="59"/>
        <v>26553.08</v>
      </c>
      <c r="BS154" s="43">
        <f t="shared" si="60"/>
        <v>2064.4839999999967</v>
      </c>
      <c r="BT154" s="42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  <c r="IM154" s="31"/>
      <c r="IN154" s="31"/>
      <c r="IO154" s="31"/>
      <c r="IP154" s="31"/>
      <c r="IQ154" s="31"/>
      <c r="IR154" s="31"/>
      <c r="IS154" s="31"/>
      <c r="IT154" s="31"/>
      <c r="IU154" s="31"/>
      <c r="IV154" s="31"/>
      <c r="IW154" s="31"/>
      <c r="IX154" s="31"/>
      <c r="IY154" s="31"/>
      <c r="IZ154" s="31"/>
      <c r="JA154" s="31"/>
      <c r="JB154" s="31"/>
      <c r="JC154" s="31"/>
      <c r="JD154" s="31"/>
      <c r="JE154" s="31"/>
      <c r="JF154" s="31"/>
      <c r="JG154" s="31"/>
      <c r="JH154" s="31"/>
      <c r="JI154" s="31"/>
      <c r="JJ154" s="31"/>
      <c r="JK154" s="31"/>
      <c r="JL154" s="31"/>
      <c r="JM154" s="31"/>
      <c r="JN154" s="31"/>
      <c r="JO154" s="31"/>
      <c r="JP154" s="31"/>
      <c r="JQ154" s="31"/>
      <c r="JR154" s="31"/>
      <c r="JS154" s="31"/>
      <c r="JT154" s="31"/>
      <c r="JU154" s="31"/>
      <c r="JV154" s="31"/>
      <c r="JW154" s="31"/>
      <c r="JX154" s="31"/>
      <c r="JY154" s="31"/>
      <c r="JZ154" s="31"/>
      <c r="KA154" s="31"/>
      <c r="KB154" s="31"/>
      <c r="KC154" s="31"/>
      <c r="KD154" s="31"/>
      <c r="KE154" s="31"/>
      <c r="KF154" s="31"/>
      <c r="KG154" s="31"/>
      <c r="KH154" s="31"/>
      <c r="KI154" s="31"/>
      <c r="KJ154" s="31"/>
      <c r="KK154" s="31"/>
      <c r="KL154" s="31"/>
      <c r="KM154" s="31"/>
      <c r="KN154" s="31"/>
      <c r="KO154" s="31"/>
      <c r="KP154" s="31"/>
      <c r="KQ154" s="31"/>
      <c r="KR154" s="31"/>
      <c r="KS154" s="31"/>
      <c r="KT154" s="31"/>
      <c r="KU154" s="31"/>
      <c r="KV154" s="31"/>
      <c r="KW154" s="31"/>
      <c r="KX154" s="31"/>
      <c r="KY154" s="31"/>
      <c r="KZ154" s="31"/>
      <c r="LA154" s="31"/>
      <c r="LB154" s="31"/>
      <c r="LC154" s="31"/>
      <c r="LD154" s="31"/>
      <c r="LE154" s="31"/>
      <c r="LF154" s="31"/>
      <c r="LG154" s="31"/>
      <c r="LH154" s="31"/>
      <c r="LI154" s="31"/>
      <c r="LJ154" s="31"/>
      <c r="LK154" s="31"/>
      <c r="LL154" s="31"/>
      <c r="LM154" s="31"/>
      <c r="LN154" s="31"/>
      <c r="LO154" s="31"/>
      <c r="LP154" s="31"/>
      <c r="LQ154" s="31"/>
      <c r="LR154" s="31"/>
      <c r="LS154" s="31"/>
      <c r="LT154" s="31"/>
      <c r="LU154" s="31"/>
      <c r="LV154" s="31"/>
      <c r="LW154" s="31"/>
      <c r="LX154" s="31"/>
      <c r="LY154" s="31"/>
      <c r="LZ154" s="31"/>
      <c r="MA154" s="31"/>
      <c r="MB154" s="31"/>
      <c r="MC154" s="31"/>
      <c r="MD154" s="31"/>
      <c r="ME154" s="31"/>
      <c r="MF154" s="31"/>
      <c r="MG154" s="31"/>
      <c r="MH154" s="31"/>
      <c r="MI154" s="31"/>
      <c r="MJ154" s="31"/>
      <c r="MK154" s="31"/>
      <c r="ML154" s="31"/>
      <c r="MM154" s="31"/>
      <c r="MN154" s="31"/>
      <c r="MO154" s="31"/>
      <c r="MP154" s="31"/>
      <c r="MQ154" s="31"/>
      <c r="MR154" s="31"/>
      <c r="MS154" s="31"/>
      <c r="MT154" s="31"/>
      <c r="MU154" s="31"/>
      <c r="MV154" s="31"/>
      <c r="MW154" s="31"/>
      <c r="MX154" s="31"/>
      <c r="MY154" s="31"/>
      <c r="MZ154" s="31"/>
      <c r="NA154" s="31"/>
      <c r="NB154" s="31"/>
      <c r="NC154" s="31"/>
      <c r="ND154" s="31"/>
      <c r="NE154" s="31"/>
      <c r="NF154" s="31"/>
      <c r="NG154" s="31"/>
      <c r="NH154" s="31"/>
      <c r="NI154" s="31"/>
      <c r="NJ154" s="31"/>
      <c r="NK154" s="31"/>
      <c r="NL154" s="31"/>
      <c r="NM154" s="31"/>
      <c r="NN154" s="31"/>
      <c r="NO154" s="31"/>
      <c r="NP154" s="31"/>
      <c r="NQ154" s="31"/>
      <c r="NR154" s="31"/>
      <c r="NS154" s="31"/>
      <c r="NT154" s="31"/>
      <c r="NU154" s="31"/>
      <c r="NV154" s="31"/>
      <c r="NW154" s="31"/>
      <c r="NX154" s="31"/>
      <c r="NY154" s="31"/>
      <c r="NZ154" s="31"/>
      <c r="OA154" s="31"/>
      <c r="OB154" s="31"/>
      <c r="OC154" s="31"/>
      <c r="OD154" s="31"/>
      <c r="OE154" s="31"/>
      <c r="OF154" s="31"/>
      <c r="OG154" s="31"/>
      <c r="OH154" s="31"/>
      <c r="OI154" s="31"/>
      <c r="OJ154" s="31"/>
      <c r="OK154" s="31"/>
      <c r="OL154" s="31"/>
      <c r="OM154" s="31"/>
      <c r="ON154" s="31"/>
      <c r="OO154" s="31"/>
      <c r="OP154" s="31"/>
      <c r="OQ154" s="31"/>
      <c r="OR154" s="31"/>
      <c r="OS154" s="31"/>
      <c r="OT154" s="31"/>
      <c r="OU154" s="31"/>
      <c r="OV154" s="31"/>
      <c r="OW154" s="31"/>
      <c r="OX154" s="31"/>
    </row>
    <row r="155" spans="2:414" s="25" customFormat="1" ht="15.6">
      <c r="B155" s="25" t="s">
        <v>235</v>
      </c>
      <c r="C155" s="27" t="s">
        <v>236</v>
      </c>
      <c r="D155" s="30" t="s">
        <v>201</v>
      </c>
      <c r="G155" s="42">
        <v>500</v>
      </c>
      <c r="H155" s="89">
        <v>26.109000000000002</v>
      </c>
      <c r="I155" s="38">
        <f t="shared" si="52"/>
        <v>13054.5</v>
      </c>
      <c r="K155" s="42">
        <v>500</v>
      </c>
      <c r="L155" s="90">
        <v>26.849599999999999</v>
      </c>
      <c r="M155" s="38">
        <f t="shared" si="53"/>
        <v>13424.8</v>
      </c>
      <c r="O155" s="38">
        <v>80</v>
      </c>
      <c r="P155" s="38">
        <v>26.728300000000001</v>
      </c>
      <c r="Q155" s="38">
        <f t="shared" si="54"/>
        <v>2138.2640000000001</v>
      </c>
      <c r="R155" s="43">
        <f t="shared" si="61"/>
        <v>1080</v>
      </c>
      <c r="S155" s="38">
        <f t="shared" si="55"/>
        <v>28617.563999999998</v>
      </c>
      <c r="T155" s="49">
        <v>415</v>
      </c>
      <c r="U155" s="42">
        <v>26.023700000000002</v>
      </c>
      <c r="V155" s="38">
        <f t="shared" si="64"/>
        <v>10799.835500000001</v>
      </c>
      <c r="W155" s="42">
        <v>85</v>
      </c>
      <c r="X155" s="42">
        <v>26.023700000000002</v>
      </c>
      <c r="Y155" s="38">
        <f t="shared" si="63"/>
        <v>2212.0145000000002</v>
      </c>
      <c r="Z155" s="42">
        <v>250</v>
      </c>
      <c r="AA155" s="42">
        <v>26.901399999999999</v>
      </c>
      <c r="AB155" s="42">
        <f t="shared" si="45"/>
        <v>6725.3499999999995</v>
      </c>
      <c r="AD155" s="42"/>
      <c r="AE155" s="42"/>
      <c r="AF155" s="42">
        <f t="shared" si="62"/>
        <v>0</v>
      </c>
      <c r="AG155" s="42"/>
      <c r="AH155" s="42"/>
      <c r="AI155" s="42"/>
      <c r="AJ155" s="42">
        <f t="shared" si="50"/>
        <v>0</v>
      </c>
      <c r="AL155" s="42"/>
      <c r="AM155" s="42"/>
      <c r="AN155" s="42">
        <f t="shared" si="51"/>
        <v>0</v>
      </c>
      <c r="AO155" s="44"/>
      <c r="AP155" s="42"/>
      <c r="AQ155" s="42"/>
      <c r="AR155" s="42"/>
      <c r="AU155" s="98"/>
      <c r="AV155" s="35"/>
      <c r="AW155" s="104"/>
      <c r="AX155" s="42"/>
      <c r="AY155" s="42"/>
      <c r="AZ155" s="42">
        <f t="shared" si="49"/>
        <v>0</v>
      </c>
      <c r="BA155" s="42"/>
      <c r="BB155" s="42"/>
      <c r="BC155" s="42"/>
      <c r="BD155" s="38">
        <f t="shared" si="56"/>
        <v>0</v>
      </c>
      <c r="BE155" s="42"/>
      <c r="BF155" s="42"/>
      <c r="BG155" s="42"/>
      <c r="BH155" s="38">
        <f t="shared" si="57"/>
        <v>0</v>
      </c>
      <c r="BI155" s="42"/>
      <c r="BJ155" s="42"/>
      <c r="BK155" s="42"/>
      <c r="BL155" s="38">
        <f t="shared" si="58"/>
        <v>0</v>
      </c>
      <c r="BM155" s="42"/>
      <c r="BN155" s="42"/>
      <c r="BO155" s="42"/>
      <c r="BP155" s="42"/>
      <c r="BR155" s="42">
        <f t="shared" si="59"/>
        <v>19737.2</v>
      </c>
      <c r="BS155" s="43">
        <f t="shared" si="60"/>
        <v>8880.3639999999978</v>
      </c>
      <c r="BT155" s="42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  <c r="IM155" s="31"/>
      <c r="IN155" s="31"/>
      <c r="IO155" s="31"/>
      <c r="IP155" s="31"/>
      <c r="IQ155" s="31"/>
      <c r="IR155" s="31"/>
      <c r="IS155" s="31"/>
      <c r="IT155" s="31"/>
      <c r="IU155" s="31"/>
      <c r="IV155" s="31"/>
      <c r="IW155" s="31"/>
      <c r="IX155" s="31"/>
      <c r="IY155" s="31"/>
      <c r="IZ155" s="31"/>
      <c r="JA155" s="31"/>
      <c r="JB155" s="31"/>
      <c r="JC155" s="31"/>
      <c r="JD155" s="31"/>
      <c r="JE155" s="31"/>
      <c r="JF155" s="31"/>
      <c r="JG155" s="31"/>
      <c r="JH155" s="31"/>
      <c r="JI155" s="31"/>
      <c r="JJ155" s="31"/>
      <c r="JK155" s="31"/>
      <c r="JL155" s="31"/>
      <c r="JM155" s="31"/>
      <c r="JN155" s="31"/>
      <c r="JO155" s="31"/>
      <c r="JP155" s="31"/>
      <c r="JQ155" s="31"/>
      <c r="JR155" s="31"/>
      <c r="JS155" s="31"/>
      <c r="JT155" s="31"/>
      <c r="JU155" s="31"/>
      <c r="JV155" s="31"/>
      <c r="JW155" s="31"/>
      <c r="JX155" s="31"/>
      <c r="JY155" s="31"/>
      <c r="JZ155" s="31"/>
      <c r="KA155" s="31"/>
      <c r="KB155" s="31"/>
      <c r="KC155" s="31"/>
      <c r="KD155" s="31"/>
      <c r="KE155" s="31"/>
      <c r="KF155" s="31"/>
      <c r="KG155" s="31"/>
      <c r="KH155" s="31"/>
      <c r="KI155" s="31"/>
      <c r="KJ155" s="31"/>
      <c r="KK155" s="31"/>
      <c r="KL155" s="31"/>
      <c r="KM155" s="31"/>
      <c r="KN155" s="31"/>
      <c r="KO155" s="31"/>
      <c r="KP155" s="31"/>
      <c r="KQ155" s="31"/>
      <c r="KR155" s="31"/>
      <c r="KS155" s="31"/>
      <c r="KT155" s="31"/>
      <c r="KU155" s="31"/>
      <c r="KV155" s="31"/>
      <c r="KW155" s="31"/>
      <c r="KX155" s="31"/>
      <c r="KY155" s="31"/>
      <c r="KZ155" s="31"/>
      <c r="LA155" s="31"/>
      <c r="LB155" s="31"/>
      <c r="LC155" s="31"/>
      <c r="LD155" s="31"/>
      <c r="LE155" s="31"/>
      <c r="LF155" s="31"/>
      <c r="LG155" s="31"/>
      <c r="LH155" s="31"/>
      <c r="LI155" s="31"/>
      <c r="LJ155" s="31"/>
      <c r="LK155" s="31"/>
      <c r="LL155" s="31"/>
      <c r="LM155" s="31"/>
      <c r="LN155" s="31"/>
      <c r="LO155" s="31"/>
      <c r="LP155" s="31"/>
      <c r="LQ155" s="31"/>
      <c r="LR155" s="31"/>
      <c r="LS155" s="31"/>
      <c r="LT155" s="31"/>
      <c r="LU155" s="31"/>
      <c r="LV155" s="31"/>
      <c r="LW155" s="31"/>
      <c r="LX155" s="31"/>
      <c r="LY155" s="31"/>
      <c r="LZ155" s="31"/>
      <c r="MA155" s="31"/>
      <c r="MB155" s="31"/>
      <c r="MC155" s="31"/>
      <c r="MD155" s="31"/>
      <c r="ME155" s="31"/>
      <c r="MF155" s="31"/>
      <c r="MG155" s="31"/>
      <c r="MH155" s="31"/>
      <c r="MI155" s="31"/>
      <c r="MJ155" s="31"/>
      <c r="MK155" s="31"/>
      <c r="ML155" s="31"/>
      <c r="MM155" s="31"/>
      <c r="MN155" s="31"/>
      <c r="MO155" s="31"/>
      <c r="MP155" s="31"/>
      <c r="MQ155" s="31"/>
      <c r="MR155" s="31"/>
      <c r="MS155" s="31"/>
      <c r="MT155" s="31"/>
      <c r="MU155" s="31"/>
      <c r="MV155" s="31"/>
      <c r="MW155" s="31"/>
      <c r="MX155" s="31"/>
      <c r="MY155" s="31"/>
      <c r="MZ155" s="31"/>
      <c r="NA155" s="31"/>
      <c r="NB155" s="31"/>
      <c r="NC155" s="31"/>
      <c r="ND155" s="31"/>
      <c r="NE155" s="31"/>
      <c r="NF155" s="31"/>
      <c r="NG155" s="31"/>
      <c r="NH155" s="31"/>
      <c r="NI155" s="31"/>
      <c r="NJ155" s="31"/>
      <c r="NK155" s="31"/>
      <c r="NL155" s="31"/>
      <c r="NM155" s="31"/>
      <c r="NN155" s="31"/>
      <c r="NO155" s="31"/>
      <c r="NP155" s="31"/>
      <c r="NQ155" s="31"/>
      <c r="NR155" s="31"/>
      <c r="NS155" s="31"/>
      <c r="NT155" s="31"/>
      <c r="NU155" s="31"/>
      <c r="NV155" s="31"/>
      <c r="NW155" s="31"/>
      <c r="NX155" s="31"/>
      <c r="NY155" s="31"/>
      <c r="NZ155" s="31"/>
      <c r="OA155" s="31"/>
      <c r="OB155" s="31"/>
      <c r="OC155" s="31"/>
      <c r="OD155" s="31"/>
      <c r="OE155" s="31"/>
      <c r="OF155" s="31"/>
      <c r="OG155" s="31"/>
      <c r="OH155" s="31"/>
      <c r="OI155" s="31"/>
      <c r="OJ155" s="31"/>
      <c r="OK155" s="31"/>
      <c r="OL155" s="31"/>
      <c r="OM155" s="31"/>
      <c r="ON155" s="31"/>
      <c r="OO155" s="31"/>
      <c r="OP155" s="31"/>
      <c r="OQ155" s="31"/>
      <c r="OR155" s="31"/>
      <c r="OS155" s="31"/>
      <c r="OT155" s="31"/>
      <c r="OU155" s="31"/>
      <c r="OV155" s="31"/>
      <c r="OW155" s="31"/>
      <c r="OX155" s="31"/>
    </row>
    <row r="156" spans="2:414" s="25" customFormat="1" ht="15.6">
      <c r="B156" s="25" t="s">
        <v>237</v>
      </c>
      <c r="C156" s="27" t="s">
        <v>238</v>
      </c>
      <c r="D156" s="30" t="s">
        <v>201</v>
      </c>
      <c r="G156" s="42">
        <v>500</v>
      </c>
      <c r="H156" s="89">
        <v>26.109000000000002</v>
      </c>
      <c r="I156" s="38">
        <f t="shared" si="52"/>
        <v>13054.5</v>
      </c>
      <c r="K156" s="42">
        <v>500</v>
      </c>
      <c r="L156" s="90">
        <v>26.849599999999999</v>
      </c>
      <c r="M156" s="38">
        <f t="shared" si="53"/>
        <v>13424.8</v>
      </c>
      <c r="O156" s="38">
        <v>80</v>
      </c>
      <c r="P156" s="38">
        <v>26.728300000000001</v>
      </c>
      <c r="Q156" s="38">
        <f t="shared" si="54"/>
        <v>2138.2640000000001</v>
      </c>
      <c r="R156" s="43">
        <f t="shared" si="61"/>
        <v>1080</v>
      </c>
      <c r="S156" s="38">
        <f t="shared" si="55"/>
        <v>28617.563999999998</v>
      </c>
      <c r="T156" s="49">
        <v>415</v>
      </c>
      <c r="U156" s="42">
        <v>26.109000000000002</v>
      </c>
      <c r="V156" s="38">
        <f t="shared" si="64"/>
        <v>10835.235000000001</v>
      </c>
      <c r="W156" s="42">
        <v>85</v>
      </c>
      <c r="X156" s="42">
        <v>26.109000000000002</v>
      </c>
      <c r="Y156" s="38">
        <f t="shared" si="63"/>
        <v>2219.2650000000003</v>
      </c>
      <c r="Z156" s="42">
        <v>250</v>
      </c>
      <c r="AA156" s="42">
        <v>26.869499999999999</v>
      </c>
      <c r="AB156" s="42">
        <f t="shared" si="45"/>
        <v>6717.375</v>
      </c>
      <c r="AD156" s="42">
        <v>180</v>
      </c>
      <c r="AE156" s="42">
        <v>26.9312</v>
      </c>
      <c r="AF156" s="42">
        <f t="shared" si="62"/>
        <v>4847.616</v>
      </c>
      <c r="AG156" s="42"/>
      <c r="AH156" s="42">
        <v>80</v>
      </c>
      <c r="AI156" s="42">
        <v>26.9312</v>
      </c>
      <c r="AJ156" s="42">
        <f t="shared" si="50"/>
        <v>2154.4960000000001</v>
      </c>
      <c r="AL156" s="42">
        <v>50</v>
      </c>
      <c r="AM156" s="42">
        <v>26.9312</v>
      </c>
      <c r="AN156" s="42">
        <f t="shared" si="51"/>
        <v>1346.56</v>
      </c>
      <c r="AO156" s="44"/>
      <c r="AP156" s="42"/>
      <c r="AQ156" s="42"/>
      <c r="AR156" s="42"/>
      <c r="AU156" s="98"/>
      <c r="AV156" s="35"/>
      <c r="AW156" s="104"/>
      <c r="AX156" s="42"/>
      <c r="AY156" s="42"/>
      <c r="AZ156" s="42">
        <f t="shared" si="49"/>
        <v>0</v>
      </c>
      <c r="BA156" s="42"/>
      <c r="BB156" s="42"/>
      <c r="BC156" s="42"/>
      <c r="BD156" s="38">
        <f t="shared" si="56"/>
        <v>0</v>
      </c>
      <c r="BE156" s="42"/>
      <c r="BF156" s="42"/>
      <c r="BG156" s="42"/>
      <c r="BH156" s="38">
        <f t="shared" si="57"/>
        <v>0</v>
      </c>
      <c r="BI156" s="42"/>
      <c r="BJ156" s="42"/>
      <c r="BK156" s="42"/>
      <c r="BL156" s="38">
        <f t="shared" si="58"/>
        <v>0</v>
      </c>
      <c r="BM156" s="42"/>
      <c r="BN156" s="42"/>
      <c r="BO156" s="42"/>
      <c r="BP156" s="42"/>
      <c r="BR156" s="42">
        <f t="shared" si="59"/>
        <v>28120.547000000002</v>
      </c>
      <c r="BS156" s="43">
        <f t="shared" si="60"/>
        <v>497.01699999999619</v>
      </c>
      <c r="BT156" s="42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  <c r="IM156" s="31"/>
      <c r="IN156" s="31"/>
      <c r="IO156" s="31"/>
      <c r="IP156" s="31"/>
      <c r="IQ156" s="31"/>
      <c r="IR156" s="31"/>
      <c r="IS156" s="31"/>
      <c r="IT156" s="31"/>
      <c r="IU156" s="31"/>
      <c r="IV156" s="31"/>
      <c r="IW156" s="31"/>
      <c r="IX156" s="31"/>
      <c r="IY156" s="31"/>
      <c r="IZ156" s="31"/>
      <c r="JA156" s="31"/>
      <c r="JB156" s="31"/>
      <c r="JC156" s="31"/>
      <c r="JD156" s="31"/>
      <c r="JE156" s="31"/>
      <c r="JF156" s="31"/>
      <c r="JG156" s="31"/>
      <c r="JH156" s="31"/>
      <c r="JI156" s="31"/>
      <c r="JJ156" s="31"/>
      <c r="JK156" s="31"/>
      <c r="JL156" s="31"/>
      <c r="JM156" s="31"/>
      <c r="JN156" s="31"/>
      <c r="JO156" s="31"/>
      <c r="JP156" s="31"/>
      <c r="JQ156" s="31"/>
      <c r="JR156" s="31"/>
      <c r="JS156" s="31"/>
      <c r="JT156" s="31"/>
      <c r="JU156" s="31"/>
      <c r="JV156" s="31"/>
      <c r="JW156" s="31"/>
      <c r="JX156" s="31"/>
      <c r="JY156" s="31"/>
      <c r="JZ156" s="31"/>
      <c r="KA156" s="31"/>
      <c r="KB156" s="31"/>
      <c r="KC156" s="31"/>
      <c r="KD156" s="31"/>
      <c r="KE156" s="31"/>
      <c r="KF156" s="31"/>
      <c r="KG156" s="31"/>
      <c r="KH156" s="31"/>
      <c r="KI156" s="31"/>
      <c r="KJ156" s="31"/>
      <c r="KK156" s="31"/>
      <c r="KL156" s="31"/>
      <c r="KM156" s="31"/>
      <c r="KN156" s="31"/>
      <c r="KO156" s="31"/>
      <c r="KP156" s="31"/>
      <c r="KQ156" s="31"/>
      <c r="KR156" s="31"/>
      <c r="KS156" s="31"/>
      <c r="KT156" s="31"/>
      <c r="KU156" s="31"/>
      <c r="KV156" s="31"/>
      <c r="KW156" s="31"/>
      <c r="KX156" s="31"/>
      <c r="KY156" s="31"/>
      <c r="KZ156" s="31"/>
      <c r="LA156" s="31"/>
      <c r="LB156" s="31"/>
      <c r="LC156" s="31"/>
      <c r="LD156" s="31"/>
      <c r="LE156" s="31"/>
      <c r="LF156" s="31"/>
      <c r="LG156" s="31"/>
      <c r="LH156" s="31"/>
      <c r="LI156" s="31"/>
      <c r="LJ156" s="31"/>
      <c r="LK156" s="31"/>
      <c r="LL156" s="31"/>
      <c r="LM156" s="31"/>
      <c r="LN156" s="31"/>
      <c r="LO156" s="31"/>
      <c r="LP156" s="31"/>
      <c r="LQ156" s="31"/>
      <c r="LR156" s="31"/>
      <c r="LS156" s="31"/>
      <c r="LT156" s="31"/>
      <c r="LU156" s="31"/>
      <c r="LV156" s="31"/>
      <c r="LW156" s="31"/>
      <c r="LX156" s="31"/>
      <c r="LY156" s="31"/>
      <c r="LZ156" s="31"/>
      <c r="MA156" s="31"/>
      <c r="MB156" s="31"/>
      <c r="MC156" s="31"/>
      <c r="MD156" s="31"/>
      <c r="ME156" s="31"/>
      <c r="MF156" s="31"/>
      <c r="MG156" s="31"/>
      <c r="MH156" s="31"/>
      <c r="MI156" s="31"/>
      <c r="MJ156" s="31"/>
      <c r="MK156" s="31"/>
      <c r="ML156" s="31"/>
      <c r="MM156" s="31"/>
      <c r="MN156" s="31"/>
      <c r="MO156" s="31"/>
      <c r="MP156" s="31"/>
      <c r="MQ156" s="31"/>
      <c r="MR156" s="31"/>
      <c r="MS156" s="31"/>
      <c r="MT156" s="31"/>
      <c r="MU156" s="31"/>
      <c r="MV156" s="31"/>
      <c r="MW156" s="31"/>
      <c r="MX156" s="31"/>
      <c r="MY156" s="31"/>
      <c r="MZ156" s="31"/>
      <c r="NA156" s="31"/>
      <c r="NB156" s="31"/>
      <c r="NC156" s="31"/>
      <c r="ND156" s="31"/>
      <c r="NE156" s="31"/>
      <c r="NF156" s="31"/>
      <c r="NG156" s="31"/>
      <c r="NH156" s="31"/>
      <c r="NI156" s="31"/>
      <c r="NJ156" s="31"/>
      <c r="NK156" s="31"/>
      <c r="NL156" s="31"/>
      <c r="NM156" s="31"/>
      <c r="NN156" s="31"/>
      <c r="NO156" s="31"/>
      <c r="NP156" s="31"/>
      <c r="NQ156" s="31"/>
      <c r="NR156" s="31"/>
      <c r="NS156" s="31"/>
      <c r="NT156" s="31"/>
      <c r="NU156" s="31"/>
      <c r="NV156" s="31"/>
      <c r="NW156" s="31"/>
      <c r="NX156" s="31"/>
      <c r="NY156" s="31"/>
      <c r="NZ156" s="31"/>
      <c r="OA156" s="31"/>
      <c r="OB156" s="31"/>
      <c r="OC156" s="31"/>
      <c r="OD156" s="31"/>
      <c r="OE156" s="31"/>
      <c r="OF156" s="31"/>
      <c r="OG156" s="31"/>
      <c r="OH156" s="31"/>
      <c r="OI156" s="31"/>
      <c r="OJ156" s="31"/>
      <c r="OK156" s="31"/>
      <c r="OL156" s="31"/>
      <c r="OM156" s="31"/>
      <c r="ON156" s="31"/>
      <c r="OO156" s="31"/>
      <c r="OP156" s="31"/>
      <c r="OQ156" s="31"/>
      <c r="OR156" s="31"/>
      <c r="OS156" s="31"/>
      <c r="OT156" s="31"/>
      <c r="OU156" s="31"/>
      <c r="OV156" s="31"/>
      <c r="OW156" s="31"/>
      <c r="OX156" s="31"/>
    </row>
    <row r="157" spans="2:414" s="25" customFormat="1" ht="15.6">
      <c r="B157" s="25" t="s">
        <v>239</v>
      </c>
      <c r="C157" s="27" t="s">
        <v>240</v>
      </c>
      <c r="D157" s="30" t="s">
        <v>201</v>
      </c>
      <c r="G157" s="42">
        <v>500</v>
      </c>
      <c r="H157" s="89">
        <v>26.109000000000002</v>
      </c>
      <c r="I157" s="38">
        <f t="shared" si="52"/>
        <v>13054.5</v>
      </c>
      <c r="K157" s="42">
        <v>500</v>
      </c>
      <c r="L157" s="90">
        <v>26.849599999999999</v>
      </c>
      <c r="M157" s="38">
        <f t="shared" si="53"/>
        <v>13424.8</v>
      </c>
      <c r="O157" s="38">
        <v>80</v>
      </c>
      <c r="P157" s="38">
        <v>26.728300000000001</v>
      </c>
      <c r="Q157" s="38">
        <f t="shared" si="54"/>
        <v>2138.2640000000001</v>
      </c>
      <c r="R157" s="43">
        <f t="shared" si="61"/>
        <v>1080</v>
      </c>
      <c r="S157" s="38">
        <f t="shared" si="55"/>
        <v>28617.563999999998</v>
      </c>
      <c r="T157" s="49"/>
      <c r="U157" s="42"/>
      <c r="V157" s="38">
        <f t="shared" si="64"/>
        <v>0</v>
      </c>
      <c r="W157" s="42"/>
      <c r="X157" s="42"/>
      <c r="Y157" s="38">
        <f t="shared" si="63"/>
        <v>0</v>
      </c>
      <c r="Z157" s="42"/>
      <c r="AA157" s="42"/>
      <c r="AB157" s="42">
        <f t="shared" si="45"/>
        <v>0</v>
      </c>
      <c r="AD157" s="42"/>
      <c r="AE157" s="42"/>
      <c r="AF157" s="42">
        <f t="shared" si="62"/>
        <v>0</v>
      </c>
      <c r="AG157" s="42"/>
      <c r="AH157" s="42"/>
      <c r="AI157" s="42"/>
      <c r="AJ157" s="42">
        <f t="shared" si="50"/>
        <v>0</v>
      </c>
      <c r="AL157" s="42"/>
      <c r="AM157" s="42"/>
      <c r="AN157" s="42">
        <f t="shared" si="51"/>
        <v>0</v>
      </c>
      <c r="AO157" s="44"/>
      <c r="AP157" s="42"/>
      <c r="AQ157" s="42"/>
      <c r="AR157" s="42"/>
      <c r="AU157" s="98"/>
      <c r="AV157" s="35"/>
      <c r="AW157" s="104"/>
      <c r="AX157" s="42"/>
      <c r="AY157" s="42"/>
      <c r="AZ157" s="42">
        <f t="shared" si="49"/>
        <v>0</v>
      </c>
      <c r="BA157" s="42"/>
      <c r="BB157" s="42"/>
      <c r="BC157" s="42"/>
      <c r="BD157" s="38">
        <f t="shared" si="56"/>
        <v>0</v>
      </c>
      <c r="BE157" s="42"/>
      <c r="BF157" s="42"/>
      <c r="BG157" s="42"/>
      <c r="BH157" s="38">
        <f t="shared" si="57"/>
        <v>0</v>
      </c>
      <c r="BI157" s="42"/>
      <c r="BJ157" s="42"/>
      <c r="BK157" s="42"/>
      <c r="BL157" s="38">
        <f t="shared" si="58"/>
        <v>0</v>
      </c>
      <c r="BM157" s="42"/>
      <c r="BN157" s="42"/>
      <c r="BO157" s="42"/>
      <c r="BP157" s="42"/>
      <c r="BR157" s="42">
        <f t="shared" si="59"/>
        <v>0</v>
      </c>
      <c r="BS157" s="43">
        <f t="shared" si="60"/>
        <v>28617.563999999998</v>
      </c>
      <c r="BT157" s="42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  <c r="IM157" s="31"/>
      <c r="IN157" s="31"/>
      <c r="IO157" s="31"/>
      <c r="IP157" s="31"/>
      <c r="IQ157" s="31"/>
      <c r="IR157" s="31"/>
      <c r="IS157" s="31"/>
      <c r="IT157" s="31"/>
      <c r="IU157" s="31"/>
      <c r="IV157" s="31"/>
      <c r="IW157" s="31"/>
      <c r="IX157" s="31"/>
      <c r="IY157" s="31"/>
      <c r="IZ157" s="31"/>
      <c r="JA157" s="31"/>
      <c r="JB157" s="31"/>
      <c r="JC157" s="31"/>
      <c r="JD157" s="31"/>
      <c r="JE157" s="31"/>
      <c r="JF157" s="31"/>
      <c r="JG157" s="31"/>
      <c r="JH157" s="31"/>
      <c r="JI157" s="31"/>
      <c r="JJ157" s="31"/>
      <c r="JK157" s="31"/>
      <c r="JL157" s="31"/>
      <c r="JM157" s="31"/>
      <c r="JN157" s="31"/>
      <c r="JO157" s="31"/>
      <c r="JP157" s="31"/>
      <c r="JQ157" s="31"/>
      <c r="JR157" s="31"/>
      <c r="JS157" s="31"/>
      <c r="JT157" s="31"/>
      <c r="JU157" s="31"/>
      <c r="JV157" s="31"/>
      <c r="JW157" s="31"/>
      <c r="JX157" s="31"/>
      <c r="JY157" s="31"/>
      <c r="JZ157" s="31"/>
      <c r="KA157" s="31"/>
      <c r="KB157" s="31"/>
      <c r="KC157" s="31"/>
      <c r="KD157" s="31"/>
      <c r="KE157" s="31"/>
      <c r="KF157" s="31"/>
      <c r="KG157" s="31"/>
      <c r="KH157" s="31"/>
      <c r="KI157" s="31"/>
      <c r="KJ157" s="31"/>
      <c r="KK157" s="31"/>
      <c r="KL157" s="31"/>
      <c r="KM157" s="31"/>
      <c r="KN157" s="31"/>
      <c r="KO157" s="31"/>
      <c r="KP157" s="31"/>
      <c r="KQ157" s="31"/>
      <c r="KR157" s="31"/>
      <c r="KS157" s="31"/>
      <c r="KT157" s="31"/>
      <c r="KU157" s="31"/>
      <c r="KV157" s="31"/>
      <c r="KW157" s="31"/>
      <c r="KX157" s="31"/>
      <c r="KY157" s="31"/>
      <c r="KZ157" s="31"/>
      <c r="LA157" s="31"/>
      <c r="LB157" s="31"/>
      <c r="LC157" s="31"/>
      <c r="LD157" s="31"/>
      <c r="LE157" s="31"/>
      <c r="LF157" s="31"/>
      <c r="LG157" s="31"/>
      <c r="LH157" s="31"/>
      <c r="LI157" s="31"/>
      <c r="LJ157" s="31"/>
      <c r="LK157" s="31"/>
      <c r="LL157" s="31"/>
      <c r="LM157" s="31"/>
      <c r="LN157" s="31"/>
      <c r="LO157" s="31"/>
      <c r="LP157" s="31"/>
      <c r="LQ157" s="31"/>
      <c r="LR157" s="31"/>
      <c r="LS157" s="31"/>
      <c r="LT157" s="31"/>
      <c r="LU157" s="31"/>
      <c r="LV157" s="31"/>
      <c r="LW157" s="31"/>
      <c r="LX157" s="31"/>
      <c r="LY157" s="31"/>
      <c r="LZ157" s="31"/>
      <c r="MA157" s="31"/>
      <c r="MB157" s="31"/>
      <c r="MC157" s="31"/>
      <c r="MD157" s="31"/>
      <c r="ME157" s="31"/>
      <c r="MF157" s="31"/>
      <c r="MG157" s="31"/>
      <c r="MH157" s="31"/>
      <c r="MI157" s="31"/>
      <c r="MJ157" s="31"/>
      <c r="MK157" s="31"/>
      <c r="ML157" s="31"/>
      <c r="MM157" s="31"/>
      <c r="MN157" s="31"/>
      <c r="MO157" s="31"/>
      <c r="MP157" s="31"/>
      <c r="MQ157" s="31"/>
      <c r="MR157" s="31"/>
      <c r="MS157" s="31"/>
      <c r="MT157" s="31"/>
      <c r="MU157" s="31"/>
      <c r="MV157" s="31"/>
      <c r="MW157" s="31"/>
      <c r="MX157" s="31"/>
      <c r="MY157" s="31"/>
      <c r="MZ157" s="31"/>
      <c r="NA157" s="31"/>
      <c r="NB157" s="31"/>
      <c r="NC157" s="31"/>
      <c r="ND157" s="31"/>
      <c r="NE157" s="31"/>
      <c r="NF157" s="31"/>
      <c r="NG157" s="31"/>
      <c r="NH157" s="31"/>
      <c r="NI157" s="31"/>
      <c r="NJ157" s="31"/>
      <c r="NK157" s="31"/>
      <c r="NL157" s="31"/>
      <c r="NM157" s="31"/>
      <c r="NN157" s="31"/>
      <c r="NO157" s="31"/>
      <c r="NP157" s="31"/>
      <c r="NQ157" s="31"/>
      <c r="NR157" s="31"/>
      <c r="NS157" s="31"/>
      <c r="NT157" s="31"/>
      <c r="NU157" s="31"/>
      <c r="NV157" s="31"/>
      <c r="NW157" s="31"/>
      <c r="NX157" s="31"/>
      <c r="NY157" s="31"/>
      <c r="NZ157" s="31"/>
      <c r="OA157" s="31"/>
      <c r="OB157" s="31"/>
      <c r="OC157" s="31"/>
      <c r="OD157" s="31"/>
      <c r="OE157" s="31"/>
      <c r="OF157" s="31"/>
      <c r="OG157" s="31"/>
      <c r="OH157" s="31"/>
      <c r="OI157" s="31"/>
      <c r="OJ157" s="31"/>
      <c r="OK157" s="31"/>
      <c r="OL157" s="31"/>
      <c r="OM157" s="31"/>
      <c r="ON157" s="31"/>
      <c r="OO157" s="31"/>
      <c r="OP157" s="31"/>
      <c r="OQ157" s="31"/>
      <c r="OR157" s="31"/>
      <c r="OS157" s="31"/>
      <c r="OT157" s="31"/>
      <c r="OU157" s="31"/>
      <c r="OV157" s="31"/>
      <c r="OW157" s="31"/>
      <c r="OX157" s="31"/>
    </row>
    <row r="158" spans="2:414" s="25" customFormat="1" ht="15.6">
      <c r="B158" s="25" t="s">
        <v>241</v>
      </c>
      <c r="C158" s="27" t="s">
        <v>242</v>
      </c>
      <c r="D158" s="30" t="s">
        <v>201</v>
      </c>
      <c r="G158" s="42">
        <v>500</v>
      </c>
      <c r="H158" s="89">
        <v>26.109000000000002</v>
      </c>
      <c r="I158" s="38">
        <f t="shared" si="52"/>
        <v>13054.5</v>
      </c>
      <c r="K158" s="42">
        <v>500</v>
      </c>
      <c r="L158" s="90">
        <v>26.849599999999999</v>
      </c>
      <c r="M158" s="38">
        <f t="shared" si="53"/>
        <v>13424.8</v>
      </c>
      <c r="O158" s="38">
        <v>80</v>
      </c>
      <c r="P158" s="38">
        <v>26.728300000000001</v>
      </c>
      <c r="Q158" s="38">
        <f t="shared" si="54"/>
        <v>2138.2640000000001</v>
      </c>
      <c r="R158" s="43">
        <f t="shared" si="61"/>
        <v>1080</v>
      </c>
      <c r="S158" s="38">
        <f t="shared" si="55"/>
        <v>28617.563999999998</v>
      </c>
      <c r="T158" s="49"/>
      <c r="U158" s="42"/>
      <c r="V158" s="38">
        <f t="shared" si="64"/>
        <v>0</v>
      </c>
      <c r="W158" s="42"/>
      <c r="X158" s="42"/>
      <c r="Y158" s="38">
        <f t="shared" si="63"/>
        <v>0</v>
      </c>
      <c r="Z158" s="42"/>
      <c r="AA158" s="42"/>
      <c r="AB158" s="42">
        <f t="shared" si="45"/>
        <v>0</v>
      </c>
      <c r="AD158" s="42"/>
      <c r="AE158" s="42"/>
      <c r="AF158" s="42">
        <f t="shared" si="62"/>
        <v>0</v>
      </c>
      <c r="AG158" s="42"/>
      <c r="AH158" s="42"/>
      <c r="AI158" s="42"/>
      <c r="AJ158" s="42">
        <f t="shared" si="50"/>
        <v>0</v>
      </c>
      <c r="AL158" s="42"/>
      <c r="AM158" s="42"/>
      <c r="AN158" s="42">
        <f t="shared" si="51"/>
        <v>0</v>
      </c>
      <c r="AO158" s="44"/>
      <c r="AP158" s="42"/>
      <c r="AQ158" s="42"/>
      <c r="AR158" s="42"/>
      <c r="AU158" s="98"/>
      <c r="AV158" s="35"/>
      <c r="AW158" s="104"/>
      <c r="AX158" s="42"/>
      <c r="AY158" s="42"/>
      <c r="AZ158" s="42">
        <f t="shared" si="49"/>
        <v>0</v>
      </c>
      <c r="BA158" s="42"/>
      <c r="BB158" s="42"/>
      <c r="BC158" s="42"/>
      <c r="BD158" s="38">
        <f t="shared" si="56"/>
        <v>0</v>
      </c>
      <c r="BE158" s="42"/>
      <c r="BF158" s="42"/>
      <c r="BG158" s="42"/>
      <c r="BH158" s="38">
        <f t="shared" si="57"/>
        <v>0</v>
      </c>
      <c r="BI158" s="42"/>
      <c r="BJ158" s="42"/>
      <c r="BK158" s="42"/>
      <c r="BL158" s="38">
        <f t="shared" si="58"/>
        <v>0</v>
      </c>
      <c r="BM158" s="42"/>
      <c r="BN158" s="42"/>
      <c r="BO158" s="42"/>
      <c r="BP158" s="42"/>
      <c r="BR158" s="42">
        <f t="shared" si="59"/>
        <v>0</v>
      </c>
      <c r="BS158" s="43">
        <f t="shared" si="60"/>
        <v>28617.563999999998</v>
      </c>
      <c r="BT158" s="42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  <c r="IM158" s="31"/>
      <c r="IN158" s="31"/>
      <c r="IO158" s="31"/>
      <c r="IP158" s="31"/>
      <c r="IQ158" s="31"/>
      <c r="IR158" s="31"/>
      <c r="IS158" s="31"/>
      <c r="IT158" s="31"/>
      <c r="IU158" s="31"/>
      <c r="IV158" s="31"/>
      <c r="IW158" s="31"/>
      <c r="IX158" s="31"/>
      <c r="IY158" s="31"/>
      <c r="IZ158" s="31"/>
      <c r="JA158" s="31"/>
      <c r="JB158" s="31"/>
      <c r="JC158" s="31"/>
      <c r="JD158" s="31"/>
      <c r="JE158" s="31"/>
      <c r="JF158" s="31"/>
      <c r="JG158" s="31"/>
      <c r="JH158" s="31"/>
      <c r="JI158" s="31"/>
      <c r="JJ158" s="31"/>
      <c r="JK158" s="31"/>
      <c r="JL158" s="31"/>
      <c r="JM158" s="31"/>
      <c r="JN158" s="31"/>
      <c r="JO158" s="31"/>
      <c r="JP158" s="31"/>
      <c r="JQ158" s="31"/>
      <c r="JR158" s="31"/>
      <c r="JS158" s="31"/>
      <c r="JT158" s="31"/>
      <c r="JU158" s="31"/>
      <c r="JV158" s="31"/>
      <c r="JW158" s="31"/>
      <c r="JX158" s="31"/>
      <c r="JY158" s="31"/>
      <c r="JZ158" s="31"/>
      <c r="KA158" s="31"/>
      <c r="KB158" s="31"/>
      <c r="KC158" s="31"/>
      <c r="KD158" s="31"/>
      <c r="KE158" s="31"/>
      <c r="KF158" s="31"/>
      <c r="KG158" s="31"/>
      <c r="KH158" s="31"/>
      <c r="KI158" s="31"/>
      <c r="KJ158" s="31"/>
      <c r="KK158" s="31"/>
      <c r="KL158" s="31"/>
      <c r="KM158" s="31"/>
      <c r="KN158" s="31"/>
      <c r="KO158" s="31"/>
      <c r="KP158" s="31"/>
      <c r="KQ158" s="31"/>
      <c r="KR158" s="31"/>
      <c r="KS158" s="31"/>
      <c r="KT158" s="31"/>
      <c r="KU158" s="31"/>
      <c r="KV158" s="31"/>
      <c r="KW158" s="31"/>
      <c r="KX158" s="31"/>
      <c r="KY158" s="31"/>
      <c r="KZ158" s="31"/>
      <c r="LA158" s="31"/>
      <c r="LB158" s="31"/>
      <c r="LC158" s="31"/>
      <c r="LD158" s="31"/>
      <c r="LE158" s="31"/>
      <c r="LF158" s="31"/>
      <c r="LG158" s="31"/>
      <c r="LH158" s="31"/>
      <c r="LI158" s="31"/>
      <c r="LJ158" s="31"/>
      <c r="LK158" s="31"/>
      <c r="LL158" s="31"/>
      <c r="LM158" s="31"/>
      <c r="LN158" s="31"/>
      <c r="LO158" s="31"/>
      <c r="LP158" s="31"/>
      <c r="LQ158" s="31"/>
      <c r="LR158" s="31"/>
      <c r="LS158" s="31"/>
      <c r="LT158" s="31"/>
      <c r="LU158" s="31"/>
      <c r="LV158" s="31"/>
      <c r="LW158" s="31"/>
      <c r="LX158" s="31"/>
      <c r="LY158" s="31"/>
      <c r="LZ158" s="31"/>
      <c r="MA158" s="31"/>
      <c r="MB158" s="31"/>
      <c r="MC158" s="31"/>
      <c r="MD158" s="31"/>
      <c r="ME158" s="31"/>
      <c r="MF158" s="31"/>
      <c r="MG158" s="31"/>
      <c r="MH158" s="31"/>
      <c r="MI158" s="31"/>
      <c r="MJ158" s="31"/>
      <c r="MK158" s="31"/>
      <c r="ML158" s="31"/>
      <c r="MM158" s="31"/>
      <c r="MN158" s="31"/>
      <c r="MO158" s="31"/>
      <c r="MP158" s="31"/>
      <c r="MQ158" s="31"/>
      <c r="MR158" s="31"/>
      <c r="MS158" s="31"/>
      <c r="MT158" s="31"/>
      <c r="MU158" s="31"/>
      <c r="MV158" s="31"/>
      <c r="MW158" s="31"/>
      <c r="MX158" s="31"/>
      <c r="MY158" s="31"/>
      <c r="MZ158" s="31"/>
      <c r="NA158" s="31"/>
      <c r="NB158" s="31"/>
      <c r="NC158" s="31"/>
      <c r="ND158" s="31"/>
      <c r="NE158" s="31"/>
      <c r="NF158" s="31"/>
      <c r="NG158" s="31"/>
      <c r="NH158" s="31"/>
      <c r="NI158" s="31"/>
      <c r="NJ158" s="31"/>
      <c r="NK158" s="31"/>
      <c r="NL158" s="31"/>
      <c r="NM158" s="31"/>
      <c r="NN158" s="31"/>
      <c r="NO158" s="31"/>
      <c r="NP158" s="31"/>
      <c r="NQ158" s="31"/>
      <c r="NR158" s="31"/>
      <c r="NS158" s="31"/>
      <c r="NT158" s="31"/>
      <c r="NU158" s="31"/>
      <c r="NV158" s="31"/>
      <c r="NW158" s="31"/>
      <c r="NX158" s="31"/>
      <c r="NY158" s="31"/>
      <c r="NZ158" s="31"/>
      <c r="OA158" s="31"/>
      <c r="OB158" s="31"/>
      <c r="OC158" s="31"/>
      <c r="OD158" s="31"/>
      <c r="OE158" s="31"/>
      <c r="OF158" s="31"/>
      <c r="OG158" s="31"/>
      <c r="OH158" s="31"/>
      <c r="OI158" s="31"/>
      <c r="OJ158" s="31"/>
      <c r="OK158" s="31"/>
      <c r="OL158" s="31"/>
      <c r="OM158" s="31"/>
      <c r="ON158" s="31"/>
      <c r="OO158" s="31"/>
      <c r="OP158" s="31"/>
      <c r="OQ158" s="31"/>
      <c r="OR158" s="31"/>
      <c r="OS158" s="31"/>
      <c r="OT158" s="31"/>
      <c r="OU158" s="31"/>
      <c r="OV158" s="31"/>
      <c r="OW158" s="31"/>
      <c r="OX158" s="31"/>
    </row>
    <row r="159" spans="2:414" s="25" customFormat="1" ht="15.6">
      <c r="B159" s="25" t="s">
        <v>243</v>
      </c>
      <c r="C159" s="27" t="s">
        <v>244</v>
      </c>
      <c r="D159" s="30" t="s">
        <v>201</v>
      </c>
      <c r="G159" s="42">
        <v>500</v>
      </c>
      <c r="H159" s="89">
        <v>26.109000000000002</v>
      </c>
      <c r="I159" s="38">
        <f t="shared" si="52"/>
        <v>13054.5</v>
      </c>
      <c r="K159" s="42">
        <v>500</v>
      </c>
      <c r="L159" s="90">
        <v>26.849599999999999</v>
      </c>
      <c r="M159" s="38">
        <f t="shared" si="53"/>
        <v>13424.8</v>
      </c>
      <c r="O159" s="38">
        <v>80</v>
      </c>
      <c r="P159" s="38">
        <v>26.728300000000001</v>
      </c>
      <c r="Q159" s="38">
        <f t="shared" si="54"/>
        <v>2138.2640000000001</v>
      </c>
      <c r="R159" s="43">
        <f t="shared" si="61"/>
        <v>1080</v>
      </c>
      <c r="S159" s="38">
        <f t="shared" si="55"/>
        <v>28617.563999999998</v>
      </c>
      <c r="T159" s="49"/>
      <c r="U159" s="42"/>
      <c r="V159" s="38">
        <f t="shared" si="64"/>
        <v>0</v>
      </c>
      <c r="W159" s="42"/>
      <c r="X159" s="42"/>
      <c r="Y159" s="38">
        <f t="shared" si="63"/>
        <v>0</v>
      </c>
      <c r="Z159" s="42"/>
      <c r="AA159" s="42"/>
      <c r="AB159" s="42">
        <f t="shared" si="45"/>
        <v>0</v>
      </c>
      <c r="AD159" s="42"/>
      <c r="AE159" s="42"/>
      <c r="AF159" s="42">
        <f t="shared" si="62"/>
        <v>0</v>
      </c>
      <c r="AG159" s="42"/>
      <c r="AH159" s="42"/>
      <c r="AI159" s="42"/>
      <c r="AJ159" s="42">
        <f t="shared" si="50"/>
        <v>0</v>
      </c>
      <c r="AL159" s="42"/>
      <c r="AM159" s="42"/>
      <c r="AN159" s="42">
        <f t="shared" si="51"/>
        <v>0</v>
      </c>
      <c r="AO159" s="44"/>
      <c r="AP159" s="42"/>
      <c r="AQ159" s="42"/>
      <c r="AR159" s="42"/>
      <c r="AU159" s="98"/>
      <c r="AV159" s="35"/>
      <c r="AW159" s="104"/>
      <c r="AX159" s="42"/>
      <c r="AY159" s="42"/>
      <c r="AZ159" s="42">
        <f t="shared" si="49"/>
        <v>0</v>
      </c>
      <c r="BA159" s="42"/>
      <c r="BB159" s="42"/>
      <c r="BC159" s="42"/>
      <c r="BD159" s="38">
        <f t="shared" si="56"/>
        <v>0</v>
      </c>
      <c r="BE159" s="42"/>
      <c r="BF159" s="42"/>
      <c r="BG159" s="42"/>
      <c r="BH159" s="38">
        <f t="shared" si="57"/>
        <v>0</v>
      </c>
      <c r="BI159" s="42"/>
      <c r="BJ159" s="42"/>
      <c r="BK159" s="42"/>
      <c r="BL159" s="38">
        <f t="shared" si="58"/>
        <v>0</v>
      </c>
      <c r="BM159" s="42"/>
      <c r="BN159" s="42"/>
      <c r="BO159" s="42"/>
      <c r="BP159" s="42"/>
      <c r="BR159" s="42">
        <f t="shared" si="59"/>
        <v>0</v>
      </c>
      <c r="BS159" s="43">
        <f t="shared" si="60"/>
        <v>28617.563999999998</v>
      </c>
      <c r="BT159" s="42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  <c r="IM159" s="31"/>
      <c r="IN159" s="31"/>
      <c r="IO159" s="31"/>
      <c r="IP159" s="31"/>
      <c r="IQ159" s="31"/>
      <c r="IR159" s="31"/>
      <c r="IS159" s="31"/>
      <c r="IT159" s="31"/>
      <c r="IU159" s="31"/>
      <c r="IV159" s="31"/>
      <c r="IW159" s="31"/>
      <c r="IX159" s="31"/>
      <c r="IY159" s="31"/>
      <c r="IZ159" s="31"/>
      <c r="JA159" s="31"/>
      <c r="JB159" s="31"/>
      <c r="JC159" s="31"/>
      <c r="JD159" s="31"/>
      <c r="JE159" s="31"/>
      <c r="JF159" s="31"/>
      <c r="JG159" s="31"/>
      <c r="JH159" s="31"/>
      <c r="JI159" s="31"/>
      <c r="JJ159" s="31"/>
      <c r="JK159" s="31"/>
      <c r="JL159" s="31"/>
      <c r="JM159" s="31"/>
      <c r="JN159" s="31"/>
      <c r="JO159" s="31"/>
      <c r="JP159" s="31"/>
      <c r="JQ159" s="31"/>
      <c r="JR159" s="31"/>
      <c r="JS159" s="31"/>
      <c r="JT159" s="31"/>
      <c r="JU159" s="31"/>
      <c r="JV159" s="31"/>
      <c r="JW159" s="31"/>
      <c r="JX159" s="31"/>
      <c r="JY159" s="31"/>
      <c r="JZ159" s="31"/>
      <c r="KA159" s="31"/>
      <c r="KB159" s="31"/>
      <c r="KC159" s="31"/>
      <c r="KD159" s="31"/>
      <c r="KE159" s="31"/>
      <c r="KF159" s="31"/>
      <c r="KG159" s="31"/>
      <c r="KH159" s="31"/>
      <c r="KI159" s="31"/>
      <c r="KJ159" s="31"/>
      <c r="KK159" s="31"/>
      <c r="KL159" s="31"/>
      <c r="KM159" s="31"/>
      <c r="KN159" s="31"/>
      <c r="KO159" s="31"/>
      <c r="KP159" s="31"/>
      <c r="KQ159" s="31"/>
      <c r="KR159" s="31"/>
      <c r="KS159" s="31"/>
      <c r="KT159" s="31"/>
      <c r="KU159" s="31"/>
      <c r="KV159" s="31"/>
      <c r="KW159" s="31"/>
      <c r="KX159" s="31"/>
      <c r="KY159" s="31"/>
      <c r="KZ159" s="31"/>
      <c r="LA159" s="31"/>
      <c r="LB159" s="31"/>
      <c r="LC159" s="31"/>
      <c r="LD159" s="31"/>
      <c r="LE159" s="31"/>
      <c r="LF159" s="31"/>
      <c r="LG159" s="31"/>
      <c r="LH159" s="31"/>
      <c r="LI159" s="31"/>
      <c r="LJ159" s="31"/>
      <c r="LK159" s="31"/>
      <c r="LL159" s="31"/>
      <c r="LM159" s="31"/>
      <c r="LN159" s="31"/>
      <c r="LO159" s="31"/>
      <c r="LP159" s="31"/>
      <c r="LQ159" s="31"/>
      <c r="LR159" s="31"/>
      <c r="LS159" s="31"/>
      <c r="LT159" s="31"/>
      <c r="LU159" s="31"/>
      <c r="LV159" s="31"/>
      <c r="LW159" s="31"/>
      <c r="LX159" s="31"/>
      <c r="LY159" s="31"/>
      <c r="LZ159" s="31"/>
      <c r="MA159" s="31"/>
      <c r="MB159" s="31"/>
      <c r="MC159" s="31"/>
      <c r="MD159" s="31"/>
      <c r="ME159" s="31"/>
      <c r="MF159" s="31"/>
      <c r="MG159" s="31"/>
      <c r="MH159" s="31"/>
      <c r="MI159" s="31"/>
      <c r="MJ159" s="31"/>
      <c r="MK159" s="31"/>
      <c r="ML159" s="31"/>
      <c r="MM159" s="31"/>
      <c r="MN159" s="31"/>
      <c r="MO159" s="31"/>
      <c r="MP159" s="31"/>
      <c r="MQ159" s="31"/>
      <c r="MR159" s="31"/>
      <c r="MS159" s="31"/>
      <c r="MT159" s="31"/>
      <c r="MU159" s="31"/>
      <c r="MV159" s="31"/>
      <c r="MW159" s="31"/>
      <c r="MX159" s="31"/>
      <c r="MY159" s="31"/>
      <c r="MZ159" s="31"/>
      <c r="NA159" s="31"/>
      <c r="NB159" s="31"/>
      <c r="NC159" s="31"/>
      <c r="ND159" s="31"/>
      <c r="NE159" s="31"/>
      <c r="NF159" s="31"/>
      <c r="NG159" s="31"/>
      <c r="NH159" s="31"/>
      <c r="NI159" s="31"/>
      <c r="NJ159" s="31"/>
      <c r="NK159" s="31"/>
      <c r="NL159" s="31"/>
      <c r="NM159" s="31"/>
      <c r="NN159" s="31"/>
      <c r="NO159" s="31"/>
      <c r="NP159" s="31"/>
      <c r="NQ159" s="31"/>
      <c r="NR159" s="31"/>
      <c r="NS159" s="31"/>
      <c r="NT159" s="31"/>
      <c r="NU159" s="31"/>
      <c r="NV159" s="31"/>
      <c r="NW159" s="31"/>
      <c r="NX159" s="31"/>
      <c r="NY159" s="31"/>
      <c r="NZ159" s="31"/>
      <c r="OA159" s="31"/>
      <c r="OB159" s="31"/>
      <c r="OC159" s="31"/>
      <c r="OD159" s="31"/>
      <c r="OE159" s="31"/>
      <c r="OF159" s="31"/>
      <c r="OG159" s="31"/>
      <c r="OH159" s="31"/>
      <c r="OI159" s="31"/>
      <c r="OJ159" s="31"/>
      <c r="OK159" s="31"/>
      <c r="OL159" s="31"/>
      <c r="OM159" s="31"/>
      <c r="ON159" s="31"/>
      <c r="OO159" s="31"/>
      <c r="OP159" s="31"/>
      <c r="OQ159" s="31"/>
      <c r="OR159" s="31"/>
      <c r="OS159" s="31"/>
      <c r="OT159" s="31"/>
      <c r="OU159" s="31"/>
      <c r="OV159" s="31"/>
      <c r="OW159" s="31"/>
      <c r="OX159" s="31"/>
    </row>
    <row r="160" spans="2:414" s="25" customFormat="1" ht="15.6">
      <c r="B160" s="25" t="s">
        <v>245</v>
      </c>
      <c r="C160" s="27" t="s">
        <v>138</v>
      </c>
      <c r="D160" s="30" t="s">
        <v>201</v>
      </c>
      <c r="G160" s="42">
        <v>500</v>
      </c>
      <c r="H160" s="89">
        <v>26.109000000000002</v>
      </c>
      <c r="I160" s="38">
        <f t="shared" si="52"/>
        <v>13054.5</v>
      </c>
      <c r="K160" s="42">
        <v>500</v>
      </c>
      <c r="L160" s="90">
        <v>26.849599999999999</v>
      </c>
      <c r="M160" s="38">
        <f t="shared" si="53"/>
        <v>13424.8</v>
      </c>
      <c r="O160" s="38">
        <v>80</v>
      </c>
      <c r="P160" s="38">
        <v>26.728300000000001</v>
      </c>
      <c r="Q160" s="38">
        <f t="shared" si="54"/>
        <v>2138.2640000000001</v>
      </c>
      <c r="R160" s="43">
        <f t="shared" si="61"/>
        <v>1080</v>
      </c>
      <c r="S160" s="38">
        <f t="shared" si="55"/>
        <v>28617.563999999998</v>
      </c>
      <c r="T160" s="49">
        <v>85</v>
      </c>
      <c r="U160" s="42">
        <v>26.0579</v>
      </c>
      <c r="V160" s="38">
        <f t="shared" si="64"/>
        <v>2214.9214999999999</v>
      </c>
      <c r="W160" s="42"/>
      <c r="X160" s="42"/>
      <c r="Y160" s="38">
        <f t="shared" si="63"/>
        <v>0</v>
      </c>
      <c r="Z160" s="42"/>
      <c r="AA160" s="42"/>
      <c r="AB160" s="42">
        <f t="shared" si="45"/>
        <v>0</v>
      </c>
      <c r="AD160" s="42"/>
      <c r="AE160" s="42"/>
      <c r="AF160" s="42">
        <f t="shared" si="62"/>
        <v>0</v>
      </c>
      <c r="AG160" s="42"/>
      <c r="AH160" s="42"/>
      <c r="AI160" s="42"/>
      <c r="AJ160" s="42">
        <f t="shared" si="50"/>
        <v>0</v>
      </c>
      <c r="AL160" s="42"/>
      <c r="AM160" s="42"/>
      <c r="AN160" s="42">
        <f t="shared" si="51"/>
        <v>0</v>
      </c>
      <c r="AO160" s="47"/>
      <c r="AP160" s="42"/>
      <c r="AQ160" s="42"/>
      <c r="AR160" s="42"/>
      <c r="AU160" s="98"/>
      <c r="AV160" s="35"/>
      <c r="AW160" s="104"/>
      <c r="AX160" s="42"/>
      <c r="AY160" s="42"/>
      <c r="AZ160" s="42">
        <f t="shared" si="49"/>
        <v>0</v>
      </c>
      <c r="BA160" s="42"/>
      <c r="BB160" s="42"/>
      <c r="BC160" s="42"/>
      <c r="BD160" s="38">
        <f t="shared" si="56"/>
        <v>0</v>
      </c>
      <c r="BE160" s="42"/>
      <c r="BF160" s="42"/>
      <c r="BG160" s="42"/>
      <c r="BH160" s="38">
        <f t="shared" si="57"/>
        <v>0</v>
      </c>
      <c r="BI160" s="42"/>
      <c r="BJ160" s="42"/>
      <c r="BK160" s="42"/>
      <c r="BL160" s="38">
        <f t="shared" si="58"/>
        <v>0</v>
      </c>
      <c r="BM160" s="42"/>
      <c r="BN160" s="42"/>
      <c r="BO160" s="42"/>
      <c r="BP160" s="42"/>
      <c r="BR160" s="42">
        <f t="shared" si="59"/>
        <v>2214.9214999999999</v>
      </c>
      <c r="BS160" s="43">
        <f t="shared" si="60"/>
        <v>26402.642499999998</v>
      </c>
      <c r="BT160" s="42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  <c r="IM160" s="31"/>
      <c r="IN160" s="31"/>
      <c r="IO160" s="31"/>
      <c r="IP160" s="31"/>
      <c r="IQ160" s="31"/>
      <c r="IR160" s="31"/>
      <c r="IS160" s="31"/>
      <c r="IT160" s="31"/>
      <c r="IU160" s="31"/>
      <c r="IV160" s="31"/>
      <c r="IW160" s="31"/>
      <c r="IX160" s="31"/>
      <c r="IY160" s="31"/>
      <c r="IZ160" s="31"/>
      <c r="JA160" s="31"/>
      <c r="JB160" s="31"/>
      <c r="JC160" s="31"/>
      <c r="JD160" s="31"/>
      <c r="JE160" s="31"/>
      <c r="JF160" s="31"/>
      <c r="JG160" s="31"/>
      <c r="JH160" s="31"/>
      <c r="JI160" s="31"/>
      <c r="JJ160" s="31"/>
      <c r="JK160" s="31"/>
      <c r="JL160" s="31"/>
      <c r="JM160" s="31"/>
      <c r="JN160" s="31"/>
      <c r="JO160" s="31"/>
      <c r="JP160" s="31"/>
      <c r="JQ160" s="31"/>
      <c r="JR160" s="31"/>
      <c r="JS160" s="31"/>
      <c r="JT160" s="31"/>
      <c r="JU160" s="31"/>
      <c r="JV160" s="31"/>
      <c r="JW160" s="31"/>
      <c r="JX160" s="31"/>
      <c r="JY160" s="31"/>
      <c r="JZ160" s="31"/>
      <c r="KA160" s="31"/>
      <c r="KB160" s="31"/>
      <c r="KC160" s="31"/>
      <c r="KD160" s="31"/>
      <c r="KE160" s="31"/>
      <c r="KF160" s="31"/>
      <c r="KG160" s="31"/>
      <c r="KH160" s="31"/>
      <c r="KI160" s="31"/>
      <c r="KJ160" s="31"/>
      <c r="KK160" s="31"/>
      <c r="KL160" s="31"/>
      <c r="KM160" s="31"/>
      <c r="KN160" s="31"/>
      <c r="KO160" s="31"/>
      <c r="KP160" s="31"/>
      <c r="KQ160" s="31"/>
      <c r="KR160" s="31"/>
      <c r="KS160" s="31"/>
      <c r="KT160" s="31"/>
      <c r="KU160" s="31"/>
      <c r="KV160" s="31"/>
      <c r="KW160" s="31"/>
      <c r="KX160" s="31"/>
      <c r="KY160" s="31"/>
      <c r="KZ160" s="31"/>
      <c r="LA160" s="31"/>
      <c r="LB160" s="31"/>
      <c r="LC160" s="31"/>
      <c r="LD160" s="31"/>
      <c r="LE160" s="31"/>
      <c r="LF160" s="31"/>
      <c r="LG160" s="31"/>
      <c r="LH160" s="31"/>
      <c r="LI160" s="31"/>
      <c r="LJ160" s="31"/>
      <c r="LK160" s="31"/>
      <c r="LL160" s="31"/>
      <c r="LM160" s="31"/>
      <c r="LN160" s="31"/>
      <c r="LO160" s="31"/>
      <c r="LP160" s="31"/>
      <c r="LQ160" s="31"/>
      <c r="LR160" s="31"/>
      <c r="LS160" s="31"/>
      <c r="LT160" s="31"/>
      <c r="LU160" s="31"/>
      <c r="LV160" s="31"/>
      <c r="LW160" s="31"/>
      <c r="LX160" s="31"/>
      <c r="LY160" s="31"/>
      <c r="LZ160" s="31"/>
      <c r="MA160" s="31"/>
      <c r="MB160" s="31"/>
      <c r="MC160" s="31"/>
      <c r="MD160" s="31"/>
      <c r="ME160" s="31"/>
      <c r="MF160" s="31"/>
      <c r="MG160" s="31"/>
      <c r="MH160" s="31"/>
      <c r="MI160" s="31"/>
      <c r="MJ160" s="31"/>
      <c r="MK160" s="31"/>
      <c r="ML160" s="31"/>
      <c r="MM160" s="31"/>
      <c r="MN160" s="31"/>
      <c r="MO160" s="31"/>
      <c r="MP160" s="31"/>
      <c r="MQ160" s="31"/>
      <c r="MR160" s="31"/>
      <c r="MS160" s="31"/>
      <c r="MT160" s="31"/>
      <c r="MU160" s="31"/>
      <c r="MV160" s="31"/>
      <c r="MW160" s="31"/>
      <c r="MX160" s="31"/>
      <c r="MY160" s="31"/>
      <c r="MZ160" s="31"/>
      <c r="NA160" s="31"/>
      <c r="NB160" s="31"/>
      <c r="NC160" s="31"/>
      <c r="ND160" s="31"/>
      <c r="NE160" s="31"/>
      <c r="NF160" s="31"/>
      <c r="NG160" s="31"/>
      <c r="NH160" s="31"/>
      <c r="NI160" s="31"/>
      <c r="NJ160" s="31"/>
      <c r="NK160" s="31"/>
      <c r="NL160" s="31"/>
      <c r="NM160" s="31"/>
      <c r="NN160" s="31"/>
      <c r="NO160" s="31"/>
      <c r="NP160" s="31"/>
      <c r="NQ160" s="31"/>
      <c r="NR160" s="31"/>
      <c r="NS160" s="31"/>
      <c r="NT160" s="31"/>
      <c r="NU160" s="31"/>
      <c r="NV160" s="31"/>
      <c r="NW160" s="31"/>
      <c r="NX160" s="31"/>
      <c r="NY160" s="31"/>
      <c r="NZ160" s="31"/>
      <c r="OA160" s="31"/>
      <c r="OB160" s="31"/>
      <c r="OC160" s="31"/>
      <c r="OD160" s="31"/>
      <c r="OE160" s="31"/>
      <c r="OF160" s="31"/>
      <c r="OG160" s="31"/>
      <c r="OH160" s="31"/>
      <c r="OI160" s="31"/>
      <c r="OJ160" s="31"/>
      <c r="OK160" s="31"/>
      <c r="OL160" s="31"/>
      <c r="OM160" s="31"/>
      <c r="ON160" s="31"/>
      <c r="OO160" s="31"/>
      <c r="OP160" s="31"/>
      <c r="OQ160" s="31"/>
      <c r="OR160" s="31"/>
      <c r="OS160" s="31"/>
      <c r="OT160" s="31"/>
      <c r="OU160" s="31"/>
      <c r="OV160" s="31"/>
      <c r="OW160" s="31"/>
      <c r="OX160" s="31"/>
    </row>
    <row r="161" spans="2:414" s="25" customFormat="1" ht="15.6">
      <c r="B161" s="25" t="s">
        <v>246</v>
      </c>
      <c r="C161" s="27" t="s">
        <v>247</v>
      </c>
      <c r="D161" s="30" t="s">
        <v>201</v>
      </c>
      <c r="G161" s="42">
        <v>500</v>
      </c>
      <c r="H161" s="89">
        <v>26.109000000000002</v>
      </c>
      <c r="I161" s="38">
        <f t="shared" si="52"/>
        <v>13054.5</v>
      </c>
      <c r="K161" s="42">
        <v>500</v>
      </c>
      <c r="L161" s="90">
        <v>26.849599999999999</v>
      </c>
      <c r="M161" s="38">
        <f t="shared" si="53"/>
        <v>13424.8</v>
      </c>
      <c r="O161" s="38">
        <v>80</v>
      </c>
      <c r="P161" s="38">
        <v>26.728300000000001</v>
      </c>
      <c r="Q161" s="38">
        <f t="shared" si="54"/>
        <v>2138.2640000000001</v>
      </c>
      <c r="R161" s="43">
        <f t="shared" si="61"/>
        <v>1080</v>
      </c>
      <c r="S161" s="38">
        <f t="shared" si="55"/>
        <v>28617.563999999998</v>
      </c>
      <c r="T161" s="49"/>
      <c r="U161" s="42"/>
      <c r="V161" s="38">
        <f t="shared" si="64"/>
        <v>0</v>
      </c>
      <c r="W161" s="42"/>
      <c r="X161" s="42"/>
      <c r="Y161" s="38">
        <f t="shared" si="63"/>
        <v>0</v>
      </c>
      <c r="Z161" s="42"/>
      <c r="AA161" s="42"/>
      <c r="AB161" s="42">
        <f t="shared" si="45"/>
        <v>0</v>
      </c>
      <c r="AD161" s="42"/>
      <c r="AE161" s="42"/>
      <c r="AF161" s="42">
        <f t="shared" si="62"/>
        <v>0</v>
      </c>
      <c r="AG161" s="42"/>
      <c r="AH161" s="42"/>
      <c r="AI161" s="42"/>
      <c r="AJ161" s="42">
        <f t="shared" si="50"/>
        <v>0</v>
      </c>
      <c r="AK161" s="26"/>
      <c r="AL161" s="42"/>
      <c r="AM161" s="42"/>
      <c r="AN161" s="42">
        <f t="shared" si="51"/>
        <v>0</v>
      </c>
      <c r="AO161" s="44"/>
      <c r="AP161" s="42"/>
      <c r="AQ161" s="42"/>
      <c r="AR161" s="42"/>
      <c r="AS161" s="26"/>
      <c r="AT161" s="26"/>
      <c r="AU161" s="99"/>
      <c r="AV161" s="35"/>
      <c r="AW161" s="104"/>
      <c r="AX161" s="42"/>
      <c r="AY161" s="42"/>
      <c r="AZ161" s="42">
        <f t="shared" si="49"/>
        <v>0</v>
      </c>
      <c r="BA161" s="42"/>
      <c r="BB161" s="42"/>
      <c r="BC161" s="42"/>
      <c r="BD161" s="38">
        <f t="shared" si="56"/>
        <v>0</v>
      </c>
      <c r="BE161" s="42"/>
      <c r="BF161" s="42"/>
      <c r="BG161" s="42"/>
      <c r="BH161" s="38">
        <f t="shared" si="57"/>
        <v>0</v>
      </c>
      <c r="BI161" s="42"/>
      <c r="BJ161" s="42"/>
      <c r="BK161" s="42"/>
      <c r="BL161" s="38">
        <f t="shared" si="58"/>
        <v>0</v>
      </c>
      <c r="BM161" s="42"/>
      <c r="BN161" s="42"/>
      <c r="BO161" s="42"/>
      <c r="BP161" s="42"/>
      <c r="BR161" s="42">
        <f t="shared" si="59"/>
        <v>0</v>
      </c>
      <c r="BS161" s="43">
        <f t="shared" si="60"/>
        <v>28617.563999999998</v>
      </c>
      <c r="BT161" s="42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  <c r="IM161" s="31"/>
      <c r="IN161" s="31"/>
      <c r="IO161" s="31"/>
      <c r="IP161" s="31"/>
      <c r="IQ161" s="31"/>
      <c r="IR161" s="31"/>
      <c r="IS161" s="31"/>
      <c r="IT161" s="31"/>
      <c r="IU161" s="31"/>
      <c r="IV161" s="31"/>
      <c r="IW161" s="31"/>
      <c r="IX161" s="31"/>
      <c r="IY161" s="31"/>
      <c r="IZ161" s="31"/>
      <c r="JA161" s="31"/>
      <c r="JB161" s="31"/>
      <c r="JC161" s="31"/>
      <c r="JD161" s="31"/>
      <c r="JE161" s="31"/>
      <c r="JF161" s="31"/>
      <c r="JG161" s="31"/>
      <c r="JH161" s="31"/>
      <c r="JI161" s="31"/>
      <c r="JJ161" s="31"/>
      <c r="JK161" s="31"/>
      <c r="JL161" s="31"/>
      <c r="JM161" s="31"/>
      <c r="JN161" s="31"/>
      <c r="JO161" s="31"/>
      <c r="JP161" s="31"/>
      <c r="JQ161" s="31"/>
      <c r="JR161" s="31"/>
      <c r="JS161" s="31"/>
      <c r="JT161" s="31"/>
      <c r="JU161" s="31"/>
      <c r="JV161" s="31"/>
      <c r="JW161" s="31"/>
      <c r="JX161" s="31"/>
      <c r="JY161" s="31"/>
      <c r="JZ161" s="31"/>
      <c r="KA161" s="31"/>
      <c r="KB161" s="31"/>
      <c r="KC161" s="31"/>
      <c r="KD161" s="31"/>
      <c r="KE161" s="31"/>
      <c r="KF161" s="31"/>
      <c r="KG161" s="31"/>
      <c r="KH161" s="31"/>
      <c r="KI161" s="31"/>
      <c r="KJ161" s="31"/>
      <c r="KK161" s="31"/>
      <c r="KL161" s="31"/>
      <c r="KM161" s="31"/>
      <c r="KN161" s="31"/>
      <c r="KO161" s="31"/>
      <c r="KP161" s="31"/>
      <c r="KQ161" s="31"/>
      <c r="KR161" s="31"/>
      <c r="KS161" s="31"/>
      <c r="KT161" s="31"/>
      <c r="KU161" s="31"/>
      <c r="KV161" s="31"/>
      <c r="KW161" s="31"/>
      <c r="KX161" s="31"/>
      <c r="KY161" s="31"/>
      <c r="KZ161" s="31"/>
      <c r="LA161" s="31"/>
      <c r="LB161" s="31"/>
      <c r="LC161" s="31"/>
      <c r="LD161" s="31"/>
      <c r="LE161" s="31"/>
      <c r="LF161" s="31"/>
      <c r="LG161" s="31"/>
      <c r="LH161" s="31"/>
      <c r="LI161" s="31"/>
      <c r="LJ161" s="31"/>
      <c r="LK161" s="31"/>
      <c r="LL161" s="31"/>
      <c r="LM161" s="31"/>
      <c r="LN161" s="31"/>
      <c r="LO161" s="31"/>
      <c r="LP161" s="31"/>
      <c r="LQ161" s="31"/>
      <c r="LR161" s="31"/>
      <c r="LS161" s="31"/>
      <c r="LT161" s="31"/>
      <c r="LU161" s="31"/>
      <c r="LV161" s="31"/>
      <c r="LW161" s="31"/>
      <c r="LX161" s="31"/>
      <c r="LY161" s="31"/>
      <c r="LZ161" s="31"/>
      <c r="MA161" s="31"/>
      <c r="MB161" s="31"/>
      <c r="MC161" s="31"/>
      <c r="MD161" s="31"/>
      <c r="ME161" s="31"/>
      <c r="MF161" s="31"/>
      <c r="MG161" s="31"/>
      <c r="MH161" s="31"/>
      <c r="MI161" s="31"/>
      <c r="MJ161" s="31"/>
      <c r="MK161" s="31"/>
      <c r="ML161" s="31"/>
      <c r="MM161" s="31"/>
      <c r="MN161" s="31"/>
      <c r="MO161" s="31"/>
      <c r="MP161" s="31"/>
      <c r="MQ161" s="31"/>
      <c r="MR161" s="31"/>
      <c r="MS161" s="31"/>
      <c r="MT161" s="31"/>
      <c r="MU161" s="31"/>
      <c r="MV161" s="31"/>
      <c r="MW161" s="31"/>
      <c r="MX161" s="31"/>
      <c r="MY161" s="31"/>
      <c r="MZ161" s="31"/>
      <c r="NA161" s="31"/>
      <c r="NB161" s="31"/>
      <c r="NC161" s="31"/>
      <c r="ND161" s="31"/>
      <c r="NE161" s="31"/>
      <c r="NF161" s="31"/>
      <c r="NG161" s="31"/>
      <c r="NH161" s="31"/>
      <c r="NI161" s="31"/>
      <c r="NJ161" s="31"/>
      <c r="NK161" s="31"/>
      <c r="NL161" s="31"/>
      <c r="NM161" s="31"/>
      <c r="NN161" s="31"/>
      <c r="NO161" s="31"/>
      <c r="NP161" s="31"/>
      <c r="NQ161" s="31"/>
      <c r="NR161" s="31"/>
      <c r="NS161" s="31"/>
      <c r="NT161" s="31"/>
      <c r="NU161" s="31"/>
      <c r="NV161" s="31"/>
      <c r="NW161" s="31"/>
      <c r="NX161" s="31"/>
      <c r="NY161" s="31"/>
      <c r="NZ161" s="31"/>
      <c r="OA161" s="31"/>
      <c r="OB161" s="31"/>
      <c r="OC161" s="31"/>
      <c r="OD161" s="31"/>
      <c r="OE161" s="31"/>
      <c r="OF161" s="31"/>
      <c r="OG161" s="31"/>
      <c r="OH161" s="31"/>
      <c r="OI161" s="31"/>
      <c r="OJ161" s="31"/>
      <c r="OK161" s="31"/>
      <c r="OL161" s="31"/>
      <c r="OM161" s="31"/>
      <c r="ON161" s="31"/>
      <c r="OO161" s="31"/>
      <c r="OP161" s="31"/>
      <c r="OQ161" s="31"/>
      <c r="OR161" s="31"/>
      <c r="OS161" s="31"/>
      <c r="OT161" s="31"/>
      <c r="OU161" s="31"/>
      <c r="OV161" s="31"/>
      <c r="OW161" s="31"/>
      <c r="OX161" s="31"/>
    </row>
    <row r="162" spans="2:414" s="25" customFormat="1" ht="15.6">
      <c r="B162" s="25" t="s">
        <v>248</v>
      </c>
      <c r="C162" s="27" t="s">
        <v>249</v>
      </c>
      <c r="D162" s="30" t="s">
        <v>201</v>
      </c>
      <c r="G162" s="42">
        <v>500</v>
      </c>
      <c r="H162" s="89">
        <v>26.109000000000002</v>
      </c>
      <c r="I162" s="38">
        <f t="shared" si="52"/>
        <v>13054.5</v>
      </c>
      <c r="K162" s="42">
        <v>500</v>
      </c>
      <c r="L162" s="90">
        <v>26.849599999999999</v>
      </c>
      <c r="M162" s="38">
        <f t="shared" si="53"/>
        <v>13424.8</v>
      </c>
      <c r="O162" s="38">
        <v>80</v>
      </c>
      <c r="P162" s="38">
        <v>26.728300000000001</v>
      </c>
      <c r="Q162" s="38">
        <f t="shared" si="54"/>
        <v>2138.2640000000001</v>
      </c>
      <c r="R162" s="43">
        <f t="shared" si="61"/>
        <v>1080</v>
      </c>
      <c r="S162" s="38">
        <f t="shared" si="55"/>
        <v>28617.563999999998</v>
      </c>
      <c r="T162" s="49">
        <v>415</v>
      </c>
      <c r="U162" s="42">
        <v>26.261399999999998</v>
      </c>
      <c r="V162" s="38">
        <f t="shared" si="64"/>
        <v>10898.481</v>
      </c>
      <c r="W162" s="42">
        <v>85</v>
      </c>
      <c r="X162" s="42">
        <v>26.283100000000001</v>
      </c>
      <c r="Y162" s="38">
        <f t="shared" si="63"/>
        <v>2234.0635000000002</v>
      </c>
      <c r="Z162" s="42">
        <v>415</v>
      </c>
      <c r="AA162" s="42">
        <v>26.8401</v>
      </c>
      <c r="AB162" s="42">
        <f t="shared" si="45"/>
        <v>11138.6415</v>
      </c>
      <c r="AD162" s="42">
        <v>85</v>
      </c>
      <c r="AE162" s="42">
        <v>26.861899999999999</v>
      </c>
      <c r="AF162" s="42">
        <f t="shared" si="62"/>
        <v>2283.2615000000001</v>
      </c>
      <c r="AG162" s="42"/>
      <c r="AH162" s="42"/>
      <c r="AI162" s="42"/>
      <c r="AJ162" s="42">
        <f t="shared" si="50"/>
        <v>0</v>
      </c>
      <c r="AL162" s="42"/>
      <c r="AM162" s="42"/>
      <c r="AN162" s="42">
        <f t="shared" si="51"/>
        <v>0</v>
      </c>
      <c r="AO162" s="44"/>
      <c r="AP162" s="42"/>
      <c r="AQ162" s="42"/>
      <c r="AR162" s="42"/>
      <c r="AU162" s="98"/>
      <c r="AV162" s="35"/>
      <c r="AW162" s="104"/>
      <c r="AX162" s="42"/>
      <c r="AY162" s="42"/>
      <c r="AZ162" s="42">
        <f t="shared" si="49"/>
        <v>0</v>
      </c>
      <c r="BA162" s="42"/>
      <c r="BB162" s="42"/>
      <c r="BC162" s="42"/>
      <c r="BD162" s="38">
        <f t="shared" si="56"/>
        <v>0</v>
      </c>
      <c r="BE162" s="42"/>
      <c r="BF162" s="42"/>
      <c r="BG162" s="42"/>
      <c r="BH162" s="38">
        <f t="shared" si="57"/>
        <v>0</v>
      </c>
      <c r="BI162" s="42"/>
      <c r="BJ162" s="42"/>
      <c r="BK162" s="42"/>
      <c r="BL162" s="38">
        <f t="shared" si="58"/>
        <v>0</v>
      </c>
      <c r="BM162" s="42"/>
      <c r="BN162" s="42"/>
      <c r="BO162" s="42"/>
      <c r="BP162" s="42"/>
      <c r="BR162" s="42">
        <f t="shared" si="59"/>
        <v>26554.447500000002</v>
      </c>
      <c r="BS162" s="43">
        <f t="shared" si="60"/>
        <v>2063.1164999999964</v>
      </c>
      <c r="BT162" s="42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  <c r="IM162" s="31"/>
      <c r="IN162" s="31"/>
      <c r="IO162" s="31"/>
      <c r="IP162" s="31"/>
      <c r="IQ162" s="31"/>
      <c r="IR162" s="31"/>
      <c r="IS162" s="31"/>
      <c r="IT162" s="31"/>
      <c r="IU162" s="31"/>
      <c r="IV162" s="31"/>
      <c r="IW162" s="31"/>
      <c r="IX162" s="31"/>
      <c r="IY162" s="31"/>
      <c r="IZ162" s="31"/>
      <c r="JA162" s="31"/>
      <c r="JB162" s="31"/>
      <c r="JC162" s="31"/>
      <c r="JD162" s="31"/>
      <c r="JE162" s="31"/>
      <c r="JF162" s="31"/>
      <c r="JG162" s="31"/>
      <c r="JH162" s="31"/>
      <c r="JI162" s="31"/>
      <c r="JJ162" s="31"/>
      <c r="JK162" s="31"/>
      <c r="JL162" s="31"/>
      <c r="JM162" s="31"/>
      <c r="JN162" s="31"/>
      <c r="JO162" s="31"/>
      <c r="JP162" s="31"/>
      <c r="JQ162" s="31"/>
      <c r="JR162" s="31"/>
      <c r="JS162" s="31"/>
      <c r="JT162" s="31"/>
      <c r="JU162" s="31"/>
      <c r="JV162" s="31"/>
      <c r="JW162" s="31"/>
      <c r="JX162" s="31"/>
      <c r="JY162" s="31"/>
      <c r="JZ162" s="31"/>
      <c r="KA162" s="31"/>
      <c r="KB162" s="31"/>
      <c r="KC162" s="31"/>
      <c r="KD162" s="31"/>
      <c r="KE162" s="31"/>
      <c r="KF162" s="31"/>
      <c r="KG162" s="31"/>
      <c r="KH162" s="31"/>
      <c r="KI162" s="31"/>
      <c r="KJ162" s="31"/>
      <c r="KK162" s="31"/>
      <c r="KL162" s="31"/>
      <c r="KM162" s="31"/>
      <c r="KN162" s="31"/>
      <c r="KO162" s="31"/>
      <c r="KP162" s="31"/>
      <c r="KQ162" s="31"/>
      <c r="KR162" s="31"/>
      <c r="KS162" s="31"/>
      <c r="KT162" s="31"/>
      <c r="KU162" s="31"/>
      <c r="KV162" s="31"/>
      <c r="KW162" s="31"/>
      <c r="KX162" s="31"/>
      <c r="KY162" s="31"/>
      <c r="KZ162" s="31"/>
      <c r="LA162" s="31"/>
      <c r="LB162" s="31"/>
      <c r="LC162" s="31"/>
      <c r="LD162" s="31"/>
      <c r="LE162" s="31"/>
      <c r="LF162" s="31"/>
      <c r="LG162" s="31"/>
      <c r="LH162" s="31"/>
      <c r="LI162" s="31"/>
      <c r="LJ162" s="31"/>
      <c r="LK162" s="31"/>
      <c r="LL162" s="31"/>
      <c r="LM162" s="31"/>
      <c r="LN162" s="31"/>
      <c r="LO162" s="31"/>
      <c r="LP162" s="31"/>
      <c r="LQ162" s="31"/>
      <c r="LR162" s="31"/>
      <c r="LS162" s="31"/>
      <c r="LT162" s="31"/>
      <c r="LU162" s="31"/>
      <c r="LV162" s="31"/>
      <c r="LW162" s="31"/>
      <c r="LX162" s="31"/>
      <c r="LY162" s="31"/>
      <c r="LZ162" s="31"/>
      <c r="MA162" s="31"/>
      <c r="MB162" s="31"/>
      <c r="MC162" s="31"/>
      <c r="MD162" s="31"/>
      <c r="ME162" s="31"/>
      <c r="MF162" s="31"/>
      <c r="MG162" s="31"/>
      <c r="MH162" s="31"/>
      <c r="MI162" s="31"/>
      <c r="MJ162" s="31"/>
      <c r="MK162" s="31"/>
      <c r="ML162" s="31"/>
      <c r="MM162" s="31"/>
      <c r="MN162" s="31"/>
      <c r="MO162" s="31"/>
      <c r="MP162" s="31"/>
      <c r="MQ162" s="31"/>
      <c r="MR162" s="31"/>
      <c r="MS162" s="31"/>
      <c r="MT162" s="31"/>
      <c r="MU162" s="31"/>
      <c r="MV162" s="31"/>
      <c r="MW162" s="31"/>
      <c r="MX162" s="31"/>
      <c r="MY162" s="31"/>
      <c r="MZ162" s="31"/>
      <c r="NA162" s="31"/>
      <c r="NB162" s="31"/>
      <c r="NC162" s="31"/>
      <c r="ND162" s="31"/>
      <c r="NE162" s="31"/>
      <c r="NF162" s="31"/>
      <c r="NG162" s="31"/>
      <c r="NH162" s="31"/>
      <c r="NI162" s="31"/>
      <c r="NJ162" s="31"/>
      <c r="NK162" s="31"/>
      <c r="NL162" s="31"/>
      <c r="NM162" s="31"/>
      <c r="NN162" s="31"/>
      <c r="NO162" s="31"/>
      <c r="NP162" s="31"/>
      <c r="NQ162" s="31"/>
      <c r="NR162" s="31"/>
      <c r="NS162" s="31"/>
      <c r="NT162" s="31"/>
      <c r="NU162" s="31"/>
      <c r="NV162" s="31"/>
      <c r="NW162" s="31"/>
      <c r="NX162" s="31"/>
      <c r="NY162" s="31"/>
      <c r="NZ162" s="31"/>
      <c r="OA162" s="31"/>
      <c r="OB162" s="31"/>
      <c r="OC162" s="31"/>
      <c r="OD162" s="31"/>
      <c r="OE162" s="31"/>
      <c r="OF162" s="31"/>
      <c r="OG162" s="31"/>
      <c r="OH162" s="31"/>
      <c r="OI162" s="31"/>
      <c r="OJ162" s="31"/>
      <c r="OK162" s="31"/>
      <c r="OL162" s="31"/>
      <c r="OM162" s="31"/>
      <c r="ON162" s="31"/>
      <c r="OO162" s="31"/>
      <c r="OP162" s="31"/>
      <c r="OQ162" s="31"/>
      <c r="OR162" s="31"/>
      <c r="OS162" s="31"/>
      <c r="OT162" s="31"/>
      <c r="OU162" s="31"/>
      <c r="OV162" s="31"/>
      <c r="OW162" s="31"/>
      <c r="OX162" s="31"/>
    </row>
    <row r="163" spans="2:414" s="25" customFormat="1" ht="15.6">
      <c r="B163" s="25" t="s">
        <v>250</v>
      </c>
      <c r="C163" s="27" t="s">
        <v>251</v>
      </c>
      <c r="D163" s="30" t="s">
        <v>201</v>
      </c>
      <c r="G163" s="42">
        <v>500</v>
      </c>
      <c r="H163" s="89">
        <v>26.109000000000002</v>
      </c>
      <c r="I163" s="38">
        <f t="shared" si="52"/>
        <v>13054.5</v>
      </c>
      <c r="K163" s="42">
        <v>500</v>
      </c>
      <c r="L163" s="90">
        <v>26.849599999999999</v>
      </c>
      <c r="M163" s="38">
        <f t="shared" si="53"/>
        <v>13424.8</v>
      </c>
      <c r="O163" s="38">
        <v>80</v>
      </c>
      <c r="P163" s="38">
        <v>26.728300000000001</v>
      </c>
      <c r="Q163" s="38">
        <f t="shared" si="54"/>
        <v>2138.2640000000001</v>
      </c>
      <c r="R163" s="43">
        <f t="shared" si="61"/>
        <v>1080</v>
      </c>
      <c r="S163" s="38">
        <f t="shared" si="55"/>
        <v>28617.563999999998</v>
      </c>
      <c r="T163" s="49">
        <v>85</v>
      </c>
      <c r="U163" s="42">
        <v>26.0579</v>
      </c>
      <c r="V163" s="38">
        <f t="shared" si="64"/>
        <v>2214.9214999999999</v>
      </c>
      <c r="W163" s="42">
        <v>295</v>
      </c>
      <c r="X163" s="42">
        <v>26.0579</v>
      </c>
      <c r="Y163" s="38">
        <f t="shared" si="63"/>
        <v>7687.0805</v>
      </c>
      <c r="Z163" s="42">
        <v>120</v>
      </c>
      <c r="AA163" s="42">
        <v>26.283100000000001</v>
      </c>
      <c r="AB163" s="42">
        <f t="shared" si="45"/>
        <v>3153.9720000000002</v>
      </c>
      <c r="AD163" s="42">
        <v>400</v>
      </c>
      <c r="AE163" s="42">
        <v>26.878599999999999</v>
      </c>
      <c r="AF163" s="42">
        <f t="shared" si="62"/>
        <v>10751.439999999999</v>
      </c>
      <c r="AG163" s="42"/>
      <c r="AH163" s="42">
        <v>85</v>
      </c>
      <c r="AI163" s="42">
        <v>26.766200000000001</v>
      </c>
      <c r="AJ163" s="42">
        <f t="shared" si="50"/>
        <v>2275.127</v>
      </c>
      <c r="AL163" s="42">
        <v>15</v>
      </c>
      <c r="AM163" s="42">
        <v>26.766200000000001</v>
      </c>
      <c r="AN163" s="42">
        <f t="shared" si="51"/>
        <v>401.49299999999999</v>
      </c>
      <c r="AO163" s="44"/>
      <c r="AP163" s="42"/>
      <c r="AQ163" s="42"/>
      <c r="AR163" s="42"/>
      <c r="AU163" s="98"/>
      <c r="AV163" s="35"/>
      <c r="AW163" s="104"/>
      <c r="AX163" s="42"/>
      <c r="AY163" s="42"/>
      <c r="AZ163" s="42">
        <f t="shared" si="49"/>
        <v>0</v>
      </c>
      <c r="BA163" s="42"/>
      <c r="BB163" s="42"/>
      <c r="BC163" s="42"/>
      <c r="BD163" s="38">
        <f t="shared" si="56"/>
        <v>0</v>
      </c>
      <c r="BE163" s="42"/>
      <c r="BF163" s="42"/>
      <c r="BG163" s="42"/>
      <c r="BH163" s="38">
        <f t="shared" si="57"/>
        <v>0</v>
      </c>
      <c r="BI163" s="42"/>
      <c r="BJ163" s="42"/>
      <c r="BK163" s="42"/>
      <c r="BL163" s="38">
        <f t="shared" si="58"/>
        <v>0</v>
      </c>
      <c r="BM163" s="42"/>
      <c r="BN163" s="42"/>
      <c r="BO163" s="42"/>
      <c r="BP163" s="42"/>
      <c r="BR163" s="42">
        <f t="shared" si="59"/>
        <v>26484.033999999996</v>
      </c>
      <c r="BS163" s="43">
        <f t="shared" si="60"/>
        <v>2133.5300000000025</v>
      </c>
      <c r="BT163" s="42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  <c r="JH163" s="31"/>
      <c r="JI163" s="31"/>
      <c r="JJ163" s="31"/>
      <c r="JK163" s="31"/>
      <c r="JL163" s="31"/>
      <c r="JM163" s="31"/>
      <c r="JN163" s="31"/>
      <c r="JO163" s="31"/>
      <c r="JP163" s="31"/>
      <c r="JQ163" s="31"/>
      <c r="JR163" s="31"/>
      <c r="JS163" s="31"/>
      <c r="JT163" s="31"/>
      <c r="JU163" s="31"/>
      <c r="JV163" s="31"/>
      <c r="JW163" s="31"/>
      <c r="JX163" s="31"/>
      <c r="JY163" s="31"/>
      <c r="JZ163" s="31"/>
      <c r="KA163" s="31"/>
      <c r="KB163" s="31"/>
      <c r="KC163" s="31"/>
      <c r="KD163" s="31"/>
      <c r="KE163" s="31"/>
      <c r="KF163" s="31"/>
      <c r="KG163" s="31"/>
      <c r="KH163" s="31"/>
      <c r="KI163" s="31"/>
      <c r="KJ163" s="31"/>
      <c r="KK163" s="31"/>
      <c r="KL163" s="31"/>
      <c r="KM163" s="31"/>
      <c r="KN163" s="31"/>
      <c r="KO163" s="31"/>
      <c r="KP163" s="31"/>
      <c r="KQ163" s="31"/>
      <c r="KR163" s="31"/>
      <c r="KS163" s="31"/>
      <c r="KT163" s="31"/>
      <c r="KU163" s="31"/>
      <c r="KV163" s="31"/>
      <c r="KW163" s="31"/>
      <c r="KX163" s="31"/>
      <c r="KY163" s="31"/>
      <c r="KZ163" s="31"/>
      <c r="LA163" s="31"/>
      <c r="LB163" s="31"/>
      <c r="LC163" s="31"/>
      <c r="LD163" s="31"/>
      <c r="LE163" s="31"/>
      <c r="LF163" s="31"/>
      <c r="LG163" s="31"/>
      <c r="LH163" s="31"/>
      <c r="LI163" s="31"/>
      <c r="LJ163" s="31"/>
      <c r="LK163" s="31"/>
      <c r="LL163" s="31"/>
      <c r="LM163" s="31"/>
      <c r="LN163" s="31"/>
      <c r="LO163" s="31"/>
      <c r="LP163" s="31"/>
      <c r="LQ163" s="31"/>
      <c r="LR163" s="31"/>
      <c r="LS163" s="31"/>
      <c r="LT163" s="31"/>
      <c r="LU163" s="31"/>
      <c r="LV163" s="31"/>
      <c r="LW163" s="31"/>
      <c r="LX163" s="31"/>
      <c r="LY163" s="31"/>
      <c r="LZ163" s="31"/>
      <c r="MA163" s="31"/>
      <c r="MB163" s="31"/>
      <c r="MC163" s="31"/>
      <c r="MD163" s="31"/>
      <c r="ME163" s="31"/>
      <c r="MF163" s="31"/>
      <c r="MG163" s="31"/>
      <c r="MH163" s="31"/>
      <c r="MI163" s="31"/>
      <c r="MJ163" s="31"/>
      <c r="MK163" s="31"/>
      <c r="ML163" s="31"/>
      <c r="MM163" s="31"/>
      <c r="MN163" s="31"/>
      <c r="MO163" s="31"/>
      <c r="MP163" s="31"/>
      <c r="MQ163" s="31"/>
      <c r="MR163" s="31"/>
      <c r="MS163" s="31"/>
      <c r="MT163" s="31"/>
      <c r="MU163" s="31"/>
      <c r="MV163" s="31"/>
      <c r="MW163" s="31"/>
      <c r="MX163" s="31"/>
      <c r="MY163" s="31"/>
      <c r="MZ163" s="31"/>
      <c r="NA163" s="31"/>
      <c r="NB163" s="31"/>
      <c r="NC163" s="31"/>
      <c r="ND163" s="31"/>
      <c r="NE163" s="31"/>
      <c r="NF163" s="31"/>
      <c r="NG163" s="31"/>
      <c r="NH163" s="31"/>
      <c r="NI163" s="31"/>
      <c r="NJ163" s="31"/>
      <c r="NK163" s="31"/>
      <c r="NL163" s="31"/>
      <c r="NM163" s="31"/>
      <c r="NN163" s="31"/>
      <c r="NO163" s="31"/>
      <c r="NP163" s="31"/>
      <c r="NQ163" s="31"/>
      <c r="NR163" s="31"/>
      <c r="NS163" s="31"/>
      <c r="NT163" s="31"/>
      <c r="NU163" s="31"/>
      <c r="NV163" s="31"/>
      <c r="NW163" s="31"/>
      <c r="NX163" s="31"/>
      <c r="NY163" s="31"/>
      <c r="NZ163" s="31"/>
      <c r="OA163" s="31"/>
      <c r="OB163" s="31"/>
      <c r="OC163" s="31"/>
      <c r="OD163" s="31"/>
      <c r="OE163" s="31"/>
      <c r="OF163" s="31"/>
      <c r="OG163" s="31"/>
      <c r="OH163" s="31"/>
      <c r="OI163" s="31"/>
      <c r="OJ163" s="31"/>
      <c r="OK163" s="31"/>
      <c r="OL163" s="31"/>
      <c r="OM163" s="31"/>
      <c r="ON163" s="31"/>
      <c r="OO163" s="31"/>
      <c r="OP163" s="31"/>
      <c r="OQ163" s="31"/>
      <c r="OR163" s="31"/>
      <c r="OS163" s="31"/>
      <c r="OT163" s="31"/>
      <c r="OU163" s="31"/>
      <c r="OV163" s="31"/>
      <c r="OW163" s="31"/>
      <c r="OX163" s="31"/>
    </row>
    <row r="164" spans="2:414" s="25" customFormat="1" ht="15.6">
      <c r="B164" s="25" t="s">
        <v>252</v>
      </c>
      <c r="C164" s="27" t="s">
        <v>253</v>
      </c>
      <c r="D164" s="30" t="s">
        <v>201</v>
      </c>
      <c r="G164" s="42">
        <v>500</v>
      </c>
      <c r="H164" s="89">
        <v>26.109000000000002</v>
      </c>
      <c r="I164" s="38">
        <f t="shared" si="52"/>
        <v>13054.5</v>
      </c>
      <c r="K164" s="42">
        <v>500</v>
      </c>
      <c r="L164" s="90">
        <v>26.849599999999999</v>
      </c>
      <c r="M164" s="38">
        <f t="shared" si="53"/>
        <v>13424.8</v>
      </c>
      <c r="O164" s="38">
        <v>80</v>
      </c>
      <c r="P164" s="38">
        <v>26.728300000000001</v>
      </c>
      <c r="Q164" s="38">
        <f t="shared" si="54"/>
        <v>2138.2640000000001</v>
      </c>
      <c r="R164" s="43">
        <f t="shared" si="61"/>
        <v>1080</v>
      </c>
      <c r="S164" s="38">
        <f t="shared" si="55"/>
        <v>28617.563999999998</v>
      </c>
      <c r="T164" s="49">
        <v>115</v>
      </c>
      <c r="U164" s="42">
        <v>26.271599999999999</v>
      </c>
      <c r="V164" s="38">
        <f t="shared" si="64"/>
        <v>3021.2339999999999</v>
      </c>
      <c r="W164" s="42">
        <v>300</v>
      </c>
      <c r="X164" s="42"/>
      <c r="Y164" s="38">
        <f t="shared" si="63"/>
        <v>0</v>
      </c>
      <c r="Z164" s="42">
        <v>85</v>
      </c>
      <c r="AA164" s="42">
        <v>26.298200000000001</v>
      </c>
      <c r="AB164" s="42">
        <f t="shared" si="45"/>
        <v>2235.3470000000002</v>
      </c>
      <c r="AC164" s="26"/>
      <c r="AD164" s="42">
        <v>350</v>
      </c>
      <c r="AE164" s="42">
        <v>26.794699999999999</v>
      </c>
      <c r="AF164" s="42">
        <f t="shared" si="62"/>
        <v>9378.1450000000004</v>
      </c>
      <c r="AG164" s="42"/>
      <c r="AH164" s="42">
        <v>100</v>
      </c>
      <c r="AI164" s="42">
        <v>26.974900000000002</v>
      </c>
      <c r="AJ164" s="42">
        <f t="shared" si="50"/>
        <v>2697.4900000000002</v>
      </c>
      <c r="AK164" s="26"/>
      <c r="AL164" s="42">
        <v>50</v>
      </c>
      <c r="AM164" s="42">
        <v>26.8461</v>
      </c>
      <c r="AN164" s="42">
        <f t="shared" si="51"/>
        <v>1342.3050000000001</v>
      </c>
      <c r="AO164" s="44"/>
      <c r="AP164" s="42"/>
      <c r="AQ164" s="42"/>
      <c r="AR164" s="42"/>
      <c r="AU164" s="98"/>
      <c r="AV164" s="35"/>
      <c r="AW164" s="104"/>
      <c r="AX164" s="42"/>
      <c r="AY164" s="42"/>
      <c r="AZ164" s="42">
        <f t="shared" si="49"/>
        <v>0</v>
      </c>
      <c r="BA164" s="42"/>
      <c r="BB164" s="42"/>
      <c r="BC164" s="42"/>
      <c r="BD164" s="38">
        <f t="shared" si="56"/>
        <v>0</v>
      </c>
      <c r="BE164" s="42"/>
      <c r="BF164" s="42"/>
      <c r="BG164" s="42"/>
      <c r="BH164" s="38">
        <f t="shared" si="57"/>
        <v>0</v>
      </c>
      <c r="BI164" s="42"/>
      <c r="BJ164" s="42"/>
      <c r="BK164" s="42"/>
      <c r="BL164" s="38">
        <f t="shared" si="58"/>
        <v>0</v>
      </c>
      <c r="BM164" s="42"/>
      <c r="BN164" s="42"/>
      <c r="BO164" s="42"/>
      <c r="BP164" s="42"/>
      <c r="BR164" s="42">
        <f t="shared" si="59"/>
        <v>18674.521000000001</v>
      </c>
      <c r="BS164" s="43">
        <f t="shared" si="60"/>
        <v>9943.0429999999978</v>
      </c>
      <c r="BT164" s="42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  <c r="JH164" s="31"/>
      <c r="JI164" s="31"/>
      <c r="JJ164" s="31"/>
      <c r="JK164" s="31"/>
      <c r="JL164" s="31"/>
      <c r="JM164" s="31"/>
      <c r="JN164" s="31"/>
      <c r="JO164" s="31"/>
      <c r="JP164" s="31"/>
      <c r="JQ164" s="31"/>
      <c r="JR164" s="31"/>
      <c r="JS164" s="31"/>
      <c r="JT164" s="31"/>
      <c r="JU164" s="31"/>
      <c r="JV164" s="31"/>
      <c r="JW164" s="31"/>
      <c r="JX164" s="31"/>
      <c r="JY164" s="31"/>
      <c r="JZ164" s="31"/>
      <c r="KA164" s="31"/>
      <c r="KB164" s="31"/>
      <c r="KC164" s="31"/>
      <c r="KD164" s="31"/>
      <c r="KE164" s="31"/>
      <c r="KF164" s="31"/>
      <c r="KG164" s="31"/>
      <c r="KH164" s="31"/>
      <c r="KI164" s="31"/>
      <c r="KJ164" s="31"/>
      <c r="KK164" s="31"/>
      <c r="KL164" s="31"/>
      <c r="KM164" s="31"/>
      <c r="KN164" s="31"/>
      <c r="KO164" s="31"/>
      <c r="KP164" s="31"/>
      <c r="KQ164" s="31"/>
      <c r="KR164" s="31"/>
      <c r="KS164" s="31"/>
      <c r="KT164" s="31"/>
      <c r="KU164" s="31"/>
      <c r="KV164" s="31"/>
      <c r="KW164" s="31"/>
      <c r="KX164" s="31"/>
      <c r="KY164" s="31"/>
      <c r="KZ164" s="31"/>
      <c r="LA164" s="31"/>
      <c r="LB164" s="31"/>
      <c r="LC164" s="31"/>
      <c r="LD164" s="31"/>
      <c r="LE164" s="31"/>
      <c r="LF164" s="31"/>
      <c r="LG164" s="31"/>
      <c r="LH164" s="31"/>
      <c r="LI164" s="31"/>
      <c r="LJ164" s="31"/>
      <c r="LK164" s="31"/>
      <c r="LL164" s="31"/>
      <c r="LM164" s="31"/>
      <c r="LN164" s="31"/>
      <c r="LO164" s="31"/>
      <c r="LP164" s="31"/>
      <c r="LQ164" s="31"/>
      <c r="LR164" s="31"/>
      <c r="LS164" s="31"/>
      <c r="LT164" s="31"/>
      <c r="LU164" s="31"/>
      <c r="LV164" s="31"/>
      <c r="LW164" s="31"/>
      <c r="LX164" s="31"/>
      <c r="LY164" s="31"/>
      <c r="LZ164" s="31"/>
      <c r="MA164" s="31"/>
      <c r="MB164" s="31"/>
      <c r="MC164" s="31"/>
      <c r="MD164" s="31"/>
      <c r="ME164" s="31"/>
      <c r="MF164" s="31"/>
      <c r="MG164" s="31"/>
      <c r="MH164" s="31"/>
      <c r="MI164" s="31"/>
      <c r="MJ164" s="31"/>
      <c r="MK164" s="31"/>
      <c r="ML164" s="31"/>
      <c r="MM164" s="31"/>
      <c r="MN164" s="31"/>
      <c r="MO164" s="31"/>
      <c r="MP164" s="31"/>
      <c r="MQ164" s="31"/>
      <c r="MR164" s="31"/>
      <c r="MS164" s="31"/>
      <c r="MT164" s="31"/>
      <c r="MU164" s="31"/>
      <c r="MV164" s="31"/>
      <c r="MW164" s="31"/>
      <c r="MX164" s="31"/>
      <c r="MY164" s="31"/>
      <c r="MZ164" s="31"/>
      <c r="NA164" s="31"/>
      <c r="NB164" s="31"/>
      <c r="NC164" s="31"/>
      <c r="ND164" s="31"/>
      <c r="NE164" s="31"/>
      <c r="NF164" s="31"/>
      <c r="NG164" s="31"/>
      <c r="NH164" s="31"/>
      <c r="NI164" s="31"/>
      <c r="NJ164" s="31"/>
      <c r="NK164" s="31"/>
      <c r="NL164" s="31"/>
      <c r="NM164" s="31"/>
      <c r="NN164" s="31"/>
      <c r="NO164" s="31"/>
      <c r="NP164" s="31"/>
      <c r="NQ164" s="31"/>
      <c r="NR164" s="31"/>
      <c r="NS164" s="31"/>
      <c r="NT164" s="31"/>
      <c r="NU164" s="31"/>
      <c r="NV164" s="31"/>
      <c r="NW164" s="31"/>
      <c r="NX164" s="31"/>
      <c r="NY164" s="31"/>
      <c r="NZ164" s="31"/>
      <c r="OA164" s="31"/>
      <c r="OB164" s="31"/>
      <c r="OC164" s="31"/>
      <c r="OD164" s="31"/>
      <c r="OE164" s="31"/>
      <c r="OF164" s="31"/>
      <c r="OG164" s="31"/>
      <c r="OH164" s="31"/>
      <c r="OI164" s="31"/>
      <c r="OJ164" s="31"/>
      <c r="OK164" s="31"/>
      <c r="OL164" s="31"/>
      <c r="OM164" s="31"/>
      <c r="ON164" s="31"/>
      <c r="OO164" s="31"/>
      <c r="OP164" s="31"/>
      <c r="OQ164" s="31"/>
      <c r="OR164" s="31"/>
      <c r="OS164" s="31"/>
      <c r="OT164" s="31"/>
      <c r="OU164" s="31"/>
      <c r="OV164" s="31"/>
      <c r="OW164" s="31"/>
      <c r="OX164" s="31"/>
    </row>
    <row r="165" spans="2:414" s="25" customFormat="1" ht="15.6">
      <c r="B165" s="25" t="s">
        <v>254</v>
      </c>
      <c r="C165" s="27" t="s">
        <v>255</v>
      </c>
      <c r="D165" s="30" t="s">
        <v>201</v>
      </c>
      <c r="G165" s="42">
        <v>500</v>
      </c>
      <c r="H165" s="89">
        <v>26.109000000000002</v>
      </c>
      <c r="I165" s="38">
        <f t="shared" si="52"/>
        <v>13054.5</v>
      </c>
      <c r="K165" s="42">
        <v>500</v>
      </c>
      <c r="L165" s="90">
        <v>26.849599999999999</v>
      </c>
      <c r="M165" s="38">
        <f t="shared" si="53"/>
        <v>13424.8</v>
      </c>
      <c r="O165" s="38">
        <v>80</v>
      </c>
      <c r="P165" s="38">
        <v>26.728300000000001</v>
      </c>
      <c r="Q165" s="38">
        <f t="shared" si="54"/>
        <v>2138.2640000000001</v>
      </c>
      <c r="R165" s="43">
        <f t="shared" si="61"/>
        <v>1080</v>
      </c>
      <c r="S165" s="38">
        <f t="shared" si="55"/>
        <v>28617.563999999998</v>
      </c>
      <c r="T165" s="49"/>
      <c r="U165" s="42"/>
      <c r="V165" s="38">
        <f t="shared" si="64"/>
        <v>0</v>
      </c>
      <c r="W165" s="42">
        <v>330</v>
      </c>
      <c r="X165" s="42">
        <v>26.967199999999998</v>
      </c>
      <c r="Y165" s="38">
        <f t="shared" si="63"/>
        <v>8899.1759999999995</v>
      </c>
      <c r="Z165" s="42"/>
      <c r="AA165" s="42"/>
      <c r="AB165" s="42">
        <f t="shared" si="45"/>
        <v>0</v>
      </c>
      <c r="AD165" s="42"/>
      <c r="AE165" s="42"/>
      <c r="AF165" s="42">
        <f t="shared" si="62"/>
        <v>0</v>
      </c>
      <c r="AG165" s="42"/>
      <c r="AH165" s="42"/>
      <c r="AI165" s="42"/>
      <c r="AJ165" s="42">
        <f t="shared" si="50"/>
        <v>0</v>
      </c>
      <c r="AL165" s="42"/>
      <c r="AM165" s="42"/>
      <c r="AN165" s="42">
        <f t="shared" si="51"/>
        <v>0</v>
      </c>
      <c r="AO165" s="44"/>
      <c r="AP165" s="42"/>
      <c r="AQ165" s="42"/>
      <c r="AR165" s="42"/>
      <c r="AU165" s="98"/>
      <c r="AV165" s="35"/>
      <c r="AW165" s="104"/>
      <c r="AX165" s="42"/>
      <c r="AY165" s="42"/>
      <c r="AZ165" s="42">
        <f t="shared" si="49"/>
        <v>0</v>
      </c>
      <c r="BA165" s="42"/>
      <c r="BB165" s="42"/>
      <c r="BC165" s="42"/>
      <c r="BD165" s="38">
        <f t="shared" si="56"/>
        <v>0</v>
      </c>
      <c r="BE165" s="42"/>
      <c r="BF165" s="42"/>
      <c r="BG165" s="42"/>
      <c r="BH165" s="38">
        <f t="shared" si="57"/>
        <v>0</v>
      </c>
      <c r="BI165" s="42"/>
      <c r="BJ165" s="42"/>
      <c r="BK165" s="42"/>
      <c r="BL165" s="38">
        <f t="shared" si="58"/>
        <v>0</v>
      </c>
      <c r="BM165" s="42"/>
      <c r="BN165" s="42"/>
      <c r="BO165" s="42"/>
      <c r="BP165" s="42"/>
      <c r="BR165" s="42">
        <f t="shared" si="59"/>
        <v>8899.1759999999995</v>
      </c>
      <c r="BS165" s="43">
        <f t="shared" si="60"/>
        <v>19718.387999999999</v>
      </c>
      <c r="BT165" s="42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  <c r="JH165" s="31"/>
      <c r="JI165" s="31"/>
      <c r="JJ165" s="31"/>
      <c r="JK165" s="31"/>
      <c r="JL165" s="31"/>
      <c r="JM165" s="31"/>
      <c r="JN165" s="31"/>
      <c r="JO165" s="31"/>
      <c r="JP165" s="31"/>
      <c r="JQ165" s="31"/>
      <c r="JR165" s="31"/>
      <c r="JS165" s="31"/>
      <c r="JT165" s="31"/>
      <c r="JU165" s="31"/>
      <c r="JV165" s="31"/>
      <c r="JW165" s="31"/>
      <c r="JX165" s="31"/>
      <c r="JY165" s="31"/>
      <c r="JZ165" s="31"/>
      <c r="KA165" s="31"/>
      <c r="KB165" s="31"/>
      <c r="KC165" s="31"/>
      <c r="KD165" s="31"/>
      <c r="KE165" s="31"/>
      <c r="KF165" s="31"/>
      <c r="KG165" s="31"/>
      <c r="KH165" s="31"/>
      <c r="KI165" s="31"/>
      <c r="KJ165" s="31"/>
      <c r="KK165" s="31"/>
      <c r="KL165" s="31"/>
      <c r="KM165" s="31"/>
      <c r="KN165" s="31"/>
      <c r="KO165" s="31"/>
      <c r="KP165" s="31"/>
      <c r="KQ165" s="31"/>
      <c r="KR165" s="31"/>
      <c r="KS165" s="31"/>
      <c r="KT165" s="31"/>
      <c r="KU165" s="31"/>
      <c r="KV165" s="31"/>
      <c r="KW165" s="31"/>
      <c r="KX165" s="31"/>
      <c r="KY165" s="31"/>
      <c r="KZ165" s="31"/>
      <c r="LA165" s="31"/>
      <c r="LB165" s="31"/>
      <c r="LC165" s="31"/>
      <c r="LD165" s="31"/>
      <c r="LE165" s="31"/>
      <c r="LF165" s="31"/>
      <c r="LG165" s="31"/>
      <c r="LH165" s="31"/>
      <c r="LI165" s="31"/>
      <c r="LJ165" s="31"/>
      <c r="LK165" s="31"/>
      <c r="LL165" s="31"/>
      <c r="LM165" s="31"/>
      <c r="LN165" s="31"/>
      <c r="LO165" s="31"/>
      <c r="LP165" s="31"/>
      <c r="LQ165" s="31"/>
      <c r="LR165" s="31"/>
      <c r="LS165" s="31"/>
      <c r="LT165" s="31"/>
      <c r="LU165" s="31"/>
      <c r="LV165" s="31"/>
      <c r="LW165" s="31"/>
      <c r="LX165" s="31"/>
      <c r="LY165" s="31"/>
      <c r="LZ165" s="31"/>
      <c r="MA165" s="31"/>
      <c r="MB165" s="31"/>
      <c r="MC165" s="31"/>
      <c r="MD165" s="31"/>
      <c r="ME165" s="31"/>
      <c r="MF165" s="31"/>
      <c r="MG165" s="31"/>
      <c r="MH165" s="31"/>
      <c r="MI165" s="31"/>
      <c r="MJ165" s="31"/>
      <c r="MK165" s="31"/>
      <c r="ML165" s="31"/>
      <c r="MM165" s="31"/>
      <c r="MN165" s="31"/>
      <c r="MO165" s="31"/>
      <c r="MP165" s="31"/>
      <c r="MQ165" s="31"/>
      <c r="MR165" s="31"/>
      <c r="MS165" s="31"/>
      <c r="MT165" s="31"/>
      <c r="MU165" s="31"/>
      <c r="MV165" s="31"/>
      <c r="MW165" s="31"/>
      <c r="MX165" s="31"/>
      <c r="MY165" s="31"/>
      <c r="MZ165" s="31"/>
      <c r="NA165" s="31"/>
      <c r="NB165" s="31"/>
      <c r="NC165" s="31"/>
      <c r="ND165" s="31"/>
      <c r="NE165" s="31"/>
      <c r="NF165" s="31"/>
      <c r="NG165" s="31"/>
      <c r="NH165" s="31"/>
      <c r="NI165" s="31"/>
      <c r="NJ165" s="31"/>
      <c r="NK165" s="31"/>
      <c r="NL165" s="31"/>
      <c r="NM165" s="31"/>
      <c r="NN165" s="31"/>
      <c r="NO165" s="31"/>
      <c r="NP165" s="31"/>
      <c r="NQ165" s="31"/>
      <c r="NR165" s="31"/>
      <c r="NS165" s="31"/>
      <c r="NT165" s="31"/>
      <c r="NU165" s="31"/>
      <c r="NV165" s="31"/>
      <c r="NW165" s="31"/>
      <c r="NX165" s="31"/>
      <c r="NY165" s="31"/>
      <c r="NZ165" s="31"/>
      <c r="OA165" s="31"/>
      <c r="OB165" s="31"/>
      <c r="OC165" s="31"/>
      <c r="OD165" s="31"/>
      <c r="OE165" s="31"/>
      <c r="OF165" s="31"/>
      <c r="OG165" s="31"/>
      <c r="OH165" s="31"/>
      <c r="OI165" s="31"/>
      <c r="OJ165" s="31"/>
      <c r="OK165" s="31"/>
      <c r="OL165" s="31"/>
      <c r="OM165" s="31"/>
      <c r="ON165" s="31"/>
      <c r="OO165" s="31"/>
      <c r="OP165" s="31"/>
      <c r="OQ165" s="31"/>
      <c r="OR165" s="31"/>
      <c r="OS165" s="31"/>
      <c r="OT165" s="31"/>
      <c r="OU165" s="31"/>
      <c r="OV165" s="31"/>
      <c r="OW165" s="31"/>
      <c r="OX165" s="31"/>
    </row>
    <row r="166" spans="2:414" s="25" customFormat="1" ht="15.6">
      <c r="B166" s="25" t="s">
        <v>256</v>
      </c>
      <c r="C166" s="27" t="s">
        <v>142</v>
      </c>
      <c r="D166" s="30" t="s">
        <v>201</v>
      </c>
      <c r="G166" s="42">
        <v>500</v>
      </c>
      <c r="H166" s="89">
        <v>26.109000000000002</v>
      </c>
      <c r="I166" s="38">
        <f t="shared" si="52"/>
        <v>13054.5</v>
      </c>
      <c r="K166" s="42">
        <v>500</v>
      </c>
      <c r="L166" s="90">
        <v>26.849599999999999</v>
      </c>
      <c r="M166" s="38">
        <f t="shared" si="53"/>
        <v>13424.8</v>
      </c>
      <c r="O166" s="38">
        <v>80</v>
      </c>
      <c r="P166" s="38">
        <v>26.728300000000001</v>
      </c>
      <c r="Q166" s="38">
        <f t="shared" si="54"/>
        <v>2138.2640000000001</v>
      </c>
      <c r="R166" s="43">
        <f t="shared" si="61"/>
        <v>1080</v>
      </c>
      <c r="S166" s="38">
        <f t="shared" si="55"/>
        <v>28617.563999999998</v>
      </c>
      <c r="T166" s="49"/>
      <c r="U166" s="42"/>
      <c r="V166" s="38">
        <f t="shared" si="64"/>
        <v>0</v>
      </c>
      <c r="W166" s="42"/>
      <c r="X166" s="42"/>
      <c r="Y166" s="38">
        <f t="shared" si="63"/>
        <v>0</v>
      </c>
      <c r="Z166" s="42"/>
      <c r="AA166" s="42"/>
      <c r="AB166" s="42">
        <f t="shared" si="45"/>
        <v>0</v>
      </c>
      <c r="AD166" s="42"/>
      <c r="AE166" s="42"/>
      <c r="AF166" s="42">
        <f t="shared" si="62"/>
        <v>0</v>
      </c>
      <c r="AG166" s="42"/>
      <c r="AH166" s="42"/>
      <c r="AI166" s="42"/>
      <c r="AJ166" s="42">
        <f t="shared" si="50"/>
        <v>0</v>
      </c>
      <c r="AL166" s="42"/>
      <c r="AM166" s="42"/>
      <c r="AN166" s="42">
        <f t="shared" si="51"/>
        <v>0</v>
      </c>
      <c r="AO166" s="44"/>
      <c r="AP166" s="42"/>
      <c r="AQ166" s="42"/>
      <c r="AR166" s="42"/>
      <c r="AU166" s="98"/>
      <c r="AV166" s="35"/>
      <c r="AW166" s="104"/>
      <c r="AX166" s="42"/>
      <c r="AY166" s="42"/>
      <c r="AZ166" s="42">
        <f t="shared" si="49"/>
        <v>0</v>
      </c>
      <c r="BA166" s="42"/>
      <c r="BB166" s="42"/>
      <c r="BC166" s="42"/>
      <c r="BD166" s="38">
        <f t="shared" si="56"/>
        <v>0</v>
      </c>
      <c r="BE166" s="42"/>
      <c r="BF166" s="42"/>
      <c r="BG166" s="42"/>
      <c r="BH166" s="38">
        <f t="shared" si="57"/>
        <v>0</v>
      </c>
      <c r="BI166" s="42"/>
      <c r="BJ166" s="42"/>
      <c r="BK166" s="42"/>
      <c r="BL166" s="38">
        <f t="shared" si="58"/>
        <v>0</v>
      </c>
      <c r="BM166" s="42"/>
      <c r="BN166" s="42"/>
      <c r="BO166" s="42"/>
      <c r="BP166" s="42"/>
      <c r="BR166" s="42">
        <f t="shared" si="59"/>
        <v>0</v>
      </c>
      <c r="BS166" s="43">
        <f t="shared" si="60"/>
        <v>28617.563999999998</v>
      </c>
      <c r="BT166" s="43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  <c r="IM166" s="31"/>
      <c r="IN166" s="31"/>
      <c r="IO166" s="31"/>
      <c r="IP166" s="31"/>
      <c r="IQ166" s="31"/>
      <c r="IR166" s="31"/>
      <c r="IS166" s="31"/>
      <c r="IT166" s="31"/>
      <c r="IU166" s="31"/>
      <c r="IV166" s="31"/>
      <c r="IW166" s="31"/>
      <c r="IX166" s="31"/>
      <c r="IY166" s="31"/>
      <c r="IZ166" s="31"/>
      <c r="JA166" s="31"/>
      <c r="JB166" s="31"/>
      <c r="JC166" s="31"/>
      <c r="JD166" s="31"/>
      <c r="JE166" s="31"/>
      <c r="JF166" s="31"/>
      <c r="JG166" s="31"/>
      <c r="JH166" s="31"/>
      <c r="JI166" s="31"/>
      <c r="JJ166" s="31"/>
      <c r="JK166" s="31"/>
      <c r="JL166" s="31"/>
      <c r="JM166" s="31"/>
      <c r="JN166" s="31"/>
      <c r="JO166" s="31"/>
      <c r="JP166" s="31"/>
      <c r="JQ166" s="31"/>
      <c r="JR166" s="31"/>
      <c r="JS166" s="31"/>
      <c r="JT166" s="31"/>
      <c r="JU166" s="31"/>
      <c r="JV166" s="31"/>
      <c r="JW166" s="31"/>
      <c r="JX166" s="31"/>
      <c r="JY166" s="31"/>
      <c r="JZ166" s="31"/>
      <c r="KA166" s="31"/>
      <c r="KB166" s="31"/>
      <c r="KC166" s="31"/>
      <c r="KD166" s="31"/>
      <c r="KE166" s="31"/>
      <c r="KF166" s="31"/>
      <c r="KG166" s="31"/>
      <c r="KH166" s="31"/>
      <c r="KI166" s="31"/>
      <c r="KJ166" s="31"/>
      <c r="KK166" s="31"/>
      <c r="KL166" s="31"/>
      <c r="KM166" s="31"/>
      <c r="KN166" s="31"/>
      <c r="KO166" s="31"/>
      <c r="KP166" s="31"/>
      <c r="KQ166" s="31"/>
      <c r="KR166" s="31"/>
      <c r="KS166" s="31"/>
      <c r="KT166" s="31"/>
      <c r="KU166" s="31"/>
      <c r="KV166" s="31"/>
      <c r="KW166" s="31"/>
      <c r="KX166" s="31"/>
      <c r="KY166" s="31"/>
      <c r="KZ166" s="31"/>
      <c r="LA166" s="31"/>
      <c r="LB166" s="31"/>
      <c r="LC166" s="31"/>
      <c r="LD166" s="31"/>
      <c r="LE166" s="31"/>
      <c r="LF166" s="31"/>
      <c r="LG166" s="31"/>
      <c r="LH166" s="31"/>
      <c r="LI166" s="31"/>
      <c r="LJ166" s="31"/>
      <c r="LK166" s="31"/>
      <c r="LL166" s="31"/>
      <c r="LM166" s="31"/>
      <c r="LN166" s="31"/>
      <c r="LO166" s="31"/>
      <c r="LP166" s="31"/>
      <c r="LQ166" s="31"/>
      <c r="LR166" s="31"/>
      <c r="LS166" s="31"/>
      <c r="LT166" s="31"/>
      <c r="LU166" s="31"/>
      <c r="LV166" s="31"/>
      <c r="LW166" s="31"/>
      <c r="LX166" s="31"/>
      <c r="LY166" s="31"/>
      <c r="LZ166" s="31"/>
      <c r="MA166" s="31"/>
      <c r="MB166" s="31"/>
      <c r="MC166" s="31"/>
      <c r="MD166" s="31"/>
      <c r="ME166" s="31"/>
      <c r="MF166" s="31"/>
      <c r="MG166" s="31"/>
      <c r="MH166" s="31"/>
      <c r="MI166" s="31"/>
      <c r="MJ166" s="31"/>
      <c r="MK166" s="31"/>
      <c r="ML166" s="31"/>
      <c r="MM166" s="31"/>
      <c r="MN166" s="31"/>
      <c r="MO166" s="31"/>
      <c r="MP166" s="31"/>
      <c r="MQ166" s="31"/>
      <c r="MR166" s="31"/>
      <c r="MS166" s="31"/>
      <c r="MT166" s="31"/>
      <c r="MU166" s="31"/>
      <c r="MV166" s="31"/>
      <c r="MW166" s="31"/>
      <c r="MX166" s="31"/>
      <c r="MY166" s="31"/>
      <c r="MZ166" s="31"/>
      <c r="NA166" s="31"/>
      <c r="NB166" s="31"/>
      <c r="NC166" s="31"/>
      <c r="ND166" s="31"/>
      <c r="NE166" s="31"/>
      <c r="NF166" s="31"/>
      <c r="NG166" s="31"/>
      <c r="NH166" s="31"/>
      <c r="NI166" s="31"/>
      <c r="NJ166" s="31"/>
      <c r="NK166" s="31"/>
      <c r="NL166" s="31"/>
      <c r="NM166" s="31"/>
      <c r="NN166" s="31"/>
      <c r="NO166" s="31"/>
      <c r="NP166" s="31"/>
      <c r="NQ166" s="31"/>
      <c r="NR166" s="31"/>
      <c r="NS166" s="31"/>
      <c r="NT166" s="31"/>
      <c r="NU166" s="31"/>
      <c r="NV166" s="31"/>
      <c r="NW166" s="31"/>
      <c r="NX166" s="31"/>
      <c r="NY166" s="31"/>
      <c r="NZ166" s="31"/>
      <c r="OA166" s="31"/>
      <c r="OB166" s="31"/>
      <c r="OC166" s="31"/>
      <c r="OD166" s="31"/>
      <c r="OE166" s="31"/>
      <c r="OF166" s="31"/>
      <c r="OG166" s="31"/>
      <c r="OH166" s="31"/>
      <c r="OI166" s="31"/>
      <c r="OJ166" s="31"/>
      <c r="OK166" s="31"/>
      <c r="OL166" s="31"/>
      <c r="OM166" s="31"/>
      <c r="ON166" s="31"/>
      <c r="OO166" s="31"/>
      <c r="OP166" s="31"/>
      <c r="OQ166" s="31"/>
      <c r="OR166" s="31"/>
      <c r="OS166" s="31"/>
      <c r="OT166" s="31"/>
      <c r="OU166" s="31"/>
      <c r="OV166" s="31"/>
      <c r="OW166" s="31"/>
      <c r="OX166" s="31"/>
    </row>
    <row r="167" spans="2:414" s="25" customFormat="1" ht="15.6">
      <c r="B167" s="25" t="s">
        <v>256</v>
      </c>
      <c r="C167" s="27" t="s">
        <v>257</v>
      </c>
      <c r="D167" s="30" t="s">
        <v>201</v>
      </c>
      <c r="G167" s="42">
        <v>500</v>
      </c>
      <c r="H167" s="89">
        <v>26.109000000000002</v>
      </c>
      <c r="I167" s="38">
        <f t="shared" si="52"/>
        <v>13054.5</v>
      </c>
      <c r="K167" s="42">
        <v>500</v>
      </c>
      <c r="L167" s="90">
        <v>26.849599999999999</v>
      </c>
      <c r="M167" s="38">
        <f t="shared" si="53"/>
        <v>13424.8</v>
      </c>
      <c r="O167" s="38">
        <v>80</v>
      </c>
      <c r="P167" s="38">
        <v>26.728300000000001</v>
      </c>
      <c r="Q167" s="38">
        <f t="shared" si="54"/>
        <v>2138.2640000000001</v>
      </c>
      <c r="R167" s="43">
        <f t="shared" si="61"/>
        <v>1080</v>
      </c>
      <c r="S167" s="38">
        <f t="shared" si="55"/>
        <v>28617.563999999998</v>
      </c>
      <c r="T167" s="49">
        <v>415</v>
      </c>
      <c r="U167" s="42">
        <v>26.271599999999999</v>
      </c>
      <c r="V167" s="38">
        <f t="shared" si="64"/>
        <v>10902.714</v>
      </c>
      <c r="W167" s="42">
        <v>85</v>
      </c>
      <c r="X167" s="42">
        <v>26.271599999999999</v>
      </c>
      <c r="Y167" s="38">
        <f t="shared" si="63"/>
        <v>2233.0859999999998</v>
      </c>
      <c r="Z167" s="42">
        <v>500</v>
      </c>
      <c r="AA167" s="42">
        <v>26.864000000000001</v>
      </c>
      <c r="AB167" s="42">
        <f t="shared" si="45"/>
        <v>13432</v>
      </c>
      <c r="AD167" s="42"/>
      <c r="AE167" s="42"/>
      <c r="AF167" s="42">
        <f t="shared" si="62"/>
        <v>0</v>
      </c>
      <c r="AG167" s="42"/>
      <c r="AH167" s="42"/>
      <c r="AI167" s="42"/>
      <c r="AJ167" s="42">
        <f t="shared" si="50"/>
        <v>0</v>
      </c>
      <c r="AL167" s="42"/>
      <c r="AM167" s="42"/>
      <c r="AN167" s="42">
        <f t="shared" si="51"/>
        <v>0</v>
      </c>
      <c r="AO167" s="44"/>
      <c r="AP167" s="42"/>
      <c r="AQ167" s="42"/>
      <c r="AR167" s="42"/>
      <c r="AU167" s="98"/>
      <c r="AV167" s="35"/>
      <c r="AW167" s="104"/>
      <c r="AX167" s="42"/>
      <c r="AY167" s="42"/>
      <c r="AZ167" s="42">
        <f t="shared" si="49"/>
        <v>0</v>
      </c>
      <c r="BA167" s="42"/>
      <c r="BB167" s="42"/>
      <c r="BC167" s="42"/>
      <c r="BD167" s="38">
        <f t="shared" si="56"/>
        <v>0</v>
      </c>
      <c r="BE167" s="42"/>
      <c r="BF167" s="42"/>
      <c r="BG167" s="42"/>
      <c r="BH167" s="38">
        <f t="shared" si="57"/>
        <v>0</v>
      </c>
      <c r="BI167" s="42"/>
      <c r="BJ167" s="42"/>
      <c r="BK167" s="42"/>
      <c r="BL167" s="38">
        <f t="shared" si="58"/>
        <v>0</v>
      </c>
      <c r="BM167" s="42"/>
      <c r="BN167" s="42"/>
      <c r="BO167" s="42"/>
      <c r="BP167" s="42"/>
      <c r="BR167" s="42">
        <f t="shared" si="59"/>
        <v>26567.8</v>
      </c>
      <c r="BS167" s="43">
        <f t="shared" si="60"/>
        <v>2049.7639999999992</v>
      </c>
      <c r="BT167" s="42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  <c r="JH167" s="31"/>
      <c r="JI167" s="31"/>
      <c r="JJ167" s="31"/>
      <c r="JK167" s="31"/>
      <c r="JL167" s="31"/>
      <c r="JM167" s="31"/>
      <c r="JN167" s="31"/>
      <c r="JO167" s="31"/>
      <c r="JP167" s="31"/>
      <c r="JQ167" s="31"/>
      <c r="JR167" s="31"/>
      <c r="JS167" s="31"/>
      <c r="JT167" s="31"/>
      <c r="JU167" s="31"/>
      <c r="JV167" s="31"/>
      <c r="JW167" s="31"/>
      <c r="JX167" s="31"/>
      <c r="JY167" s="31"/>
      <c r="JZ167" s="31"/>
      <c r="KA167" s="31"/>
      <c r="KB167" s="31"/>
      <c r="KC167" s="31"/>
      <c r="KD167" s="31"/>
      <c r="KE167" s="31"/>
      <c r="KF167" s="31"/>
      <c r="KG167" s="31"/>
      <c r="KH167" s="31"/>
      <c r="KI167" s="31"/>
      <c r="KJ167" s="31"/>
      <c r="KK167" s="31"/>
      <c r="KL167" s="31"/>
      <c r="KM167" s="31"/>
      <c r="KN167" s="31"/>
      <c r="KO167" s="31"/>
      <c r="KP167" s="31"/>
      <c r="KQ167" s="31"/>
      <c r="KR167" s="31"/>
      <c r="KS167" s="31"/>
      <c r="KT167" s="31"/>
      <c r="KU167" s="31"/>
      <c r="KV167" s="31"/>
      <c r="KW167" s="31"/>
      <c r="KX167" s="31"/>
      <c r="KY167" s="31"/>
      <c r="KZ167" s="31"/>
      <c r="LA167" s="31"/>
      <c r="LB167" s="31"/>
      <c r="LC167" s="31"/>
      <c r="LD167" s="31"/>
      <c r="LE167" s="31"/>
      <c r="LF167" s="31"/>
      <c r="LG167" s="31"/>
      <c r="LH167" s="31"/>
      <c r="LI167" s="31"/>
      <c r="LJ167" s="31"/>
      <c r="LK167" s="31"/>
      <c r="LL167" s="31"/>
      <c r="LM167" s="31"/>
      <c r="LN167" s="31"/>
      <c r="LO167" s="31"/>
      <c r="LP167" s="31"/>
      <c r="LQ167" s="31"/>
      <c r="LR167" s="31"/>
      <c r="LS167" s="31"/>
      <c r="LT167" s="31"/>
      <c r="LU167" s="31"/>
      <c r="LV167" s="31"/>
      <c r="LW167" s="31"/>
      <c r="LX167" s="31"/>
      <c r="LY167" s="31"/>
      <c r="LZ167" s="31"/>
      <c r="MA167" s="31"/>
      <c r="MB167" s="31"/>
      <c r="MC167" s="31"/>
      <c r="MD167" s="31"/>
      <c r="ME167" s="31"/>
      <c r="MF167" s="31"/>
      <c r="MG167" s="31"/>
      <c r="MH167" s="31"/>
      <c r="MI167" s="31"/>
      <c r="MJ167" s="31"/>
      <c r="MK167" s="31"/>
      <c r="ML167" s="31"/>
      <c r="MM167" s="31"/>
      <c r="MN167" s="31"/>
      <c r="MO167" s="31"/>
      <c r="MP167" s="31"/>
      <c r="MQ167" s="31"/>
      <c r="MR167" s="31"/>
      <c r="MS167" s="31"/>
      <c r="MT167" s="31"/>
      <c r="MU167" s="31"/>
      <c r="MV167" s="31"/>
      <c r="MW167" s="31"/>
      <c r="MX167" s="31"/>
      <c r="MY167" s="31"/>
      <c r="MZ167" s="31"/>
      <c r="NA167" s="31"/>
      <c r="NB167" s="31"/>
      <c r="NC167" s="31"/>
      <c r="ND167" s="31"/>
      <c r="NE167" s="31"/>
      <c r="NF167" s="31"/>
      <c r="NG167" s="31"/>
      <c r="NH167" s="31"/>
      <c r="NI167" s="31"/>
      <c r="NJ167" s="31"/>
      <c r="NK167" s="31"/>
      <c r="NL167" s="31"/>
      <c r="NM167" s="31"/>
      <c r="NN167" s="31"/>
      <c r="NO167" s="31"/>
      <c r="NP167" s="31"/>
      <c r="NQ167" s="31"/>
      <c r="NR167" s="31"/>
      <c r="NS167" s="31"/>
      <c r="NT167" s="31"/>
      <c r="NU167" s="31"/>
      <c r="NV167" s="31"/>
      <c r="NW167" s="31"/>
      <c r="NX167" s="31"/>
      <c r="NY167" s="31"/>
      <c r="NZ167" s="31"/>
      <c r="OA167" s="31"/>
      <c r="OB167" s="31"/>
      <c r="OC167" s="31"/>
      <c r="OD167" s="31"/>
      <c r="OE167" s="31"/>
      <c r="OF167" s="31"/>
      <c r="OG167" s="31"/>
      <c r="OH167" s="31"/>
      <c r="OI167" s="31"/>
      <c r="OJ167" s="31"/>
      <c r="OK167" s="31"/>
      <c r="OL167" s="31"/>
      <c r="OM167" s="31"/>
      <c r="ON167" s="31"/>
      <c r="OO167" s="31"/>
      <c r="OP167" s="31"/>
      <c r="OQ167" s="31"/>
      <c r="OR167" s="31"/>
      <c r="OS167" s="31"/>
      <c r="OT167" s="31"/>
      <c r="OU167" s="31"/>
      <c r="OV167" s="31"/>
      <c r="OW167" s="31"/>
      <c r="OX167" s="31"/>
    </row>
    <row r="168" spans="2:414" s="25" customFormat="1" ht="15.6">
      <c r="B168" s="25" t="s">
        <v>152</v>
      </c>
      <c r="C168" s="27" t="s">
        <v>159</v>
      </c>
      <c r="D168" s="30" t="s">
        <v>201</v>
      </c>
      <c r="G168" s="42">
        <v>500</v>
      </c>
      <c r="H168" s="89">
        <v>26.109000000000002</v>
      </c>
      <c r="I168" s="38">
        <f t="shared" si="52"/>
        <v>13054.5</v>
      </c>
      <c r="K168" s="42">
        <v>500</v>
      </c>
      <c r="L168" s="90">
        <v>26.849599999999999</v>
      </c>
      <c r="M168" s="38">
        <f t="shared" si="53"/>
        <v>13424.8</v>
      </c>
      <c r="O168" s="38">
        <v>80</v>
      </c>
      <c r="P168" s="38">
        <v>26.728300000000001</v>
      </c>
      <c r="Q168" s="38">
        <f t="shared" si="54"/>
        <v>2138.2640000000001</v>
      </c>
      <c r="R168" s="43">
        <f t="shared" si="61"/>
        <v>1080</v>
      </c>
      <c r="S168" s="38">
        <f t="shared" si="55"/>
        <v>28617.563999999998</v>
      </c>
      <c r="T168" s="49">
        <v>415</v>
      </c>
      <c r="U168" s="42">
        <v>26.261399999999998</v>
      </c>
      <c r="V168" s="38">
        <f t="shared" si="64"/>
        <v>10898.481</v>
      </c>
      <c r="W168" s="42">
        <v>85</v>
      </c>
      <c r="X168" s="42">
        <v>26.261399999999998</v>
      </c>
      <c r="Y168" s="38">
        <f t="shared" si="63"/>
        <v>2232.2190000000001</v>
      </c>
      <c r="Z168" s="42">
        <v>415</v>
      </c>
      <c r="AA168" s="42">
        <v>26.8401</v>
      </c>
      <c r="AB168" s="42">
        <f t="shared" si="45"/>
        <v>11138.6415</v>
      </c>
      <c r="AD168" s="42">
        <v>85</v>
      </c>
      <c r="AE168" s="42">
        <v>26.789400000000001</v>
      </c>
      <c r="AF168" s="42">
        <f t="shared" si="62"/>
        <v>2277.0990000000002</v>
      </c>
      <c r="AG168" s="42"/>
      <c r="AH168" s="42"/>
      <c r="AI168" s="42"/>
      <c r="AJ168" s="42">
        <f t="shared" si="50"/>
        <v>0</v>
      </c>
      <c r="AL168" s="42"/>
      <c r="AM168" s="42"/>
      <c r="AN168" s="42">
        <f t="shared" si="51"/>
        <v>0</v>
      </c>
      <c r="AO168" s="44"/>
      <c r="AP168" s="42"/>
      <c r="AQ168" s="42"/>
      <c r="AR168" s="42"/>
      <c r="AU168" s="98"/>
      <c r="AV168" s="35"/>
      <c r="AW168" s="104"/>
      <c r="AX168" s="42"/>
      <c r="AY168" s="42"/>
      <c r="AZ168" s="42">
        <f t="shared" si="49"/>
        <v>0</v>
      </c>
      <c r="BA168" s="42"/>
      <c r="BB168" s="42"/>
      <c r="BC168" s="42"/>
      <c r="BD168" s="38">
        <f t="shared" si="56"/>
        <v>0</v>
      </c>
      <c r="BE168" s="42"/>
      <c r="BF168" s="42"/>
      <c r="BG168" s="42"/>
      <c r="BH168" s="38">
        <f t="shared" si="57"/>
        <v>0</v>
      </c>
      <c r="BI168" s="42"/>
      <c r="BJ168" s="42"/>
      <c r="BK168" s="42"/>
      <c r="BL168" s="38">
        <f t="shared" si="58"/>
        <v>0</v>
      </c>
      <c r="BM168" s="42"/>
      <c r="BN168" s="42"/>
      <c r="BO168" s="42"/>
      <c r="BP168" s="42"/>
      <c r="BR168" s="42">
        <f t="shared" si="59"/>
        <v>26546.440500000004</v>
      </c>
      <c r="BS168" s="43">
        <f t="shared" si="60"/>
        <v>2071.1234999999942</v>
      </c>
      <c r="BT168" s="42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  <c r="IM168" s="31"/>
      <c r="IN168" s="31"/>
      <c r="IO168" s="31"/>
      <c r="IP168" s="31"/>
      <c r="IQ168" s="31"/>
      <c r="IR168" s="31"/>
      <c r="IS168" s="31"/>
      <c r="IT168" s="31"/>
      <c r="IU168" s="31"/>
      <c r="IV168" s="31"/>
      <c r="IW168" s="31"/>
      <c r="IX168" s="31"/>
      <c r="IY168" s="31"/>
      <c r="IZ168" s="31"/>
      <c r="JA168" s="31"/>
      <c r="JB168" s="31"/>
      <c r="JC168" s="31"/>
      <c r="JD168" s="31"/>
      <c r="JE168" s="31"/>
      <c r="JF168" s="31"/>
      <c r="JG168" s="31"/>
      <c r="JH168" s="31"/>
      <c r="JI168" s="31"/>
      <c r="JJ168" s="31"/>
      <c r="JK168" s="31"/>
      <c r="JL168" s="31"/>
      <c r="JM168" s="31"/>
      <c r="JN168" s="31"/>
      <c r="JO168" s="31"/>
      <c r="JP168" s="31"/>
      <c r="JQ168" s="31"/>
      <c r="JR168" s="31"/>
      <c r="JS168" s="31"/>
      <c r="JT168" s="31"/>
      <c r="JU168" s="31"/>
      <c r="JV168" s="31"/>
      <c r="JW168" s="31"/>
      <c r="JX168" s="31"/>
      <c r="JY168" s="31"/>
      <c r="JZ168" s="31"/>
      <c r="KA168" s="31"/>
      <c r="KB168" s="31"/>
      <c r="KC168" s="31"/>
      <c r="KD168" s="31"/>
      <c r="KE168" s="31"/>
      <c r="KF168" s="31"/>
      <c r="KG168" s="31"/>
      <c r="KH168" s="31"/>
      <c r="KI168" s="31"/>
      <c r="KJ168" s="31"/>
      <c r="KK168" s="31"/>
      <c r="KL168" s="31"/>
      <c r="KM168" s="31"/>
      <c r="KN168" s="31"/>
      <c r="KO168" s="31"/>
      <c r="KP168" s="31"/>
      <c r="KQ168" s="31"/>
      <c r="KR168" s="31"/>
      <c r="KS168" s="31"/>
      <c r="KT168" s="31"/>
      <c r="KU168" s="31"/>
      <c r="KV168" s="31"/>
      <c r="KW168" s="31"/>
      <c r="KX168" s="31"/>
      <c r="KY168" s="31"/>
      <c r="KZ168" s="31"/>
      <c r="LA168" s="31"/>
      <c r="LB168" s="31"/>
      <c r="LC168" s="31"/>
      <c r="LD168" s="31"/>
      <c r="LE168" s="31"/>
      <c r="LF168" s="31"/>
      <c r="LG168" s="31"/>
      <c r="LH168" s="31"/>
      <c r="LI168" s="31"/>
      <c r="LJ168" s="31"/>
      <c r="LK168" s="31"/>
      <c r="LL168" s="31"/>
      <c r="LM168" s="31"/>
      <c r="LN168" s="31"/>
      <c r="LO168" s="31"/>
      <c r="LP168" s="31"/>
      <c r="LQ168" s="31"/>
      <c r="LR168" s="31"/>
      <c r="LS168" s="31"/>
      <c r="LT168" s="31"/>
      <c r="LU168" s="31"/>
      <c r="LV168" s="31"/>
      <c r="LW168" s="31"/>
      <c r="LX168" s="31"/>
      <c r="LY168" s="31"/>
      <c r="LZ168" s="31"/>
      <c r="MA168" s="31"/>
      <c r="MB168" s="31"/>
      <c r="MC168" s="31"/>
      <c r="MD168" s="31"/>
      <c r="ME168" s="31"/>
      <c r="MF168" s="31"/>
      <c r="MG168" s="31"/>
      <c r="MH168" s="31"/>
      <c r="MI168" s="31"/>
      <c r="MJ168" s="31"/>
      <c r="MK168" s="31"/>
      <c r="ML168" s="31"/>
      <c r="MM168" s="31"/>
      <c r="MN168" s="31"/>
      <c r="MO168" s="31"/>
      <c r="MP168" s="31"/>
      <c r="MQ168" s="31"/>
      <c r="MR168" s="31"/>
      <c r="MS168" s="31"/>
      <c r="MT168" s="31"/>
      <c r="MU168" s="31"/>
      <c r="MV168" s="31"/>
      <c r="MW168" s="31"/>
      <c r="MX168" s="31"/>
      <c r="MY168" s="31"/>
      <c r="MZ168" s="31"/>
      <c r="NA168" s="31"/>
      <c r="NB168" s="31"/>
      <c r="NC168" s="31"/>
      <c r="ND168" s="31"/>
      <c r="NE168" s="31"/>
      <c r="NF168" s="31"/>
      <c r="NG168" s="31"/>
      <c r="NH168" s="31"/>
      <c r="NI168" s="31"/>
      <c r="NJ168" s="31"/>
      <c r="NK168" s="31"/>
      <c r="NL168" s="31"/>
      <c r="NM168" s="31"/>
      <c r="NN168" s="31"/>
      <c r="NO168" s="31"/>
      <c r="NP168" s="31"/>
      <c r="NQ168" s="31"/>
      <c r="NR168" s="31"/>
      <c r="NS168" s="31"/>
      <c r="NT168" s="31"/>
      <c r="NU168" s="31"/>
      <c r="NV168" s="31"/>
      <c r="NW168" s="31"/>
      <c r="NX168" s="31"/>
      <c r="NY168" s="31"/>
      <c r="NZ168" s="31"/>
      <c r="OA168" s="31"/>
      <c r="OB168" s="31"/>
      <c r="OC168" s="31"/>
      <c r="OD168" s="31"/>
      <c r="OE168" s="31"/>
      <c r="OF168" s="31"/>
      <c r="OG168" s="31"/>
      <c r="OH168" s="31"/>
      <c r="OI168" s="31"/>
      <c r="OJ168" s="31"/>
      <c r="OK168" s="31"/>
      <c r="OL168" s="31"/>
      <c r="OM168" s="31"/>
      <c r="ON168" s="31"/>
      <c r="OO168" s="31"/>
      <c r="OP168" s="31"/>
      <c r="OQ168" s="31"/>
      <c r="OR168" s="31"/>
      <c r="OS168" s="31"/>
      <c r="OT168" s="31"/>
      <c r="OU168" s="31"/>
      <c r="OV168" s="31"/>
      <c r="OW168" s="31"/>
      <c r="OX168" s="31"/>
    </row>
    <row r="169" spans="2:414" s="25" customFormat="1" ht="15.6">
      <c r="B169" s="25" t="s">
        <v>258</v>
      </c>
      <c r="C169" s="27" t="s">
        <v>20</v>
      </c>
      <c r="D169" s="30" t="s">
        <v>201</v>
      </c>
      <c r="G169" s="42">
        <v>500</v>
      </c>
      <c r="H169" s="89">
        <v>26.109000000000002</v>
      </c>
      <c r="I169" s="38">
        <f t="shared" si="52"/>
        <v>13054.5</v>
      </c>
      <c r="K169" s="42">
        <v>500</v>
      </c>
      <c r="L169" s="90">
        <v>26.849599999999999</v>
      </c>
      <c r="M169" s="38">
        <f t="shared" si="53"/>
        <v>13424.8</v>
      </c>
      <c r="O169" s="38">
        <v>80</v>
      </c>
      <c r="P169" s="38">
        <v>26.728300000000001</v>
      </c>
      <c r="Q169" s="38">
        <f t="shared" si="54"/>
        <v>2138.2640000000001</v>
      </c>
      <c r="R169" s="43">
        <f t="shared" si="61"/>
        <v>1080</v>
      </c>
      <c r="S169" s="38">
        <f t="shared" si="55"/>
        <v>28617.563999999998</v>
      </c>
      <c r="T169" s="49">
        <v>415</v>
      </c>
      <c r="U169" s="42">
        <v>26.271599999999999</v>
      </c>
      <c r="V169" s="38">
        <f t="shared" si="64"/>
        <v>10902.714</v>
      </c>
      <c r="W169" s="42">
        <v>85</v>
      </c>
      <c r="X169" s="42">
        <v>26.271599999999999</v>
      </c>
      <c r="Y169" s="38">
        <f t="shared" si="63"/>
        <v>2233.0859999999998</v>
      </c>
      <c r="Z169" s="42">
        <v>272</v>
      </c>
      <c r="AA169" s="42">
        <v>26.8719</v>
      </c>
      <c r="AB169" s="42">
        <f t="shared" si="45"/>
        <v>7309.1567999999997</v>
      </c>
      <c r="AD169" s="42">
        <v>100</v>
      </c>
      <c r="AE169" s="42">
        <v>26.8307</v>
      </c>
      <c r="AF169" s="42">
        <f t="shared" si="62"/>
        <v>2683.07</v>
      </c>
      <c r="AG169" s="42"/>
      <c r="AH169" s="42">
        <v>128</v>
      </c>
      <c r="AI169" s="42">
        <v>26.789400000000001</v>
      </c>
      <c r="AJ169" s="42">
        <f t="shared" si="50"/>
        <v>3429.0432000000001</v>
      </c>
      <c r="AL169" s="42"/>
      <c r="AM169" s="42"/>
      <c r="AN169" s="42">
        <f t="shared" si="51"/>
        <v>0</v>
      </c>
      <c r="AO169" s="44"/>
      <c r="AP169" s="42"/>
      <c r="AQ169" s="42"/>
      <c r="AR169" s="42"/>
      <c r="AU169" s="98"/>
      <c r="AV169" s="35"/>
      <c r="AW169" s="104"/>
      <c r="AX169" s="42"/>
      <c r="AY169" s="42"/>
      <c r="AZ169" s="42">
        <f t="shared" si="49"/>
        <v>0</v>
      </c>
      <c r="BA169" s="42"/>
      <c r="BB169" s="42"/>
      <c r="BC169" s="42"/>
      <c r="BD169" s="38">
        <f t="shared" si="56"/>
        <v>0</v>
      </c>
      <c r="BE169" s="42"/>
      <c r="BF169" s="42"/>
      <c r="BG169" s="42"/>
      <c r="BH169" s="38">
        <f t="shared" si="57"/>
        <v>0</v>
      </c>
      <c r="BI169" s="42"/>
      <c r="BJ169" s="42"/>
      <c r="BK169" s="42"/>
      <c r="BL169" s="38">
        <f t="shared" si="58"/>
        <v>0</v>
      </c>
      <c r="BM169" s="42"/>
      <c r="BN169" s="42"/>
      <c r="BO169" s="42"/>
      <c r="BP169" s="42"/>
      <c r="BR169" s="42">
        <f t="shared" si="59"/>
        <v>26557.07</v>
      </c>
      <c r="BS169" s="43">
        <f t="shared" si="60"/>
        <v>2060.4939999999988</v>
      </c>
      <c r="BT169" s="42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  <c r="IM169" s="31"/>
      <c r="IN169" s="31"/>
      <c r="IO169" s="31"/>
      <c r="IP169" s="31"/>
      <c r="IQ169" s="31"/>
      <c r="IR169" s="31"/>
      <c r="IS169" s="31"/>
      <c r="IT169" s="31"/>
      <c r="IU169" s="31"/>
      <c r="IV169" s="31"/>
      <c r="IW169" s="31"/>
      <c r="IX169" s="31"/>
      <c r="IY169" s="31"/>
      <c r="IZ169" s="31"/>
      <c r="JA169" s="31"/>
      <c r="JB169" s="31"/>
      <c r="JC169" s="31"/>
      <c r="JD169" s="31"/>
      <c r="JE169" s="31"/>
      <c r="JF169" s="31"/>
      <c r="JG169" s="31"/>
      <c r="JH169" s="31"/>
      <c r="JI169" s="31"/>
      <c r="JJ169" s="31"/>
      <c r="JK169" s="31"/>
      <c r="JL169" s="31"/>
      <c r="JM169" s="31"/>
      <c r="JN169" s="31"/>
      <c r="JO169" s="31"/>
      <c r="JP169" s="31"/>
      <c r="JQ169" s="31"/>
      <c r="JR169" s="31"/>
      <c r="JS169" s="31"/>
      <c r="JT169" s="31"/>
      <c r="JU169" s="31"/>
      <c r="JV169" s="31"/>
      <c r="JW169" s="31"/>
      <c r="JX169" s="31"/>
      <c r="JY169" s="31"/>
      <c r="JZ169" s="31"/>
      <c r="KA169" s="31"/>
      <c r="KB169" s="31"/>
      <c r="KC169" s="31"/>
      <c r="KD169" s="31"/>
      <c r="KE169" s="31"/>
      <c r="KF169" s="31"/>
      <c r="KG169" s="31"/>
      <c r="KH169" s="31"/>
      <c r="KI169" s="31"/>
      <c r="KJ169" s="31"/>
      <c r="KK169" s="31"/>
      <c r="KL169" s="31"/>
      <c r="KM169" s="31"/>
      <c r="KN169" s="31"/>
      <c r="KO169" s="31"/>
      <c r="KP169" s="31"/>
      <c r="KQ169" s="31"/>
      <c r="KR169" s="31"/>
      <c r="KS169" s="31"/>
      <c r="KT169" s="31"/>
      <c r="KU169" s="31"/>
      <c r="KV169" s="31"/>
      <c r="KW169" s="31"/>
      <c r="KX169" s="31"/>
      <c r="KY169" s="31"/>
      <c r="KZ169" s="31"/>
      <c r="LA169" s="31"/>
      <c r="LB169" s="31"/>
      <c r="LC169" s="31"/>
      <c r="LD169" s="31"/>
      <c r="LE169" s="31"/>
      <c r="LF169" s="31"/>
      <c r="LG169" s="31"/>
      <c r="LH169" s="31"/>
      <c r="LI169" s="31"/>
      <c r="LJ169" s="31"/>
      <c r="LK169" s="31"/>
      <c r="LL169" s="31"/>
      <c r="LM169" s="31"/>
      <c r="LN169" s="31"/>
      <c r="LO169" s="31"/>
      <c r="LP169" s="31"/>
      <c r="LQ169" s="31"/>
      <c r="LR169" s="31"/>
      <c r="LS169" s="31"/>
      <c r="LT169" s="31"/>
      <c r="LU169" s="31"/>
      <c r="LV169" s="31"/>
      <c r="LW169" s="31"/>
      <c r="LX169" s="31"/>
      <c r="LY169" s="31"/>
      <c r="LZ169" s="31"/>
      <c r="MA169" s="31"/>
      <c r="MB169" s="31"/>
      <c r="MC169" s="31"/>
      <c r="MD169" s="31"/>
      <c r="ME169" s="31"/>
      <c r="MF169" s="31"/>
      <c r="MG169" s="31"/>
      <c r="MH169" s="31"/>
      <c r="MI169" s="31"/>
      <c r="MJ169" s="31"/>
      <c r="MK169" s="31"/>
      <c r="ML169" s="31"/>
      <c r="MM169" s="31"/>
      <c r="MN169" s="31"/>
      <c r="MO169" s="31"/>
      <c r="MP169" s="31"/>
      <c r="MQ169" s="31"/>
      <c r="MR169" s="31"/>
      <c r="MS169" s="31"/>
      <c r="MT169" s="31"/>
      <c r="MU169" s="31"/>
      <c r="MV169" s="31"/>
      <c r="MW169" s="31"/>
      <c r="MX169" s="31"/>
      <c r="MY169" s="31"/>
      <c r="MZ169" s="31"/>
      <c r="NA169" s="31"/>
      <c r="NB169" s="31"/>
      <c r="NC169" s="31"/>
      <c r="ND169" s="31"/>
      <c r="NE169" s="31"/>
      <c r="NF169" s="31"/>
      <c r="NG169" s="31"/>
      <c r="NH169" s="31"/>
      <c r="NI169" s="31"/>
      <c r="NJ169" s="31"/>
      <c r="NK169" s="31"/>
      <c r="NL169" s="31"/>
      <c r="NM169" s="31"/>
      <c r="NN169" s="31"/>
      <c r="NO169" s="31"/>
      <c r="NP169" s="31"/>
      <c r="NQ169" s="31"/>
      <c r="NR169" s="31"/>
      <c r="NS169" s="31"/>
      <c r="NT169" s="31"/>
      <c r="NU169" s="31"/>
      <c r="NV169" s="31"/>
      <c r="NW169" s="31"/>
      <c r="NX169" s="31"/>
      <c r="NY169" s="31"/>
      <c r="NZ169" s="31"/>
      <c r="OA169" s="31"/>
      <c r="OB169" s="31"/>
      <c r="OC169" s="31"/>
      <c r="OD169" s="31"/>
      <c r="OE169" s="31"/>
      <c r="OF169" s="31"/>
      <c r="OG169" s="31"/>
      <c r="OH169" s="31"/>
      <c r="OI169" s="31"/>
      <c r="OJ169" s="31"/>
      <c r="OK169" s="31"/>
      <c r="OL169" s="31"/>
      <c r="OM169" s="31"/>
      <c r="ON169" s="31"/>
      <c r="OO169" s="31"/>
      <c r="OP169" s="31"/>
      <c r="OQ169" s="31"/>
      <c r="OR169" s="31"/>
      <c r="OS169" s="31"/>
      <c r="OT169" s="31"/>
      <c r="OU169" s="31"/>
      <c r="OV169" s="31"/>
      <c r="OW169" s="31"/>
      <c r="OX169" s="31"/>
    </row>
    <row r="170" spans="2:414" s="25" customFormat="1" ht="15.6">
      <c r="B170" s="25" t="s">
        <v>259</v>
      </c>
      <c r="C170" s="27" t="s">
        <v>44</v>
      </c>
      <c r="D170" s="30" t="s">
        <v>201</v>
      </c>
      <c r="G170" s="42">
        <v>500</v>
      </c>
      <c r="H170" s="89">
        <v>26.109000000000002</v>
      </c>
      <c r="I170" s="38">
        <f t="shared" si="52"/>
        <v>13054.5</v>
      </c>
      <c r="K170" s="42">
        <v>500</v>
      </c>
      <c r="L170" s="90">
        <v>26.849599999999999</v>
      </c>
      <c r="M170" s="38">
        <f t="shared" si="53"/>
        <v>13424.8</v>
      </c>
      <c r="O170" s="38">
        <v>80</v>
      </c>
      <c r="P170" s="38">
        <v>26.728300000000001</v>
      </c>
      <c r="Q170" s="38">
        <f t="shared" si="54"/>
        <v>2138.2640000000001</v>
      </c>
      <c r="R170" s="43">
        <f t="shared" si="61"/>
        <v>1080</v>
      </c>
      <c r="S170" s="38">
        <f t="shared" si="55"/>
        <v>28617.563999999998</v>
      </c>
      <c r="T170" s="49">
        <v>415</v>
      </c>
      <c r="U170" s="42">
        <v>26.298200000000001</v>
      </c>
      <c r="V170" s="38">
        <f t="shared" si="64"/>
        <v>10913.753000000001</v>
      </c>
      <c r="W170" s="42">
        <v>85</v>
      </c>
      <c r="X170" s="42">
        <v>28.3386</v>
      </c>
      <c r="Y170" s="38">
        <f t="shared" si="63"/>
        <v>2408.7809999999999</v>
      </c>
      <c r="Z170" s="42">
        <v>120</v>
      </c>
      <c r="AA170" s="42">
        <v>26.9481</v>
      </c>
      <c r="AB170" s="42">
        <f t="shared" si="45"/>
        <v>3233.7719999999999</v>
      </c>
      <c r="AD170" s="42"/>
      <c r="AE170" s="42"/>
      <c r="AF170" s="42">
        <f t="shared" si="62"/>
        <v>0</v>
      </c>
      <c r="AG170" s="42"/>
      <c r="AH170" s="42"/>
      <c r="AI170" s="42"/>
      <c r="AJ170" s="42">
        <f t="shared" si="50"/>
        <v>0</v>
      </c>
      <c r="AL170" s="42"/>
      <c r="AM170" s="42"/>
      <c r="AN170" s="42">
        <f t="shared" si="51"/>
        <v>0</v>
      </c>
      <c r="AO170" s="44"/>
      <c r="AP170" s="42"/>
      <c r="AQ170" s="42"/>
      <c r="AR170" s="42"/>
      <c r="AU170" s="98"/>
      <c r="AV170" s="35"/>
      <c r="AW170" s="104"/>
      <c r="AX170" s="42"/>
      <c r="AY170" s="42"/>
      <c r="AZ170" s="42">
        <f t="shared" si="49"/>
        <v>0</v>
      </c>
      <c r="BA170" s="42"/>
      <c r="BB170" s="42"/>
      <c r="BC170" s="42"/>
      <c r="BD170" s="38">
        <f t="shared" si="56"/>
        <v>0</v>
      </c>
      <c r="BE170" s="42"/>
      <c r="BF170" s="42"/>
      <c r="BG170" s="42"/>
      <c r="BH170" s="38">
        <f t="shared" si="57"/>
        <v>0</v>
      </c>
      <c r="BI170" s="42"/>
      <c r="BJ170" s="42"/>
      <c r="BK170" s="42"/>
      <c r="BL170" s="38">
        <f t="shared" si="58"/>
        <v>0</v>
      </c>
      <c r="BM170" s="42"/>
      <c r="BN170" s="42"/>
      <c r="BO170" s="42"/>
      <c r="BP170" s="42"/>
      <c r="BR170" s="42">
        <f t="shared" si="59"/>
        <v>16556.306</v>
      </c>
      <c r="BS170" s="43">
        <f t="shared" si="60"/>
        <v>12061.257999999998</v>
      </c>
      <c r="BT170" s="42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  <c r="IM170" s="31"/>
      <c r="IN170" s="31"/>
      <c r="IO170" s="31"/>
      <c r="IP170" s="31"/>
      <c r="IQ170" s="31"/>
      <c r="IR170" s="31"/>
      <c r="IS170" s="31"/>
      <c r="IT170" s="31"/>
      <c r="IU170" s="31"/>
      <c r="IV170" s="31"/>
      <c r="IW170" s="31"/>
      <c r="IX170" s="31"/>
      <c r="IY170" s="31"/>
      <c r="IZ170" s="31"/>
      <c r="JA170" s="31"/>
      <c r="JB170" s="31"/>
      <c r="JC170" s="31"/>
      <c r="JD170" s="31"/>
      <c r="JE170" s="31"/>
      <c r="JF170" s="31"/>
      <c r="JG170" s="31"/>
      <c r="JH170" s="31"/>
      <c r="JI170" s="31"/>
      <c r="JJ170" s="31"/>
      <c r="JK170" s="31"/>
      <c r="JL170" s="31"/>
      <c r="JM170" s="31"/>
      <c r="JN170" s="31"/>
      <c r="JO170" s="31"/>
      <c r="JP170" s="31"/>
      <c r="JQ170" s="31"/>
      <c r="JR170" s="31"/>
      <c r="JS170" s="31"/>
      <c r="JT170" s="31"/>
      <c r="JU170" s="31"/>
      <c r="JV170" s="31"/>
      <c r="JW170" s="31"/>
      <c r="JX170" s="31"/>
      <c r="JY170" s="31"/>
      <c r="JZ170" s="31"/>
      <c r="KA170" s="31"/>
      <c r="KB170" s="31"/>
      <c r="KC170" s="31"/>
      <c r="KD170" s="31"/>
      <c r="KE170" s="31"/>
      <c r="KF170" s="31"/>
      <c r="KG170" s="31"/>
      <c r="KH170" s="31"/>
      <c r="KI170" s="31"/>
      <c r="KJ170" s="31"/>
      <c r="KK170" s="31"/>
      <c r="KL170" s="31"/>
      <c r="KM170" s="31"/>
      <c r="KN170" s="31"/>
      <c r="KO170" s="31"/>
      <c r="KP170" s="31"/>
      <c r="KQ170" s="31"/>
      <c r="KR170" s="31"/>
      <c r="KS170" s="31"/>
      <c r="KT170" s="31"/>
      <c r="KU170" s="31"/>
      <c r="KV170" s="31"/>
      <c r="KW170" s="31"/>
      <c r="KX170" s="31"/>
      <c r="KY170" s="31"/>
      <c r="KZ170" s="31"/>
      <c r="LA170" s="31"/>
      <c r="LB170" s="31"/>
      <c r="LC170" s="31"/>
      <c r="LD170" s="31"/>
      <c r="LE170" s="31"/>
      <c r="LF170" s="31"/>
      <c r="LG170" s="31"/>
      <c r="LH170" s="31"/>
      <c r="LI170" s="31"/>
      <c r="LJ170" s="31"/>
      <c r="LK170" s="31"/>
      <c r="LL170" s="31"/>
      <c r="LM170" s="31"/>
      <c r="LN170" s="31"/>
      <c r="LO170" s="31"/>
      <c r="LP170" s="31"/>
      <c r="LQ170" s="31"/>
      <c r="LR170" s="31"/>
      <c r="LS170" s="31"/>
      <c r="LT170" s="31"/>
      <c r="LU170" s="31"/>
      <c r="LV170" s="31"/>
      <c r="LW170" s="31"/>
      <c r="LX170" s="31"/>
      <c r="LY170" s="31"/>
      <c r="LZ170" s="31"/>
      <c r="MA170" s="31"/>
      <c r="MB170" s="31"/>
      <c r="MC170" s="31"/>
      <c r="MD170" s="31"/>
      <c r="ME170" s="31"/>
      <c r="MF170" s="31"/>
      <c r="MG170" s="31"/>
      <c r="MH170" s="31"/>
      <c r="MI170" s="31"/>
      <c r="MJ170" s="31"/>
      <c r="MK170" s="31"/>
      <c r="ML170" s="31"/>
      <c r="MM170" s="31"/>
      <c r="MN170" s="31"/>
      <c r="MO170" s="31"/>
      <c r="MP170" s="31"/>
      <c r="MQ170" s="31"/>
      <c r="MR170" s="31"/>
      <c r="MS170" s="31"/>
      <c r="MT170" s="31"/>
      <c r="MU170" s="31"/>
      <c r="MV170" s="31"/>
      <c r="MW170" s="31"/>
      <c r="MX170" s="31"/>
      <c r="MY170" s="31"/>
      <c r="MZ170" s="31"/>
      <c r="NA170" s="31"/>
      <c r="NB170" s="31"/>
      <c r="NC170" s="31"/>
      <c r="ND170" s="31"/>
      <c r="NE170" s="31"/>
      <c r="NF170" s="31"/>
      <c r="NG170" s="31"/>
      <c r="NH170" s="31"/>
      <c r="NI170" s="31"/>
      <c r="NJ170" s="31"/>
      <c r="NK170" s="31"/>
      <c r="NL170" s="31"/>
      <c r="NM170" s="31"/>
      <c r="NN170" s="31"/>
      <c r="NO170" s="31"/>
      <c r="NP170" s="31"/>
      <c r="NQ170" s="31"/>
      <c r="NR170" s="31"/>
      <c r="NS170" s="31"/>
      <c r="NT170" s="31"/>
      <c r="NU170" s="31"/>
      <c r="NV170" s="31"/>
      <c r="NW170" s="31"/>
      <c r="NX170" s="31"/>
      <c r="NY170" s="31"/>
      <c r="NZ170" s="31"/>
      <c r="OA170" s="31"/>
      <c r="OB170" s="31"/>
      <c r="OC170" s="31"/>
      <c r="OD170" s="31"/>
      <c r="OE170" s="31"/>
      <c r="OF170" s="31"/>
      <c r="OG170" s="31"/>
      <c r="OH170" s="31"/>
      <c r="OI170" s="31"/>
      <c r="OJ170" s="31"/>
      <c r="OK170" s="31"/>
      <c r="OL170" s="31"/>
      <c r="OM170" s="31"/>
      <c r="ON170" s="31"/>
      <c r="OO170" s="31"/>
      <c r="OP170" s="31"/>
      <c r="OQ170" s="31"/>
      <c r="OR170" s="31"/>
      <c r="OS170" s="31"/>
      <c r="OT170" s="31"/>
      <c r="OU170" s="31"/>
      <c r="OV170" s="31"/>
      <c r="OW170" s="31"/>
      <c r="OX170" s="31"/>
    </row>
    <row r="171" spans="2:414" s="25" customFormat="1" ht="15.6">
      <c r="B171" s="25" t="s">
        <v>260</v>
      </c>
      <c r="C171" s="27" t="s">
        <v>138</v>
      </c>
      <c r="D171" s="30" t="s">
        <v>201</v>
      </c>
      <c r="G171" s="42">
        <v>500</v>
      </c>
      <c r="H171" s="89">
        <v>26.109000000000002</v>
      </c>
      <c r="I171" s="38">
        <f t="shared" si="52"/>
        <v>13054.5</v>
      </c>
      <c r="K171" s="42">
        <v>500</v>
      </c>
      <c r="L171" s="90">
        <v>26.849599999999999</v>
      </c>
      <c r="M171" s="38">
        <f t="shared" si="53"/>
        <v>13424.8</v>
      </c>
      <c r="O171" s="38">
        <v>80</v>
      </c>
      <c r="P171" s="38">
        <v>26.728300000000001</v>
      </c>
      <c r="Q171" s="38">
        <f t="shared" si="54"/>
        <v>2138.2640000000001</v>
      </c>
      <c r="R171" s="43">
        <f t="shared" si="61"/>
        <v>1080</v>
      </c>
      <c r="S171" s="38">
        <f t="shared" si="55"/>
        <v>28617.563999999998</v>
      </c>
      <c r="T171" s="49">
        <v>100</v>
      </c>
      <c r="U171" s="42">
        <v>26.3004</v>
      </c>
      <c r="V171" s="38">
        <f t="shared" si="64"/>
        <v>2630.04</v>
      </c>
      <c r="W171" s="42">
        <v>100</v>
      </c>
      <c r="X171" s="42">
        <v>26.582999999999998</v>
      </c>
      <c r="Y171" s="38">
        <f t="shared" si="63"/>
        <v>2658.2999999999997</v>
      </c>
      <c r="Z171" s="42">
        <v>100</v>
      </c>
      <c r="AA171" s="42">
        <v>26.431899999999999</v>
      </c>
      <c r="AB171" s="42">
        <f t="shared" si="45"/>
        <v>2643.19</v>
      </c>
      <c r="AD171" s="42">
        <v>155</v>
      </c>
      <c r="AE171" s="42">
        <v>26.92</v>
      </c>
      <c r="AF171" s="42">
        <f t="shared" si="62"/>
        <v>4172.6000000000004</v>
      </c>
      <c r="AG171" s="42"/>
      <c r="AH171" s="42">
        <v>85</v>
      </c>
      <c r="AI171" s="42">
        <v>26.9239</v>
      </c>
      <c r="AJ171" s="42">
        <f t="shared" si="50"/>
        <v>2288.5315000000001</v>
      </c>
      <c r="AL171" s="42">
        <v>360</v>
      </c>
      <c r="AM171" s="42">
        <v>26.794699999999999</v>
      </c>
      <c r="AN171" s="42">
        <f t="shared" si="51"/>
        <v>9646.0919999999987</v>
      </c>
      <c r="AO171" s="44"/>
      <c r="AP171" s="42"/>
      <c r="AQ171" s="42"/>
      <c r="AR171" s="42"/>
      <c r="AU171" s="98"/>
      <c r="AV171" s="35"/>
      <c r="AW171" s="104"/>
      <c r="AX171" s="42"/>
      <c r="AY171" s="42"/>
      <c r="AZ171" s="42">
        <f t="shared" si="49"/>
        <v>0</v>
      </c>
      <c r="BA171" s="42"/>
      <c r="BB171" s="42"/>
      <c r="BC171" s="42"/>
      <c r="BD171" s="38">
        <f t="shared" si="56"/>
        <v>0</v>
      </c>
      <c r="BE171" s="42"/>
      <c r="BF171" s="42"/>
      <c r="BG171" s="42"/>
      <c r="BH171" s="38">
        <f t="shared" si="57"/>
        <v>0</v>
      </c>
      <c r="BI171" s="42"/>
      <c r="BJ171" s="42"/>
      <c r="BK171" s="42"/>
      <c r="BL171" s="38">
        <f t="shared" si="58"/>
        <v>0</v>
      </c>
      <c r="BM171" s="42"/>
      <c r="BN171" s="42"/>
      <c r="BO171" s="42"/>
      <c r="BP171" s="42"/>
      <c r="BR171" s="42">
        <f t="shared" si="59"/>
        <v>24038.753499999999</v>
      </c>
      <c r="BS171" s="43">
        <f t="shared" si="60"/>
        <v>4578.8104999999996</v>
      </c>
      <c r="BT171" s="42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  <c r="IM171" s="31"/>
      <c r="IN171" s="31"/>
      <c r="IO171" s="31"/>
      <c r="IP171" s="31"/>
      <c r="IQ171" s="31"/>
      <c r="IR171" s="31"/>
      <c r="IS171" s="31"/>
      <c r="IT171" s="31"/>
      <c r="IU171" s="31"/>
      <c r="IV171" s="31"/>
      <c r="IW171" s="31"/>
      <c r="IX171" s="31"/>
      <c r="IY171" s="31"/>
      <c r="IZ171" s="31"/>
      <c r="JA171" s="31"/>
      <c r="JB171" s="31"/>
      <c r="JC171" s="31"/>
      <c r="JD171" s="31"/>
      <c r="JE171" s="31"/>
      <c r="JF171" s="31"/>
      <c r="JG171" s="31"/>
      <c r="JH171" s="31"/>
      <c r="JI171" s="31"/>
      <c r="JJ171" s="31"/>
      <c r="JK171" s="31"/>
      <c r="JL171" s="31"/>
      <c r="JM171" s="31"/>
      <c r="JN171" s="31"/>
      <c r="JO171" s="31"/>
      <c r="JP171" s="31"/>
      <c r="JQ171" s="31"/>
      <c r="JR171" s="31"/>
      <c r="JS171" s="31"/>
      <c r="JT171" s="31"/>
      <c r="JU171" s="31"/>
      <c r="JV171" s="31"/>
      <c r="JW171" s="31"/>
      <c r="JX171" s="31"/>
      <c r="JY171" s="31"/>
      <c r="JZ171" s="31"/>
      <c r="KA171" s="31"/>
      <c r="KB171" s="31"/>
      <c r="KC171" s="31"/>
      <c r="KD171" s="31"/>
      <c r="KE171" s="31"/>
      <c r="KF171" s="31"/>
      <c r="KG171" s="31"/>
      <c r="KH171" s="31"/>
      <c r="KI171" s="31"/>
      <c r="KJ171" s="31"/>
      <c r="KK171" s="31"/>
      <c r="KL171" s="31"/>
      <c r="KM171" s="31"/>
      <c r="KN171" s="31"/>
      <c r="KO171" s="31"/>
      <c r="KP171" s="31"/>
      <c r="KQ171" s="31"/>
      <c r="KR171" s="31"/>
      <c r="KS171" s="31"/>
      <c r="KT171" s="31"/>
      <c r="KU171" s="31"/>
      <c r="KV171" s="31"/>
      <c r="KW171" s="31"/>
      <c r="KX171" s="31"/>
      <c r="KY171" s="31"/>
      <c r="KZ171" s="31"/>
      <c r="LA171" s="31"/>
      <c r="LB171" s="31"/>
      <c r="LC171" s="31"/>
      <c r="LD171" s="31"/>
      <c r="LE171" s="31"/>
      <c r="LF171" s="31"/>
      <c r="LG171" s="31"/>
      <c r="LH171" s="31"/>
      <c r="LI171" s="31"/>
      <c r="LJ171" s="31"/>
      <c r="LK171" s="31"/>
      <c r="LL171" s="31"/>
      <c r="LM171" s="31"/>
      <c r="LN171" s="31"/>
      <c r="LO171" s="31"/>
      <c r="LP171" s="31"/>
      <c r="LQ171" s="31"/>
      <c r="LR171" s="31"/>
      <c r="LS171" s="31"/>
      <c r="LT171" s="31"/>
      <c r="LU171" s="31"/>
      <c r="LV171" s="31"/>
      <c r="LW171" s="31"/>
      <c r="LX171" s="31"/>
      <c r="LY171" s="31"/>
      <c r="LZ171" s="31"/>
      <c r="MA171" s="31"/>
      <c r="MB171" s="31"/>
      <c r="MC171" s="31"/>
      <c r="MD171" s="31"/>
      <c r="ME171" s="31"/>
      <c r="MF171" s="31"/>
      <c r="MG171" s="31"/>
      <c r="MH171" s="31"/>
      <c r="MI171" s="31"/>
      <c r="MJ171" s="31"/>
      <c r="MK171" s="31"/>
      <c r="ML171" s="31"/>
      <c r="MM171" s="31"/>
      <c r="MN171" s="31"/>
      <c r="MO171" s="31"/>
      <c r="MP171" s="31"/>
      <c r="MQ171" s="31"/>
      <c r="MR171" s="31"/>
      <c r="MS171" s="31"/>
      <c r="MT171" s="31"/>
      <c r="MU171" s="31"/>
      <c r="MV171" s="31"/>
      <c r="MW171" s="31"/>
      <c r="MX171" s="31"/>
      <c r="MY171" s="31"/>
      <c r="MZ171" s="31"/>
      <c r="NA171" s="31"/>
      <c r="NB171" s="31"/>
      <c r="NC171" s="31"/>
      <c r="ND171" s="31"/>
      <c r="NE171" s="31"/>
      <c r="NF171" s="31"/>
      <c r="NG171" s="31"/>
      <c r="NH171" s="31"/>
      <c r="NI171" s="31"/>
      <c r="NJ171" s="31"/>
      <c r="NK171" s="31"/>
      <c r="NL171" s="31"/>
      <c r="NM171" s="31"/>
      <c r="NN171" s="31"/>
      <c r="NO171" s="31"/>
      <c r="NP171" s="31"/>
      <c r="NQ171" s="31"/>
      <c r="NR171" s="31"/>
      <c r="NS171" s="31"/>
      <c r="NT171" s="31"/>
      <c r="NU171" s="31"/>
      <c r="NV171" s="31"/>
      <c r="NW171" s="31"/>
      <c r="NX171" s="31"/>
      <c r="NY171" s="31"/>
      <c r="NZ171" s="31"/>
      <c r="OA171" s="31"/>
      <c r="OB171" s="31"/>
      <c r="OC171" s="31"/>
      <c r="OD171" s="31"/>
      <c r="OE171" s="31"/>
      <c r="OF171" s="31"/>
      <c r="OG171" s="31"/>
      <c r="OH171" s="31"/>
      <c r="OI171" s="31"/>
      <c r="OJ171" s="31"/>
      <c r="OK171" s="31"/>
      <c r="OL171" s="31"/>
      <c r="OM171" s="31"/>
      <c r="ON171" s="31"/>
      <c r="OO171" s="31"/>
      <c r="OP171" s="31"/>
      <c r="OQ171" s="31"/>
      <c r="OR171" s="31"/>
      <c r="OS171" s="31"/>
      <c r="OT171" s="31"/>
      <c r="OU171" s="31"/>
      <c r="OV171" s="31"/>
      <c r="OW171" s="31"/>
      <c r="OX171" s="31"/>
    </row>
    <row r="172" spans="2:414" s="25" customFormat="1" ht="15.6">
      <c r="B172" s="25" t="s">
        <v>261</v>
      </c>
      <c r="C172" s="27" t="s">
        <v>19</v>
      </c>
      <c r="D172" s="30" t="s">
        <v>201</v>
      </c>
      <c r="G172" s="42">
        <v>500</v>
      </c>
      <c r="H172" s="89">
        <v>26.109000000000002</v>
      </c>
      <c r="I172" s="38">
        <f t="shared" si="52"/>
        <v>13054.5</v>
      </c>
      <c r="K172" s="42">
        <v>500</v>
      </c>
      <c r="L172" s="90">
        <v>26.849599999999999</v>
      </c>
      <c r="M172" s="38">
        <f t="shared" si="53"/>
        <v>13424.8</v>
      </c>
      <c r="O172" s="38">
        <v>80</v>
      </c>
      <c r="P172" s="38">
        <v>26.728300000000001</v>
      </c>
      <c r="Q172" s="38">
        <f t="shared" si="54"/>
        <v>2138.2640000000001</v>
      </c>
      <c r="R172" s="43">
        <f t="shared" si="61"/>
        <v>1080</v>
      </c>
      <c r="S172" s="38">
        <f t="shared" si="55"/>
        <v>28617.563999999998</v>
      </c>
      <c r="T172" s="49">
        <v>415</v>
      </c>
      <c r="U172" s="42">
        <v>26.3004</v>
      </c>
      <c r="V172" s="38">
        <f t="shared" si="64"/>
        <v>10914.665999999999</v>
      </c>
      <c r="W172" s="42">
        <v>85</v>
      </c>
      <c r="X172" s="42">
        <v>26.109000000000002</v>
      </c>
      <c r="Y172" s="38">
        <f t="shared" si="63"/>
        <v>2219.2650000000003</v>
      </c>
      <c r="Z172" s="42">
        <v>415</v>
      </c>
      <c r="AA172" s="42">
        <v>26.8401</v>
      </c>
      <c r="AB172" s="42">
        <f t="shared" si="45"/>
        <v>11138.6415</v>
      </c>
      <c r="AD172" s="42">
        <v>85</v>
      </c>
      <c r="AE172" s="42">
        <v>26.864000000000001</v>
      </c>
      <c r="AF172" s="42">
        <f t="shared" si="62"/>
        <v>2283.44</v>
      </c>
      <c r="AG172" s="42"/>
      <c r="AH172" s="42"/>
      <c r="AI172" s="42"/>
      <c r="AJ172" s="42">
        <f t="shared" si="50"/>
        <v>0</v>
      </c>
      <c r="AL172" s="42"/>
      <c r="AM172" s="42"/>
      <c r="AN172" s="42">
        <f t="shared" si="51"/>
        <v>0</v>
      </c>
      <c r="AO172" s="44"/>
      <c r="AP172" s="42"/>
      <c r="AQ172" s="42"/>
      <c r="AR172" s="42"/>
      <c r="AU172" s="98"/>
      <c r="AV172" s="35"/>
      <c r="AW172" s="104"/>
      <c r="AX172" s="42"/>
      <c r="AY172" s="42"/>
      <c r="AZ172" s="42">
        <f t="shared" si="49"/>
        <v>0</v>
      </c>
      <c r="BA172" s="42"/>
      <c r="BB172" s="42"/>
      <c r="BC172" s="42"/>
      <c r="BD172" s="38">
        <f t="shared" si="56"/>
        <v>0</v>
      </c>
      <c r="BE172" s="42"/>
      <c r="BF172" s="42"/>
      <c r="BG172" s="42"/>
      <c r="BH172" s="38">
        <f t="shared" si="57"/>
        <v>0</v>
      </c>
      <c r="BI172" s="42"/>
      <c r="BJ172" s="42"/>
      <c r="BK172" s="42"/>
      <c r="BL172" s="38">
        <f t="shared" si="58"/>
        <v>0</v>
      </c>
      <c r="BM172" s="42"/>
      <c r="BN172" s="42"/>
      <c r="BO172" s="42"/>
      <c r="BP172" s="42"/>
      <c r="BR172" s="42">
        <f t="shared" si="59"/>
        <v>26556.012500000001</v>
      </c>
      <c r="BS172" s="43">
        <f t="shared" si="60"/>
        <v>2061.5514999999978</v>
      </c>
      <c r="BT172" s="42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  <c r="JH172" s="31"/>
      <c r="JI172" s="31"/>
      <c r="JJ172" s="31"/>
      <c r="JK172" s="31"/>
      <c r="JL172" s="31"/>
      <c r="JM172" s="31"/>
      <c r="JN172" s="31"/>
      <c r="JO172" s="31"/>
      <c r="JP172" s="31"/>
      <c r="JQ172" s="31"/>
      <c r="JR172" s="31"/>
      <c r="JS172" s="31"/>
      <c r="JT172" s="31"/>
      <c r="JU172" s="31"/>
      <c r="JV172" s="31"/>
      <c r="JW172" s="31"/>
      <c r="JX172" s="31"/>
      <c r="JY172" s="31"/>
      <c r="JZ172" s="31"/>
      <c r="KA172" s="31"/>
      <c r="KB172" s="31"/>
      <c r="KC172" s="31"/>
      <c r="KD172" s="31"/>
      <c r="KE172" s="31"/>
      <c r="KF172" s="31"/>
      <c r="KG172" s="31"/>
      <c r="KH172" s="31"/>
      <c r="KI172" s="31"/>
      <c r="KJ172" s="31"/>
      <c r="KK172" s="31"/>
      <c r="KL172" s="31"/>
      <c r="KM172" s="31"/>
      <c r="KN172" s="31"/>
      <c r="KO172" s="31"/>
      <c r="KP172" s="31"/>
      <c r="KQ172" s="31"/>
      <c r="KR172" s="31"/>
      <c r="KS172" s="31"/>
      <c r="KT172" s="31"/>
      <c r="KU172" s="31"/>
      <c r="KV172" s="31"/>
      <c r="KW172" s="31"/>
      <c r="KX172" s="31"/>
      <c r="KY172" s="31"/>
      <c r="KZ172" s="31"/>
      <c r="LA172" s="31"/>
      <c r="LB172" s="31"/>
      <c r="LC172" s="31"/>
      <c r="LD172" s="31"/>
      <c r="LE172" s="31"/>
      <c r="LF172" s="31"/>
      <c r="LG172" s="31"/>
      <c r="LH172" s="31"/>
      <c r="LI172" s="31"/>
      <c r="LJ172" s="31"/>
      <c r="LK172" s="31"/>
      <c r="LL172" s="31"/>
      <c r="LM172" s="31"/>
      <c r="LN172" s="31"/>
      <c r="LO172" s="31"/>
      <c r="LP172" s="31"/>
      <c r="LQ172" s="31"/>
      <c r="LR172" s="31"/>
      <c r="LS172" s="31"/>
      <c r="LT172" s="31"/>
      <c r="LU172" s="31"/>
      <c r="LV172" s="31"/>
      <c r="LW172" s="31"/>
      <c r="LX172" s="31"/>
      <c r="LY172" s="31"/>
      <c r="LZ172" s="31"/>
      <c r="MA172" s="31"/>
      <c r="MB172" s="31"/>
      <c r="MC172" s="31"/>
      <c r="MD172" s="31"/>
      <c r="ME172" s="31"/>
      <c r="MF172" s="31"/>
      <c r="MG172" s="31"/>
      <c r="MH172" s="31"/>
      <c r="MI172" s="31"/>
      <c r="MJ172" s="31"/>
      <c r="MK172" s="31"/>
      <c r="ML172" s="31"/>
      <c r="MM172" s="31"/>
      <c r="MN172" s="31"/>
      <c r="MO172" s="31"/>
      <c r="MP172" s="31"/>
      <c r="MQ172" s="31"/>
      <c r="MR172" s="31"/>
      <c r="MS172" s="31"/>
      <c r="MT172" s="31"/>
      <c r="MU172" s="31"/>
      <c r="MV172" s="31"/>
      <c r="MW172" s="31"/>
      <c r="MX172" s="31"/>
      <c r="MY172" s="31"/>
      <c r="MZ172" s="31"/>
      <c r="NA172" s="31"/>
      <c r="NB172" s="31"/>
      <c r="NC172" s="31"/>
      <c r="ND172" s="31"/>
      <c r="NE172" s="31"/>
      <c r="NF172" s="31"/>
      <c r="NG172" s="31"/>
      <c r="NH172" s="31"/>
      <c r="NI172" s="31"/>
      <c r="NJ172" s="31"/>
      <c r="NK172" s="31"/>
      <c r="NL172" s="31"/>
      <c r="NM172" s="31"/>
      <c r="NN172" s="31"/>
      <c r="NO172" s="31"/>
      <c r="NP172" s="31"/>
      <c r="NQ172" s="31"/>
      <c r="NR172" s="31"/>
      <c r="NS172" s="31"/>
      <c r="NT172" s="31"/>
      <c r="NU172" s="31"/>
      <c r="NV172" s="31"/>
      <c r="NW172" s="31"/>
      <c r="NX172" s="31"/>
      <c r="NY172" s="31"/>
      <c r="NZ172" s="31"/>
      <c r="OA172" s="31"/>
      <c r="OB172" s="31"/>
      <c r="OC172" s="31"/>
      <c r="OD172" s="31"/>
      <c r="OE172" s="31"/>
      <c r="OF172" s="31"/>
      <c r="OG172" s="31"/>
      <c r="OH172" s="31"/>
      <c r="OI172" s="31"/>
      <c r="OJ172" s="31"/>
      <c r="OK172" s="31"/>
      <c r="OL172" s="31"/>
      <c r="OM172" s="31"/>
      <c r="ON172" s="31"/>
      <c r="OO172" s="31"/>
      <c r="OP172" s="31"/>
      <c r="OQ172" s="31"/>
      <c r="OR172" s="31"/>
      <c r="OS172" s="31"/>
      <c r="OT172" s="31"/>
      <c r="OU172" s="31"/>
      <c r="OV172" s="31"/>
      <c r="OW172" s="31"/>
      <c r="OX172" s="31"/>
    </row>
    <row r="173" spans="2:414" s="25" customFormat="1" ht="15.6">
      <c r="B173" s="25" t="s">
        <v>262</v>
      </c>
      <c r="C173" s="27" t="s">
        <v>263</v>
      </c>
      <c r="D173" s="30" t="s">
        <v>201</v>
      </c>
      <c r="G173" s="42">
        <v>500</v>
      </c>
      <c r="H173" s="89">
        <v>26.109000000000002</v>
      </c>
      <c r="I173" s="38">
        <f t="shared" si="52"/>
        <v>13054.5</v>
      </c>
      <c r="K173" s="42">
        <v>500</v>
      </c>
      <c r="L173" s="90">
        <v>26.849599999999999</v>
      </c>
      <c r="M173" s="38">
        <f t="shared" si="53"/>
        <v>13424.8</v>
      </c>
      <c r="O173" s="38">
        <v>80</v>
      </c>
      <c r="P173" s="38">
        <v>26.728300000000001</v>
      </c>
      <c r="Q173" s="38">
        <f t="shared" si="54"/>
        <v>2138.2640000000001</v>
      </c>
      <c r="R173" s="43">
        <f t="shared" si="61"/>
        <v>1080</v>
      </c>
      <c r="S173" s="38">
        <f t="shared" si="55"/>
        <v>28617.563999999998</v>
      </c>
      <c r="T173" s="49">
        <v>415</v>
      </c>
      <c r="U173" s="42">
        <v>26.0579</v>
      </c>
      <c r="V173" s="38">
        <f t="shared" si="64"/>
        <v>10814.0285</v>
      </c>
      <c r="W173" s="42">
        <v>85</v>
      </c>
      <c r="X173" s="42">
        <v>26.257899999999999</v>
      </c>
      <c r="Y173" s="38">
        <f t="shared" si="63"/>
        <v>2231.9214999999999</v>
      </c>
      <c r="Z173" s="42">
        <v>415</v>
      </c>
      <c r="AA173" s="42">
        <v>26.861899999999999</v>
      </c>
      <c r="AB173" s="42">
        <f t="shared" ref="AB173:AB177" si="65">Z173*AA173</f>
        <v>11147.6885</v>
      </c>
      <c r="AD173" s="42">
        <v>85</v>
      </c>
      <c r="AE173" s="42">
        <v>26.861899999999999</v>
      </c>
      <c r="AF173" s="42">
        <f t="shared" si="62"/>
        <v>2283.2615000000001</v>
      </c>
      <c r="AG173" s="42"/>
      <c r="AH173" s="42"/>
      <c r="AI173" s="42"/>
      <c r="AJ173" s="42">
        <f t="shared" si="50"/>
        <v>0</v>
      </c>
      <c r="AL173" s="42"/>
      <c r="AM173" s="42"/>
      <c r="AN173" s="42">
        <f t="shared" si="51"/>
        <v>0</v>
      </c>
      <c r="AO173" s="44"/>
      <c r="AP173" s="42"/>
      <c r="AQ173" s="42"/>
      <c r="AR173" s="42"/>
      <c r="AU173" s="98"/>
      <c r="AV173" s="35"/>
      <c r="AW173" s="104"/>
      <c r="AX173" s="42"/>
      <c r="AY173" s="42"/>
      <c r="AZ173" s="42">
        <f t="shared" si="49"/>
        <v>0</v>
      </c>
      <c r="BA173" s="42"/>
      <c r="BB173" s="42"/>
      <c r="BC173" s="42"/>
      <c r="BD173" s="38">
        <f t="shared" si="56"/>
        <v>0</v>
      </c>
      <c r="BE173" s="42"/>
      <c r="BF173" s="42"/>
      <c r="BG173" s="42"/>
      <c r="BH173" s="38">
        <f t="shared" si="57"/>
        <v>0</v>
      </c>
      <c r="BI173" s="42"/>
      <c r="BJ173" s="42"/>
      <c r="BK173" s="42"/>
      <c r="BL173" s="38">
        <f t="shared" si="58"/>
        <v>0</v>
      </c>
      <c r="BM173" s="42"/>
      <c r="BN173" s="42"/>
      <c r="BO173" s="42"/>
      <c r="BP173" s="42"/>
      <c r="BR173" s="42">
        <f t="shared" si="59"/>
        <v>26476.9</v>
      </c>
      <c r="BS173" s="43">
        <f t="shared" si="60"/>
        <v>2140.663999999997</v>
      </c>
      <c r="BT173" s="43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  <c r="IM173" s="31"/>
      <c r="IN173" s="31"/>
      <c r="IO173" s="31"/>
      <c r="IP173" s="31"/>
      <c r="IQ173" s="31"/>
      <c r="IR173" s="31"/>
      <c r="IS173" s="31"/>
      <c r="IT173" s="31"/>
      <c r="IU173" s="31"/>
      <c r="IV173" s="31"/>
      <c r="IW173" s="31"/>
      <c r="IX173" s="31"/>
      <c r="IY173" s="31"/>
      <c r="IZ173" s="31"/>
      <c r="JA173" s="31"/>
      <c r="JB173" s="31"/>
      <c r="JC173" s="31"/>
      <c r="JD173" s="31"/>
      <c r="JE173" s="31"/>
      <c r="JF173" s="31"/>
      <c r="JG173" s="31"/>
      <c r="JH173" s="31"/>
      <c r="JI173" s="31"/>
      <c r="JJ173" s="31"/>
      <c r="JK173" s="31"/>
      <c r="JL173" s="31"/>
      <c r="JM173" s="31"/>
      <c r="JN173" s="31"/>
      <c r="JO173" s="31"/>
      <c r="JP173" s="31"/>
      <c r="JQ173" s="31"/>
      <c r="JR173" s="31"/>
      <c r="JS173" s="31"/>
      <c r="JT173" s="31"/>
      <c r="JU173" s="31"/>
      <c r="JV173" s="31"/>
      <c r="JW173" s="31"/>
      <c r="JX173" s="31"/>
      <c r="JY173" s="31"/>
      <c r="JZ173" s="31"/>
      <c r="KA173" s="31"/>
      <c r="KB173" s="31"/>
      <c r="KC173" s="31"/>
      <c r="KD173" s="31"/>
      <c r="KE173" s="31"/>
      <c r="KF173" s="31"/>
      <c r="KG173" s="31"/>
      <c r="KH173" s="31"/>
      <c r="KI173" s="31"/>
      <c r="KJ173" s="31"/>
      <c r="KK173" s="31"/>
      <c r="KL173" s="31"/>
      <c r="KM173" s="31"/>
      <c r="KN173" s="31"/>
      <c r="KO173" s="31"/>
      <c r="KP173" s="31"/>
      <c r="KQ173" s="31"/>
      <c r="KR173" s="31"/>
      <c r="KS173" s="31"/>
      <c r="KT173" s="31"/>
      <c r="KU173" s="31"/>
      <c r="KV173" s="31"/>
      <c r="KW173" s="31"/>
      <c r="KX173" s="31"/>
      <c r="KY173" s="31"/>
      <c r="KZ173" s="31"/>
      <c r="LA173" s="31"/>
      <c r="LB173" s="31"/>
      <c r="LC173" s="31"/>
      <c r="LD173" s="31"/>
      <c r="LE173" s="31"/>
      <c r="LF173" s="31"/>
      <c r="LG173" s="31"/>
      <c r="LH173" s="31"/>
      <c r="LI173" s="31"/>
      <c r="LJ173" s="31"/>
      <c r="LK173" s="31"/>
      <c r="LL173" s="31"/>
      <c r="LM173" s="31"/>
      <c r="LN173" s="31"/>
      <c r="LO173" s="31"/>
      <c r="LP173" s="31"/>
      <c r="LQ173" s="31"/>
      <c r="LR173" s="31"/>
      <c r="LS173" s="31"/>
      <c r="LT173" s="31"/>
      <c r="LU173" s="31"/>
      <c r="LV173" s="31"/>
      <c r="LW173" s="31"/>
      <c r="LX173" s="31"/>
      <c r="LY173" s="31"/>
      <c r="LZ173" s="31"/>
      <c r="MA173" s="31"/>
      <c r="MB173" s="31"/>
      <c r="MC173" s="31"/>
      <c r="MD173" s="31"/>
      <c r="ME173" s="31"/>
      <c r="MF173" s="31"/>
      <c r="MG173" s="31"/>
      <c r="MH173" s="31"/>
      <c r="MI173" s="31"/>
      <c r="MJ173" s="31"/>
      <c r="MK173" s="31"/>
      <c r="ML173" s="31"/>
      <c r="MM173" s="31"/>
      <c r="MN173" s="31"/>
      <c r="MO173" s="31"/>
      <c r="MP173" s="31"/>
      <c r="MQ173" s="31"/>
      <c r="MR173" s="31"/>
      <c r="MS173" s="31"/>
      <c r="MT173" s="31"/>
      <c r="MU173" s="31"/>
      <c r="MV173" s="31"/>
      <c r="MW173" s="31"/>
      <c r="MX173" s="31"/>
      <c r="MY173" s="31"/>
      <c r="MZ173" s="31"/>
      <c r="NA173" s="31"/>
      <c r="NB173" s="31"/>
      <c r="NC173" s="31"/>
      <c r="ND173" s="31"/>
      <c r="NE173" s="31"/>
      <c r="NF173" s="31"/>
      <c r="NG173" s="31"/>
      <c r="NH173" s="31"/>
      <c r="NI173" s="31"/>
      <c r="NJ173" s="31"/>
      <c r="NK173" s="31"/>
      <c r="NL173" s="31"/>
      <c r="NM173" s="31"/>
      <c r="NN173" s="31"/>
      <c r="NO173" s="31"/>
      <c r="NP173" s="31"/>
      <c r="NQ173" s="31"/>
      <c r="NR173" s="31"/>
      <c r="NS173" s="31"/>
      <c r="NT173" s="31"/>
      <c r="NU173" s="31"/>
      <c r="NV173" s="31"/>
      <c r="NW173" s="31"/>
      <c r="NX173" s="31"/>
      <c r="NY173" s="31"/>
      <c r="NZ173" s="31"/>
      <c r="OA173" s="31"/>
      <c r="OB173" s="31"/>
      <c r="OC173" s="31"/>
      <c r="OD173" s="31"/>
      <c r="OE173" s="31"/>
      <c r="OF173" s="31"/>
      <c r="OG173" s="31"/>
      <c r="OH173" s="31"/>
      <c r="OI173" s="31"/>
      <c r="OJ173" s="31"/>
      <c r="OK173" s="31"/>
      <c r="OL173" s="31"/>
      <c r="OM173" s="31"/>
      <c r="ON173" s="31"/>
      <c r="OO173" s="31"/>
      <c r="OP173" s="31"/>
      <c r="OQ173" s="31"/>
      <c r="OR173" s="31"/>
      <c r="OS173" s="31"/>
      <c r="OT173" s="31"/>
      <c r="OU173" s="31"/>
      <c r="OV173" s="31"/>
      <c r="OW173" s="31"/>
      <c r="OX173" s="31"/>
    </row>
    <row r="174" spans="2:414" s="25" customFormat="1" ht="15.6">
      <c r="B174" s="25" t="s">
        <v>264</v>
      </c>
      <c r="C174" s="27" t="s">
        <v>213</v>
      </c>
      <c r="D174" s="30" t="s">
        <v>201</v>
      </c>
      <c r="G174" s="42">
        <v>500</v>
      </c>
      <c r="H174" s="89">
        <v>26.109000000000002</v>
      </c>
      <c r="I174" s="38">
        <f t="shared" si="52"/>
        <v>13054.5</v>
      </c>
      <c r="K174" s="42">
        <v>500</v>
      </c>
      <c r="L174" s="90">
        <v>26.849599999999999</v>
      </c>
      <c r="M174" s="38">
        <f t="shared" si="53"/>
        <v>13424.8</v>
      </c>
      <c r="O174" s="38">
        <v>80</v>
      </c>
      <c r="P174" s="38">
        <v>26.728300000000001</v>
      </c>
      <c r="Q174" s="38">
        <f t="shared" si="54"/>
        <v>2138.2640000000001</v>
      </c>
      <c r="R174" s="43">
        <f t="shared" si="61"/>
        <v>1080</v>
      </c>
      <c r="S174" s="38">
        <f t="shared" si="55"/>
        <v>28617.563999999998</v>
      </c>
      <c r="T174" s="49">
        <v>90</v>
      </c>
      <c r="U174" s="42">
        <v>26.0579</v>
      </c>
      <c r="V174" s="38">
        <f t="shared" si="64"/>
        <v>2345.2109999999998</v>
      </c>
      <c r="W174" s="42">
        <v>280</v>
      </c>
      <c r="X174" s="42">
        <v>26.3386</v>
      </c>
      <c r="Y174" s="38">
        <f t="shared" si="63"/>
        <v>7374.808</v>
      </c>
      <c r="Z174" s="42">
        <v>130</v>
      </c>
      <c r="AA174" s="42">
        <v>26.3386</v>
      </c>
      <c r="AB174" s="42">
        <f t="shared" si="65"/>
        <v>3424.018</v>
      </c>
      <c r="AD174" s="42">
        <v>200</v>
      </c>
      <c r="AE174" s="42">
        <v>26.856000000000002</v>
      </c>
      <c r="AF174" s="42">
        <f t="shared" si="62"/>
        <v>5371.2000000000007</v>
      </c>
      <c r="AG174" s="42"/>
      <c r="AH174" s="42">
        <v>300</v>
      </c>
      <c r="AI174" s="42">
        <v>26.921299999999999</v>
      </c>
      <c r="AJ174" s="42">
        <f t="shared" si="50"/>
        <v>8076.3899999999994</v>
      </c>
      <c r="AL174" s="42"/>
      <c r="AM174" s="42"/>
      <c r="AN174" s="42">
        <f t="shared" si="51"/>
        <v>0</v>
      </c>
      <c r="AO174" s="44"/>
      <c r="AP174" s="42"/>
      <c r="AQ174" s="42"/>
      <c r="AR174" s="42"/>
      <c r="AU174" s="98"/>
      <c r="AV174" s="35"/>
      <c r="AW174" s="104"/>
      <c r="AX174" s="42"/>
      <c r="AY174" s="42"/>
      <c r="AZ174" s="42">
        <f t="shared" si="49"/>
        <v>0</v>
      </c>
      <c r="BA174" s="42"/>
      <c r="BB174" s="42"/>
      <c r="BC174" s="42"/>
      <c r="BD174" s="38">
        <f t="shared" si="56"/>
        <v>0</v>
      </c>
      <c r="BE174" s="42"/>
      <c r="BF174" s="42"/>
      <c r="BG174" s="42"/>
      <c r="BH174" s="38">
        <f t="shared" si="57"/>
        <v>0</v>
      </c>
      <c r="BI174" s="42"/>
      <c r="BJ174" s="42"/>
      <c r="BK174" s="42"/>
      <c r="BL174" s="38">
        <f t="shared" si="58"/>
        <v>0</v>
      </c>
      <c r="BM174" s="42"/>
      <c r="BN174" s="42"/>
      <c r="BO174" s="42"/>
      <c r="BP174" s="42"/>
      <c r="BR174" s="42">
        <f t="shared" si="59"/>
        <v>26591.627</v>
      </c>
      <c r="BS174" s="43">
        <f t="shared" si="60"/>
        <v>2025.9369999999981</v>
      </c>
      <c r="BT174" s="43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  <c r="IM174" s="31"/>
      <c r="IN174" s="31"/>
      <c r="IO174" s="31"/>
      <c r="IP174" s="31"/>
      <c r="IQ174" s="31"/>
      <c r="IR174" s="31"/>
      <c r="IS174" s="31"/>
      <c r="IT174" s="31"/>
      <c r="IU174" s="31"/>
      <c r="IV174" s="31"/>
      <c r="IW174" s="31"/>
      <c r="IX174" s="31"/>
      <c r="IY174" s="31"/>
      <c r="IZ174" s="31"/>
      <c r="JA174" s="31"/>
      <c r="JB174" s="31"/>
      <c r="JC174" s="31"/>
      <c r="JD174" s="31"/>
      <c r="JE174" s="31"/>
      <c r="JF174" s="31"/>
      <c r="JG174" s="31"/>
      <c r="JH174" s="31"/>
      <c r="JI174" s="31"/>
      <c r="JJ174" s="31"/>
      <c r="JK174" s="31"/>
      <c r="JL174" s="31"/>
      <c r="JM174" s="31"/>
      <c r="JN174" s="31"/>
      <c r="JO174" s="31"/>
      <c r="JP174" s="31"/>
      <c r="JQ174" s="31"/>
      <c r="JR174" s="31"/>
      <c r="JS174" s="31"/>
      <c r="JT174" s="31"/>
      <c r="JU174" s="31"/>
      <c r="JV174" s="31"/>
      <c r="JW174" s="31"/>
      <c r="JX174" s="31"/>
      <c r="JY174" s="31"/>
      <c r="JZ174" s="31"/>
      <c r="KA174" s="31"/>
      <c r="KB174" s="31"/>
      <c r="KC174" s="31"/>
      <c r="KD174" s="31"/>
      <c r="KE174" s="31"/>
      <c r="KF174" s="31"/>
      <c r="KG174" s="31"/>
      <c r="KH174" s="31"/>
      <c r="KI174" s="31"/>
      <c r="KJ174" s="31"/>
      <c r="KK174" s="31"/>
      <c r="KL174" s="31"/>
      <c r="KM174" s="31"/>
      <c r="KN174" s="31"/>
      <c r="KO174" s="31"/>
      <c r="KP174" s="31"/>
      <c r="KQ174" s="31"/>
      <c r="KR174" s="31"/>
      <c r="KS174" s="31"/>
      <c r="KT174" s="31"/>
      <c r="KU174" s="31"/>
      <c r="KV174" s="31"/>
      <c r="KW174" s="31"/>
      <c r="KX174" s="31"/>
      <c r="KY174" s="31"/>
      <c r="KZ174" s="31"/>
      <c r="LA174" s="31"/>
      <c r="LB174" s="31"/>
      <c r="LC174" s="31"/>
      <c r="LD174" s="31"/>
      <c r="LE174" s="31"/>
      <c r="LF174" s="31"/>
      <c r="LG174" s="31"/>
      <c r="LH174" s="31"/>
      <c r="LI174" s="31"/>
      <c r="LJ174" s="31"/>
      <c r="LK174" s="31"/>
      <c r="LL174" s="31"/>
      <c r="LM174" s="31"/>
      <c r="LN174" s="31"/>
      <c r="LO174" s="31"/>
      <c r="LP174" s="31"/>
      <c r="LQ174" s="31"/>
      <c r="LR174" s="31"/>
      <c r="LS174" s="31"/>
      <c r="LT174" s="31"/>
      <c r="LU174" s="31"/>
      <c r="LV174" s="31"/>
      <c r="LW174" s="31"/>
      <c r="LX174" s="31"/>
      <c r="LY174" s="31"/>
      <c r="LZ174" s="31"/>
      <c r="MA174" s="31"/>
      <c r="MB174" s="31"/>
      <c r="MC174" s="31"/>
      <c r="MD174" s="31"/>
      <c r="ME174" s="31"/>
      <c r="MF174" s="31"/>
      <c r="MG174" s="31"/>
      <c r="MH174" s="31"/>
      <c r="MI174" s="31"/>
      <c r="MJ174" s="31"/>
      <c r="MK174" s="31"/>
      <c r="ML174" s="31"/>
      <c r="MM174" s="31"/>
      <c r="MN174" s="31"/>
      <c r="MO174" s="31"/>
      <c r="MP174" s="31"/>
      <c r="MQ174" s="31"/>
      <c r="MR174" s="31"/>
      <c r="MS174" s="31"/>
      <c r="MT174" s="31"/>
      <c r="MU174" s="31"/>
      <c r="MV174" s="31"/>
      <c r="MW174" s="31"/>
      <c r="MX174" s="31"/>
      <c r="MY174" s="31"/>
      <c r="MZ174" s="31"/>
      <c r="NA174" s="31"/>
      <c r="NB174" s="31"/>
      <c r="NC174" s="31"/>
      <c r="ND174" s="31"/>
      <c r="NE174" s="31"/>
      <c r="NF174" s="31"/>
      <c r="NG174" s="31"/>
      <c r="NH174" s="31"/>
      <c r="NI174" s="31"/>
      <c r="NJ174" s="31"/>
      <c r="NK174" s="31"/>
      <c r="NL174" s="31"/>
      <c r="NM174" s="31"/>
      <c r="NN174" s="31"/>
      <c r="NO174" s="31"/>
      <c r="NP174" s="31"/>
      <c r="NQ174" s="31"/>
      <c r="NR174" s="31"/>
      <c r="NS174" s="31"/>
      <c r="NT174" s="31"/>
      <c r="NU174" s="31"/>
      <c r="NV174" s="31"/>
      <c r="NW174" s="31"/>
      <c r="NX174" s="31"/>
      <c r="NY174" s="31"/>
      <c r="NZ174" s="31"/>
      <c r="OA174" s="31"/>
      <c r="OB174" s="31"/>
      <c r="OC174" s="31"/>
      <c r="OD174" s="31"/>
      <c r="OE174" s="31"/>
      <c r="OF174" s="31"/>
      <c r="OG174" s="31"/>
      <c r="OH174" s="31"/>
      <c r="OI174" s="31"/>
      <c r="OJ174" s="31"/>
      <c r="OK174" s="31"/>
      <c r="OL174" s="31"/>
      <c r="OM174" s="31"/>
      <c r="ON174" s="31"/>
      <c r="OO174" s="31"/>
      <c r="OP174" s="31"/>
      <c r="OQ174" s="31"/>
      <c r="OR174" s="31"/>
      <c r="OS174" s="31"/>
      <c r="OT174" s="31"/>
      <c r="OU174" s="31"/>
      <c r="OV174" s="31"/>
      <c r="OW174" s="31"/>
      <c r="OX174" s="31"/>
    </row>
    <row r="175" spans="2:414" s="25" customFormat="1" ht="15.6">
      <c r="B175" s="25" t="s">
        <v>265</v>
      </c>
      <c r="C175" s="27" t="s">
        <v>266</v>
      </c>
      <c r="D175" s="30" t="s">
        <v>201</v>
      </c>
      <c r="G175" s="42">
        <v>500</v>
      </c>
      <c r="H175" s="89">
        <v>26.109000000000002</v>
      </c>
      <c r="I175" s="38">
        <f t="shared" si="52"/>
        <v>13054.5</v>
      </c>
      <c r="K175" s="42">
        <v>500</v>
      </c>
      <c r="L175" s="90">
        <v>26.849599999999999</v>
      </c>
      <c r="M175" s="38">
        <f t="shared" si="53"/>
        <v>13424.8</v>
      </c>
      <c r="O175" s="38">
        <v>80</v>
      </c>
      <c r="P175" s="38">
        <v>26.728300000000001</v>
      </c>
      <c r="Q175" s="38">
        <f t="shared" si="54"/>
        <v>2138.2640000000001</v>
      </c>
      <c r="R175" s="43">
        <f t="shared" ref="R175:R196" si="66">G175+K175+O175</f>
        <v>1080</v>
      </c>
      <c r="S175" s="38">
        <f t="shared" si="55"/>
        <v>28617.563999999998</v>
      </c>
      <c r="T175" s="49">
        <v>240</v>
      </c>
      <c r="U175" s="42">
        <v>26.3386</v>
      </c>
      <c r="V175" s="38">
        <f t="shared" si="64"/>
        <v>6321.2640000000001</v>
      </c>
      <c r="W175" s="42">
        <v>80</v>
      </c>
      <c r="X175" s="42">
        <v>26.582999999999998</v>
      </c>
      <c r="Y175" s="38">
        <f t="shared" si="63"/>
        <v>2126.64</v>
      </c>
      <c r="Z175" s="42">
        <v>65</v>
      </c>
      <c r="AA175" s="42">
        <v>26.771999999999998</v>
      </c>
      <c r="AB175" s="42">
        <f t="shared" si="65"/>
        <v>1740.1799999999998</v>
      </c>
      <c r="AD175" s="42">
        <v>90</v>
      </c>
      <c r="AE175" s="42">
        <v>26.968499999999999</v>
      </c>
      <c r="AF175" s="42">
        <f t="shared" si="62"/>
        <v>2427.165</v>
      </c>
      <c r="AG175" s="42"/>
      <c r="AH175" s="42">
        <v>200</v>
      </c>
      <c r="AI175" s="42">
        <v>26.940100000000001</v>
      </c>
      <c r="AJ175" s="42">
        <f t="shared" si="50"/>
        <v>5388.02</v>
      </c>
      <c r="AL175" s="42">
        <v>160</v>
      </c>
      <c r="AM175" s="42">
        <v>26.789100000000001</v>
      </c>
      <c r="AN175" s="42">
        <f t="shared" si="51"/>
        <v>4286.2560000000003</v>
      </c>
      <c r="AO175" s="44"/>
      <c r="AP175" s="42">
        <v>65</v>
      </c>
      <c r="AQ175" s="42">
        <v>26.789100000000001</v>
      </c>
      <c r="AR175" s="42"/>
      <c r="AU175" s="98"/>
      <c r="AV175" s="35"/>
      <c r="AW175" s="104"/>
      <c r="AX175" s="42"/>
      <c r="AY175" s="42"/>
      <c r="AZ175" s="42">
        <f t="shared" si="49"/>
        <v>0</v>
      </c>
      <c r="BA175" s="42"/>
      <c r="BB175" s="42"/>
      <c r="BC175" s="42"/>
      <c r="BD175" s="38">
        <f t="shared" si="56"/>
        <v>0</v>
      </c>
      <c r="BE175" s="42"/>
      <c r="BF175" s="42"/>
      <c r="BG175" s="42"/>
      <c r="BH175" s="38">
        <f t="shared" si="57"/>
        <v>0</v>
      </c>
      <c r="BI175" s="42"/>
      <c r="BJ175" s="42"/>
      <c r="BK175" s="42"/>
      <c r="BL175" s="38">
        <f t="shared" si="58"/>
        <v>0</v>
      </c>
      <c r="BM175" s="42"/>
      <c r="BN175" s="42"/>
      <c r="BO175" s="42"/>
      <c r="BP175" s="42"/>
      <c r="BR175" s="42">
        <f t="shared" si="59"/>
        <v>22289.525000000001</v>
      </c>
      <c r="BS175" s="43">
        <f t="shared" si="60"/>
        <v>6328.038999999997</v>
      </c>
      <c r="BT175" s="42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  <c r="JH175" s="31"/>
      <c r="JI175" s="31"/>
      <c r="JJ175" s="31"/>
      <c r="JK175" s="31"/>
      <c r="JL175" s="31"/>
      <c r="JM175" s="31"/>
      <c r="JN175" s="31"/>
      <c r="JO175" s="31"/>
      <c r="JP175" s="31"/>
      <c r="JQ175" s="31"/>
      <c r="JR175" s="31"/>
      <c r="JS175" s="31"/>
      <c r="JT175" s="31"/>
      <c r="JU175" s="31"/>
      <c r="JV175" s="31"/>
      <c r="JW175" s="31"/>
      <c r="JX175" s="31"/>
      <c r="JY175" s="31"/>
      <c r="JZ175" s="31"/>
      <c r="KA175" s="31"/>
      <c r="KB175" s="31"/>
      <c r="KC175" s="31"/>
      <c r="KD175" s="31"/>
      <c r="KE175" s="31"/>
      <c r="KF175" s="31"/>
      <c r="KG175" s="31"/>
      <c r="KH175" s="31"/>
      <c r="KI175" s="31"/>
      <c r="KJ175" s="31"/>
      <c r="KK175" s="31"/>
      <c r="KL175" s="31"/>
      <c r="KM175" s="31"/>
      <c r="KN175" s="31"/>
      <c r="KO175" s="31"/>
      <c r="KP175" s="31"/>
      <c r="KQ175" s="31"/>
      <c r="KR175" s="31"/>
      <c r="KS175" s="31"/>
      <c r="KT175" s="31"/>
      <c r="KU175" s="31"/>
      <c r="KV175" s="31"/>
      <c r="KW175" s="31"/>
      <c r="KX175" s="31"/>
      <c r="KY175" s="31"/>
      <c r="KZ175" s="31"/>
      <c r="LA175" s="31"/>
      <c r="LB175" s="31"/>
      <c r="LC175" s="31"/>
      <c r="LD175" s="31"/>
      <c r="LE175" s="31"/>
      <c r="LF175" s="31"/>
      <c r="LG175" s="31"/>
      <c r="LH175" s="31"/>
      <c r="LI175" s="31"/>
      <c r="LJ175" s="31"/>
      <c r="LK175" s="31"/>
      <c r="LL175" s="31"/>
      <c r="LM175" s="31"/>
      <c r="LN175" s="31"/>
      <c r="LO175" s="31"/>
      <c r="LP175" s="31"/>
      <c r="LQ175" s="31"/>
      <c r="LR175" s="31"/>
      <c r="LS175" s="31"/>
      <c r="LT175" s="31"/>
      <c r="LU175" s="31"/>
      <c r="LV175" s="31"/>
      <c r="LW175" s="31"/>
      <c r="LX175" s="31"/>
      <c r="LY175" s="31"/>
      <c r="LZ175" s="31"/>
      <c r="MA175" s="31"/>
      <c r="MB175" s="31"/>
      <c r="MC175" s="31"/>
      <c r="MD175" s="31"/>
      <c r="ME175" s="31"/>
      <c r="MF175" s="31"/>
      <c r="MG175" s="31"/>
      <c r="MH175" s="31"/>
      <c r="MI175" s="31"/>
      <c r="MJ175" s="31"/>
      <c r="MK175" s="31"/>
      <c r="ML175" s="31"/>
      <c r="MM175" s="31"/>
      <c r="MN175" s="31"/>
      <c r="MO175" s="31"/>
      <c r="MP175" s="31"/>
      <c r="MQ175" s="31"/>
      <c r="MR175" s="31"/>
      <c r="MS175" s="31"/>
      <c r="MT175" s="31"/>
      <c r="MU175" s="31"/>
      <c r="MV175" s="31"/>
      <c r="MW175" s="31"/>
      <c r="MX175" s="31"/>
      <c r="MY175" s="31"/>
      <c r="MZ175" s="31"/>
      <c r="NA175" s="31"/>
      <c r="NB175" s="31"/>
      <c r="NC175" s="31"/>
      <c r="ND175" s="31"/>
      <c r="NE175" s="31"/>
      <c r="NF175" s="31"/>
      <c r="NG175" s="31"/>
      <c r="NH175" s="31"/>
      <c r="NI175" s="31"/>
      <c r="NJ175" s="31"/>
      <c r="NK175" s="31"/>
      <c r="NL175" s="31"/>
      <c r="NM175" s="31"/>
      <c r="NN175" s="31"/>
      <c r="NO175" s="31"/>
      <c r="NP175" s="31"/>
      <c r="NQ175" s="31"/>
      <c r="NR175" s="31"/>
      <c r="NS175" s="31"/>
      <c r="NT175" s="31"/>
      <c r="NU175" s="31"/>
      <c r="NV175" s="31"/>
      <c r="NW175" s="31"/>
      <c r="NX175" s="31"/>
      <c r="NY175" s="31"/>
      <c r="NZ175" s="31"/>
      <c r="OA175" s="31"/>
      <c r="OB175" s="31"/>
      <c r="OC175" s="31"/>
      <c r="OD175" s="31"/>
      <c r="OE175" s="31"/>
      <c r="OF175" s="31"/>
      <c r="OG175" s="31"/>
      <c r="OH175" s="31"/>
      <c r="OI175" s="31"/>
      <c r="OJ175" s="31"/>
      <c r="OK175" s="31"/>
      <c r="OL175" s="31"/>
      <c r="OM175" s="31"/>
      <c r="ON175" s="31"/>
      <c r="OO175" s="31"/>
      <c r="OP175" s="31"/>
      <c r="OQ175" s="31"/>
      <c r="OR175" s="31"/>
      <c r="OS175" s="31"/>
      <c r="OT175" s="31"/>
      <c r="OU175" s="31"/>
      <c r="OV175" s="31"/>
      <c r="OW175" s="31"/>
      <c r="OX175" s="31"/>
    </row>
    <row r="176" spans="2:414" s="25" customFormat="1" ht="15.6">
      <c r="B176" s="25" t="s">
        <v>267</v>
      </c>
      <c r="C176" s="27" t="s">
        <v>268</v>
      </c>
      <c r="D176" s="30" t="s">
        <v>201</v>
      </c>
      <c r="G176" s="42">
        <v>500</v>
      </c>
      <c r="H176" s="89">
        <v>26.109000000000002</v>
      </c>
      <c r="I176" s="38">
        <f t="shared" si="52"/>
        <v>13054.5</v>
      </c>
      <c r="K176" s="42">
        <v>500</v>
      </c>
      <c r="L176" s="90">
        <v>26.849599999999999</v>
      </c>
      <c r="M176" s="38">
        <f t="shared" si="53"/>
        <v>13424.8</v>
      </c>
      <c r="O176" s="38">
        <v>80</v>
      </c>
      <c r="P176" s="38">
        <v>26.728300000000001</v>
      </c>
      <c r="Q176" s="38">
        <f t="shared" si="54"/>
        <v>2138.2640000000001</v>
      </c>
      <c r="R176" s="43">
        <f t="shared" si="66"/>
        <v>1080</v>
      </c>
      <c r="S176" s="38">
        <f t="shared" si="55"/>
        <v>28617.563999999998</v>
      </c>
      <c r="T176" s="49">
        <v>85</v>
      </c>
      <c r="U176" s="42">
        <v>26.109000000000002</v>
      </c>
      <c r="V176" s="38">
        <f t="shared" si="64"/>
        <v>2219.2650000000003</v>
      </c>
      <c r="W176" s="42">
        <v>205</v>
      </c>
      <c r="X176" s="42">
        <v>26.3004</v>
      </c>
      <c r="Y176" s="38">
        <f t="shared" si="63"/>
        <v>5391.5820000000003</v>
      </c>
      <c r="Z176" s="42">
        <v>210</v>
      </c>
      <c r="AA176" s="42">
        <v>26.109000000000002</v>
      </c>
      <c r="AB176" s="42">
        <f t="shared" si="65"/>
        <v>5482.89</v>
      </c>
      <c r="AD176" s="42">
        <v>115</v>
      </c>
      <c r="AE176" s="42">
        <v>26.991800000000001</v>
      </c>
      <c r="AF176" s="42">
        <v>5519</v>
      </c>
      <c r="AG176" s="42"/>
      <c r="AH176" s="42"/>
      <c r="AI176" s="42"/>
      <c r="AJ176" s="42">
        <f t="shared" si="50"/>
        <v>0</v>
      </c>
      <c r="AL176" s="42"/>
      <c r="AM176" s="42"/>
      <c r="AN176" s="42">
        <f t="shared" si="51"/>
        <v>0</v>
      </c>
      <c r="AO176" s="44"/>
      <c r="AP176" s="42"/>
      <c r="AQ176" s="42"/>
      <c r="AR176" s="42"/>
      <c r="AU176" s="98"/>
      <c r="AV176" s="35"/>
      <c r="AW176" s="104"/>
      <c r="AX176" s="42"/>
      <c r="AY176" s="42"/>
      <c r="AZ176" s="42">
        <f t="shared" si="49"/>
        <v>0</v>
      </c>
      <c r="BA176" s="42"/>
      <c r="BB176" s="42"/>
      <c r="BC176" s="42"/>
      <c r="BD176" s="38">
        <f t="shared" si="56"/>
        <v>0</v>
      </c>
      <c r="BE176" s="42"/>
      <c r="BF176" s="42"/>
      <c r="BG176" s="42"/>
      <c r="BH176" s="38">
        <f t="shared" si="57"/>
        <v>0</v>
      </c>
      <c r="BI176" s="42"/>
      <c r="BJ176" s="42"/>
      <c r="BK176" s="42"/>
      <c r="BL176" s="38">
        <f t="shared" si="58"/>
        <v>0</v>
      </c>
      <c r="BM176" s="42"/>
      <c r="BN176" s="42"/>
      <c r="BO176" s="42"/>
      <c r="BP176" s="42"/>
      <c r="BR176" s="42">
        <f t="shared" si="59"/>
        <v>18612.737000000001</v>
      </c>
      <c r="BS176" s="43">
        <f t="shared" si="60"/>
        <v>10004.826999999997</v>
      </c>
      <c r="BT176" s="42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  <c r="IM176" s="31"/>
      <c r="IN176" s="31"/>
      <c r="IO176" s="31"/>
      <c r="IP176" s="31"/>
      <c r="IQ176" s="31"/>
      <c r="IR176" s="31"/>
      <c r="IS176" s="31"/>
      <c r="IT176" s="31"/>
      <c r="IU176" s="31"/>
      <c r="IV176" s="31"/>
      <c r="IW176" s="31"/>
      <c r="IX176" s="31"/>
      <c r="IY176" s="31"/>
      <c r="IZ176" s="31"/>
      <c r="JA176" s="31"/>
      <c r="JB176" s="31"/>
      <c r="JC176" s="31"/>
      <c r="JD176" s="31"/>
      <c r="JE176" s="31"/>
      <c r="JF176" s="31"/>
      <c r="JG176" s="31"/>
      <c r="JH176" s="31"/>
      <c r="JI176" s="31"/>
      <c r="JJ176" s="31"/>
      <c r="JK176" s="31"/>
      <c r="JL176" s="31"/>
      <c r="JM176" s="31"/>
      <c r="JN176" s="31"/>
      <c r="JO176" s="31"/>
      <c r="JP176" s="31"/>
      <c r="JQ176" s="31"/>
      <c r="JR176" s="31"/>
      <c r="JS176" s="31"/>
      <c r="JT176" s="31"/>
      <c r="JU176" s="31"/>
      <c r="JV176" s="31"/>
      <c r="JW176" s="31"/>
      <c r="JX176" s="31"/>
      <c r="JY176" s="31"/>
      <c r="JZ176" s="31"/>
      <c r="KA176" s="31"/>
      <c r="KB176" s="31"/>
      <c r="KC176" s="31"/>
      <c r="KD176" s="31"/>
      <c r="KE176" s="31"/>
      <c r="KF176" s="31"/>
      <c r="KG176" s="31"/>
      <c r="KH176" s="31"/>
      <c r="KI176" s="31"/>
      <c r="KJ176" s="31"/>
      <c r="KK176" s="31"/>
      <c r="KL176" s="31"/>
      <c r="KM176" s="31"/>
      <c r="KN176" s="31"/>
      <c r="KO176" s="31"/>
      <c r="KP176" s="31"/>
      <c r="KQ176" s="31"/>
      <c r="KR176" s="31"/>
      <c r="KS176" s="31"/>
      <c r="KT176" s="31"/>
      <c r="KU176" s="31"/>
      <c r="KV176" s="31"/>
      <c r="KW176" s="31"/>
      <c r="KX176" s="31"/>
      <c r="KY176" s="31"/>
      <c r="KZ176" s="31"/>
      <c r="LA176" s="31"/>
      <c r="LB176" s="31"/>
      <c r="LC176" s="31"/>
      <c r="LD176" s="31"/>
      <c r="LE176" s="31"/>
      <c r="LF176" s="31"/>
      <c r="LG176" s="31"/>
      <c r="LH176" s="31"/>
      <c r="LI176" s="31"/>
      <c r="LJ176" s="31"/>
      <c r="LK176" s="31"/>
      <c r="LL176" s="31"/>
      <c r="LM176" s="31"/>
      <c r="LN176" s="31"/>
      <c r="LO176" s="31"/>
      <c r="LP176" s="31"/>
      <c r="LQ176" s="31"/>
      <c r="LR176" s="31"/>
      <c r="LS176" s="31"/>
      <c r="LT176" s="31"/>
      <c r="LU176" s="31"/>
      <c r="LV176" s="31"/>
      <c r="LW176" s="31"/>
      <c r="LX176" s="31"/>
      <c r="LY176" s="31"/>
      <c r="LZ176" s="31"/>
      <c r="MA176" s="31"/>
      <c r="MB176" s="31"/>
      <c r="MC176" s="31"/>
      <c r="MD176" s="31"/>
      <c r="ME176" s="31"/>
      <c r="MF176" s="31"/>
      <c r="MG176" s="31"/>
      <c r="MH176" s="31"/>
      <c r="MI176" s="31"/>
      <c r="MJ176" s="31"/>
      <c r="MK176" s="31"/>
      <c r="ML176" s="31"/>
      <c r="MM176" s="31"/>
      <c r="MN176" s="31"/>
      <c r="MO176" s="31"/>
      <c r="MP176" s="31"/>
      <c r="MQ176" s="31"/>
      <c r="MR176" s="31"/>
      <c r="MS176" s="31"/>
      <c r="MT176" s="31"/>
      <c r="MU176" s="31"/>
      <c r="MV176" s="31"/>
      <c r="MW176" s="31"/>
      <c r="MX176" s="31"/>
      <c r="MY176" s="31"/>
      <c r="MZ176" s="31"/>
      <c r="NA176" s="31"/>
      <c r="NB176" s="31"/>
      <c r="NC176" s="31"/>
      <c r="ND176" s="31"/>
      <c r="NE176" s="31"/>
      <c r="NF176" s="31"/>
      <c r="NG176" s="31"/>
      <c r="NH176" s="31"/>
      <c r="NI176" s="31"/>
      <c r="NJ176" s="31"/>
      <c r="NK176" s="31"/>
      <c r="NL176" s="31"/>
      <c r="NM176" s="31"/>
      <c r="NN176" s="31"/>
      <c r="NO176" s="31"/>
      <c r="NP176" s="31"/>
      <c r="NQ176" s="31"/>
      <c r="NR176" s="31"/>
      <c r="NS176" s="31"/>
      <c r="NT176" s="31"/>
      <c r="NU176" s="31"/>
      <c r="NV176" s="31"/>
      <c r="NW176" s="31"/>
      <c r="NX176" s="31"/>
      <c r="NY176" s="31"/>
      <c r="NZ176" s="31"/>
      <c r="OA176" s="31"/>
      <c r="OB176" s="31"/>
      <c r="OC176" s="31"/>
      <c r="OD176" s="31"/>
      <c r="OE176" s="31"/>
      <c r="OF176" s="31"/>
      <c r="OG176" s="31"/>
      <c r="OH176" s="31"/>
      <c r="OI176" s="31"/>
      <c r="OJ176" s="31"/>
      <c r="OK176" s="31"/>
      <c r="OL176" s="31"/>
      <c r="OM176" s="31"/>
      <c r="ON176" s="31"/>
      <c r="OO176" s="31"/>
      <c r="OP176" s="31"/>
      <c r="OQ176" s="31"/>
      <c r="OR176" s="31"/>
      <c r="OS176" s="31"/>
      <c r="OT176" s="31"/>
      <c r="OU176" s="31"/>
      <c r="OV176" s="31"/>
      <c r="OW176" s="31"/>
      <c r="OX176" s="31"/>
    </row>
    <row r="177" spans="2:414" s="25" customFormat="1" ht="15.6">
      <c r="B177" s="25" t="s">
        <v>75</v>
      </c>
      <c r="C177" s="27" t="s">
        <v>269</v>
      </c>
      <c r="D177" s="30" t="s">
        <v>201</v>
      </c>
      <c r="G177" s="42">
        <v>500</v>
      </c>
      <c r="H177" s="89">
        <v>26.109000000000002</v>
      </c>
      <c r="I177" s="38">
        <f t="shared" si="52"/>
        <v>13054.5</v>
      </c>
      <c r="K177" s="42">
        <v>500</v>
      </c>
      <c r="L177" s="90">
        <v>26.849599999999999</v>
      </c>
      <c r="M177" s="38">
        <f t="shared" si="53"/>
        <v>13424.8</v>
      </c>
      <c r="O177" s="38">
        <v>80</v>
      </c>
      <c r="P177" s="38">
        <v>26.728300000000001</v>
      </c>
      <c r="Q177" s="38">
        <f t="shared" si="54"/>
        <v>2138.2640000000001</v>
      </c>
      <c r="R177" s="43">
        <f t="shared" si="66"/>
        <v>1080</v>
      </c>
      <c r="S177" s="38">
        <f t="shared" si="55"/>
        <v>28617.563999999998</v>
      </c>
      <c r="T177" s="49">
        <v>415</v>
      </c>
      <c r="U177" s="42">
        <v>26.350200000000001</v>
      </c>
      <c r="V177" s="38">
        <f t="shared" si="64"/>
        <v>10935.333000000001</v>
      </c>
      <c r="W177" s="42">
        <v>85</v>
      </c>
      <c r="X177" s="42">
        <v>26.350200000000001</v>
      </c>
      <c r="Y177" s="38">
        <f t="shared" si="63"/>
        <v>2239.7670000000003</v>
      </c>
      <c r="Z177" s="42">
        <v>220</v>
      </c>
      <c r="AA177" s="42">
        <v>26.861899999999999</v>
      </c>
      <c r="AB177" s="42">
        <f t="shared" si="65"/>
        <v>5909.6179999999995</v>
      </c>
      <c r="AD177" s="42">
        <v>85</v>
      </c>
      <c r="AE177" s="42">
        <v>26.861899999999999</v>
      </c>
      <c r="AF177" s="42">
        <f>AD177*AE177</f>
        <v>2283.2615000000001</v>
      </c>
      <c r="AG177" s="42"/>
      <c r="AH177" s="42">
        <v>195</v>
      </c>
      <c r="AI177" s="42">
        <v>26.890999999999998</v>
      </c>
      <c r="AJ177" s="42">
        <f t="shared" si="50"/>
        <v>5243.7449999999999</v>
      </c>
      <c r="AL177" s="42"/>
      <c r="AM177" s="42"/>
      <c r="AN177" s="42">
        <f t="shared" si="51"/>
        <v>0</v>
      </c>
      <c r="AO177" s="44"/>
      <c r="AP177" s="42"/>
      <c r="AQ177" s="42"/>
      <c r="AR177" s="42"/>
      <c r="AU177" s="98"/>
      <c r="AV177" s="35"/>
      <c r="AW177" s="104"/>
      <c r="AX177" s="42"/>
      <c r="AY177" s="42"/>
      <c r="AZ177" s="42">
        <f t="shared" si="49"/>
        <v>0</v>
      </c>
      <c r="BA177" s="42"/>
      <c r="BB177" s="42"/>
      <c r="BC177" s="42"/>
      <c r="BD177" s="38">
        <f t="shared" si="56"/>
        <v>0</v>
      </c>
      <c r="BE177" s="42"/>
      <c r="BF177" s="42"/>
      <c r="BG177" s="42"/>
      <c r="BH177" s="38">
        <f t="shared" si="57"/>
        <v>0</v>
      </c>
      <c r="BI177" s="42"/>
      <c r="BJ177" s="42"/>
      <c r="BK177" s="42"/>
      <c r="BL177" s="38">
        <f t="shared" si="58"/>
        <v>0</v>
      </c>
      <c r="BM177" s="42"/>
      <c r="BN177" s="42"/>
      <c r="BO177" s="42"/>
      <c r="BP177" s="42"/>
      <c r="BR177" s="42">
        <f t="shared" si="59"/>
        <v>26611.7245</v>
      </c>
      <c r="BS177" s="43">
        <f t="shared" si="60"/>
        <v>2005.8394999999982</v>
      </c>
      <c r="BT177" s="42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  <c r="IM177" s="31"/>
      <c r="IN177" s="31"/>
      <c r="IO177" s="31"/>
      <c r="IP177" s="31"/>
      <c r="IQ177" s="31"/>
      <c r="IR177" s="31"/>
      <c r="IS177" s="31"/>
      <c r="IT177" s="31"/>
      <c r="IU177" s="31"/>
      <c r="IV177" s="31"/>
      <c r="IW177" s="31"/>
      <c r="IX177" s="31"/>
      <c r="IY177" s="31"/>
      <c r="IZ177" s="31"/>
      <c r="JA177" s="31"/>
      <c r="JB177" s="31"/>
      <c r="JC177" s="31"/>
      <c r="JD177" s="31"/>
      <c r="JE177" s="31"/>
      <c r="JF177" s="31"/>
      <c r="JG177" s="31"/>
      <c r="JH177" s="31"/>
      <c r="JI177" s="31"/>
      <c r="JJ177" s="31"/>
      <c r="JK177" s="31"/>
      <c r="JL177" s="31"/>
      <c r="JM177" s="31"/>
      <c r="JN177" s="31"/>
      <c r="JO177" s="31"/>
      <c r="JP177" s="31"/>
      <c r="JQ177" s="31"/>
      <c r="JR177" s="31"/>
      <c r="JS177" s="31"/>
      <c r="JT177" s="31"/>
      <c r="JU177" s="31"/>
      <c r="JV177" s="31"/>
      <c r="JW177" s="31"/>
      <c r="JX177" s="31"/>
      <c r="JY177" s="31"/>
      <c r="JZ177" s="31"/>
      <c r="KA177" s="31"/>
      <c r="KB177" s="31"/>
      <c r="KC177" s="31"/>
      <c r="KD177" s="31"/>
      <c r="KE177" s="31"/>
      <c r="KF177" s="31"/>
      <c r="KG177" s="31"/>
      <c r="KH177" s="31"/>
      <c r="KI177" s="31"/>
      <c r="KJ177" s="31"/>
      <c r="KK177" s="31"/>
      <c r="KL177" s="31"/>
      <c r="KM177" s="31"/>
      <c r="KN177" s="31"/>
      <c r="KO177" s="31"/>
      <c r="KP177" s="31"/>
      <c r="KQ177" s="31"/>
      <c r="KR177" s="31"/>
      <c r="KS177" s="31"/>
      <c r="KT177" s="31"/>
      <c r="KU177" s="31"/>
      <c r="KV177" s="31"/>
      <c r="KW177" s="31"/>
      <c r="KX177" s="31"/>
      <c r="KY177" s="31"/>
      <c r="KZ177" s="31"/>
      <c r="LA177" s="31"/>
      <c r="LB177" s="31"/>
      <c r="LC177" s="31"/>
      <c r="LD177" s="31"/>
      <c r="LE177" s="31"/>
      <c r="LF177" s="31"/>
      <c r="LG177" s="31"/>
      <c r="LH177" s="31"/>
      <c r="LI177" s="31"/>
      <c r="LJ177" s="31"/>
      <c r="LK177" s="31"/>
      <c r="LL177" s="31"/>
      <c r="LM177" s="31"/>
      <c r="LN177" s="31"/>
      <c r="LO177" s="31"/>
      <c r="LP177" s="31"/>
      <c r="LQ177" s="31"/>
      <c r="LR177" s="31"/>
      <c r="LS177" s="31"/>
      <c r="LT177" s="31"/>
      <c r="LU177" s="31"/>
      <c r="LV177" s="31"/>
      <c r="LW177" s="31"/>
      <c r="LX177" s="31"/>
      <c r="LY177" s="31"/>
      <c r="LZ177" s="31"/>
      <c r="MA177" s="31"/>
      <c r="MB177" s="31"/>
      <c r="MC177" s="31"/>
      <c r="MD177" s="31"/>
      <c r="ME177" s="31"/>
      <c r="MF177" s="31"/>
      <c r="MG177" s="31"/>
      <c r="MH177" s="31"/>
      <c r="MI177" s="31"/>
      <c r="MJ177" s="31"/>
      <c r="MK177" s="31"/>
      <c r="ML177" s="31"/>
      <c r="MM177" s="31"/>
      <c r="MN177" s="31"/>
      <c r="MO177" s="31"/>
      <c r="MP177" s="31"/>
      <c r="MQ177" s="31"/>
      <c r="MR177" s="31"/>
      <c r="MS177" s="31"/>
      <c r="MT177" s="31"/>
      <c r="MU177" s="31"/>
      <c r="MV177" s="31"/>
      <c r="MW177" s="31"/>
      <c r="MX177" s="31"/>
      <c r="MY177" s="31"/>
      <c r="MZ177" s="31"/>
      <c r="NA177" s="31"/>
      <c r="NB177" s="31"/>
      <c r="NC177" s="31"/>
      <c r="ND177" s="31"/>
      <c r="NE177" s="31"/>
      <c r="NF177" s="31"/>
      <c r="NG177" s="31"/>
      <c r="NH177" s="31"/>
      <c r="NI177" s="31"/>
      <c r="NJ177" s="31"/>
      <c r="NK177" s="31"/>
      <c r="NL177" s="31"/>
      <c r="NM177" s="31"/>
      <c r="NN177" s="31"/>
      <c r="NO177" s="31"/>
      <c r="NP177" s="31"/>
      <c r="NQ177" s="31"/>
      <c r="NR177" s="31"/>
      <c r="NS177" s="31"/>
      <c r="NT177" s="31"/>
      <c r="NU177" s="31"/>
      <c r="NV177" s="31"/>
      <c r="NW177" s="31"/>
      <c r="NX177" s="31"/>
      <c r="NY177" s="31"/>
      <c r="NZ177" s="31"/>
      <c r="OA177" s="31"/>
      <c r="OB177" s="31"/>
      <c r="OC177" s="31"/>
      <c r="OD177" s="31"/>
      <c r="OE177" s="31"/>
      <c r="OF177" s="31"/>
      <c r="OG177" s="31"/>
      <c r="OH177" s="31"/>
      <c r="OI177" s="31"/>
      <c r="OJ177" s="31"/>
      <c r="OK177" s="31"/>
      <c r="OL177" s="31"/>
      <c r="OM177" s="31"/>
      <c r="ON177" s="31"/>
      <c r="OO177" s="31"/>
      <c r="OP177" s="31"/>
      <c r="OQ177" s="31"/>
      <c r="OR177" s="31"/>
      <c r="OS177" s="31"/>
      <c r="OT177" s="31"/>
      <c r="OU177" s="31"/>
      <c r="OV177" s="31"/>
      <c r="OW177" s="31"/>
      <c r="OX177" s="31"/>
    </row>
    <row r="178" spans="2:414" s="25" customFormat="1" ht="15.6">
      <c r="B178" s="25" t="s">
        <v>270</v>
      </c>
      <c r="C178" s="27" t="s">
        <v>271</v>
      </c>
      <c r="D178" s="30" t="s">
        <v>201</v>
      </c>
      <c r="G178" s="42">
        <v>500</v>
      </c>
      <c r="H178" s="89">
        <v>26.109000000000002</v>
      </c>
      <c r="I178" s="38">
        <f t="shared" si="52"/>
        <v>13054.5</v>
      </c>
      <c r="K178" s="42">
        <v>500</v>
      </c>
      <c r="L178" s="90">
        <v>26.849599999999999</v>
      </c>
      <c r="M178" s="38">
        <f t="shared" si="53"/>
        <v>13424.8</v>
      </c>
      <c r="O178" s="38">
        <v>80</v>
      </c>
      <c r="P178" s="38">
        <v>26.728300000000001</v>
      </c>
      <c r="Q178" s="38">
        <f t="shared" si="54"/>
        <v>2138.2640000000001</v>
      </c>
      <c r="R178" s="43">
        <f t="shared" si="66"/>
        <v>1080</v>
      </c>
      <c r="S178" s="38">
        <f t="shared" si="55"/>
        <v>28617.563999999998</v>
      </c>
      <c r="T178" s="49">
        <v>85</v>
      </c>
      <c r="U178" s="42">
        <v>26.283100000000001</v>
      </c>
      <c r="V178" s="38">
        <f t="shared" si="64"/>
        <v>2234.0635000000002</v>
      </c>
      <c r="W178" s="42"/>
      <c r="X178" s="42"/>
      <c r="Y178" s="42">
        <v>5000</v>
      </c>
      <c r="Z178" s="42"/>
      <c r="AA178" s="42"/>
      <c r="AB178" s="42">
        <v>3050</v>
      </c>
      <c r="AD178" s="42">
        <v>110</v>
      </c>
      <c r="AE178" s="42">
        <v>26.861899999999999</v>
      </c>
      <c r="AF178" s="42">
        <f t="shared" ref="AF178:AF201" si="67">AD178*AE178</f>
        <v>2954.8089999999997</v>
      </c>
      <c r="AG178" s="42"/>
      <c r="AH178" s="42"/>
      <c r="AI178" s="42">
        <v>26.799399999999999</v>
      </c>
      <c r="AJ178" s="42">
        <v>1800</v>
      </c>
      <c r="AL178" s="42"/>
      <c r="AM178" s="42"/>
      <c r="AN178" s="42">
        <v>4700</v>
      </c>
      <c r="AO178" s="44"/>
      <c r="AP178" s="42">
        <v>250</v>
      </c>
      <c r="AQ178" s="42"/>
      <c r="AR178" s="42"/>
      <c r="AT178" s="25">
        <v>9</v>
      </c>
      <c r="AU178" s="98"/>
      <c r="AV178" s="35"/>
      <c r="AW178" s="104"/>
      <c r="AX178" s="42"/>
      <c r="AY178" s="42"/>
      <c r="AZ178" s="42">
        <f t="shared" si="49"/>
        <v>0</v>
      </c>
      <c r="BA178" s="42"/>
      <c r="BB178" s="42"/>
      <c r="BC178" s="42"/>
      <c r="BD178" s="38">
        <f t="shared" si="56"/>
        <v>0</v>
      </c>
      <c r="BE178" s="42"/>
      <c r="BF178" s="42"/>
      <c r="BG178" s="42"/>
      <c r="BH178" s="38">
        <f t="shared" si="57"/>
        <v>0</v>
      </c>
      <c r="BI178" s="42"/>
      <c r="BJ178" s="42"/>
      <c r="BK178" s="42"/>
      <c r="BL178" s="38">
        <f t="shared" si="58"/>
        <v>0</v>
      </c>
      <c r="BM178" s="42"/>
      <c r="BN178" s="42"/>
      <c r="BO178" s="42"/>
      <c r="BP178" s="42"/>
      <c r="BR178" s="42">
        <f t="shared" si="59"/>
        <v>19738.872499999998</v>
      </c>
      <c r="BS178" s="43">
        <f t="shared" si="60"/>
        <v>8878.6915000000008</v>
      </c>
      <c r="BT178" s="42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  <c r="IM178" s="31"/>
      <c r="IN178" s="31"/>
      <c r="IO178" s="31"/>
      <c r="IP178" s="31"/>
      <c r="IQ178" s="31"/>
      <c r="IR178" s="31"/>
      <c r="IS178" s="31"/>
      <c r="IT178" s="31"/>
      <c r="IU178" s="31"/>
      <c r="IV178" s="31"/>
      <c r="IW178" s="31"/>
      <c r="IX178" s="31"/>
      <c r="IY178" s="31"/>
      <c r="IZ178" s="31"/>
      <c r="JA178" s="31"/>
      <c r="JB178" s="31"/>
      <c r="JC178" s="31"/>
      <c r="JD178" s="31"/>
      <c r="JE178" s="31"/>
      <c r="JF178" s="31"/>
      <c r="JG178" s="31"/>
      <c r="JH178" s="31"/>
      <c r="JI178" s="31"/>
      <c r="JJ178" s="31"/>
      <c r="JK178" s="31"/>
      <c r="JL178" s="31"/>
      <c r="JM178" s="31"/>
      <c r="JN178" s="31"/>
      <c r="JO178" s="31"/>
      <c r="JP178" s="31"/>
      <c r="JQ178" s="31"/>
      <c r="JR178" s="31"/>
      <c r="JS178" s="31"/>
      <c r="JT178" s="31"/>
      <c r="JU178" s="31"/>
      <c r="JV178" s="31"/>
      <c r="JW178" s="31"/>
      <c r="JX178" s="31"/>
      <c r="JY178" s="31"/>
      <c r="JZ178" s="31"/>
      <c r="KA178" s="31"/>
      <c r="KB178" s="31"/>
      <c r="KC178" s="31"/>
      <c r="KD178" s="31"/>
      <c r="KE178" s="31"/>
      <c r="KF178" s="31"/>
      <c r="KG178" s="31"/>
      <c r="KH178" s="31"/>
      <c r="KI178" s="31"/>
      <c r="KJ178" s="31"/>
      <c r="KK178" s="31"/>
      <c r="KL178" s="31"/>
      <c r="KM178" s="31"/>
      <c r="KN178" s="31"/>
      <c r="KO178" s="31"/>
      <c r="KP178" s="31"/>
      <c r="KQ178" s="31"/>
      <c r="KR178" s="31"/>
      <c r="KS178" s="31"/>
      <c r="KT178" s="31"/>
      <c r="KU178" s="31"/>
      <c r="KV178" s="31"/>
      <c r="KW178" s="31"/>
      <c r="KX178" s="31"/>
      <c r="KY178" s="31"/>
      <c r="KZ178" s="31"/>
      <c r="LA178" s="31"/>
      <c r="LB178" s="31"/>
      <c r="LC178" s="31"/>
      <c r="LD178" s="31"/>
      <c r="LE178" s="31"/>
      <c r="LF178" s="31"/>
      <c r="LG178" s="31"/>
      <c r="LH178" s="31"/>
      <c r="LI178" s="31"/>
      <c r="LJ178" s="31"/>
      <c r="LK178" s="31"/>
      <c r="LL178" s="31"/>
      <c r="LM178" s="31"/>
      <c r="LN178" s="31"/>
      <c r="LO178" s="31"/>
      <c r="LP178" s="31"/>
      <c r="LQ178" s="31"/>
      <c r="LR178" s="31"/>
      <c r="LS178" s="31"/>
      <c r="LT178" s="31"/>
      <c r="LU178" s="31"/>
      <c r="LV178" s="31"/>
      <c r="LW178" s="31"/>
      <c r="LX178" s="31"/>
      <c r="LY178" s="31"/>
      <c r="LZ178" s="31"/>
      <c r="MA178" s="31"/>
      <c r="MB178" s="31"/>
      <c r="MC178" s="31"/>
      <c r="MD178" s="31"/>
      <c r="ME178" s="31"/>
      <c r="MF178" s="31"/>
      <c r="MG178" s="31"/>
      <c r="MH178" s="31"/>
      <c r="MI178" s="31"/>
      <c r="MJ178" s="31"/>
      <c r="MK178" s="31"/>
      <c r="ML178" s="31"/>
      <c r="MM178" s="31"/>
      <c r="MN178" s="31"/>
      <c r="MO178" s="31"/>
      <c r="MP178" s="31"/>
      <c r="MQ178" s="31"/>
      <c r="MR178" s="31"/>
      <c r="MS178" s="31"/>
      <c r="MT178" s="31"/>
      <c r="MU178" s="31"/>
      <c r="MV178" s="31"/>
      <c r="MW178" s="31"/>
      <c r="MX178" s="31"/>
      <c r="MY178" s="31"/>
      <c r="MZ178" s="31"/>
      <c r="NA178" s="31"/>
      <c r="NB178" s="31"/>
      <c r="NC178" s="31"/>
      <c r="ND178" s="31"/>
      <c r="NE178" s="31"/>
      <c r="NF178" s="31"/>
      <c r="NG178" s="31"/>
      <c r="NH178" s="31"/>
      <c r="NI178" s="31"/>
      <c r="NJ178" s="31"/>
      <c r="NK178" s="31"/>
      <c r="NL178" s="31"/>
      <c r="NM178" s="31"/>
      <c r="NN178" s="31"/>
      <c r="NO178" s="31"/>
      <c r="NP178" s="31"/>
      <c r="NQ178" s="31"/>
      <c r="NR178" s="31"/>
      <c r="NS178" s="31"/>
      <c r="NT178" s="31"/>
      <c r="NU178" s="31"/>
      <c r="NV178" s="31"/>
      <c r="NW178" s="31"/>
      <c r="NX178" s="31"/>
      <c r="NY178" s="31"/>
      <c r="NZ178" s="31"/>
      <c r="OA178" s="31"/>
      <c r="OB178" s="31"/>
      <c r="OC178" s="31"/>
      <c r="OD178" s="31"/>
      <c r="OE178" s="31"/>
      <c r="OF178" s="31"/>
      <c r="OG178" s="31"/>
      <c r="OH178" s="31"/>
      <c r="OI178" s="31"/>
      <c r="OJ178" s="31"/>
      <c r="OK178" s="31"/>
      <c r="OL178" s="31"/>
      <c r="OM178" s="31"/>
      <c r="ON178" s="31"/>
      <c r="OO178" s="31"/>
      <c r="OP178" s="31"/>
      <c r="OQ178" s="31"/>
      <c r="OR178" s="31"/>
      <c r="OS178" s="31"/>
      <c r="OT178" s="31"/>
      <c r="OU178" s="31"/>
      <c r="OV178" s="31"/>
      <c r="OW178" s="31"/>
      <c r="OX178" s="31"/>
    </row>
    <row r="179" spans="2:414" s="25" customFormat="1" ht="15.6">
      <c r="B179" s="25" t="s">
        <v>272</v>
      </c>
      <c r="C179" s="27" t="s">
        <v>273</v>
      </c>
      <c r="D179" s="30" t="s">
        <v>201</v>
      </c>
      <c r="G179" s="42">
        <v>500</v>
      </c>
      <c r="H179" s="89">
        <v>26.109000000000002</v>
      </c>
      <c r="I179" s="38">
        <f t="shared" si="52"/>
        <v>13054.5</v>
      </c>
      <c r="K179" s="42">
        <v>500</v>
      </c>
      <c r="L179" s="90">
        <v>26.849599999999999</v>
      </c>
      <c r="M179" s="38">
        <f t="shared" si="53"/>
        <v>13424.8</v>
      </c>
      <c r="O179" s="38">
        <v>80</v>
      </c>
      <c r="P179" s="38">
        <v>26.728300000000001</v>
      </c>
      <c r="Q179" s="38">
        <f t="shared" si="54"/>
        <v>2138.2640000000001</v>
      </c>
      <c r="R179" s="43">
        <f t="shared" si="66"/>
        <v>1080</v>
      </c>
      <c r="S179" s="38">
        <f t="shared" si="55"/>
        <v>28617.563999999998</v>
      </c>
      <c r="T179" s="49">
        <v>400</v>
      </c>
      <c r="U179" s="42">
        <v>26.3813</v>
      </c>
      <c r="V179" s="38">
        <f t="shared" si="64"/>
        <v>10552.52</v>
      </c>
      <c r="W179" s="42">
        <v>100</v>
      </c>
      <c r="X179" s="42">
        <v>26.484400000000001</v>
      </c>
      <c r="Y179" s="42"/>
      <c r="Z179" s="42">
        <v>400</v>
      </c>
      <c r="AA179" s="42">
        <v>26.861899999999999</v>
      </c>
      <c r="AB179" s="42">
        <f>Z179*AA179</f>
        <v>10744.76</v>
      </c>
      <c r="AD179" s="42"/>
      <c r="AE179" s="42"/>
      <c r="AF179" s="42">
        <f t="shared" si="67"/>
        <v>0</v>
      </c>
      <c r="AG179" s="42"/>
      <c r="AH179" s="42"/>
      <c r="AI179" s="42"/>
      <c r="AJ179" s="42"/>
      <c r="AL179" s="42"/>
      <c r="AM179" s="42"/>
      <c r="AN179" s="42"/>
      <c r="AO179" s="44"/>
      <c r="AP179" s="42"/>
      <c r="AQ179" s="42"/>
      <c r="AR179" s="42"/>
      <c r="AU179" s="98"/>
      <c r="AV179" s="35"/>
      <c r="AW179" s="104"/>
      <c r="AX179" s="42"/>
      <c r="AY179" s="42"/>
      <c r="AZ179" s="42">
        <f t="shared" si="49"/>
        <v>0</v>
      </c>
      <c r="BA179" s="42"/>
      <c r="BB179" s="42"/>
      <c r="BC179" s="42"/>
      <c r="BD179" s="38">
        <f t="shared" si="56"/>
        <v>0</v>
      </c>
      <c r="BE179" s="42"/>
      <c r="BF179" s="42"/>
      <c r="BG179" s="42"/>
      <c r="BH179" s="38">
        <f t="shared" si="57"/>
        <v>0</v>
      </c>
      <c r="BI179" s="42"/>
      <c r="BJ179" s="42"/>
      <c r="BK179" s="42"/>
      <c r="BL179" s="38">
        <f t="shared" si="58"/>
        <v>0</v>
      </c>
      <c r="BM179" s="42"/>
      <c r="BN179" s="42"/>
      <c r="BO179" s="42"/>
      <c r="BP179" s="42"/>
      <c r="BR179" s="42">
        <f t="shared" si="59"/>
        <v>21297.279999999999</v>
      </c>
      <c r="BS179" s="43">
        <f t="shared" si="60"/>
        <v>7320.2839999999997</v>
      </c>
      <c r="BT179" s="42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  <c r="JH179" s="31"/>
      <c r="JI179" s="31"/>
      <c r="JJ179" s="31"/>
      <c r="JK179" s="31"/>
      <c r="JL179" s="31"/>
      <c r="JM179" s="31"/>
      <c r="JN179" s="31"/>
      <c r="JO179" s="31"/>
      <c r="JP179" s="31"/>
      <c r="JQ179" s="31"/>
      <c r="JR179" s="31"/>
      <c r="JS179" s="31"/>
      <c r="JT179" s="31"/>
      <c r="JU179" s="31"/>
      <c r="JV179" s="31"/>
      <c r="JW179" s="31"/>
      <c r="JX179" s="31"/>
      <c r="JY179" s="31"/>
      <c r="JZ179" s="31"/>
      <c r="KA179" s="31"/>
      <c r="KB179" s="31"/>
      <c r="KC179" s="31"/>
      <c r="KD179" s="31"/>
      <c r="KE179" s="31"/>
      <c r="KF179" s="31"/>
      <c r="KG179" s="31"/>
      <c r="KH179" s="31"/>
      <c r="KI179" s="31"/>
      <c r="KJ179" s="31"/>
      <c r="KK179" s="31"/>
      <c r="KL179" s="31"/>
      <c r="KM179" s="31"/>
      <c r="KN179" s="31"/>
      <c r="KO179" s="31"/>
      <c r="KP179" s="31"/>
      <c r="KQ179" s="31"/>
      <c r="KR179" s="31"/>
      <c r="KS179" s="31"/>
      <c r="KT179" s="31"/>
      <c r="KU179" s="31"/>
      <c r="KV179" s="31"/>
      <c r="KW179" s="31"/>
      <c r="KX179" s="31"/>
      <c r="KY179" s="31"/>
      <c r="KZ179" s="31"/>
      <c r="LA179" s="31"/>
      <c r="LB179" s="31"/>
      <c r="LC179" s="31"/>
      <c r="LD179" s="31"/>
      <c r="LE179" s="31"/>
      <c r="LF179" s="31"/>
      <c r="LG179" s="31"/>
      <c r="LH179" s="31"/>
      <c r="LI179" s="31"/>
      <c r="LJ179" s="31"/>
      <c r="LK179" s="31"/>
      <c r="LL179" s="31"/>
      <c r="LM179" s="31"/>
      <c r="LN179" s="31"/>
      <c r="LO179" s="31"/>
      <c r="LP179" s="31"/>
      <c r="LQ179" s="31"/>
      <c r="LR179" s="31"/>
      <c r="LS179" s="31"/>
      <c r="LT179" s="31"/>
      <c r="LU179" s="31"/>
      <c r="LV179" s="31"/>
      <c r="LW179" s="31"/>
      <c r="LX179" s="31"/>
      <c r="LY179" s="31"/>
      <c r="LZ179" s="31"/>
      <c r="MA179" s="31"/>
      <c r="MB179" s="31"/>
      <c r="MC179" s="31"/>
      <c r="MD179" s="31"/>
      <c r="ME179" s="31"/>
      <c r="MF179" s="31"/>
      <c r="MG179" s="31"/>
      <c r="MH179" s="31"/>
      <c r="MI179" s="31"/>
      <c r="MJ179" s="31"/>
      <c r="MK179" s="31"/>
      <c r="ML179" s="31"/>
      <c r="MM179" s="31"/>
      <c r="MN179" s="31"/>
      <c r="MO179" s="31"/>
      <c r="MP179" s="31"/>
      <c r="MQ179" s="31"/>
      <c r="MR179" s="31"/>
      <c r="MS179" s="31"/>
      <c r="MT179" s="31"/>
      <c r="MU179" s="31"/>
      <c r="MV179" s="31"/>
      <c r="MW179" s="31"/>
      <c r="MX179" s="31"/>
      <c r="MY179" s="31"/>
      <c r="MZ179" s="31"/>
      <c r="NA179" s="31"/>
      <c r="NB179" s="31"/>
      <c r="NC179" s="31"/>
      <c r="ND179" s="31"/>
      <c r="NE179" s="31"/>
      <c r="NF179" s="31"/>
      <c r="NG179" s="31"/>
      <c r="NH179" s="31"/>
      <c r="NI179" s="31"/>
      <c r="NJ179" s="31"/>
      <c r="NK179" s="31"/>
      <c r="NL179" s="31"/>
      <c r="NM179" s="31"/>
      <c r="NN179" s="31"/>
      <c r="NO179" s="31"/>
      <c r="NP179" s="31"/>
      <c r="NQ179" s="31"/>
      <c r="NR179" s="31"/>
      <c r="NS179" s="31"/>
      <c r="NT179" s="31"/>
      <c r="NU179" s="31"/>
      <c r="NV179" s="31"/>
      <c r="NW179" s="31"/>
      <c r="NX179" s="31"/>
      <c r="NY179" s="31"/>
      <c r="NZ179" s="31"/>
      <c r="OA179" s="31"/>
      <c r="OB179" s="31"/>
      <c r="OC179" s="31"/>
      <c r="OD179" s="31"/>
      <c r="OE179" s="31"/>
      <c r="OF179" s="31"/>
      <c r="OG179" s="31"/>
      <c r="OH179" s="31"/>
      <c r="OI179" s="31"/>
      <c r="OJ179" s="31"/>
      <c r="OK179" s="31"/>
      <c r="OL179" s="31"/>
      <c r="OM179" s="31"/>
      <c r="ON179" s="31"/>
      <c r="OO179" s="31"/>
      <c r="OP179" s="31"/>
      <c r="OQ179" s="31"/>
      <c r="OR179" s="31"/>
      <c r="OS179" s="31"/>
      <c r="OT179" s="31"/>
      <c r="OU179" s="31"/>
      <c r="OV179" s="31"/>
      <c r="OW179" s="31"/>
      <c r="OX179" s="31"/>
    </row>
    <row r="180" spans="2:414" s="25" customFormat="1" ht="15.6">
      <c r="B180" s="25" t="s">
        <v>274</v>
      </c>
      <c r="C180" s="27" t="s">
        <v>275</v>
      </c>
      <c r="D180" s="30" t="s">
        <v>201</v>
      </c>
      <c r="G180" s="42">
        <v>500</v>
      </c>
      <c r="H180" s="89">
        <v>26.109000000000002</v>
      </c>
      <c r="I180" s="38">
        <f t="shared" si="52"/>
        <v>13054.5</v>
      </c>
      <c r="K180" s="42">
        <v>500</v>
      </c>
      <c r="L180" s="90">
        <v>26.849599999999999</v>
      </c>
      <c r="M180" s="38">
        <f t="shared" si="53"/>
        <v>13424.8</v>
      </c>
      <c r="O180" s="38">
        <v>80</v>
      </c>
      <c r="P180" s="38">
        <v>26.728300000000001</v>
      </c>
      <c r="Q180" s="38">
        <f t="shared" si="54"/>
        <v>2138.2640000000001</v>
      </c>
      <c r="R180" s="43">
        <f t="shared" si="66"/>
        <v>1080</v>
      </c>
      <c r="S180" s="38">
        <f t="shared" si="55"/>
        <v>28617.563999999998</v>
      </c>
      <c r="T180" s="49">
        <v>7000</v>
      </c>
      <c r="U180" s="42"/>
      <c r="V180" s="38">
        <f t="shared" si="64"/>
        <v>0</v>
      </c>
      <c r="W180" s="42"/>
      <c r="X180" s="42"/>
      <c r="Y180" s="42">
        <v>3500</v>
      </c>
      <c r="Z180" s="42"/>
      <c r="AA180" s="42"/>
      <c r="AB180" s="42">
        <v>4447</v>
      </c>
      <c r="AD180" s="42">
        <v>125</v>
      </c>
      <c r="AE180" s="42">
        <v>26.8827</v>
      </c>
      <c r="AF180" s="42">
        <f t="shared" si="67"/>
        <v>3360.3375000000001</v>
      </c>
      <c r="AG180" s="42"/>
      <c r="AH180" s="42"/>
      <c r="AI180" s="42"/>
      <c r="AJ180" s="42"/>
      <c r="AL180" s="42"/>
      <c r="AM180" s="42"/>
      <c r="AN180" s="42"/>
      <c r="AO180" s="44"/>
      <c r="AP180" s="42"/>
      <c r="AQ180" s="42"/>
      <c r="AR180" s="42"/>
      <c r="AU180" s="98"/>
      <c r="AV180" s="35"/>
      <c r="AW180" s="104"/>
      <c r="AX180" s="42"/>
      <c r="AY180" s="42"/>
      <c r="AZ180" s="42">
        <f t="shared" si="49"/>
        <v>0</v>
      </c>
      <c r="BA180" s="42"/>
      <c r="BB180" s="42"/>
      <c r="BC180" s="42"/>
      <c r="BD180" s="38">
        <f t="shared" si="56"/>
        <v>0</v>
      </c>
      <c r="BE180" s="42"/>
      <c r="BF180" s="42"/>
      <c r="BG180" s="42"/>
      <c r="BH180" s="38">
        <f t="shared" si="57"/>
        <v>0</v>
      </c>
      <c r="BI180" s="42"/>
      <c r="BJ180" s="42"/>
      <c r="BK180" s="42"/>
      <c r="BL180" s="38">
        <f t="shared" si="58"/>
        <v>0</v>
      </c>
      <c r="BM180" s="42"/>
      <c r="BN180" s="42"/>
      <c r="BO180" s="42"/>
      <c r="BP180" s="42"/>
      <c r="BR180" s="42">
        <f t="shared" si="59"/>
        <v>11307.3375</v>
      </c>
      <c r="BS180" s="43">
        <f t="shared" si="60"/>
        <v>17310.226499999997</v>
      </c>
      <c r="BT180" s="42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  <c r="IM180" s="31"/>
      <c r="IN180" s="31"/>
      <c r="IO180" s="31"/>
      <c r="IP180" s="31"/>
      <c r="IQ180" s="31"/>
      <c r="IR180" s="31"/>
      <c r="IS180" s="31"/>
      <c r="IT180" s="31"/>
      <c r="IU180" s="31"/>
      <c r="IV180" s="31"/>
      <c r="IW180" s="31"/>
      <c r="IX180" s="31"/>
      <c r="IY180" s="31"/>
      <c r="IZ180" s="31"/>
      <c r="JA180" s="31"/>
      <c r="JB180" s="31"/>
      <c r="JC180" s="31"/>
      <c r="JD180" s="31"/>
      <c r="JE180" s="31"/>
      <c r="JF180" s="31"/>
      <c r="JG180" s="31"/>
      <c r="JH180" s="31"/>
      <c r="JI180" s="31"/>
      <c r="JJ180" s="31"/>
      <c r="JK180" s="31"/>
      <c r="JL180" s="31"/>
      <c r="JM180" s="31"/>
      <c r="JN180" s="31"/>
      <c r="JO180" s="31"/>
      <c r="JP180" s="31"/>
      <c r="JQ180" s="31"/>
      <c r="JR180" s="31"/>
      <c r="JS180" s="31"/>
      <c r="JT180" s="31"/>
      <c r="JU180" s="31"/>
      <c r="JV180" s="31"/>
      <c r="JW180" s="31"/>
      <c r="JX180" s="31"/>
      <c r="JY180" s="31"/>
      <c r="JZ180" s="31"/>
      <c r="KA180" s="31"/>
      <c r="KB180" s="31"/>
      <c r="KC180" s="31"/>
      <c r="KD180" s="31"/>
      <c r="KE180" s="31"/>
      <c r="KF180" s="31"/>
      <c r="KG180" s="31"/>
      <c r="KH180" s="31"/>
      <c r="KI180" s="31"/>
      <c r="KJ180" s="31"/>
      <c r="KK180" s="31"/>
      <c r="KL180" s="31"/>
      <c r="KM180" s="31"/>
      <c r="KN180" s="31"/>
      <c r="KO180" s="31"/>
      <c r="KP180" s="31"/>
      <c r="KQ180" s="31"/>
      <c r="KR180" s="31"/>
      <c r="KS180" s="31"/>
      <c r="KT180" s="31"/>
      <c r="KU180" s="31"/>
      <c r="KV180" s="31"/>
      <c r="KW180" s="31"/>
      <c r="KX180" s="31"/>
      <c r="KY180" s="31"/>
      <c r="KZ180" s="31"/>
      <c r="LA180" s="31"/>
      <c r="LB180" s="31"/>
      <c r="LC180" s="31"/>
      <c r="LD180" s="31"/>
      <c r="LE180" s="31"/>
      <c r="LF180" s="31"/>
      <c r="LG180" s="31"/>
      <c r="LH180" s="31"/>
      <c r="LI180" s="31"/>
      <c r="LJ180" s="31"/>
      <c r="LK180" s="31"/>
      <c r="LL180" s="31"/>
      <c r="LM180" s="31"/>
      <c r="LN180" s="31"/>
      <c r="LO180" s="31"/>
      <c r="LP180" s="31"/>
      <c r="LQ180" s="31"/>
      <c r="LR180" s="31"/>
      <c r="LS180" s="31"/>
      <c r="LT180" s="31"/>
      <c r="LU180" s="31"/>
      <c r="LV180" s="31"/>
      <c r="LW180" s="31"/>
      <c r="LX180" s="31"/>
      <c r="LY180" s="31"/>
      <c r="LZ180" s="31"/>
      <c r="MA180" s="31"/>
      <c r="MB180" s="31"/>
      <c r="MC180" s="31"/>
      <c r="MD180" s="31"/>
      <c r="ME180" s="31"/>
      <c r="MF180" s="31"/>
      <c r="MG180" s="31"/>
      <c r="MH180" s="31"/>
      <c r="MI180" s="31"/>
      <c r="MJ180" s="31"/>
      <c r="MK180" s="31"/>
      <c r="ML180" s="31"/>
      <c r="MM180" s="31"/>
      <c r="MN180" s="31"/>
      <c r="MO180" s="31"/>
      <c r="MP180" s="31"/>
      <c r="MQ180" s="31"/>
      <c r="MR180" s="31"/>
      <c r="MS180" s="31"/>
      <c r="MT180" s="31"/>
      <c r="MU180" s="31"/>
      <c r="MV180" s="31"/>
      <c r="MW180" s="31"/>
      <c r="MX180" s="31"/>
      <c r="MY180" s="31"/>
      <c r="MZ180" s="31"/>
      <c r="NA180" s="31"/>
      <c r="NB180" s="31"/>
      <c r="NC180" s="31"/>
      <c r="ND180" s="31"/>
      <c r="NE180" s="31"/>
      <c r="NF180" s="31"/>
      <c r="NG180" s="31"/>
      <c r="NH180" s="31"/>
      <c r="NI180" s="31"/>
      <c r="NJ180" s="31"/>
      <c r="NK180" s="31"/>
      <c r="NL180" s="31"/>
      <c r="NM180" s="31"/>
      <c r="NN180" s="31"/>
      <c r="NO180" s="31"/>
      <c r="NP180" s="31"/>
      <c r="NQ180" s="31"/>
      <c r="NR180" s="31"/>
      <c r="NS180" s="31"/>
      <c r="NT180" s="31"/>
      <c r="NU180" s="31"/>
      <c r="NV180" s="31"/>
      <c r="NW180" s="31"/>
      <c r="NX180" s="31"/>
      <c r="NY180" s="31"/>
      <c r="NZ180" s="31"/>
      <c r="OA180" s="31"/>
      <c r="OB180" s="31"/>
      <c r="OC180" s="31"/>
      <c r="OD180" s="31"/>
      <c r="OE180" s="31"/>
      <c r="OF180" s="31"/>
      <c r="OG180" s="31"/>
      <c r="OH180" s="31"/>
      <c r="OI180" s="31"/>
      <c r="OJ180" s="31"/>
      <c r="OK180" s="31"/>
      <c r="OL180" s="31"/>
      <c r="OM180" s="31"/>
      <c r="ON180" s="31"/>
      <c r="OO180" s="31"/>
      <c r="OP180" s="31"/>
      <c r="OQ180" s="31"/>
      <c r="OR180" s="31"/>
      <c r="OS180" s="31"/>
      <c r="OT180" s="31"/>
      <c r="OU180" s="31"/>
      <c r="OV180" s="31"/>
      <c r="OW180" s="31"/>
      <c r="OX180" s="31"/>
    </row>
    <row r="181" spans="2:414" s="25" customFormat="1" ht="15.6">
      <c r="B181" s="25" t="s">
        <v>276</v>
      </c>
      <c r="C181" s="27" t="s">
        <v>185</v>
      </c>
      <c r="D181" s="30" t="s">
        <v>201</v>
      </c>
      <c r="G181" s="42">
        <v>500</v>
      </c>
      <c r="H181" s="89">
        <v>26.109000000000002</v>
      </c>
      <c r="I181" s="38">
        <f t="shared" si="52"/>
        <v>13054.5</v>
      </c>
      <c r="K181" s="42">
        <v>500</v>
      </c>
      <c r="L181" s="90">
        <v>26.849599999999999</v>
      </c>
      <c r="M181" s="38">
        <f t="shared" si="53"/>
        <v>13424.8</v>
      </c>
      <c r="O181" s="38">
        <v>80</v>
      </c>
      <c r="P181" s="38">
        <v>26.728300000000001</v>
      </c>
      <c r="Q181" s="38">
        <f t="shared" si="54"/>
        <v>2138.2640000000001</v>
      </c>
      <c r="R181" s="43">
        <f t="shared" si="66"/>
        <v>1080</v>
      </c>
      <c r="S181" s="38">
        <f t="shared" si="55"/>
        <v>28617.563999999998</v>
      </c>
      <c r="T181" s="49">
        <v>85</v>
      </c>
      <c r="U181" s="42">
        <v>26.365600000000001</v>
      </c>
      <c r="V181" s="38">
        <f t="shared" si="64"/>
        <v>2241.076</v>
      </c>
      <c r="W181" s="42">
        <v>300</v>
      </c>
      <c r="X181" s="42">
        <v>26.3813</v>
      </c>
      <c r="Y181" s="42">
        <f>W181*X181</f>
        <v>7914.3899999999994</v>
      </c>
      <c r="Z181" s="42">
        <v>100</v>
      </c>
      <c r="AA181" s="42">
        <v>26.869499999999999</v>
      </c>
      <c r="AB181" s="42">
        <f>Z181*AA181</f>
        <v>2686.95</v>
      </c>
      <c r="AD181" s="42">
        <v>250</v>
      </c>
      <c r="AE181" s="42">
        <v>26.9312</v>
      </c>
      <c r="AF181" s="42">
        <f t="shared" si="67"/>
        <v>6732.8</v>
      </c>
      <c r="AG181" s="42"/>
      <c r="AH181" s="42">
        <v>150</v>
      </c>
      <c r="AI181" s="42">
        <v>26.839400000000001</v>
      </c>
      <c r="AJ181" s="42">
        <f>AH181*AI181</f>
        <v>4025.9100000000003</v>
      </c>
      <c r="AL181" s="42"/>
      <c r="AM181" s="42"/>
      <c r="AN181" s="42"/>
      <c r="AO181" s="44"/>
      <c r="AP181" s="42"/>
      <c r="AQ181" s="42"/>
      <c r="AR181" s="42"/>
      <c r="AU181" s="98"/>
      <c r="AV181" s="35"/>
      <c r="AW181" s="104"/>
      <c r="AX181" s="42"/>
      <c r="AY181" s="42"/>
      <c r="AZ181" s="42">
        <f t="shared" si="49"/>
        <v>0</v>
      </c>
      <c r="BA181" s="42"/>
      <c r="BB181" s="42"/>
      <c r="BC181" s="42"/>
      <c r="BD181" s="38">
        <f t="shared" si="56"/>
        <v>0</v>
      </c>
      <c r="BE181" s="42"/>
      <c r="BF181" s="42"/>
      <c r="BG181" s="42"/>
      <c r="BH181" s="38">
        <f t="shared" si="57"/>
        <v>0</v>
      </c>
      <c r="BI181" s="42"/>
      <c r="BJ181" s="42"/>
      <c r="BK181" s="42"/>
      <c r="BL181" s="38">
        <f t="shared" si="58"/>
        <v>0</v>
      </c>
      <c r="BM181" s="42"/>
      <c r="BN181" s="42"/>
      <c r="BO181" s="42"/>
      <c r="BP181" s="42"/>
      <c r="BR181" s="42">
        <f t="shared" si="59"/>
        <v>23601.126</v>
      </c>
      <c r="BS181" s="43">
        <f t="shared" si="60"/>
        <v>5016.4379999999983</v>
      </c>
      <c r="BT181" s="42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  <c r="JH181" s="31"/>
      <c r="JI181" s="31"/>
      <c r="JJ181" s="31"/>
      <c r="JK181" s="31"/>
      <c r="JL181" s="31"/>
      <c r="JM181" s="31"/>
      <c r="JN181" s="31"/>
      <c r="JO181" s="31"/>
      <c r="JP181" s="31"/>
      <c r="JQ181" s="31"/>
      <c r="JR181" s="31"/>
      <c r="JS181" s="31"/>
      <c r="JT181" s="31"/>
      <c r="JU181" s="31"/>
      <c r="JV181" s="31"/>
      <c r="JW181" s="31"/>
      <c r="JX181" s="31"/>
      <c r="JY181" s="31"/>
      <c r="JZ181" s="31"/>
      <c r="KA181" s="31"/>
      <c r="KB181" s="31"/>
      <c r="KC181" s="31"/>
      <c r="KD181" s="31"/>
      <c r="KE181" s="31"/>
      <c r="KF181" s="31"/>
      <c r="KG181" s="31"/>
      <c r="KH181" s="31"/>
      <c r="KI181" s="31"/>
      <c r="KJ181" s="31"/>
      <c r="KK181" s="31"/>
      <c r="KL181" s="31"/>
      <c r="KM181" s="31"/>
      <c r="KN181" s="31"/>
      <c r="KO181" s="31"/>
      <c r="KP181" s="31"/>
      <c r="KQ181" s="31"/>
      <c r="KR181" s="31"/>
      <c r="KS181" s="31"/>
      <c r="KT181" s="31"/>
      <c r="KU181" s="31"/>
      <c r="KV181" s="31"/>
      <c r="KW181" s="31"/>
      <c r="KX181" s="31"/>
      <c r="KY181" s="31"/>
      <c r="KZ181" s="31"/>
      <c r="LA181" s="31"/>
      <c r="LB181" s="31"/>
      <c r="LC181" s="31"/>
      <c r="LD181" s="31"/>
      <c r="LE181" s="31"/>
      <c r="LF181" s="31"/>
      <c r="LG181" s="31"/>
      <c r="LH181" s="31"/>
      <c r="LI181" s="31"/>
      <c r="LJ181" s="31"/>
      <c r="LK181" s="31"/>
      <c r="LL181" s="31"/>
      <c r="LM181" s="31"/>
      <c r="LN181" s="31"/>
      <c r="LO181" s="31"/>
      <c r="LP181" s="31"/>
      <c r="LQ181" s="31"/>
      <c r="LR181" s="31"/>
      <c r="LS181" s="31"/>
      <c r="LT181" s="31"/>
      <c r="LU181" s="31"/>
      <c r="LV181" s="31"/>
      <c r="LW181" s="31"/>
      <c r="LX181" s="31"/>
      <c r="LY181" s="31"/>
      <c r="LZ181" s="31"/>
      <c r="MA181" s="31"/>
      <c r="MB181" s="31"/>
      <c r="MC181" s="31"/>
      <c r="MD181" s="31"/>
      <c r="ME181" s="31"/>
      <c r="MF181" s="31"/>
      <c r="MG181" s="31"/>
      <c r="MH181" s="31"/>
      <c r="MI181" s="31"/>
      <c r="MJ181" s="31"/>
      <c r="MK181" s="31"/>
      <c r="ML181" s="31"/>
      <c r="MM181" s="31"/>
      <c r="MN181" s="31"/>
      <c r="MO181" s="31"/>
      <c r="MP181" s="31"/>
      <c r="MQ181" s="31"/>
      <c r="MR181" s="31"/>
      <c r="MS181" s="31"/>
      <c r="MT181" s="31"/>
      <c r="MU181" s="31"/>
      <c r="MV181" s="31"/>
      <c r="MW181" s="31"/>
      <c r="MX181" s="31"/>
      <c r="MY181" s="31"/>
      <c r="MZ181" s="31"/>
      <c r="NA181" s="31"/>
      <c r="NB181" s="31"/>
      <c r="NC181" s="31"/>
      <c r="ND181" s="31"/>
      <c r="NE181" s="31"/>
      <c r="NF181" s="31"/>
      <c r="NG181" s="31"/>
      <c r="NH181" s="31"/>
      <c r="NI181" s="31"/>
      <c r="NJ181" s="31"/>
      <c r="NK181" s="31"/>
      <c r="NL181" s="31"/>
      <c r="NM181" s="31"/>
      <c r="NN181" s="31"/>
      <c r="NO181" s="31"/>
      <c r="NP181" s="31"/>
      <c r="NQ181" s="31"/>
      <c r="NR181" s="31"/>
      <c r="NS181" s="31"/>
      <c r="NT181" s="31"/>
      <c r="NU181" s="31"/>
      <c r="NV181" s="31"/>
      <c r="NW181" s="31"/>
      <c r="NX181" s="31"/>
      <c r="NY181" s="31"/>
      <c r="NZ181" s="31"/>
      <c r="OA181" s="31"/>
      <c r="OB181" s="31"/>
      <c r="OC181" s="31"/>
      <c r="OD181" s="31"/>
      <c r="OE181" s="31"/>
      <c r="OF181" s="31"/>
      <c r="OG181" s="31"/>
      <c r="OH181" s="31"/>
      <c r="OI181" s="31"/>
      <c r="OJ181" s="31"/>
      <c r="OK181" s="31"/>
      <c r="OL181" s="31"/>
      <c r="OM181" s="31"/>
      <c r="ON181" s="31"/>
      <c r="OO181" s="31"/>
      <c r="OP181" s="31"/>
      <c r="OQ181" s="31"/>
      <c r="OR181" s="31"/>
      <c r="OS181" s="31"/>
      <c r="OT181" s="31"/>
      <c r="OU181" s="31"/>
      <c r="OV181" s="31"/>
      <c r="OW181" s="31"/>
      <c r="OX181" s="31"/>
    </row>
    <row r="182" spans="2:414" s="25" customFormat="1" ht="15.6">
      <c r="B182" s="25" t="s">
        <v>277</v>
      </c>
      <c r="C182" s="27" t="s">
        <v>36</v>
      </c>
      <c r="D182" s="30" t="s">
        <v>201</v>
      </c>
      <c r="G182" s="42">
        <v>500</v>
      </c>
      <c r="H182" s="89">
        <v>26.109000000000002</v>
      </c>
      <c r="I182" s="38">
        <f t="shared" si="52"/>
        <v>13054.5</v>
      </c>
      <c r="K182" s="42">
        <v>500</v>
      </c>
      <c r="L182" s="90">
        <v>26.849599999999999</v>
      </c>
      <c r="M182" s="38">
        <f t="shared" si="53"/>
        <v>13424.8</v>
      </c>
      <c r="O182" s="38">
        <v>80</v>
      </c>
      <c r="P182" s="38">
        <v>26.728300000000001</v>
      </c>
      <c r="Q182" s="38">
        <f t="shared" si="54"/>
        <v>2138.2640000000001</v>
      </c>
      <c r="R182" s="43">
        <f t="shared" si="66"/>
        <v>1080</v>
      </c>
      <c r="S182" s="38">
        <f t="shared" si="55"/>
        <v>28617.563999999998</v>
      </c>
      <c r="T182" s="49">
        <v>415</v>
      </c>
      <c r="U182" s="42">
        <v>26.389500000000002</v>
      </c>
      <c r="V182" s="38">
        <f t="shared" si="64"/>
        <v>10951.6425</v>
      </c>
      <c r="W182" s="42">
        <v>85</v>
      </c>
      <c r="X182" s="42">
        <v>26.389500000000002</v>
      </c>
      <c r="Y182" s="42">
        <f t="shared" ref="Y182:Y205" si="68">W182*X182</f>
        <v>2243.1075000000001</v>
      </c>
      <c r="Z182" s="42">
        <v>300</v>
      </c>
      <c r="AA182" s="42">
        <v>26.869499999999999</v>
      </c>
      <c r="AB182" s="42">
        <f t="shared" ref="AB182:AB224" si="69">Z182*AA182</f>
        <v>8060.8499999999995</v>
      </c>
      <c r="AD182" s="42">
        <v>150</v>
      </c>
      <c r="AE182" s="42">
        <v>26.8719</v>
      </c>
      <c r="AF182" s="42">
        <f t="shared" si="67"/>
        <v>4030.7849999999999</v>
      </c>
      <c r="AG182" s="42"/>
      <c r="AH182" s="42">
        <v>50</v>
      </c>
      <c r="AI182" s="42">
        <v>26.8827</v>
      </c>
      <c r="AJ182" s="42">
        <f>AH182*AI182</f>
        <v>1344.135</v>
      </c>
      <c r="AL182" s="42"/>
      <c r="AM182" s="42"/>
      <c r="AN182" s="42"/>
      <c r="AO182" s="44"/>
      <c r="AP182" s="42"/>
      <c r="AQ182" s="42"/>
      <c r="AR182" s="42"/>
      <c r="AU182" s="98"/>
      <c r="AV182" s="35"/>
      <c r="AW182" s="104"/>
      <c r="AX182" s="42"/>
      <c r="AY182" s="42"/>
      <c r="AZ182" s="42">
        <f t="shared" si="49"/>
        <v>0</v>
      </c>
      <c r="BA182" s="42"/>
      <c r="BB182" s="42"/>
      <c r="BC182" s="42"/>
      <c r="BD182" s="38">
        <f t="shared" si="56"/>
        <v>0</v>
      </c>
      <c r="BE182" s="42"/>
      <c r="BF182" s="42"/>
      <c r="BG182" s="42"/>
      <c r="BH182" s="38">
        <f t="shared" si="57"/>
        <v>0</v>
      </c>
      <c r="BI182" s="42"/>
      <c r="BJ182" s="42"/>
      <c r="BK182" s="42"/>
      <c r="BL182" s="38">
        <f t="shared" si="58"/>
        <v>0</v>
      </c>
      <c r="BM182" s="42"/>
      <c r="BN182" s="42"/>
      <c r="BO182" s="42"/>
      <c r="BP182" s="42"/>
      <c r="BR182" s="42">
        <f t="shared" si="59"/>
        <v>26630.519999999997</v>
      </c>
      <c r="BS182" s="43">
        <f t="shared" si="60"/>
        <v>1987.0440000000017</v>
      </c>
      <c r="BT182" s="42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  <c r="JH182" s="31"/>
      <c r="JI182" s="31"/>
      <c r="JJ182" s="31"/>
      <c r="JK182" s="31"/>
      <c r="JL182" s="31"/>
      <c r="JM182" s="31"/>
      <c r="JN182" s="31"/>
      <c r="JO182" s="31"/>
      <c r="JP182" s="31"/>
      <c r="JQ182" s="31"/>
      <c r="JR182" s="31"/>
      <c r="JS182" s="31"/>
      <c r="JT182" s="31"/>
      <c r="JU182" s="31"/>
      <c r="JV182" s="31"/>
      <c r="JW182" s="31"/>
      <c r="JX182" s="31"/>
      <c r="JY182" s="31"/>
      <c r="JZ182" s="31"/>
      <c r="KA182" s="31"/>
      <c r="KB182" s="31"/>
      <c r="KC182" s="31"/>
      <c r="KD182" s="31"/>
      <c r="KE182" s="31"/>
      <c r="KF182" s="31"/>
      <c r="KG182" s="31"/>
      <c r="KH182" s="31"/>
      <c r="KI182" s="31"/>
      <c r="KJ182" s="31"/>
      <c r="KK182" s="31"/>
      <c r="KL182" s="31"/>
      <c r="KM182" s="31"/>
      <c r="KN182" s="31"/>
      <c r="KO182" s="31"/>
      <c r="KP182" s="31"/>
      <c r="KQ182" s="31"/>
      <c r="KR182" s="31"/>
      <c r="KS182" s="31"/>
      <c r="KT182" s="31"/>
      <c r="KU182" s="31"/>
      <c r="KV182" s="31"/>
      <c r="KW182" s="31"/>
      <c r="KX182" s="31"/>
      <c r="KY182" s="31"/>
      <c r="KZ182" s="31"/>
      <c r="LA182" s="31"/>
      <c r="LB182" s="31"/>
      <c r="LC182" s="31"/>
      <c r="LD182" s="31"/>
      <c r="LE182" s="31"/>
      <c r="LF182" s="31"/>
      <c r="LG182" s="31"/>
      <c r="LH182" s="31"/>
      <c r="LI182" s="31"/>
      <c r="LJ182" s="31"/>
      <c r="LK182" s="31"/>
      <c r="LL182" s="31"/>
      <c r="LM182" s="31"/>
      <c r="LN182" s="31"/>
      <c r="LO182" s="31"/>
      <c r="LP182" s="31"/>
      <c r="LQ182" s="31"/>
      <c r="LR182" s="31"/>
      <c r="LS182" s="31"/>
      <c r="LT182" s="31"/>
      <c r="LU182" s="31"/>
      <c r="LV182" s="31"/>
      <c r="LW182" s="31"/>
      <c r="LX182" s="31"/>
      <c r="LY182" s="31"/>
      <c r="LZ182" s="31"/>
      <c r="MA182" s="31"/>
      <c r="MB182" s="31"/>
      <c r="MC182" s="31"/>
      <c r="MD182" s="31"/>
      <c r="ME182" s="31"/>
      <c r="MF182" s="31"/>
      <c r="MG182" s="31"/>
      <c r="MH182" s="31"/>
      <c r="MI182" s="31"/>
      <c r="MJ182" s="31"/>
      <c r="MK182" s="31"/>
      <c r="ML182" s="31"/>
      <c r="MM182" s="31"/>
      <c r="MN182" s="31"/>
      <c r="MO182" s="31"/>
      <c r="MP182" s="31"/>
      <c r="MQ182" s="31"/>
      <c r="MR182" s="31"/>
      <c r="MS182" s="31"/>
      <c r="MT182" s="31"/>
      <c r="MU182" s="31"/>
      <c r="MV182" s="31"/>
      <c r="MW182" s="31"/>
      <c r="MX182" s="31"/>
      <c r="MY182" s="31"/>
      <c r="MZ182" s="31"/>
      <c r="NA182" s="31"/>
      <c r="NB182" s="31"/>
      <c r="NC182" s="31"/>
      <c r="ND182" s="31"/>
      <c r="NE182" s="31"/>
      <c r="NF182" s="31"/>
      <c r="NG182" s="31"/>
      <c r="NH182" s="31"/>
      <c r="NI182" s="31"/>
      <c r="NJ182" s="31"/>
      <c r="NK182" s="31"/>
      <c r="NL182" s="31"/>
      <c r="NM182" s="31"/>
      <c r="NN182" s="31"/>
      <c r="NO182" s="31"/>
      <c r="NP182" s="31"/>
      <c r="NQ182" s="31"/>
      <c r="NR182" s="31"/>
      <c r="NS182" s="31"/>
      <c r="NT182" s="31"/>
      <c r="NU182" s="31"/>
      <c r="NV182" s="31"/>
      <c r="NW182" s="31"/>
      <c r="NX182" s="31"/>
      <c r="NY182" s="31"/>
      <c r="NZ182" s="31"/>
      <c r="OA182" s="31"/>
      <c r="OB182" s="31"/>
      <c r="OC182" s="31"/>
      <c r="OD182" s="31"/>
      <c r="OE182" s="31"/>
      <c r="OF182" s="31"/>
      <c r="OG182" s="31"/>
      <c r="OH182" s="31"/>
      <c r="OI182" s="31"/>
      <c r="OJ182" s="31"/>
      <c r="OK182" s="31"/>
      <c r="OL182" s="31"/>
      <c r="OM182" s="31"/>
      <c r="ON182" s="31"/>
      <c r="OO182" s="31"/>
      <c r="OP182" s="31"/>
      <c r="OQ182" s="31"/>
      <c r="OR182" s="31"/>
      <c r="OS182" s="31"/>
      <c r="OT182" s="31"/>
      <c r="OU182" s="31"/>
      <c r="OV182" s="31"/>
      <c r="OW182" s="31"/>
      <c r="OX182" s="31"/>
    </row>
    <row r="183" spans="2:414" s="25" customFormat="1" ht="15.6">
      <c r="B183" s="25" t="s">
        <v>278</v>
      </c>
      <c r="C183" s="27" t="s">
        <v>138</v>
      </c>
      <c r="D183" s="30" t="s">
        <v>201</v>
      </c>
      <c r="G183" s="42">
        <v>500</v>
      </c>
      <c r="H183" s="89">
        <v>26.109000000000002</v>
      </c>
      <c r="I183" s="38">
        <f t="shared" si="52"/>
        <v>13054.5</v>
      </c>
      <c r="K183" s="42">
        <v>500</v>
      </c>
      <c r="L183" s="90">
        <v>26.849599999999999</v>
      </c>
      <c r="M183" s="38">
        <f t="shared" si="53"/>
        <v>13424.8</v>
      </c>
      <c r="O183" s="38">
        <v>80</v>
      </c>
      <c r="P183" s="38">
        <v>26.728300000000001</v>
      </c>
      <c r="Q183" s="38">
        <f t="shared" si="54"/>
        <v>2138.2640000000001</v>
      </c>
      <c r="R183" s="43">
        <f t="shared" si="66"/>
        <v>1080</v>
      </c>
      <c r="S183" s="38">
        <f t="shared" si="55"/>
        <v>28617.563999999998</v>
      </c>
      <c r="T183" s="49">
        <v>415</v>
      </c>
      <c r="U183" s="42">
        <v>26.390799999999999</v>
      </c>
      <c r="V183" s="38">
        <f t="shared" si="64"/>
        <v>10952.181999999999</v>
      </c>
      <c r="W183" s="42">
        <v>85</v>
      </c>
      <c r="X183" s="42">
        <v>26.390799999999999</v>
      </c>
      <c r="Y183" s="42">
        <f t="shared" si="68"/>
        <v>2243.2179999999998</v>
      </c>
      <c r="Z183" s="42">
        <v>415</v>
      </c>
      <c r="AA183" s="42">
        <v>26.861899999999999</v>
      </c>
      <c r="AB183" s="42">
        <f t="shared" si="69"/>
        <v>11147.6885</v>
      </c>
      <c r="AD183" s="42">
        <v>85</v>
      </c>
      <c r="AE183" s="42">
        <v>26.861899999999999</v>
      </c>
      <c r="AF183" s="42">
        <f t="shared" si="67"/>
        <v>2283.2615000000001</v>
      </c>
      <c r="AG183" s="42"/>
      <c r="AH183" s="42"/>
      <c r="AI183" s="42"/>
      <c r="AJ183" s="42"/>
      <c r="AL183" s="42"/>
      <c r="AM183" s="42"/>
      <c r="AN183" s="42"/>
      <c r="AO183" s="44"/>
      <c r="AP183" s="42"/>
      <c r="AQ183" s="42"/>
      <c r="AR183" s="42"/>
      <c r="AU183" s="98"/>
      <c r="AV183" s="35"/>
      <c r="AW183" s="104"/>
      <c r="AX183" s="42"/>
      <c r="AY183" s="42"/>
      <c r="AZ183" s="42">
        <f t="shared" si="49"/>
        <v>0</v>
      </c>
      <c r="BA183" s="42"/>
      <c r="BB183" s="42"/>
      <c r="BC183" s="42"/>
      <c r="BD183" s="38">
        <f t="shared" si="56"/>
        <v>0</v>
      </c>
      <c r="BE183" s="42"/>
      <c r="BF183" s="42"/>
      <c r="BG183" s="42"/>
      <c r="BH183" s="38">
        <f t="shared" si="57"/>
        <v>0</v>
      </c>
      <c r="BI183" s="42"/>
      <c r="BJ183" s="42"/>
      <c r="BK183" s="42"/>
      <c r="BL183" s="38">
        <f t="shared" si="58"/>
        <v>0</v>
      </c>
      <c r="BM183" s="42"/>
      <c r="BN183" s="42"/>
      <c r="BO183" s="42"/>
      <c r="BP183" s="42"/>
      <c r="BR183" s="42">
        <f t="shared" si="59"/>
        <v>26626.35</v>
      </c>
      <c r="BS183" s="43">
        <f t="shared" si="60"/>
        <v>1991.2139999999999</v>
      </c>
      <c r="BT183" s="42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  <c r="IM183" s="31"/>
      <c r="IN183" s="31"/>
      <c r="IO183" s="31"/>
      <c r="IP183" s="31"/>
      <c r="IQ183" s="31"/>
      <c r="IR183" s="31"/>
      <c r="IS183" s="31"/>
      <c r="IT183" s="31"/>
      <c r="IU183" s="31"/>
      <c r="IV183" s="31"/>
      <c r="IW183" s="31"/>
      <c r="IX183" s="31"/>
      <c r="IY183" s="31"/>
      <c r="IZ183" s="31"/>
      <c r="JA183" s="31"/>
      <c r="JB183" s="31"/>
      <c r="JC183" s="31"/>
      <c r="JD183" s="31"/>
      <c r="JE183" s="31"/>
      <c r="JF183" s="31"/>
      <c r="JG183" s="31"/>
      <c r="JH183" s="31"/>
      <c r="JI183" s="31"/>
      <c r="JJ183" s="31"/>
      <c r="JK183" s="31"/>
      <c r="JL183" s="31"/>
      <c r="JM183" s="31"/>
      <c r="JN183" s="31"/>
      <c r="JO183" s="31"/>
      <c r="JP183" s="31"/>
      <c r="JQ183" s="31"/>
      <c r="JR183" s="31"/>
      <c r="JS183" s="31"/>
      <c r="JT183" s="31"/>
      <c r="JU183" s="31"/>
      <c r="JV183" s="31"/>
      <c r="JW183" s="31"/>
      <c r="JX183" s="31"/>
      <c r="JY183" s="31"/>
      <c r="JZ183" s="31"/>
      <c r="KA183" s="31"/>
      <c r="KB183" s="31"/>
      <c r="KC183" s="31"/>
      <c r="KD183" s="31"/>
      <c r="KE183" s="31"/>
      <c r="KF183" s="31"/>
      <c r="KG183" s="31"/>
      <c r="KH183" s="31"/>
      <c r="KI183" s="31"/>
      <c r="KJ183" s="31"/>
      <c r="KK183" s="31"/>
      <c r="KL183" s="31"/>
      <c r="KM183" s="31"/>
      <c r="KN183" s="31"/>
      <c r="KO183" s="31"/>
      <c r="KP183" s="31"/>
      <c r="KQ183" s="31"/>
      <c r="KR183" s="31"/>
      <c r="KS183" s="31"/>
      <c r="KT183" s="31"/>
      <c r="KU183" s="31"/>
      <c r="KV183" s="31"/>
      <c r="KW183" s="31"/>
      <c r="KX183" s="31"/>
      <c r="KY183" s="31"/>
      <c r="KZ183" s="31"/>
      <c r="LA183" s="31"/>
      <c r="LB183" s="31"/>
      <c r="LC183" s="31"/>
      <c r="LD183" s="31"/>
      <c r="LE183" s="31"/>
      <c r="LF183" s="31"/>
      <c r="LG183" s="31"/>
      <c r="LH183" s="31"/>
      <c r="LI183" s="31"/>
      <c r="LJ183" s="31"/>
      <c r="LK183" s="31"/>
      <c r="LL183" s="31"/>
      <c r="LM183" s="31"/>
      <c r="LN183" s="31"/>
      <c r="LO183" s="31"/>
      <c r="LP183" s="31"/>
      <c r="LQ183" s="31"/>
      <c r="LR183" s="31"/>
      <c r="LS183" s="31"/>
      <c r="LT183" s="31"/>
      <c r="LU183" s="31"/>
      <c r="LV183" s="31"/>
      <c r="LW183" s="31"/>
      <c r="LX183" s="31"/>
      <c r="LY183" s="31"/>
      <c r="LZ183" s="31"/>
      <c r="MA183" s="31"/>
      <c r="MB183" s="31"/>
      <c r="MC183" s="31"/>
      <c r="MD183" s="31"/>
      <c r="ME183" s="31"/>
      <c r="MF183" s="31"/>
      <c r="MG183" s="31"/>
      <c r="MH183" s="31"/>
      <c r="MI183" s="31"/>
      <c r="MJ183" s="31"/>
      <c r="MK183" s="31"/>
      <c r="ML183" s="31"/>
      <c r="MM183" s="31"/>
      <c r="MN183" s="31"/>
      <c r="MO183" s="31"/>
      <c r="MP183" s="31"/>
      <c r="MQ183" s="31"/>
      <c r="MR183" s="31"/>
      <c r="MS183" s="31"/>
      <c r="MT183" s="31"/>
      <c r="MU183" s="31"/>
      <c r="MV183" s="31"/>
      <c r="MW183" s="31"/>
      <c r="MX183" s="31"/>
      <c r="MY183" s="31"/>
      <c r="MZ183" s="31"/>
      <c r="NA183" s="31"/>
      <c r="NB183" s="31"/>
      <c r="NC183" s="31"/>
      <c r="ND183" s="31"/>
      <c r="NE183" s="31"/>
      <c r="NF183" s="31"/>
      <c r="NG183" s="31"/>
      <c r="NH183" s="31"/>
      <c r="NI183" s="31"/>
      <c r="NJ183" s="31"/>
      <c r="NK183" s="31"/>
      <c r="NL183" s="31"/>
      <c r="NM183" s="31"/>
      <c r="NN183" s="31"/>
      <c r="NO183" s="31"/>
      <c r="NP183" s="31"/>
      <c r="NQ183" s="31"/>
      <c r="NR183" s="31"/>
      <c r="NS183" s="31"/>
      <c r="NT183" s="31"/>
      <c r="NU183" s="31"/>
      <c r="NV183" s="31"/>
      <c r="NW183" s="31"/>
      <c r="NX183" s="31"/>
      <c r="NY183" s="31"/>
      <c r="NZ183" s="31"/>
      <c r="OA183" s="31"/>
      <c r="OB183" s="31"/>
      <c r="OC183" s="31"/>
      <c r="OD183" s="31"/>
      <c r="OE183" s="31"/>
      <c r="OF183" s="31"/>
      <c r="OG183" s="31"/>
      <c r="OH183" s="31"/>
      <c r="OI183" s="31"/>
      <c r="OJ183" s="31"/>
      <c r="OK183" s="31"/>
      <c r="OL183" s="31"/>
      <c r="OM183" s="31"/>
      <c r="ON183" s="31"/>
      <c r="OO183" s="31"/>
      <c r="OP183" s="31"/>
      <c r="OQ183" s="31"/>
      <c r="OR183" s="31"/>
      <c r="OS183" s="31"/>
      <c r="OT183" s="31"/>
      <c r="OU183" s="31"/>
      <c r="OV183" s="31"/>
      <c r="OW183" s="31"/>
      <c r="OX183" s="31"/>
    </row>
    <row r="184" spans="2:414" s="25" customFormat="1" ht="15.6">
      <c r="B184" s="25" t="s">
        <v>279</v>
      </c>
      <c r="C184" s="27" t="s">
        <v>280</v>
      </c>
      <c r="D184" s="30" t="s">
        <v>201</v>
      </c>
      <c r="G184" s="42">
        <v>500</v>
      </c>
      <c r="H184" s="89">
        <v>26.109000000000002</v>
      </c>
      <c r="I184" s="38">
        <f t="shared" si="52"/>
        <v>13054.5</v>
      </c>
      <c r="K184" s="42">
        <v>500</v>
      </c>
      <c r="L184" s="90">
        <v>26.849599999999999</v>
      </c>
      <c r="M184" s="38">
        <f t="shared" si="53"/>
        <v>13424.8</v>
      </c>
      <c r="O184" s="38">
        <v>80</v>
      </c>
      <c r="P184" s="38">
        <v>26.728300000000001</v>
      </c>
      <c r="Q184" s="38">
        <f t="shared" si="54"/>
        <v>2138.2640000000001</v>
      </c>
      <c r="R184" s="43">
        <f t="shared" si="66"/>
        <v>1080</v>
      </c>
      <c r="S184" s="38">
        <f t="shared" si="55"/>
        <v>28617.563999999998</v>
      </c>
      <c r="T184" s="49">
        <v>415</v>
      </c>
      <c r="U184" s="42">
        <v>26.4072</v>
      </c>
      <c r="V184" s="38">
        <f t="shared" si="64"/>
        <v>10958.987999999999</v>
      </c>
      <c r="W184" s="42">
        <v>85</v>
      </c>
      <c r="X184" s="42">
        <v>26.4072</v>
      </c>
      <c r="Y184" s="42">
        <f t="shared" si="68"/>
        <v>2244.6120000000001</v>
      </c>
      <c r="Z184" s="42">
        <v>415</v>
      </c>
      <c r="AA184" s="42">
        <v>26.8307</v>
      </c>
      <c r="AB184" s="42">
        <f t="shared" si="69"/>
        <v>11134.7405</v>
      </c>
      <c r="AD184" s="42">
        <v>85</v>
      </c>
      <c r="AE184" s="42">
        <v>26.8307</v>
      </c>
      <c r="AF184" s="42">
        <f t="shared" si="67"/>
        <v>2280.6095</v>
      </c>
      <c r="AG184" s="42"/>
      <c r="AH184" s="42"/>
      <c r="AI184" s="42"/>
      <c r="AJ184" s="42"/>
      <c r="AL184" s="42"/>
      <c r="AM184" s="42"/>
      <c r="AN184" s="42"/>
      <c r="AO184" s="44"/>
      <c r="AP184" s="42"/>
      <c r="AQ184" s="42"/>
      <c r="AR184" s="42"/>
      <c r="AU184" s="98"/>
      <c r="AV184" s="35"/>
      <c r="AW184" s="104"/>
      <c r="AX184" s="42"/>
      <c r="AY184" s="42"/>
      <c r="AZ184" s="42">
        <f t="shared" si="49"/>
        <v>0</v>
      </c>
      <c r="BA184" s="42"/>
      <c r="BB184" s="42"/>
      <c r="BC184" s="42"/>
      <c r="BD184" s="38">
        <f t="shared" si="56"/>
        <v>0</v>
      </c>
      <c r="BE184" s="42"/>
      <c r="BF184" s="42"/>
      <c r="BG184" s="42"/>
      <c r="BH184" s="38">
        <f t="shared" si="57"/>
        <v>0</v>
      </c>
      <c r="BI184" s="42"/>
      <c r="BJ184" s="42"/>
      <c r="BK184" s="42"/>
      <c r="BL184" s="38">
        <f t="shared" si="58"/>
        <v>0</v>
      </c>
      <c r="BM184" s="42"/>
      <c r="BN184" s="42"/>
      <c r="BO184" s="42"/>
      <c r="BP184" s="42"/>
      <c r="BR184" s="42">
        <f t="shared" si="59"/>
        <v>26618.949999999997</v>
      </c>
      <c r="BS184" s="43">
        <f t="shared" si="60"/>
        <v>1998.6140000000014</v>
      </c>
      <c r="BT184" s="42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  <c r="IM184" s="31"/>
      <c r="IN184" s="31"/>
      <c r="IO184" s="31"/>
      <c r="IP184" s="31"/>
      <c r="IQ184" s="31"/>
      <c r="IR184" s="31"/>
      <c r="IS184" s="31"/>
      <c r="IT184" s="31"/>
      <c r="IU184" s="31"/>
      <c r="IV184" s="31"/>
      <c r="IW184" s="31"/>
      <c r="IX184" s="31"/>
      <c r="IY184" s="31"/>
      <c r="IZ184" s="31"/>
      <c r="JA184" s="31"/>
      <c r="JB184" s="31"/>
      <c r="JC184" s="31"/>
      <c r="JD184" s="31"/>
      <c r="JE184" s="31"/>
      <c r="JF184" s="31"/>
      <c r="JG184" s="31"/>
      <c r="JH184" s="31"/>
      <c r="JI184" s="31"/>
      <c r="JJ184" s="31"/>
      <c r="JK184" s="31"/>
      <c r="JL184" s="31"/>
      <c r="JM184" s="31"/>
      <c r="JN184" s="31"/>
      <c r="JO184" s="31"/>
      <c r="JP184" s="31"/>
      <c r="JQ184" s="31"/>
      <c r="JR184" s="31"/>
      <c r="JS184" s="31"/>
      <c r="JT184" s="31"/>
      <c r="JU184" s="31"/>
      <c r="JV184" s="31"/>
      <c r="JW184" s="31"/>
      <c r="JX184" s="31"/>
      <c r="JY184" s="31"/>
      <c r="JZ184" s="31"/>
      <c r="KA184" s="31"/>
      <c r="KB184" s="31"/>
      <c r="KC184" s="31"/>
      <c r="KD184" s="31"/>
      <c r="KE184" s="31"/>
      <c r="KF184" s="31"/>
      <c r="KG184" s="31"/>
      <c r="KH184" s="31"/>
      <c r="KI184" s="31"/>
      <c r="KJ184" s="31"/>
      <c r="KK184" s="31"/>
      <c r="KL184" s="31"/>
      <c r="KM184" s="31"/>
      <c r="KN184" s="31"/>
      <c r="KO184" s="31"/>
      <c r="KP184" s="31"/>
      <c r="KQ184" s="31"/>
      <c r="KR184" s="31"/>
      <c r="KS184" s="31"/>
      <c r="KT184" s="31"/>
      <c r="KU184" s="31"/>
      <c r="KV184" s="31"/>
      <c r="KW184" s="31"/>
      <c r="KX184" s="31"/>
      <c r="KY184" s="31"/>
      <c r="KZ184" s="31"/>
      <c r="LA184" s="31"/>
      <c r="LB184" s="31"/>
      <c r="LC184" s="31"/>
      <c r="LD184" s="31"/>
      <c r="LE184" s="31"/>
      <c r="LF184" s="31"/>
      <c r="LG184" s="31"/>
      <c r="LH184" s="31"/>
      <c r="LI184" s="31"/>
      <c r="LJ184" s="31"/>
      <c r="LK184" s="31"/>
      <c r="LL184" s="31"/>
      <c r="LM184" s="31"/>
      <c r="LN184" s="31"/>
      <c r="LO184" s="31"/>
      <c r="LP184" s="31"/>
      <c r="LQ184" s="31"/>
      <c r="LR184" s="31"/>
      <c r="LS184" s="31"/>
      <c r="LT184" s="31"/>
      <c r="LU184" s="31"/>
      <c r="LV184" s="31"/>
      <c r="LW184" s="31"/>
      <c r="LX184" s="31"/>
      <c r="LY184" s="31"/>
      <c r="LZ184" s="31"/>
      <c r="MA184" s="31"/>
      <c r="MB184" s="31"/>
      <c r="MC184" s="31"/>
      <c r="MD184" s="31"/>
      <c r="ME184" s="31"/>
      <c r="MF184" s="31"/>
      <c r="MG184" s="31"/>
      <c r="MH184" s="31"/>
      <c r="MI184" s="31"/>
      <c r="MJ184" s="31"/>
      <c r="MK184" s="31"/>
      <c r="ML184" s="31"/>
      <c r="MM184" s="31"/>
      <c r="MN184" s="31"/>
      <c r="MO184" s="31"/>
      <c r="MP184" s="31"/>
      <c r="MQ184" s="31"/>
      <c r="MR184" s="31"/>
      <c r="MS184" s="31"/>
      <c r="MT184" s="31"/>
      <c r="MU184" s="31"/>
      <c r="MV184" s="31"/>
      <c r="MW184" s="31"/>
      <c r="MX184" s="31"/>
      <c r="MY184" s="31"/>
      <c r="MZ184" s="31"/>
      <c r="NA184" s="31"/>
      <c r="NB184" s="31"/>
      <c r="NC184" s="31"/>
      <c r="ND184" s="31"/>
      <c r="NE184" s="31"/>
      <c r="NF184" s="31"/>
      <c r="NG184" s="31"/>
      <c r="NH184" s="31"/>
      <c r="NI184" s="31"/>
      <c r="NJ184" s="31"/>
      <c r="NK184" s="31"/>
      <c r="NL184" s="31"/>
      <c r="NM184" s="31"/>
      <c r="NN184" s="31"/>
      <c r="NO184" s="31"/>
      <c r="NP184" s="31"/>
      <c r="NQ184" s="31"/>
      <c r="NR184" s="31"/>
      <c r="NS184" s="31"/>
      <c r="NT184" s="31"/>
      <c r="NU184" s="31"/>
      <c r="NV184" s="31"/>
      <c r="NW184" s="31"/>
      <c r="NX184" s="31"/>
      <c r="NY184" s="31"/>
      <c r="NZ184" s="31"/>
      <c r="OA184" s="31"/>
      <c r="OB184" s="31"/>
      <c r="OC184" s="31"/>
      <c r="OD184" s="31"/>
      <c r="OE184" s="31"/>
      <c r="OF184" s="31"/>
      <c r="OG184" s="31"/>
      <c r="OH184" s="31"/>
      <c r="OI184" s="31"/>
      <c r="OJ184" s="31"/>
      <c r="OK184" s="31"/>
      <c r="OL184" s="31"/>
      <c r="OM184" s="31"/>
      <c r="ON184" s="31"/>
      <c r="OO184" s="31"/>
      <c r="OP184" s="31"/>
      <c r="OQ184" s="31"/>
      <c r="OR184" s="31"/>
      <c r="OS184" s="31"/>
      <c r="OT184" s="31"/>
      <c r="OU184" s="31"/>
      <c r="OV184" s="31"/>
      <c r="OW184" s="31"/>
      <c r="OX184" s="31"/>
    </row>
    <row r="185" spans="2:414" s="25" customFormat="1" ht="15.6">
      <c r="B185" s="25" t="s">
        <v>283</v>
      </c>
      <c r="C185" s="27" t="s">
        <v>284</v>
      </c>
      <c r="D185" s="30" t="s">
        <v>201</v>
      </c>
      <c r="G185" s="42">
        <v>500</v>
      </c>
      <c r="H185" s="89">
        <v>26.109000000000002</v>
      </c>
      <c r="I185" s="38">
        <f t="shared" si="52"/>
        <v>13054.5</v>
      </c>
      <c r="K185" s="42">
        <v>500</v>
      </c>
      <c r="L185" s="90">
        <v>26.849599999999999</v>
      </c>
      <c r="M185" s="38">
        <f t="shared" si="53"/>
        <v>13424.8</v>
      </c>
      <c r="O185" s="38">
        <v>80</v>
      </c>
      <c r="P185" s="38">
        <v>26.728300000000001</v>
      </c>
      <c r="Q185" s="38">
        <f t="shared" si="54"/>
        <v>2138.2640000000001</v>
      </c>
      <c r="R185" s="43">
        <f t="shared" si="66"/>
        <v>1080</v>
      </c>
      <c r="S185" s="38">
        <f t="shared" si="55"/>
        <v>28617.563999999998</v>
      </c>
      <c r="T185" s="49">
        <v>85</v>
      </c>
      <c r="U185" s="42">
        <v>26.271599999999999</v>
      </c>
      <c r="V185" s="38">
        <f t="shared" si="64"/>
        <v>2233.0859999999998</v>
      </c>
      <c r="W185" s="42"/>
      <c r="X185" s="42"/>
      <c r="Y185" s="42">
        <f t="shared" si="68"/>
        <v>0</v>
      </c>
      <c r="Z185" s="42"/>
      <c r="AA185" s="42"/>
      <c r="AB185" s="42">
        <f t="shared" si="69"/>
        <v>0</v>
      </c>
      <c r="AD185" s="42"/>
      <c r="AE185" s="42"/>
      <c r="AF185" s="42">
        <f t="shared" si="67"/>
        <v>0</v>
      </c>
      <c r="AG185" s="42"/>
      <c r="AH185" s="42"/>
      <c r="AI185" s="42"/>
      <c r="AJ185" s="42"/>
      <c r="AL185" s="42"/>
      <c r="AM185" s="42"/>
      <c r="AN185" s="42"/>
      <c r="AO185" s="44"/>
      <c r="AP185" s="42"/>
      <c r="AQ185" s="42"/>
      <c r="AR185" s="42"/>
      <c r="AU185" s="98"/>
      <c r="AV185" s="35"/>
      <c r="AW185" s="104"/>
      <c r="AX185" s="42"/>
      <c r="AY185" s="42"/>
      <c r="AZ185" s="42">
        <f t="shared" si="49"/>
        <v>0</v>
      </c>
      <c r="BA185" s="42"/>
      <c r="BB185" s="42"/>
      <c r="BC185" s="42"/>
      <c r="BD185" s="38">
        <f t="shared" si="56"/>
        <v>0</v>
      </c>
      <c r="BE185" s="42"/>
      <c r="BF185" s="42"/>
      <c r="BG185" s="42"/>
      <c r="BH185" s="38">
        <f t="shared" si="57"/>
        <v>0</v>
      </c>
      <c r="BI185" s="42"/>
      <c r="BJ185" s="42"/>
      <c r="BK185" s="42"/>
      <c r="BL185" s="38">
        <f t="shared" si="58"/>
        <v>0</v>
      </c>
      <c r="BM185" s="42"/>
      <c r="BN185" s="42"/>
      <c r="BO185" s="42"/>
      <c r="BP185" s="42"/>
      <c r="BR185" s="42">
        <f t="shared" si="59"/>
        <v>2233.0859999999998</v>
      </c>
      <c r="BS185" s="43">
        <f t="shared" si="60"/>
        <v>26384.477999999999</v>
      </c>
      <c r="BT185" s="42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  <c r="IM185" s="31"/>
      <c r="IN185" s="31"/>
      <c r="IO185" s="31"/>
      <c r="IP185" s="31"/>
      <c r="IQ185" s="31"/>
      <c r="IR185" s="31"/>
      <c r="IS185" s="31"/>
      <c r="IT185" s="31"/>
      <c r="IU185" s="31"/>
      <c r="IV185" s="31"/>
      <c r="IW185" s="31"/>
      <c r="IX185" s="31"/>
      <c r="IY185" s="31"/>
      <c r="IZ185" s="31"/>
      <c r="JA185" s="31"/>
      <c r="JB185" s="31"/>
      <c r="JC185" s="31"/>
      <c r="JD185" s="31"/>
      <c r="JE185" s="31"/>
      <c r="JF185" s="31"/>
      <c r="JG185" s="31"/>
      <c r="JH185" s="31"/>
      <c r="JI185" s="31"/>
      <c r="JJ185" s="31"/>
      <c r="JK185" s="31"/>
      <c r="JL185" s="31"/>
      <c r="JM185" s="31"/>
      <c r="JN185" s="31"/>
      <c r="JO185" s="31"/>
      <c r="JP185" s="31"/>
      <c r="JQ185" s="31"/>
      <c r="JR185" s="31"/>
      <c r="JS185" s="31"/>
      <c r="JT185" s="31"/>
      <c r="JU185" s="31"/>
      <c r="JV185" s="31"/>
      <c r="JW185" s="31"/>
      <c r="JX185" s="31"/>
      <c r="JY185" s="31"/>
      <c r="JZ185" s="31"/>
      <c r="KA185" s="31"/>
      <c r="KB185" s="31"/>
      <c r="KC185" s="31"/>
      <c r="KD185" s="31"/>
      <c r="KE185" s="31"/>
      <c r="KF185" s="31"/>
      <c r="KG185" s="31"/>
      <c r="KH185" s="31"/>
      <c r="KI185" s="31"/>
      <c r="KJ185" s="31"/>
      <c r="KK185" s="31"/>
      <c r="KL185" s="31"/>
      <c r="KM185" s="31"/>
      <c r="KN185" s="31"/>
      <c r="KO185" s="31"/>
      <c r="KP185" s="31"/>
      <c r="KQ185" s="31"/>
      <c r="KR185" s="31"/>
      <c r="KS185" s="31"/>
      <c r="KT185" s="31"/>
      <c r="KU185" s="31"/>
      <c r="KV185" s="31"/>
      <c r="KW185" s="31"/>
      <c r="KX185" s="31"/>
      <c r="KY185" s="31"/>
      <c r="KZ185" s="31"/>
      <c r="LA185" s="31"/>
      <c r="LB185" s="31"/>
      <c r="LC185" s="31"/>
      <c r="LD185" s="31"/>
      <c r="LE185" s="31"/>
      <c r="LF185" s="31"/>
      <c r="LG185" s="31"/>
      <c r="LH185" s="31"/>
      <c r="LI185" s="31"/>
      <c r="LJ185" s="31"/>
      <c r="LK185" s="31"/>
      <c r="LL185" s="31"/>
      <c r="LM185" s="31"/>
      <c r="LN185" s="31"/>
      <c r="LO185" s="31"/>
      <c r="LP185" s="31"/>
      <c r="LQ185" s="31"/>
      <c r="LR185" s="31"/>
      <c r="LS185" s="31"/>
      <c r="LT185" s="31"/>
      <c r="LU185" s="31"/>
      <c r="LV185" s="31"/>
      <c r="LW185" s="31"/>
      <c r="LX185" s="31"/>
      <c r="LY185" s="31"/>
      <c r="LZ185" s="31"/>
      <c r="MA185" s="31"/>
      <c r="MB185" s="31"/>
      <c r="MC185" s="31"/>
      <c r="MD185" s="31"/>
      <c r="ME185" s="31"/>
      <c r="MF185" s="31"/>
      <c r="MG185" s="31"/>
      <c r="MH185" s="31"/>
      <c r="MI185" s="31"/>
      <c r="MJ185" s="31"/>
      <c r="MK185" s="31"/>
      <c r="ML185" s="31"/>
      <c r="MM185" s="31"/>
      <c r="MN185" s="31"/>
      <c r="MO185" s="31"/>
      <c r="MP185" s="31"/>
      <c r="MQ185" s="31"/>
      <c r="MR185" s="31"/>
      <c r="MS185" s="31"/>
      <c r="MT185" s="31"/>
      <c r="MU185" s="31"/>
      <c r="MV185" s="31"/>
      <c r="MW185" s="31"/>
      <c r="MX185" s="31"/>
      <c r="MY185" s="31"/>
      <c r="MZ185" s="31"/>
      <c r="NA185" s="31"/>
      <c r="NB185" s="31"/>
      <c r="NC185" s="31"/>
      <c r="ND185" s="31"/>
      <c r="NE185" s="31"/>
      <c r="NF185" s="31"/>
      <c r="NG185" s="31"/>
      <c r="NH185" s="31"/>
      <c r="NI185" s="31"/>
      <c r="NJ185" s="31"/>
      <c r="NK185" s="31"/>
      <c r="NL185" s="31"/>
      <c r="NM185" s="31"/>
      <c r="NN185" s="31"/>
      <c r="NO185" s="31"/>
      <c r="NP185" s="31"/>
      <c r="NQ185" s="31"/>
      <c r="NR185" s="31"/>
      <c r="NS185" s="31"/>
      <c r="NT185" s="31"/>
      <c r="NU185" s="31"/>
      <c r="NV185" s="31"/>
      <c r="NW185" s="31"/>
      <c r="NX185" s="31"/>
      <c r="NY185" s="31"/>
      <c r="NZ185" s="31"/>
      <c r="OA185" s="31"/>
      <c r="OB185" s="31"/>
      <c r="OC185" s="31"/>
      <c r="OD185" s="31"/>
      <c r="OE185" s="31"/>
      <c r="OF185" s="31"/>
      <c r="OG185" s="31"/>
      <c r="OH185" s="31"/>
      <c r="OI185" s="31"/>
      <c r="OJ185" s="31"/>
      <c r="OK185" s="31"/>
      <c r="OL185" s="31"/>
      <c r="OM185" s="31"/>
      <c r="ON185" s="31"/>
      <c r="OO185" s="31"/>
      <c r="OP185" s="31"/>
      <c r="OQ185" s="31"/>
      <c r="OR185" s="31"/>
      <c r="OS185" s="31"/>
      <c r="OT185" s="31"/>
      <c r="OU185" s="31"/>
      <c r="OV185" s="31"/>
      <c r="OW185" s="31"/>
      <c r="OX185" s="31"/>
    </row>
    <row r="186" spans="2:414" s="25" customFormat="1" ht="15.6">
      <c r="B186" s="25" t="s">
        <v>285</v>
      </c>
      <c r="C186" s="27" t="s">
        <v>286</v>
      </c>
      <c r="D186" s="30" t="s">
        <v>201</v>
      </c>
      <c r="G186" s="42">
        <v>500</v>
      </c>
      <c r="H186" s="89">
        <v>26.109000000000002</v>
      </c>
      <c r="I186" s="38">
        <f t="shared" si="52"/>
        <v>13054.5</v>
      </c>
      <c r="K186" s="42">
        <v>500</v>
      </c>
      <c r="L186" s="90">
        <v>26.849599999999999</v>
      </c>
      <c r="M186" s="38">
        <f t="shared" si="53"/>
        <v>13424.8</v>
      </c>
      <c r="O186" s="38">
        <v>80</v>
      </c>
      <c r="P186" s="38">
        <v>26.728300000000001</v>
      </c>
      <c r="Q186" s="38">
        <f t="shared" si="54"/>
        <v>2138.2640000000001</v>
      </c>
      <c r="R186" s="43">
        <f t="shared" si="66"/>
        <v>1080</v>
      </c>
      <c r="S186" s="38">
        <f t="shared" si="55"/>
        <v>28617.563999999998</v>
      </c>
      <c r="T186" s="49">
        <v>500</v>
      </c>
      <c r="U186" s="42">
        <v>25.883199999999999</v>
      </c>
      <c r="V186" s="38">
        <f t="shared" si="64"/>
        <v>12941.599999999999</v>
      </c>
      <c r="W186" s="42">
        <v>26.9023</v>
      </c>
      <c r="X186" s="42"/>
      <c r="Y186" s="42">
        <f t="shared" si="68"/>
        <v>0</v>
      </c>
      <c r="Z186" s="42"/>
      <c r="AA186" s="42"/>
      <c r="AB186" s="42">
        <f t="shared" si="69"/>
        <v>0</v>
      </c>
      <c r="AD186" s="42"/>
      <c r="AE186" s="42"/>
      <c r="AF186" s="42">
        <f t="shared" si="67"/>
        <v>0</v>
      </c>
      <c r="AG186" s="42"/>
      <c r="AH186" s="42"/>
      <c r="AI186" s="42"/>
      <c r="AJ186" s="42"/>
      <c r="AL186" s="42"/>
      <c r="AM186" s="42"/>
      <c r="AN186" s="42"/>
      <c r="AO186" s="44"/>
      <c r="AP186" s="42"/>
      <c r="AQ186" s="42"/>
      <c r="AR186" s="42"/>
      <c r="AU186" s="98"/>
      <c r="AV186" s="35"/>
      <c r="AW186" s="104"/>
      <c r="AX186" s="42"/>
      <c r="AY186" s="42"/>
      <c r="AZ186" s="42">
        <f t="shared" ref="AZ186:AZ249" si="70">AX186*AY186</f>
        <v>0</v>
      </c>
      <c r="BA186" s="42"/>
      <c r="BB186" s="42"/>
      <c r="BC186" s="42"/>
      <c r="BD186" s="38">
        <f t="shared" si="56"/>
        <v>0</v>
      </c>
      <c r="BE186" s="42"/>
      <c r="BF186" s="42"/>
      <c r="BG186" s="42"/>
      <c r="BH186" s="38">
        <f t="shared" si="57"/>
        <v>0</v>
      </c>
      <c r="BI186" s="42"/>
      <c r="BJ186" s="42"/>
      <c r="BK186" s="42"/>
      <c r="BL186" s="38">
        <f t="shared" si="58"/>
        <v>0</v>
      </c>
      <c r="BM186" s="42"/>
      <c r="BN186" s="42"/>
      <c r="BO186" s="42"/>
      <c r="BP186" s="42"/>
      <c r="BR186" s="42">
        <f t="shared" si="59"/>
        <v>12941.599999999999</v>
      </c>
      <c r="BS186" s="43">
        <f t="shared" si="60"/>
        <v>15675.964</v>
      </c>
      <c r="BT186" s="42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  <c r="IM186" s="31"/>
      <c r="IN186" s="31"/>
      <c r="IO186" s="31"/>
      <c r="IP186" s="31"/>
      <c r="IQ186" s="31"/>
      <c r="IR186" s="31"/>
      <c r="IS186" s="31"/>
      <c r="IT186" s="31"/>
      <c r="IU186" s="31"/>
      <c r="IV186" s="31"/>
      <c r="IW186" s="31"/>
      <c r="IX186" s="31"/>
      <c r="IY186" s="31"/>
      <c r="IZ186" s="31"/>
      <c r="JA186" s="31"/>
      <c r="JB186" s="31"/>
      <c r="JC186" s="31"/>
      <c r="JD186" s="31"/>
      <c r="JE186" s="31"/>
      <c r="JF186" s="31"/>
      <c r="JG186" s="31"/>
      <c r="JH186" s="31"/>
      <c r="JI186" s="31"/>
      <c r="JJ186" s="31"/>
      <c r="JK186" s="31"/>
      <c r="JL186" s="31"/>
      <c r="JM186" s="31"/>
      <c r="JN186" s="31"/>
      <c r="JO186" s="31"/>
      <c r="JP186" s="31"/>
      <c r="JQ186" s="31"/>
      <c r="JR186" s="31"/>
      <c r="JS186" s="31"/>
      <c r="JT186" s="31"/>
      <c r="JU186" s="31"/>
      <c r="JV186" s="31"/>
      <c r="JW186" s="31"/>
      <c r="JX186" s="31"/>
      <c r="JY186" s="31"/>
      <c r="JZ186" s="31"/>
      <c r="KA186" s="31"/>
      <c r="KB186" s="31"/>
      <c r="KC186" s="31"/>
      <c r="KD186" s="31"/>
      <c r="KE186" s="31"/>
      <c r="KF186" s="31"/>
      <c r="KG186" s="31"/>
      <c r="KH186" s="31"/>
      <c r="KI186" s="31"/>
      <c r="KJ186" s="31"/>
      <c r="KK186" s="31"/>
      <c r="KL186" s="31"/>
      <c r="KM186" s="31"/>
      <c r="KN186" s="31"/>
      <c r="KO186" s="31"/>
      <c r="KP186" s="31"/>
      <c r="KQ186" s="31"/>
      <c r="KR186" s="31"/>
      <c r="KS186" s="31"/>
      <c r="KT186" s="31"/>
      <c r="KU186" s="31"/>
      <c r="KV186" s="31"/>
      <c r="KW186" s="31"/>
      <c r="KX186" s="31"/>
      <c r="KY186" s="31"/>
      <c r="KZ186" s="31"/>
      <c r="LA186" s="31"/>
      <c r="LB186" s="31"/>
      <c r="LC186" s="31"/>
      <c r="LD186" s="31"/>
      <c r="LE186" s="31"/>
      <c r="LF186" s="31"/>
      <c r="LG186" s="31"/>
      <c r="LH186" s="31"/>
      <c r="LI186" s="31"/>
      <c r="LJ186" s="31"/>
      <c r="LK186" s="31"/>
      <c r="LL186" s="31"/>
      <c r="LM186" s="31"/>
      <c r="LN186" s="31"/>
      <c r="LO186" s="31"/>
      <c r="LP186" s="31"/>
      <c r="LQ186" s="31"/>
      <c r="LR186" s="31"/>
      <c r="LS186" s="31"/>
      <c r="LT186" s="31"/>
      <c r="LU186" s="31"/>
      <c r="LV186" s="31"/>
      <c r="LW186" s="31"/>
      <c r="LX186" s="31"/>
      <c r="LY186" s="31"/>
      <c r="LZ186" s="31"/>
      <c r="MA186" s="31"/>
      <c r="MB186" s="31"/>
      <c r="MC186" s="31"/>
      <c r="MD186" s="31"/>
      <c r="ME186" s="31"/>
      <c r="MF186" s="31"/>
      <c r="MG186" s="31"/>
      <c r="MH186" s="31"/>
      <c r="MI186" s="31"/>
      <c r="MJ186" s="31"/>
      <c r="MK186" s="31"/>
      <c r="ML186" s="31"/>
      <c r="MM186" s="31"/>
      <c r="MN186" s="31"/>
      <c r="MO186" s="31"/>
      <c r="MP186" s="31"/>
      <c r="MQ186" s="31"/>
      <c r="MR186" s="31"/>
      <c r="MS186" s="31"/>
      <c r="MT186" s="31"/>
      <c r="MU186" s="31"/>
      <c r="MV186" s="31"/>
      <c r="MW186" s="31"/>
      <c r="MX186" s="31"/>
      <c r="MY186" s="31"/>
      <c r="MZ186" s="31"/>
      <c r="NA186" s="31"/>
      <c r="NB186" s="31"/>
      <c r="NC186" s="31"/>
      <c r="ND186" s="31"/>
      <c r="NE186" s="31"/>
      <c r="NF186" s="31"/>
      <c r="NG186" s="31"/>
      <c r="NH186" s="31"/>
      <c r="NI186" s="31"/>
      <c r="NJ186" s="31"/>
      <c r="NK186" s="31"/>
      <c r="NL186" s="31"/>
      <c r="NM186" s="31"/>
      <c r="NN186" s="31"/>
      <c r="NO186" s="31"/>
      <c r="NP186" s="31"/>
      <c r="NQ186" s="31"/>
      <c r="NR186" s="31"/>
      <c r="NS186" s="31"/>
      <c r="NT186" s="31"/>
      <c r="NU186" s="31"/>
      <c r="NV186" s="31"/>
      <c r="NW186" s="31"/>
      <c r="NX186" s="31"/>
      <c r="NY186" s="31"/>
      <c r="NZ186" s="31"/>
      <c r="OA186" s="31"/>
      <c r="OB186" s="31"/>
      <c r="OC186" s="31"/>
      <c r="OD186" s="31"/>
      <c r="OE186" s="31"/>
      <c r="OF186" s="31"/>
      <c r="OG186" s="31"/>
      <c r="OH186" s="31"/>
      <c r="OI186" s="31"/>
      <c r="OJ186" s="31"/>
      <c r="OK186" s="31"/>
      <c r="OL186" s="31"/>
      <c r="OM186" s="31"/>
      <c r="ON186" s="31"/>
      <c r="OO186" s="31"/>
      <c r="OP186" s="31"/>
      <c r="OQ186" s="31"/>
      <c r="OR186" s="31"/>
      <c r="OS186" s="31"/>
      <c r="OT186" s="31"/>
      <c r="OU186" s="31"/>
      <c r="OV186" s="31"/>
      <c r="OW186" s="31"/>
      <c r="OX186" s="31"/>
    </row>
    <row r="187" spans="2:414" s="25" customFormat="1" ht="15.6">
      <c r="B187" s="25" t="s">
        <v>138</v>
      </c>
      <c r="C187" s="27" t="s">
        <v>287</v>
      </c>
      <c r="D187" s="30" t="s">
        <v>201</v>
      </c>
      <c r="G187" s="42">
        <v>500</v>
      </c>
      <c r="H187" s="89">
        <v>26.109000000000002</v>
      </c>
      <c r="I187" s="38">
        <f t="shared" si="52"/>
        <v>13054.5</v>
      </c>
      <c r="K187" s="42">
        <v>500</v>
      </c>
      <c r="L187" s="90">
        <v>26.849599999999999</v>
      </c>
      <c r="M187" s="38">
        <f t="shared" si="53"/>
        <v>13424.8</v>
      </c>
      <c r="O187" s="38">
        <v>80</v>
      </c>
      <c r="P187" s="38">
        <v>26.728300000000001</v>
      </c>
      <c r="Q187" s="38">
        <f t="shared" si="54"/>
        <v>2138.2640000000001</v>
      </c>
      <c r="R187" s="43">
        <f t="shared" si="66"/>
        <v>1080</v>
      </c>
      <c r="S187" s="38">
        <f t="shared" si="55"/>
        <v>28617.563999999998</v>
      </c>
      <c r="T187" s="49">
        <v>415</v>
      </c>
      <c r="U187" s="42">
        <v>26.390799999999999</v>
      </c>
      <c r="V187" s="38">
        <f t="shared" si="64"/>
        <v>10952.181999999999</v>
      </c>
      <c r="W187" s="42">
        <v>85</v>
      </c>
      <c r="X187" s="42">
        <v>26.390799999999999</v>
      </c>
      <c r="Y187" s="42">
        <f t="shared" si="68"/>
        <v>2243.2179999999998</v>
      </c>
      <c r="Z187" s="42">
        <v>115</v>
      </c>
      <c r="AA187" s="42">
        <v>26.799399999999999</v>
      </c>
      <c r="AB187" s="42">
        <f t="shared" si="69"/>
        <v>3081.931</v>
      </c>
      <c r="AD187" s="42">
        <v>85</v>
      </c>
      <c r="AE187" s="42">
        <v>26.9815</v>
      </c>
      <c r="AF187" s="42">
        <f t="shared" si="67"/>
        <v>2293.4275000000002</v>
      </c>
      <c r="AG187" s="42"/>
      <c r="AH187" s="42">
        <v>300</v>
      </c>
      <c r="AI187" s="42">
        <v>26.887899999999998</v>
      </c>
      <c r="AJ187" s="42">
        <f>AH187*AI187</f>
        <v>8066.37</v>
      </c>
      <c r="AL187" s="42"/>
      <c r="AM187" s="42"/>
      <c r="AN187" s="42"/>
      <c r="AO187" s="44"/>
      <c r="AP187" s="42"/>
      <c r="AQ187" s="42"/>
      <c r="AR187" s="42"/>
      <c r="AU187" s="98"/>
      <c r="AV187" s="35"/>
      <c r="AW187" s="104"/>
      <c r="AX187" s="42"/>
      <c r="AY187" s="42"/>
      <c r="AZ187" s="42">
        <f t="shared" si="70"/>
        <v>0</v>
      </c>
      <c r="BA187" s="42"/>
      <c r="BB187" s="42"/>
      <c r="BC187" s="42"/>
      <c r="BD187" s="38">
        <f t="shared" si="56"/>
        <v>0</v>
      </c>
      <c r="BE187" s="42"/>
      <c r="BF187" s="42"/>
      <c r="BG187" s="42"/>
      <c r="BH187" s="38">
        <f t="shared" si="57"/>
        <v>0</v>
      </c>
      <c r="BI187" s="42"/>
      <c r="BJ187" s="42"/>
      <c r="BK187" s="42"/>
      <c r="BL187" s="38">
        <f t="shared" si="58"/>
        <v>0</v>
      </c>
      <c r="BM187" s="42"/>
      <c r="BN187" s="42"/>
      <c r="BO187" s="42"/>
      <c r="BP187" s="42"/>
      <c r="BR187" s="42">
        <f t="shared" si="59"/>
        <v>26637.128499999999</v>
      </c>
      <c r="BS187" s="43">
        <f t="shared" si="60"/>
        <v>1980.4354999999996</v>
      </c>
      <c r="BT187" s="42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  <c r="IM187" s="31"/>
      <c r="IN187" s="31"/>
      <c r="IO187" s="31"/>
      <c r="IP187" s="31"/>
      <c r="IQ187" s="31"/>
      <c r="IR187" s="31"/>
      <c r="IS187" s="31"/>
      <c r="IT187" s="31"/>
      <c r="IU187" s="31"/>
      <c r="IV187" s="31"/>
      <c r="IW187" s="31"/>
      <c r="IX187" s="31"/>
      <c r="IY187" s="31"/>
      <c r="IZ187" s="31"/>
      <c r="JA187" s="31"/>
      <c r="JB187" s="31"/>
      <c r="JC187" s="31"/>
      <c r="JD187" s="31"/>
      <c r="JE187" s="31"/>
      <c r="JF187" s="31"/>
      <c r="JG187" s="31"/>
      <c r="JH187" s="31"/>
      <c r="JI187" s="31"/>
      <c r="JJ187" s="31"/>
      <c r="JK187" s="31"/>
      <c r="JL187" s="31"/>
      <c r="JM187" s="31"/>
      <c r="JN187" s="31"/>
      <c r="JO187" s="31"/>
      <c r="JP187" s="31"/>
      <c r="JQ187" s="31"/>
      <c r="JR187" s="31"/>
      <c r="JS187" s="31"/>
      <c r="JT187" s="31"/>
      <c r="JU187" s="31"/>
      <c r="JV187" s="31"/>
      <c r="JW187" s="31"/>
      <c r="JX187" s="31"/>
      <c r="JY187" s="31"/>
      <c r="JZ187" s="31"/>
      <c r="KA187" s="31"/>
      <c r="KB187" s="31"/>
      <c r="KC187" s="31"/>
      <c r="KD187" s="31"/>
      <c r="KE187" s="31"/>
      <c r="KF187" s="31"/>
      <c r="KG187" s="31"/>
      <c r="KH187" s="31"/>
      <c r="KI187" s="31"/>
      <c r="KJ187" s="31"/>
      <c r="KK187" s="31"/>
      <c r="KL187" s="31"/>
      <c r="KM187" s="31"/>
      <c r="KN187" s="31"/>
      <c r="KO187" s="31"/>
      <c r="KP187" s="31"/>
      <c r="KQ187" s="31"/>
      <c r="KR187" s="31"/>
      <c r="KS187" s="31"/>
      <c r="KT187" s="31"/>
      <c r="KU187" s="31"/>
      <c r="KV187" s="31"/>
      <c r="KW187" s="31"/>
      <c r="KX187" s="31"/>
      <c r="KY187" s="31"/>
      <c r="KZ187" s="31"/>
      <c r="LA187" s="31"/>
      <c r="LB187" s="31"/>
      <c r="LC187" s="31"/>
      <c r="LD187" s="31"/>
      <c r="LE187" s="31"/>
      <c r="LF187" s="31"/>
      <c r="LG187" s="31"/>
      <c r="LH187" s="31"/>
      <c r="LI187" s="31"/>
      <c r="LJ187" s="31"/>
      <c r="LK187" s="31"/>
      <c r="LL187" s="31"/>
      <c r="LM187" s="31"/>
      <c r="LN187" s="31"/>
      <c r="LO187" s="31"/>
      <c r="LP187" s="31"/>
      <c r="LQ187" s="31"/>
      <c r="LR187" s="31"/>
      <c r="LS187" s="31"/>
      <c r="LT187" s="31"/>
      <c r="LU187" s="31"/>
      <c r="LV187" s="31"/>
      <c r="LW187" s="31"/>
      <c r="LX187" s="31"/>
      <c r="LY187" s="31"/>
      <c r="LZ187" s="31"/>
      <c r="MA187" s="31"/>
      <c r="MB187" s="31"/>
      <c r="MC187" s="31"/>
      <c r="MD187" s="31"/>
      <c r="ME187" s="31"/>
      <c r="MF187" s="31"/>
      <c r="MG187" s="31"/>
      <c r="MH187" s="31"/>
      <c r="MI187" s="31"/>
      <c r="MJ187" s="31"/>
      <c r="MK187" s="31"/>
      <c r="ML187" s="31"/>
      <c r="MM187" s="31"/>
      <c r="MN187" s="31"/>
      <c r="MO187" s="31"/>
      <c r="MP187" s="31"/>
      <c r="MQ187" s="31"/>
      <c r="MR187" s="31"/>
      <c r="MS187" s="31"/>
      <c r="MT187" s="31"/>
      <c r="MU187" s="31"/>
      <c r="MV187" s="31"/>
      <c r="MW187" s="31"/>
      <c r="MX187" s="31"/>
      <c r="MY187" s="31"/>
      <c r="MZ187" s="31"/>
      <c r="NA187" s="31"/>
      <c r="NB187" s="31"/>
      <c r="NC187" s="31"/>
      <c r="ND187" s="31"/>
      <c r="NE187" s="31"/>
      <c r="NF187" s="31"/>
      <c r="NG187" s="31"/>
      <c r="NH187" s="31"/>
      <c r="NI187" s="31"/>
      <c r="NJ187" s="31"/>
      <c r="NK187" s="31"/>
      <c r="NL187" s="31"/>
      <c r="NM187" s="31"/>
      <c r="NN187" s="31"/>
      <c r="NO187" s="31"/>
      <c r="NP187" s="31"/>
      <c r="NQ187" s="31"/>
      <c r="NR187" s="31"/>
      <c r="NS187" s="31"/>
      <c r="NT187" s="31"/>
      <c r="NU187" s="31"/>
      <c r="NV187" s="31"/>
      <c r="NW187" s="31"/>
      <c r="NX187" s="31"/>
      <c r="NY187" s="31"/>
      <c r="NZ187" s="31"/>
      <c r="OA187" s="31"/>
      <c r="OB187" s="31"/>
      <c r="OC187" s="31"/>
      <c r="OD187" s="31"/>
      <c r="OE187" s="31"/>
      <c r="OF187" s="31"/>
      <c r="OG187" s="31"/>
      <c r="OH187" s="31"/>
      <c r="OI187" s="31"/>
      <c r="OJ187" s="31"/>
      <c r="OK187" s="31"/>
      <c r="OL187" s="31"/>
      <c r="OM187" s="31"/>
      <c r="ON187" s="31"/>
      <c r="OO187" s="31"/>
      <c r="OP187" s="31"/>
      <c r="OQ187" s="31"/>
      <c r="OR187" s="31"/>
      <c r="OS187" s="31"/>
      <c r="OT187" s="31"/>
      <c r="OU187" s="31"/>
      <c r="OV187" s="31"/>
      <c r="OW187" s="31"/>
      <c r="OX187" s="31"/>
    </row>
    <row r="188" spans="2:414" s="25" customFormat="1" ht="15.6">
      <c r="B188" s="25" t="s">
        <v>527</v>
      </c>
      <c r="C188" s="27" t="s">
        <v>304</v>
      </c>
      <c r="D188" s="30" t="s">
        <v>201</v>
      </c>
      <c r="G188" s="42">
        <v>500</v>
      </c>
      <c r="H188" s="89">
        <v>26.109000000000002</v>
      </c>
      <c r="I188" s="38">
        <f t="shared" si="52"/>
        <v>13054.5</v>
      </c>
      <c r="K188" s="42">
        <v>500</v>
      </c>
      <c r="L188" s="90">
        <v>26.849599999999999</v>
      </c>
      <c r="M188" s="38">
        <f t="shared" si="53"/>
        <v>13424.8</v>
      </c>
      <c r="O188" s="38">
        <v>80</v>
      </c>
      <c r="P188" s="38">
        <v>26.728300000000001</v>
      </c>
      <c r="Q188" s="38">
        <f t="shared" si="54"/>
        <v>2138.2640000000001</v>
      </c>
      <c r="R188" s="43">
        <f t="shared" si="66"/>
        <v>1080</v>
      </c>
      <c r="S188" s="38">
        <f t="shared" si="55"/>
        <v>28617.563999999998</v>
      </c>
      <c r="T188" s="49">
        <v>415</v>
      </c>
      <c r="U188" s="42">
        <v>26.861899999999999</v>
      </c>
      <c r="V188" s="38">
        <f t="shared" si="64"/>
        <v>11147.6885</v>
      </c>
      <c r="W188" s="42">
        <v>85</v>
      </c>
      <c r="X188" s="42">
        <v>26.861899999999999</v>
      </c>
      <c r="Y188" s="42">
        <f t="shared" si="68"/>
        <v>2283.2615000000001</v>
      </c>
      <c r="Z188" s="42">
        <v>415</v>
      </c>
      <c r="AA188" s="42">
        <v>26.728300000000001</v>
      </c>
      <c r="AB188" s="42">
        <f t="shared" si="69"/>
        <v>11092.244500000001</v>
      </c>
      <c r="AD188" s="42">
        <v>85</v>
      </c>
      <c r="AE188" s="42">
        <v>26.728300000000001</v>
      </c>
      <c r="AF188" s="42">
        <f t="shared" si="67"/>
        <v>2271.9054999999998</v>
      </c>
      <c r="AG188" s="42"/>
      <c r="AH188" s="42"/>
      <c r="AI188" s="42"/>
      <c r="AJ188" s="42"/>
      <c r="AL188" s="42"/>
      <c r="AM188" s="42"/>
      <c r="AN188" s="42"/>
      <c r="AO188" s="44"/>
      <c r="AP188" s="42"/>
      <c r="AQ188" s="42"/>
      <c r="AR188" s="42"/>
      <c r="AU188" s="98"/>
      <c r="AV188" s="35"/>
      <c r="AW188" s="104"/>
      <c r="AX188" s="42"/>
      <c r="AY188" s="42"/>
      <c r="AZ188" s="42">
        <f t="shared" si="70"/>
        <v>0</v>
      </c>
      <c r="BA188" s="42"/>
      <c r="BB188" s="42"/>
      <c r="BC188" s="42"/>
      <c r="BD188" s="38">
        <f t="shared" si="56"/>
        <v>0</v>
      </c>
      <c r="BE188" s="42"/>
      <c r="BF188" s="42"/>
      <c r="BG188" s="42"/>
      <c r="BH188" s="38">
        <f t="shared" si="57"/>
        <v>0</v>
      </c>
      <c r="BI188" s="42"/>
      <c r="BJ188" s="42"/>
      <c r="BK188" s="42"/>
      <c r="BL188" s="38">
        <f t="shared" si="58"/>
        <v>0</v>
      </c>
      <c r="BM188" s="42"/>
      <c r="BN188" s="42"/>
      <c r="BO188" s="42"/>
      <c r="BP188" s="42"/>
      <c r="BR188" s="42">
        <f t="shared" si="59"/>
        <v>26795.100000000002</v>
      </c>
      <c r="BS188" s="43">
        <f t="shared" si="60"/>
        <v>1822.4639999999963</v>
      </c>
      <c r="BT188" s="42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  <c r="IM188" s="31"/>
      <c r="IN188" s="31"/>
      <c r="IO188" s="31"/>
      <c r="IP188" s="31"/>
      <c r="IQ188" s="31"/>
      <c r="IR188" s="31"/>
      <c r="IS188" s="31"/>
      <c r="IT188" s="31"/>
      <c r="IU188" s="31"/>
      <c r="IV188" s="31"/>
      <c r="IW188" s="31"/>
      <c r="IX188" s="31"/>
      <c r="IY188" s="31"/>
      <c r="IZ188" s="31"/>
      <c r="JA188" s="31"/>
      <c r="JB188" s="31"/>
      <c r="JC188" s="31"/>
      <c r="JD188" s="31"/>
      <c r="JE188" s="31"/>
      <c r="JF188" s="31"/>
      <c r="JG188" s="31"/>
      <c r="JH188" s="31"/>
      <c r="JI188" s="31"/>
      <c r="JJ188" s="31"/>
      <c r="JK188" s="31"/>
      <c r="JL188" s="31"/>
      <c r="JM188" s="31"/>
      <c r="JN188" s="31"/>
      <c r="JO188" s="31"/>
      <c r="JP188" s="31"/>
      <c r="JQ188" s="31"/>
      <c r="JR188" s="31"/>
      <c r="JS188" s="31"/>
      <c r="JT188" s="31"/>
      <c r="JU188" s="31"/>
      <c r="JV188" s="31"/>
      <c r="JW188" s="31"/>
      <c r="JX188" s="31"/>
      <c r="JY188" s="31"/>
      <c r="JZ188" s="31"/>
      <c r="KA188" s="31"/>
      <c r="KB188" s="31"/>
      <c r="KC188" s="31"/>
      <c r="KD188" s="31"/>
      <c r="KE188" s="31"/>
      <c r="KF188" s="31"/>
      <c r="KG188" s="31"/>
      <c r="KH188" s="31"/>
      <c r="KI188" s="31"/>
      <c r="KJ188" s="31"/>
      <c r="KK188" s="31"/>
      <c r="KL188" s="31"/>
      <c r="KM188" s="31"/>
      <c r="KN188" s="31"/>
      <c r="KO188" s="31"/>
      <c r="KP188" s="31"/>
      <c r="KQ188" s="31"/>
      <c r="KR188" s="31"/>
      <c r="KS188" s="31"/>
      <c r="KT188" s="31"/>
      <c r="KU188" s="31"/>
      <c r="KV188" s="31"/>
      <c r="KW188" s="31"/>
      <c r="KX188" s="31"/>
      <c r="KY188" s="31"/>
      <c r="KZ188" s="31"/>
      <c r="LA188" s="31"/>
      <c r="LB188" s="31"/>
      <c r="LC188" s="31"/>
      <c r="LD188" s="31"/>
      <c r="LE188" s="31"/>
      <c r="LF188" s="31"/>
      <c r="LG188" s="31"/>
      <c r="LH188" s="31"/>
      <c r="LI188" s="31"/>
      <c r="LJ188" s="31"/>
      <c r="LK188" s="31"/>
      <c r="LL188" s="31"/>
      <c r="LM188" s="31"/>
      <c r="LN188" s="31"/>
      <c r="LO188" s="31"/>
      <c r="LP188" s="31"/>
      <c r="LQ188" s="31"/>
      <c r="LR188" s="31"/>
      <c r="LS188" s="31"/>
      <c r="LT188" s="31"/>
      <c r="LU188" s="31"/>
      <c r="LV188" s="31"/>
      <c r="LW188" s="31"/>
      <c r="LX188" s="31"/>
      <c r="LY188" s="31"/>
      <c r="LZ188" s="31"/>
      <c r="MA188" s="31"/>
      <c r="MB188" s="31"/>
      <c r="MC188" s="31"/>
      <c r="MD188" s="31"/>
      <c r="ME188" s="31"/>
      <c r="MF188" s="31"/>
      <c r="MG188" s="31"/>
      <c r="MH188" s="31"/>
      <c r="MI188" s="31"/>
      <c r="MJ188" s="31"/>
      <c r="MK188" s="31"/>
      <c r="ML188" s="31"/>
      <c r="MM188" s="31"/>
      <c r="MN188" s="31"/>
      <c r="MO188" s="31"/>
      <c r="MP188" s="31"/>
      <c r="MQ188" s="31"/>
      <c r="MR188" s="31"/>
      <c r="MS188" s="31"/>
      <c r="MT188" s="31"/>
      <c r="MU188" s="31"/>
      <c r="MV188" s="31"/>
      <c r="MW188" s="31"/>
      <c r="MX188" s="31"/>
      <c r="MY188" s="31"/>
      <c r="MZ188" s="31"/>
      <c r="NA188" s="31"/>
      <c r="NB188" s="31"/>
      <c r="NC188" s="31"/>
      <c r="ND188" s="31"/>
      <c r="NE188" s="31"/>
      <c r="NF188" s="31"/>
      <c r="NG188" s="31"/>
      <c r="NH188" s="31"/>
      <c r="NI188" s="31"/>
      <c r="NJ188" s="31"/>
      <c r="NK188" s="31"/>
      <c r="NL188" s="31"/>
      <c r="NM188" s="31"/>
      <c r="NN188" s="31"/>
      <c r="NO188" s="31"/>
      <c r="NP188" s="31"/>
      <c r="NQ188" s="31"/>
      <c r="NR188" s="31"/>
      <c r="NS188" s="31"/>
      <c r="NT188" s="31"/>
      <c r="NU188" s="31"/>
      <c r="NV188" s="31"/>
      <c r="NW188" s="31"/>
      <c r="NX188" s="31"/>
      <c r="NY188" s="31"/>
      <c r="NZ188" s="31"/>
      <c r="OA188" s="31"/>
      <c r="OB188" s="31"/>
      <c r="OC188" s="31"/>
      <c r="OD188" s="31"/>
      <c r="OE188" s="31"/>
      <c r="OF188" s="31"/>
      <c r="OG188" s="31"/>
      <c r="OH188" s="31"/>
      <c r="OI188" s="31"/>
      <c r="OJ188" s="31"/>
      <c r="OK188" s="31"/>
      <c r="OL188" s="31"/>
      <c r="OM188" s="31"/>
      <c r="ON188" s="31"/>
      <c r="OO188" s="31"/>
      <c r="OP188" s="31"/>
      <c r="OQ188" s="31"/>
      <c r="OR188" s="31"/>
      <c r="OS188" s="31"/>
      <c r="OT188" s="31"/>
      <c r="OU188" s="31"/>
      <c r="OV188" s="31"/>
      <c r="OW188" s="31"/>
      <c r="OX188" s="31"/>
    </row>
    <row r="189" spans="2:414" s="25" customFormat="1" ht="15.6">
      <c r="B189" s="25" t="s">
        <v>148</v>
      </c>
      <c r="C189" s="27" t="s">
        <v>288</v>
      </c>
      <c r="D189" s="30" t="s">
        <v>201</v>
      </c>
      <c r="G189" s="42">
        <v>500</v>
      </c>
      <c r="H189" s="89">
        <v>26.109000000000002</v>
      </c>
      <c r="I189" s="38">
        <f t="shared" si="52"/>
        <v>13054.5</v>
      </c>
      <c r="K189" s="42">
        <v>500</v>
      </c>
      <c r="L189" s="90">
        <v>26.849599999999999</v>
      </c>
      <c r="M189" s="38">
        <f t="shared" si="53"/>
        <v>13424.8</v>
      </c>
      <c r="O189" s="38">
        <v>80</v>
      </c>
      <c r="P189" s="38">
        <v>26.728300000000001</v>
      </c>
      <c r="Q189" s="38">
        <f t="shared" si="54"/>
        <v>2138.2640000000001</v>
      </c>
      <c r="R189" s="43">
        <f t="shared" si="66"/>
        <v>1080</v>
      </c>
      <c r="S189" s="38">
        <f t="shared" si="55"/>
        <v>28617.563999999998</v>
      </c>
      <c r="T189" s="49">
        <v>415</v>
      </c>
      <c r="U189" s="42">
        <v>26.6951</v>
      </c>
      <c r="V189" s="38">
        <f t="shared" si="64"/>
        <v>11078.4665</v>
      </c>
      <c r="W189" s="42">
        <v>85</v>
      </c>
      <c r="X189" s="42">
        <v>26.6951</v>
      </c>
      <c r="Y189" s="42">
        <f t="shared" si="68"/>
        <v>2269.0835000000002</v>
      </c>
      <c r="Z189" s="42">
        <v>250</v>
      </c>
      <c r="AA189" s="42">
        <v>26.856000000000002</v>
      </c>
      <c r="AB189" s="42">
        <f t="shared" si="69"/>
        <v>6714</v>
      </c>
      <c r="AD189" s="42">
        <v>250</v>
      </c>
      <c r="AE189" s="42">
        <v>26.958300000000001</v>
      </c>
      <c r="AF189" s="42">
        <f t="shared" si="67"/>
        <v>6739.5750000000007</v>
      </c>
      <c r="AG189" s="42"/>
      <c r="AH189" s="42"/>
      <c r="AI189" s="42"/>
      <c r="AJ189" s="42"/>
      <c r="AL189" s="42"/>
      <c r="AM189" s="42"/>
      <c r="AN189" s="42"/>
      <c r="AO189" s="44"/>
      <c r="AP189" s="42"/>
      <c r="AQ189" s="42"/>
      <c r="AR189" s="42"/>
      <c r="AU189" s="98"/>
      <c r="AV189" s="35"/>
      <c r="AW189" s="104"/>
      <c r="AX189" s="42"/>
      <c r="AY189" s="42"/>
      <c r="AZ189" s="42">
        <f t="shared" si="70"/>
        <v>0</v>
      </c>
      <c r="BA189" s="42"/>
      <c r="BB189" s="42"/>
      <c r="BC189" s="42"/>
      <c r="BD189" s="38">
        <f t="shared" si="56"/>
        <v>0</v>
      </c>
      <c r="BE189" s="42"/>
      <c r="BF189" s="42"/>
      <c r="BG189" s="42"/>
      <c r="BH189" s="38">
        <f t="shared" si="57"/>
        <v>0</v>
      </c>
      <c r="BI189" s="42"/>
      <c r="BJ189" s="42"/>
      <c r="BK189" s="42"/>
      <c r="BL189" s="38">
        <f t="shared" si="58"/>
        <v>0</v>
      </c>
      <c r="BM189" s="42"/>
      <c r="BN189" s="42"/>
      <c r="BO189" s="42"/>
      <c r="BP189" s="42"/>
      <c r="BR189" s="42">
        <f t="shared" si="59"/>
        <v>26801.125000000004</v>
      </c>
      <c r="BS189" s="43">
        <f t="shared" si="60"/>
        <v>1816.4389999999948</v>
      </c>
      <c r="BT189" s="42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  <c r="IM189" s="31"/>
      <c r="IN189" s="31"/>
      <c r="IO189" s="31"/>
      <c r="IP189" s="31"/>
      <c r="IQ189" s="31"/>
      <c r="IR189" s="31"/>
      <c r="IS189" s="31"/>
      <c r="IT189" s="31"/>
      <c r="IU189" s="31"/>
      <c r="IV189" s="31"/>
      <c r="IW189" s="31"/>
      <c r="IX189" s="31"/>
      <c r="IY189" s="31"/>
      <c r="IZ189" s="31"/>
      <c r="JA189" s="31"/>
      <c r="JB189" s="31"/>
      <c r="JC189" s="31"/>
      <c r="JD189" s="31"/>
      <c r="JE189" s="31"/>
      <c r="JF189" s="31"/>
      <c r="JG189" s="31"/>
      <c r="JH189" s="31"/>
      <c r="JI189" s="31"/>
      <c r="JJ189" s="31"/>
      <c r="JK189" s="31"/>
      <c r="JL189" s="31"/>
      <c r="JM189" s="31"/>
      <c r="JN189" s="31"/>
      <c r="JO189" s="31"/>
      <c r="JP189" s="31"/>
      <c r="JQ189" s="31"/>
      <c r="JR189" s="31"/>
      <c r="JS189" s="31"/>
      <c r="JT189" s="31"/>
      <c r="JU189" s="31"/>
      <c r="JV189" s="31"/>
      <c r="JW189" s="31"/>
      <c r="JX189" s="31"/>
      <c r="JY189" s="31"/>
      <c r="JZ189" s="31"/>
      <c r="KA189" s="31"/>
      <c r="KB189" s="31"/>
      <c r="KC189" s="31"/>
      <c r="KD189" s="31"/>
      <c r="KE189" s="31"/>
      <c r="KF189" s="31"/>
      <c r="KG189" s="31"/>
      <c r="KH189" s="31"/>
      <c r="KI189" s="31"/>
      <c r="KJ189" s="31"/>
      <c r="KK189" s="31"/>
      <c r="KL189" s="31"/>
      <c r="KM189" s="31"/>
      <c r="KN189" s="31"/>
      <c r="KO189" s="31"/>
      <c r="KP189" s="31"/>
      <c r="KQ189" s="31"/>
      <c r="KR189" s="31"/>
      <c r="KS189" s="31"/>
      <c r="KT189" s="31"/>
      <c r="KU189" s="31"/>
      <c r="KV189" s="31"/>
      <c r="KW189" s="31"/>
      <c r="KX189" s="31"/>
      <c r="KY189" s="31"/>
      <c r="KZ189" s="31"/>
      <c r="LA189" s="31"/>
      <c r="LB189" s="31"/>
      <c r="LC189" s="31"/>
      <c r="LD189" s="31"/>
      <c r="LE189" s="31"/>
      <c r="LF189" s="31"/>
      <c r="LG189" s="31"/>
      <c r="LH189" s="31"/>
      <c r="LI189" s="31"/>
      <c r="LJ189" s="31"/>
      <c r="LK189" s="31"/>
      <c r="LL189" s="31"/>
      <c r="LM189" s="31"/>
      <c r="LN189" s="31"/>
      <c r="LO189" s="31"/>
      <c r="LP189" s="31"/>
      <c r="LQ189" s="31"/>
      <c r="LR189" s="31"/>
      <c r="LS189" s="31"/>
      <c r="LT189" s="31"/>
      <c r="LU189" s="31"/>
      <c r="LV189" s="31"/>
      <c r="LW189" s="31"/>
      <c r="LX189" s="31"/>
      <c r="LY189" s="31"/>
      <c r="LZ189" s="31"/>
      <c r="MA189" s="31"/>
      <c r="MB189" s="31"/>
      <c r="MC189" s="31"/>
      <c r="MD189" s="31"/>
      <c r="ME189" s="31"/>
      <c r="MF189" s="31"/>
      <c r="MG189" s="31"/>
      <c r="MH189" s="31"/>
      <c r="MI189" s="31"/>
      <c r="MJ189" s="31"/>
      <c r="MK189" s="31"/>
      <c r="ML189" s="31"/>
      <c r="MM189" s="31"/>
      <c r="MN189" s="31"/>
      <c r="MO189" s="31"/>
      <c r="MP189" s="31"/>
      <c r="MQ189" s="31"/>
      <c r="MR189" s="31"/>
      <c r="MS189" s="31"/>
      <c r="MT189" s="31"/>
      <c r="MU189" s="31"/>
      <c r="MV189" s="31"/>
      <c r="MW189" s="31"/>
      <c r="MX189" s="31"/>
      <c r="MY189" s="31"/>
      <c r="MZ189" s="31"/>
      <c r="NA189" s="31"/>
      <c r="NB189" s="31"/>
      <c r="NC189" s="31"/>
      <c r="ND189" s="31"/>
      <c r="NE189" s="31"/>
      <c r="NF189" s="31"/>
      <c r="NG189" s="31"/>
      <c r="NH189" s="31"/>
      <c r="NI189" s="31"/>
      <c r="NJ189" s="31"/>
      <c r="NK189" s="31"/>
      <c r="NL189" s="31"/>
      <c r="NM189" s="31"/>
      <c r="NN189" s="31"/>
      <c r="NO189" s="31"/>
      <c r="NP189" s="31"/>
      <c r="NQ189" s="31"/>
      <c r="NR189" s="31"/>
      <c r="NS189" s="31"/>
      <c r="NT189" s="31"/>
      <c r="NU189" s="31"/>
      <c r="NV189" s="31"/>
      <c r="NW189" s="31"/>
      <c r="NX189" s="31"/>
      <c r="NY189" s="31"/>
      <c r="NZ189" s="31"/>
      <c r="OA189" s="31"/>
      <c r="OB189" s="31"/>
      <c r="OC189" s="31"/>
      <c r="OD189" s="31"/>
      <c r="OE189" s="31"/>
      <c r="OF189" s="31"/>
      <c r="OG189" s="31"/>
      <c r="OH189" s="31"/>
      <c r="OI189" s="31"/>
      <c r="OJ189" s="31"/>
      <c r="OK189" s="31"/>
      <c r="OL189" s="31"/>
      <c r="OM189" s="31"/>
      <c r="ON189" s="31"/>
      <c r="OO189" s="31"/>
      <c r="OP189" s="31"/>
      <c r="OQ189" s="31"/>
      <c r="OR189" s="31"/>
      <c r="OS189" s="31"/>
      <c r="OT189" s="31"/>
      <c r="OU189" s="31"/>
      <c r="OV189" s="31"/>
      <c r="OW189" s="31"/>
      <c r="OX189" s="31"/>
    </row>
    <row r="190" spans="2:414" s="25" customFormat="1" ht="15.6">
      <c r="B190" s="25" t="s">
        <v>289</v>
      </c>
      <c r="C190" s="27" t="s">
        <v>290</v>
      </c>
      <c r="D190" s="30" t="s">
        <v>201</v>
      </c>
      <c r="G190" s="42">
        <v>500</v>
      </c>
      <c r="H190" s="89">
        <v>26.109000000000002</v>
      </c>
      <c r="I190" s="38">
        <f t="shared" si="52"/>
        <v>13054.5</v>
      </c>
      <c r="K190" s="42">
        <v>500</v>
      </c>
      <c r="L190" s="90">
        <v>26.849599999999999</v>
      </c>
      <c r="M190" s="38">
        <f t="shared" si="53"/>
        <v>13424.8</v>
      </c>
      <c r="O190" s="38">
        <v>80</v>
      </c>
      <c r="P190" s="38">
        <v>26.728300000000001</v>
      </c>
      <c r="Q190" s="38">
        <f t="shared" si="54"/>
        <v>2138.2640000000001</v>
      </c>
      <c r="R190" s="43">
        <f t="shared" si="66"/>
        <v>1080</v>
      </c>
      <c r="S190" s="38">
        <f t="shared" si="55"/>
        <v>28617.563999999998</v>
      </c>
      <c r="T190" s="49">
        <v>415</v>
      </c>
      <c r="U190" s="42">
        <v>26.72</v>
      </c>
      <c r="V190" s="38">
        <f t="shared" si="64"/>
        <v>11088.8</v>
      </c>
      <c r="W190" s="42">
        <v>45</v>
      </c>
      <c r="X190" s="42">
        <v>26.7864</v>
      </c>
      <c r="Y190" s="42">
        <f t="shared" si="68"/>
        <v>1205.3879999999999</v>
      </c>
      <c r="Z190" s="42">
        <v>40</v>
      </c>
      <c r="AA190" s="42"/>
      <c r="AB190" s="42">
        <f t="shared" si="69"/>
        <v>0</v>
      </c>
      <c r="AD190" s="42"/>
      <c r="AE190" s="42"/>
      <c r="AF190" s="42">
        <f t="shared" si="67"/>
        <v>0</v>
      </c>
      <c r="AG190" s="42"/>
      <c r="AH190" s="42"/>
      <c r="AI190" s="42"/>
      <c r="AJ190" s="42"/>
      <c r="AL190" s="42"/>
      <c r="AM190" s="42"/>
      <c r="AN190" s="42"/>
      <c r="AO190" s="44"/>
      <c r="AP190" s="42"/>
      <c r="AQ190" s="42"/>
      <c r="AR190" s="42"/>
      <c r="AU190" s="98"/>
      <c r="AV190" s="35"/>
      <c r="AW190" s="104"/>
      <c r="AX190" s="42"/>
      <c r="AY190" s="42"/>
      <c r="AZ190" s="42">
        <f t="shared" si="70"/>
        <v>0</v>
      </c>
      <c r="BA190" s="42"/>
      <c r="BB190" s="42"/>
      <c r="BC190" s="42"/>
      <c r="BD190" s="38">
        <f t="shared" si="56"/>
        <v>0</v>
      </c>
      <c r="BE190" s="42"/>
      <c r="BF190" s="42"/>
      <c r="BG190" s="42"/>
      <c r="BH190" s="38">
        <f t="shared" si="57"/>
        <v>0</v>
      </c>
      <c r="BI190" s="42"/>
      <c r="BJ190" s="42"/>
      <c r="BK190" s="42"/>
      <c r="BL190" s="38">
        <f t="shared" si="58"/>
        <v>0</v>
      </c>
      <c r="BM190" s="42"/>
      <c r="BN190" s="42"/>
      <c r="BO190" s="42"/>
      <c r="BP190" s="42"/>
      <c r="BR190" s="42">
        <f t="shared" si="59"/>
        <v>12294.187999999998</v>
      </c>
      <c r="BS190" s="43">
        <f t="shared" si="60"/>
        <v>16323.376</v>
      </c>
      <c r="BT190" s="42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  <c r="IM190" s="31"/>
      <c r="IN190" s="31"/>
      <c r="IO190" s="31"/>
      <c r="IP190" s="31"/>
      <c r="IQ190" s="31"/>
      <c r="IR190" s="31"/>
      <c r="IS190" s="31"/>
      <c r="IT190" s="31"/>
      <c r="IU190" s="31"/>
      <c r="IV190" s="31"/>
      <c r="IW190" s="31"/>
      <c r="IX190" s="31"/>
      <c r="IY190" s="31"/>
      <c r="IZ190" s="31"/>
      <c r="JA190" s="31"/>
      <c r="JB190" s="31"/>
      <c r="JC190" s="31"/>
      <c r="JD190" s="31"/>
      <c r="JE190" s="31"/>
      <c r="JF190" s="31"/>
      <c r="JG190" s="31"/>
      <c r="JH190" s="31"/>
      <c r="JI190" s="31"/>
      <c r="JJ190" s="31"/>
      <c r="JK190" s="31"/>
      <c r="JL190" s="31"/>
      <c r="JM190" s="31"/>
      <c r="JN190" s="31"/>
      <c r="JO190" s="31"/>
      <c r="JP190" s="31"/>
      <c r="JQ190" s="31"/>
      <c r="JR190" s="31"/>
      <c r="JS190" s="31"/>
      <c r="JT190" s="31"/>
      <c r="JU190" s="31"/>
      <c r="JV190" s="31"/>
      <c r="JW190" s="31"/>
      <c r="JX190" s="31"/>
      <c r="JY190" s="31"/>
      <c r="JZ190" s="31"/>
      <c r="KA190" s="31"/>
      <c r="KB190" s="31"/>
      <c r="KC190" s="31"/>
      <c r="KD190" s="31"/>
      <c r="KE190" s="31"/>
      <c r="KF190" s="31"/>
      <c r="KG190" s="31"/>
      <c r="KH190" s="31"/>
      <c r="KI190" s="31"/>
      <c r="KJ190" s="31"/>
      <c r="KK190" s="31"/>
      <c r="KL190" s="31"/>
      <c r="KM190" s="31"/>
      <c r="KN190" s="31"/>
      <c r="KO190" s="31"/>
      <c r="KP190" s="31"/>
      <c r="KQ190" s="31"/>
      <c r="KR190" s="31"/>
      <c r="KS190" s="31"/>
      <c r="KT190" s="31"/>
      <c r="KU190" s="31"/>
      <c r="KV190" s="31"/>
      <c r="KW190" s="31"/>
      <c r="KX190" s="31"/>
      <c r="KY190" s="31"/>
      <c r="KZ190" s="31"/>
      <c r="LA190" s="31"/>
      <c r="LB190" s="31"/>
      <c r="LC190" s="31"/>
      <c r="LD190" s="31"/>
      <c r="LE190" s="31"/>
      <c r="LF190" s="31"/>
      <c r="LG190" s="31"/>
      <c r="LH190" s="31"/>
      <c r="LI190" s="31"/>
      <c r="LJ190" s="31"/>
      <c r="LK190" s="31"/>
      <c r="LL190" s="31"/>
      <c r="LM190" s="31"/>
      <c r="LN190" s="31"/>
      <c r="LO190" s="31"/>
      <c r="LP190" s="31"/>
      <c r="LQ190" s="31"/>
      <c r="LR190" s="31"/>
      <c r="LS190" s="31"/>
      <c r="LT190" s="31"/>
      <c r="LU190" s="31"/>
      <c r="LV190" s="31"/>
      <c r="LW190" s="31"/>
      <c r="LX190" s="31"/>
      <c r="LY190" s="31"/>
      <c r="LZ190" s="31"/>
      <c r="MA190" s="31"/>
      <c r="MB190" s="31"/>
      <c r="MC190" s="31"/>
      <c r="MD190" s="31"/>
      <c r="ME190" s="31"/>
      <c r="MF190" s="31"/>
      <c r="MG190" s="31"/>
      <c r="MH190" s="31"/>
      <c r="MI190" s="31"/>
      <c r="MJ190" s="31"/>
      <c r="MK190" s="31"/>
      <c r="ML190" s="31"/>
      <c r="MM190" s="31"/>
      <c r="MN190" s="31"/>
      <c r="MO190" s="31"/>
      <c r="MP190" s="31"/>
      <c r="MQ190" s="31"/>
      <c r="MR190" s="31"/>
      <c r="MS190" s="31"/>
      <c r="MT190" s="31"/>
      <c r="MU190" s="31"/>
      <c r="MV190" s="31"/>
      <c r="MW190" s="31"/>
      <c r="MX190" s="31"/>
      <c r="MY190" s="31"/>
      <c r="MZ190" s="31"/>
      <c r="NA190" s="31"/>
      <c r="NB190" s="31"/>
      <c r="NC190" s="31"/>
      <c r="ND190" s="31"/>
      <c r="NE190" s="31"/>
      <c r="NF190" s="31"/>
      <c r="NG190" s="31"/>
      <c r="NH190" s="31"/>
      <c r="NI190" s="31"/>
      <c r="NJ190" s="31"/>
      <c r="NK190" s="31"/>
      <c r="NL190" s="31"/>
      <c r="NM190" s="31"/>
      <c r="NN190" s="31"/>
      <c r="NO190" s="31"/>
      <c r="NP190" s="31"/>
      <c r="NQ190" s="31"/>
      <c r="NR190" s="31"/>
      <c r="NS190" s="31"/>
      <c r="NT190" s="31"/>
      <c r="NU190" s="31"/>
      <c r="NV190" s="31"/>
      <c r="NW190" s="31"/>
      <c r="NX190" s="31"/>
      <c r="NY190" s="31"/>
      <c r="NZ190" s="31"/>
      <c r="OA190" s="31"/>
      <c r="OB190" s="31"/>
      <c r="OC190" s="31"/>
      <c r="OD190" s="31"/>
      <c r="OE190" s="31"/>
      <c r="OF190" s="31"/>
      <c r="OG190" s="31"/>
      <c r="OH190" s="31"/>
      <c r="OI190" s="31"/>
      <c r="OJ190" s="31"/>
      <c r="OK190" s="31"/>
      <c r="OL190" s="31"/>
      <c r="OM190" s="31"/>
      <c r="ON190" s="31"/>
      <c r="OO190" s="31"/>
      <c r="OP190" s="31"/>
      <c r="OQ190" s="31"/>
      <c r="OR190" s="31"/>
      <c r="OS190" s="31"/>
      <c r="OT190" s="31"/>
      <c r="OU190" s="31"/>
      <c r="OV190" s="31"/>
      <c r="OW190" s="31"/>
      <c r="OX190" s="31"/>
    </row>
    <row r="191" spans="2:414" s="25" customFormat="1" ht="15.6">
      <c r="B191" s="25" t="s">
        <v>292</v>
      </c>
      <c r="C191" s="27" t="s">
        <v>293</v>
      </c>
      <c r="D191" s="30" t="s">
        <v>291</v>
      </c>
      <c r="G191" s="42">
        <v>500</v>
      </c>
      <c r="H191" s="89">
        <v>26.109000000000002</v>
      </c>
      <c r="I191" s="38">
        <f t="shared" si="52"/>
        <v>13054.5</v>
      </c>
      <c r="K191" s="42">
        <v>500</v>
      </c>
      <c r="L191" s="90">
        <v>26.849599999999999</v>
      </c>
      <c r="M191" s="38">
        <f t="shared" si="53"/>
        <v>13424.8</v>
      </c>
      <c r="O191" s="38">
        <v>80</v>
      </c>
      <c r="P191" s="38">
        <v>26.728300000000001</v>
      </c>
      <c r="Q191" s="38">
        <f t="shared" si="54"/>
        <v>2138.2640000000001</v>
      </c>
      <c r="R191" s="43">
        <f t="shared" si="66"/>
        <v>1080</v>
      </c>
      <c r="S191" s="38">
        <f t="shared" si="55"/>
        <v>28617.563999999998</v>
      </c>
      <c r="T191" s="49">
        <v>415</v>
      </c>
      <c r="U191" s="42">
        <v>26.219480000000001</v>
      </c>
      <c r="V191" s="38">
        <f t="shared" si="64"/>
        <v>10881.084200000001</v>
      </c>
      <c r="W191" s="42">
        <v>85</v>
      </c>
      <c r="X191" s="42">
        <v>26.194800000000001</v>
      </c>
      <c r="Y191" s="42">
        <f t="shared" si="68"/>
        <v>2226.558</v>
      </c>
      <c r="Z191" s="42">
        <v>500</v>
      </c>
      <c r="AA191" s="42">
        <v>26.9041</v>
      </c>
      <c r="AB191" s="42">
        <f t="shared" si="69"/>
        <v>13452.05</v>
      </c>
      <c r="AD191" s="42"/>
      <c r="AE191" s="42"/>
      <c r="AF191" s="42">
        <f t="shared" si="67"/>
        <v>0</v>
      </c>
      <c r="AG191" s="42"/>
      <c r="AH191" s="42"/>
      <c r="AI191" s="42"/>
      <c r="AJ191" s="42"/>
      <c r="AL191" s="42"/>
      <c r="AM191" s="42"/>
      <c r="AN191" s="42"/>
      <c r="AO191" s="44"/>
      <c r="AP191" s="42"/>
      <c r="AQ191" s="42"/>
      <c r="AR191" s="42"/>
      <c r="AU191" s="98"/>
      <c r="AV191" s="35"/>
      <c r="AW191" s="104"/>
      <c r="AX191" s="42"/>
      <c r="AY191" s="42"/>
      <c r="AZ191" s="42">
        <f t="shared" si="70"/>
        <v>0</v>
      </c>
      <c r="BA191" s="42"/>
      <c r="BB191" s="42"/>
      <c r="BC191" s="42"/>
      <c r="BD191" s="38">
        <f t="shared" si="56"/>
        <v>0</v>
      </c>
      <c r="BE191" s="42"/>
      <c r="BF191" s="42"/>
      <c r="BG191" s="42"/>
      <c r="BH191" s="38">
        <f t="shared" si="57"/>
        <v>0</v>
      </c>
      <c r="BI191" s="42"/>
      <c r="BJ191" s="42"/>
      <c r="BK191" s="42"/>
      <c r="BL191" s="38">
        <f t="shared" si="58"/>
        <v>0</v>
      </c>
      <c r="BM191" s="42"/>
      <c r="BN191" s="42"/>
      <c r="BO191" s="42"/>
      <c r="BP191" s="42"/>
      <c r="BR191" s="42">
        <f t="shared" si="59"/>
        <v>26559.692200000001</v>
      </c>
      <c r="BS191" s="43">
        <f t="shared" si="60"/>
        <v>2057.8717999999972</v>
      </c>
      <c r="BT191" s="42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  <c r="IM191" s="31"/>
      <c r="IN191" s="31"/>
      <c r="IO191" s="31"/>
      <c r="IP191" s="31"/>
      <c r="IQ191" s="31"/>
      <c r="IR191" s="31"/>
      <c r="IS191" s="31"/>
      <c r="IT191" s="31"/>
      <c r="IU191" s="31"/>
      <c r="IV191" s="31"/>
      <c r="IW191" s="31"/>
      <c r="IX191" s="31"/>
      <c r="IY191" s="31"/>
      <c r="IZ191" s="31"/>
      <c r="JA191" s="31"/>
      <c r="JB191" s="31"/>
      <c r="JC191" s="31"/>
      <c r="JD191" s="31"/>
      <c r="JE191" s="31"/>
      <c r="JF191" s="31"/>
      <c r="JG191" s="31"/>
      <c r="JH191" s="31"/>
      <c r="JI191" s="31"/>
      <c r="JJ191" s="31"/>
      <c r="JK191" s="31"/>
      <c r="JL191" s="31"/>
      <c r="JM191" s="31"/>
      <c r="JN191" s="31"/>
      <c r="JO191" s="31"/>
      <c r="JP191" s="31"/>
      <c r="JQ191" s="31"/>
      <c r="JR191" s="31"/>
      <c r="JS191" s="31"/>
      <c r="JT191" s="31"/>
      <c r="JU191" s="31"/>
      <c r="JV191" s="31"/>
      <c r="JW191" s="31"/>
      <c r="JX191" s="31"/>
      <c r="JY191" s="31"/>
      <c r="JZ191" s="31"/>
      <c r="KA191" s="31"/>
      <c r="KB191" s="31"/>
      <c r="KC191" s="31"/>
      <c r="KD191" s="31"/>
      <c r="KE191" s="31"/>
      <c r="KF191" s="31"/>
      <c r="KG191" s="31"/>
      <c r="KH191" s="31"/>
      <c r="KI191" s="31"/>
      <c r="KJ191" s="31"/>
      <c r="KK191" s="31"/>
      <c r="KL191" s="31"/>
      <c r="KM191" s="31"/>
      <c r="KN191" s="31"/>
      <c r="KO191" s="31"/>
      <c r="KP191" s="31"/>
      <c r="KQ191" s="31"/>
      <c r="KR191" s="31"/>
      <c r="KS191" s="31"/>
      <c r="KT191" s="31"/>
      <c r="KU191" s="31"/>
      <c r="KV191" s="31"/>
      <c r="KW191" s="31"/>
      <c r="KX191" s="31"/>
      <c r="KY191" s="31"/>
      <c r="KZ191" s="31"/>
      <c r="LA191" s="31"/>
      <c r="LB191" s="31"/>
      <c r="LC191" s="31"/>
      <c r="LD191" s="31"/>
      <c r="LE191" s="31"/>
      <c r="LF191" s="31"/>
      <c r="LG191" s="31"/>
      <c r="LH191" s="31"/>
      <c r="LI191" s="31"/>
      <c r="LJ191" s="31"/>
      <c r="LK191" s="31"/>
      <c r="LL191" s="31"/>
      <c r="LM191" s="31"/>
      <c r="LN191" s="31"/>
      <c r="LO191" s="31"/>
      <c r="LP191" s="31"/>
      <c r="LQ191" s="31"/>
      <c r="LR191" s="31"/>
      <c r="LS191" s="31"/>
      <c r="LT191" s="31"/>
      <c r="LU191" s="31"/>
      <c r="LV191" s="31"/>
      <c r="LW191" s="31"/>
      <c r="LX191" s="31"/>
      <c r="LY191" s="31"/>
      <c r="LZ191" s="31"/>
      <c r="MA191" s="31"/>
      <c r="MB191" s="31"/>
      <c r="MC191" s="31"/>
      <c r="MD191" s="31"/>
      <c r="ME191" s="31"/>
      <c r="MF191" s="31"/>
      <c r="MG191" s="31"/>
      <c r="MH191" s="31"/>
      <c r="MI191" s="31"/>
      <c r="MJ191" s="31"/>
      <c r="MK191" s="31"/>
      <c r="ML191" s="31"/>
      <c r="MM191" s="31"/>
      <c r="MN191" s="31"/>
      <c r="MO191" s="31"/>
      <c r="MP191" s="31"/>
      <c r="MQ191" s="31"/>
      <c r="MR191" s="31"/>
      <c r="MS191" s="31"/>
      <c r="MT191" s="31"/>
      <c r="MU191" s="31"/>
      <c r="MV191" s="31"/>
      <c r="MW191" s="31"/>
      <c r="MX191" s="31"/>
      <c r="MY191" s="31"/>
      <c r="MZ191" s="31"/>
      <c r="NA191" s="31"/>
      <c r="NB191" s="31"/>
      <c r="NC191" s="31"/>
      <c r="ND191" s="31"/>
      <c r="NE191" s="31"/>
      <c r="NF191" s="31"/>
      <c r="NG191" s="31"/>
      <c r="NH191" s="31"/>
      <c r="NI191" s="31"/>
      <c r="NJ191" s="31"/>
      <c r="NK191" s="31"/>
      <c r="NL191" s="31"/>
      <c r="NM191" s="31"/>
      <c r="NN191" s="31"/>
      <c r="NO191" s="31"/>
      <c r="NP191" s="31"/>
      <c r="NQ191" s="31"/>
      <c r="NR191" s="31"/>
      <c r="NS191" s="31"/>
      <c r="NT191" s="31"/>
      <c r="NU191" s="31"/>
      <c r="NV191" s="31"/>
      <c r="NW191" s="31"/>
      <c r="NX191" s="31"/>
      <c r="NY191" s="31"/>
      <c r="NZ191" s="31"/>
      <c r="OA191" s="31"/>
      <c r="OB191" s="31"/>
      <c r="OC191" s="31"/>
      <c r="OD191" s="31"/>
      <c r="OE191" s="31"/>
      <c r="OF191" s="31"/>
      <c r="OG191" s="31"/>
      <c r="OH191" s="31"/>
      <c r="OI191" s="31"/>
      <c r="OJ191" s="31"/>
      <c r="OK191" s="31"/>
      <c r="OL191" s="31"/>
      <c r="OM191" s="31"/>
      <c r="ON191" s="31"/>
      <c r="OO191" s="31"/>
      <c r="OP191" s="31"/>
      <c r="OQ191" s="31"/>
      <c r="OR191" s="31"/>
      <c r="OS191" s="31"/>
      <c r="OT191" s="31"/>
      <c r="OU191" s="31"/>
      <c r="OV191" s="31"/>
      <c r="OW191" s="31"/>
      <c r="OX191" s="31"/>
    </row>
    <row r="192" spans="2:414" s="25" customFormat="1" ht="15.6">
      <c r="B192" s="25" t="s">
        <v>294</v>
      </c>
      <c r="C192" s="27" t="s">
        <v>295</v>
      </c>
      <c r="D192" s="30" t="s">
        <v>291</v>
      </c>
      <c r="G192" s="42">
        <v>500</v>
      </c>
      <c r="H192" s="89">
        <v>26.109000000000002</v>
      </c>
      <c r="I192" s="38">
        <f t="shared" si="52"/>
        <v>13054.5</v>
      </c>
      <c r="K192" s="42">
        <v>500</v>
      </c>
      <c r="L192" s="90">
        <v>26.849599999999999</v>
      </c>
      <c r="M192" s="38">
        <f t="shared" si="53"/>
        <v>13424.8</v>
      </c>
      <c r="O192" s="38">
        <v>80</v>
      </c>
      <c r="P192" s="38">
        <v>26.728300000000001</v>
      </c>
      <c r="Q192" s="38">
        <f t="shared" si="54"/>
        <v>2138.2640000000001</v>
      </c>
      <c r="R192" s="43">
        <f t="shared" si="66"/>
        <v>1080</v>
      </c>
      <c r="S192" s="38">
        <f t="shared" si="55"/>
        <v>28617.563999999998</v>
      </c>
      <c r="T192" s="49">
        <v>210</v>
      </c>
      <c r="U192" s="42"/>
      <c r="V192" s="38">
        <f t="shared" si="64"/>
        <v>0</v>
      </c>
      <c r="W192" s="42">
        <v>85</v>
      </c>
      <c r="X192" s="42"/>
      <c r="Y192" s="42">
        <f t="shared" si="68"/>
        <v>0</v>
      </c>
      <c r="Z192" s="42">
        <v>205</v>
      </c>
      <c r="AA192" s="42">
        <v>26.283100000000001</v>
      </c>
      <c r="AB192" s="42">
        <f t="shared" si="69"/>
        <v>5388.0355</v>
      </c>
      <c r="AD192" s="42">
        <v>250</v>
      </c>
      <c r="AE192" s="42">
        <v>26.878599999999999</v>
      </c>
      <c r="AF192" s="42">
        <f t="shared" si="67"/>
        <v>6719.65</v>
      </c>
      <c r="AG192" s="42"/>
      <c r="AH192" s="42">
        <v>165</v>
      </c>
      <c r="AI192" s="42">
        <v>26.878599999999999</v>
      </c>
      <c r="AJ192" s="42">
        <f>AH192*AI192</f>
        <v>4434.9690000000001</v>
      </c>
      <c r="AL192" s="42">
        <v>85</v>
      </c>
      <c r="AM192" s="42">
        <v>26.878599999999999</v>
      </c>
      <c r="AN192" s="42">
        <f>AL192*AM192</f>
        <v>2284.681</v>
      </c>
      <c r="AO192" s="44"/>
      <c r="AP192" s="42"/>
      <c r="AQ192" s="42"/>
      <c r="AR192" s="42"/>
      <c r="AU192" s="98"/>
      <c r="AV192" s="35"/>
      <c r="AW192" s="104"/>
      <c r="AX192" s="42"/>
      <c r="AY192" s="42"/>
      <c r="AZ192" s="42">
        <f t="shared" si="70"/>
        <v>0</v>
      </c>
      <c r="BA192" s="42"/>
      <c r="BB192" s="42"/>
      <c r="BC192" s="42"/>
      <c r="BD192" s="38">
        <f t="shared" si="56"/>
        <v>0</v>
      </c>
      <c r="BE192" s="42"/>
      <c r="BF192" s="42"/>
      <c r="BG192" s="42"/>
      <c r="BH192" s="38">
        <f t="shared" si="57"/>
        <v>0</v>
      </c>
      <c r="BI192" s="42"/>
      <c r="BJ192" s="42"/>
      <c r="BK192" s="42"/>
      <c r="BL192" s="38">
        <f t="shared" si="58"/>
        <v>0</v>
      </c>
      <c r="BM192" s="42"/>
      <c r="BN192" s="42"/>
      <c r="BO192" s="42"/>
      <c r="BP192" s="42"/>
      <c r="BR192" s="42">
        <f t="shared" si="59"/>
        <v>18827.335500000001</v>
      </c>
      <c r="BS192" s="43">
        <f t="shared" si="60"/>
        <v>9790.2284999999974</v>
      </c>
      <c r="BT192" s="42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  <c r="IM192" s="31"/>
      <c r="IN192" s="31"/>
      <c r="IO192" s="31"/>
      <c r="IP192" s="31"/>
      <c r="IQ192" s="31"/>
      <c r="IR192" s="31"/>
      <c r="IS192" s="31"/>
      <c r="IT192" s="31"/>
      <c r="IU192" s="31"/>
      <c r="IV192" s="31"/>
      <c r="IW192" s="31"/>
      <c r="IX192" s="31"/>
      <c r="IY192" s="31"/>
      <c r="IZ192" s="31"/>
      <c r="JA192" s="31"/>
      <c r="JB192" s="31"/>
      <c r="JC192" s="31"/>
      <c r="JD192" s="31"/>
      <c r="JE192" s="31"/>
      <c r="JF192" s="31"/>
      <c r="JG192" s="31"/>
      <c r="JH192" s="31"/>
      <c r="JI192" s="31"/>
      <c r="JJ192" s="31"/>
      <c r="JK192" s="31"/>
      <c r="JL192" s="31"/>
      <c r="JM192" s="31"/>
      <c r="JN192" s="31"/>
      <c r="JO192" s="31"/>
      <c r="JP192" s="31"/>
      <c r="JQ192" s="31"/>
      <c r="JR192" s="31"/>
      <c r="JS192" s="31"/>
      <c r="JT192" s="31"/>
      <c r="JU192" s="31"/>
      <c r="JV192" s="31"/>
      <c r="JW192" s="31"/>
      <c r="JX192" s="31"/>
      <c r="JY192" s="31"/>
      <c r="JZ192" s="31"/>
      <c r="KA192" s="31"/>
      <c r="KB192" s="31"/>
      <c r="KC192" s="31"/>
      <c r="KD192" s="31"/>
      <c r="KE192" s="31"/>
      <c r="KF192" s="31"/>
      <c r="KG192" s="31"/>
      <c r="KH192" s="31"/>
      <c r="KI192" s="31"/>
      <c r="KJ192" s="31"/>
      <c r="KK192" s="31"/>
      <c r="KL192" s="31"/>
      <c r="KM192" s="31"/>
      <c r="KN192" s="31"/>
      <c r="KO192" s="31"/>
      <c r="KP192" s="31"/>
      <c r="KQ192" s="31"/>
      <c r="KR192" s="31"/>
      <c r="KS192" s="31"/>
      <c r="KT192" s="31"/>
      <c r="KU192" s="31"/>
      <c r="KV192" s="31"/>
      <c r="KW192" s="31"/>
      <c r="KX192" s="31"/>
      <c r="KY192" s="31"/>
      <c r="KZ192" s="31"/>
      <c r="LA192" s="31"/>
      <c r="LB192" s="31"/>
      <c r="LC192" s="31"/>
      <c r="LD192" s="31"/>
      <c r="LE192" s="31"/>
      <c r="LF192" s="31"/>
      <c r="LG192" s="31"/>
      <c r="LH192" s="31"/>
      <c r="LI192" s="31"/>
      <c r="LJ192" s="31"/>
      <c r="LK192" s="31"/>
      <c r="LL192" s="31"/>
      <c r="LM192" s="31"/>
      <c r="LN192" s="31"/>
      <c r="LO192" s="31"/>
      <c r="LP192" s="31"/>
      <c r="LQ192" s="31"/>
      <c r="LR192" s="31"/>
      <c r="LS192" s="31"/>
      <c r="LT192" s="31"/>
      <c r="LU192" s="31"/>
      <c r="LV192" s="31"/>
      <c r="LW192" s="31"/>
      <c r="LX192" s="31"/>
      <c r="LY192" s="31"/>
      <c r="LZ192" s="31"/>
      <c r="MA192" s="31"/>
      <c r="MB192" s="31"/>
      <c r="MC192" s="31"/>
      <c r="MD192" s="31"/>
      <c r="ME192" s="31"/>
      <c r="MF192" s="31"/>
      <c r="MG192" s="31"/>
      <c r="MH192" s="31"/>
      <c r="MI192" s="31"/>
      <c r="MJ192" s="31"/>
      <c r="MK192" s="31"/>
      <c r="ML192" s="31"/>
      <c r="MM192" s="31"/>
      <c r="MN192" s="31"/>
      <c r="MO192" s="31"/>
      <c r="MP192" s="31"/>
      <c r="MQ192" s="31"/>
      <c r="MR192" s="31"/>
      <c r="MS192" s="31"/>
      <c r="MT192" s="31"/>
      <c r="MU192" s="31"/>
      <c r="MV192" s="31"/>
      <c r="MW192" s="31"/>
      <c r="MX192" s="31"/>
      <c r="MY192" s="31"/>
      <c r="MZ192" s="31"/>
      <c r="NA192" s="31"/>
      <c r="NB192" s="31"/>
      <c r="NC192" s="31"/>
      <c r="ND192" s="31"/>
      <c r="NE192" s="31"/>
      <c r="NF192" s="31"/>
      <c r="NG192" s="31"/>
      <c r="NH192" s="31"/>
      <c r="NI192" s="31"/>
      <c r="NJ192" s="31"/>
      <c r="NK192" s="31"/>
      <c r="NL192" s="31"/>
      <c r="NM192" s="31"/>
      <c r="NN192" s="31"/>
      <c r="NO192" s="31"/>
      <c r="NP192" s="31"/>
      <c r="NQ192" s="31"/>
      <c r="NR192" s="31"/>
      <c r="NS192" s="31"/>
      <c r="NT192" s="31"/>
      <c r="NU192" s="31"/>
      <c r="NV192" s="31"/>
      <c r="NW192" s="31"/>
      <c r="NX192" s="31"/>
      <c r="NY192" s="31"/>
      <c r="NZ192" s="31"/>
      <c r="OA192" s="31"/>
      <c r="OB192" s="31"/>
      <c r="OC192" s="31"/>
      <c r="OD192" s="31"/>
      <c r="OE192" s="31"/>
      <c r="OF192" s="31"/>
      <c r="OG192" s="31"/>
      <c r="OH192" s="31"/>
      <c r="OI192" s="31"/>
      <c r="OJ192" s="31"/>
      <c r="OK192" s="31"/>
      <c r="OL192" s="31"/>
      <c r="OM192" s="31"/>
      <c r="ON192" s="31"/>
      <c r="OO192" s="31"/>
      <c r="OP192" s="31"/>
      <c r="OQ192" s="31"/>
      <c r="OR192" s="31"/>
      <c r="OS192" s="31"/>
      <c r="OT192" s="31"/>
      <c r="OU192" s="31"/>
      <c r="OV192" s="31"/>
      <c r="OW192" s="31"/>
      <c r="OX192" s="31"/>
    </row>
    <row r="193" spans="2:414" s="25" customFormat="1" ht="15.6">
      <c r="B193" s="25" t="s">
        <v>135</v>
      </c>
      <c r="C193" s="27" t="s">
        <v>203</v>
      </c>
      <c r="D193" s="30" t="s">
        <v>291</v>
      </c>
      <c r="G193" s="42">
        <v>500</v>
      </c>
      <c r="H193" s="89">
        <v>26.109000000000002</v>
      </c>
      <c r="I193" s="38">
        <f t="shared" si="52"/>
        <v>13054.5</v>
      </c>
      <c r="K193" s="42">
        <v>500</v>
      </c>
      <c r="L193" s="90">
        <v>26.849599999999999</v>
      </c>
      <c r="M193" s="38">
        <f t="shared" si="53"/>
        <v>13424.8</v>
      </c>
      <c r="O193" s="38">
        <v>80</v>
      </c>
      <c r="P193" s="38">
        <v>26.728300000000001</v>
      </c>
      <c r="Q193" s="38">
        <f t="shared" si="54"/>
        <v>2138.2640000000001</v>
      </c>
      <c r="R193" s="43">
        <f t="shared" si="66"/>
        <v>1080</v>
      </c>
      <c r="S193" s="38">
        <f t="shared" si="55"/>
        <v>28617.563999999998</v>
      </c>
      <c r="T193" s="49">
        <v>415</v>
      </c>
      <c r="U193" s="42">
        <v>26.023700000000002</v>
      </c>
      <c r="V193" s="38">
        <f t="shared" si="64"/>
        <v>10799.835500000001</v>
      </c>
      <c r="W193" s="42">
        <v>85</v>
      </c>
      <c r="X193" s="42">
        <v>26.150300000000001</v>
      </c>
      <c r="Y193" s="42">
        <f t="shared" si="68"/>
        <v>2222.7755000000002</v>
      </c>
      <c r="Z193" s="42">
        <v>400</v>
      </c>
      <c r="AA193" s="42">
        <v>26.8401</v>
      </c>
      <c r="AB193" s="42">
        <f t="shared" si="69"/>
        <v>10736.039999999999</v>
      </c>
      <c r="AD193" s="42">
        <v>100</v>
      </c>
      <c r="AE193" s="42">
        <v>26.8401</v>
      </c>
      <c r="AF193" s="42">
        <f t="shared" si="67"/>
        <v>2684.0099999999998</v>
      </c>
      <c r="AG193" s="42"/>
      <c r="AH193" s="42"/>
      <c r="AI193" s="42"/>
      <c r="AJ193" s="42"/>
      <c r="AL193" s="42"/>
      <c r="AM193" s="42"/>
      <c r="AN193" s="42"/>
      <c r="AO193" s="44"/>
      <c r="AP193" s="42"/>
      <c r="AQ193" s="42"/>
      <c r="AR193" s="42"/>
      <c r="AU193" s="98"/>
      <c r="AV193" s="35"/>
      <c r="AW193" s="104"/>
      <c r="AX193" s="42"/>
      <c r="AY193" s="42"/>
      <c r="AZ193" s="42">
        <f t="shared" si="70"/>
        <v>0</v>
      </c>
      <c r="BA193" s="42"/>
      <c r="BB193" s="42"/>
      <c r="BC193" s="42"/>
      <c r="BD193" s="38">
        <f t="shared" si="56"/>
        <v>0</v>
      </c>
      <c r="BE193" s="42"/>
      <c r="BF193" s="42"/>
      <c r="BG193" s="42"/>
      <c r="BH193" s="38">
        <f t="shared" si="57"/>
        <v>0</v>
      </c>
      <c r="BI193" s="42"/>
      <c r="BJ193" s="42"/>
      <c r="BK193" s="42"/>
      <c r="BL193" s="38">
        <f t="shared" si="58"/>
        <v>0</v>
      </c>
      <c r="BM193" s="42"/>
      <c r="BN193" s="42"/>
      <c r="BO193" s="42"/>
      <c r="BP193" s="42"/>
      <c r="BR193" s="42">
        <f t="shared" si="59"/>
        <v>26442.660999999996</v>
      </c>
      <c r="BS193" s="43">
        <f t="shared" si="60"/>
        <v>2174.9030000000021</v>
      </c>
      <c r="BT193" s="42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  <c r="IM193" s="31"/>
      <c r="IN193" s="31"/>
      <c r="IO193" s="31"/>
      <c r="IP193" s="31"/>
      <c r="IQ193" s="31"/>
      <c r="IR193" s="31"/>
      <c r="IS193" s="31"/>
      <c r="IT193" s="31"/>
      <c r="IU193" s="31"/>
      <c r="IV193" s="31"/>
      <c r="IW193" s="31"/>
      <c r="IX193" s="31"/>
      <c r="IY193" s="31"/>
      <c r="IZ193" s="31"/>
      <c r="JA193" s="31"/>
      <c r="JB193" s="31"/>
      <c r="JC193" s="31"/>
      <c r="JD193" s="31"/>
      <c r="JE193" s="31"/>
      <c r="JF193" s="31"/>
      <c r="JG193" s="31"/>
      <c r="JH193" s="31"/>
      <c r="JI193" s="31"/>
      <c r="JJ193" s="31"/>
      <c r="JK193" s="31"/>
      <c r="JL193" s="31"/>
      <c r="JM193" s="31"/>
      <c r="JN193" s="31"/>
      <c r="JO193" s="31"/>
      <c r="JP193" s="31"/>
      <c r="JQ193" s="31"/>
      <c r="JR193" s="31"/>
      <c r="JS193" s="31"/>
      <c r="JT193" s="31"/>
      <c r="JU193" s="31"/>
      <c r="JV193" s="31"/>
      <c r="JW193" s="31"/>
      <c r="JX193" s="31"/>
      <c r="JY193" s="31"/>
      <c r="JZ193" s="31"/>
      <c r="KA193" s="31"/>
      <c r="KB193" s="31"/>
      <c r="KC193" s="31"/>
      <c r="KD193" s="31"/>
      <c r="KE193" s="31"/>
      <c r="KF193" s="31"/>
      <c r="KG193" s="31"/>
      <c r="KH193" s="31"/>
      <c r="KI193" s="31"/>
      <c r="KJ193" s="31"/>
      <c r="KK193" s="31"/>
      <c r="KL193" s="31"/>
      <c r="KM193" s="31"/>
      <c r="KN193" s="31"/>
      <c r="KO193" s="31"/>
      <c r="KP193" s="31"/>
      <c r="KQ193" s="31"/>
      <c r="KR193" s="31"/>
      <c r="KS193" s="31"/>
      <c r="KT193" s="31"/>
      <c r="KU193" s="31"/>
      <c r="KV193" s="31"/>
      <c r="KW193" s="31"/>
      <c r="KX193" s="31"/>
      <c r="KY193" s="31"/>
      <c r="KZ193" s="31"/>
      <c r="LA193" s="31"/>
      <c r="LB193" s="31"/>
      <c r="LC193" s="31"/>
      <c r="LD193" s="31"/>
      <c r="LE193" s="31"/>
      <c r="LF193" s="31"/>
      <c r="LG193" s="31"/>
      <c r="LH193" s="31"/>
      <c r="LI193" s="31"/>
      <c r="LJ193" s="31"/>
      <c r="LK193" s="31"/>
      <c r="LL193" s="31"/>
      <c r="LM193" s="31"/>
      <c r="LN193" s="31"/>
      <c r="LO193" s="31"/>
      <c r="LP193" s="31"/>
      <c r="LQ193" s="31"/>
      <c r="LR193" s="31"/>
      <c r="LS193" s="31"/>
      <c r="LT193" s="31"/>
      <c r="LU193" s="31"/>
      <c r="LV193" s="31"/>
      <c r="LW193" s="31"/>
      <c r="LX193" s="31"/>
      <c r="LY193" s="31"/>
      <c r="LZ193" s="31"/>
      <c r="MA193" s="31"/>
      <c r="MB193" s="31"/>
      <c r="MC193" s="31"/>
      <c r="MD193" s="31"/>
      <c r="ME193" s="31"/>
      <c r="MF193" s="31"/>
      <c r="MG193" s="31"/>
      <c r="MH193" s="31"/>
      <c r="MI193" s="31"/>
      <c r="MJ193" s="31"/>
      <c r="MK193" s="31"/>
      <c r="ML193" s="31"/>
      <c r="MM193" s="31"/>
      <c r="MN193" s="31"/>
      <c r="MO193" s="31"/>
      <c r="MP193" s="31"/>
      <c r="MQ193" s="31"/>
      <c r="MR193" s="31"/>
      <c r="MS193" s="31"/>
      <c r="MT193" s="31"/>
      <c r="MU193" s="31"/>
      <c r="MV193" s="31"/>
      <c r="MW193" s="31"/>
      <c r="MX193" s="31"/>
      <c r="MY193" s="31"/>
      <c r="MZ193" s="31"/>
      <c r="NA193" s="31"/>
      <c r="NB193" s="31"/>
      <c r="NC193" s="31"/>
      <c r="ND193" s="31"/>
      <c r="NE193" s="31"/>
      <c r="NF193" s="31"/>
      <c r="NG193" s="31"/>
      <c r="NH193" s="31"/>
      <c r="NI193" s="31"/>
      <c r="NJ193" s="31"/>
      <c r="NK193" s="31"/>
      <c r="NL193" s="31"/>
      <c r="NM193" s="31"/>
      <c r="NN193" s="31"/>
      <c r="NO193" s="31"/>
      <c r="NP193" s="31"/>
      <c r="NQ193" s="31"/>
      <c r="NR193" s="31"/>
      <c r="NS193" s="31"/>
      <c r="NT193" s="31"/>
      <c r="NU193" s="31"/>
      <c r="NV193" s="31"/>
      <c r="NW193" s="31"/>
      <c r="NX193" s="31"/>
      <c r="NY193" s="31"/>
      <c r="NZ193" s="31"/>
      <c r="OA193" s="31"/>
      <c r="OB193" s="31"/>
      <c r="OC193" s="31"/>
      <c r="OD193" s="31"/>
      <c r="OE193" s="31"/>
      <c r="OF193" s="31"/>
      <c r="OG193" s="31"/>
      <c r="OH193" s="31"/>
      <c r="OI193" s="31"/>
      <c r="OJ193" s="31"/>
      <c r="OK193" s="31"/>
      <c r="OL193" s="31"/>
      <c r="OM193" s="31"/>
      <c r="ON193" s="31"/>
      <c r="OO193" s="31"/>
      <c r="OP193" s="31"/>
      <c r="OQ193" s="31"/>
      <c r="OR193" s="31"/>
      <c r="OS193" s="31"/>
      <c r="OT193" s="31"/>
      <c r="OU193" s="31"/>
      <c r="OV193" s="31"/>
      <c r="OW193" s="31"/>
      <c r="OX193" s="31"/>
    </row>
    <row r="194" spans="2:414" s="25" customFormat="1" ht="15.6">
      <c r="B194" s="25" t="s">
        <v>296</v>
      </c>
      <c r="C194" s="27" t="s">
        <v>297</v>
      </c>
      <c r="D194" s="30" t="s">
        <v>291</v>
      </c>
      <c r="G194" s="42">
        <v>500</v>
      </c>
      <c r="H194" s="89">
        <v>26.109000000000002</v>
      </c>
      <c r="I194" s="38">
        <f t="shared" si="52"/>
        <v>13054.5</v>
      </c>
      <c r="K194" s="42">
        <v>500</v>
      </c>
      <c r="L194" s="90">
        <v>26.849599999999999</v>
      </c>
      <c r="M194" s="38">
        <f t="shared" si="53"/>
        <v>13424.8</v>
      </c>
      <c r="O194" s="38">
        <v>80</v>
      </c>
      <c r="P194" s="38">
        <v>26.728300000000001</v>
      </c>
      <c r="Q194" s="38">
        <f t="shared" si="54"/>
        <v>2138.2640000000001</v>
      </c>
      <c r="R194" s="43">
        <f t="shared" si="66"/>
        <v>1080</v>
      </c>
      <c r="S194" s="38">
        <f t="shared" si="55"/>
        <v>28617.563999999998</v>
      </c>
      <c r="T194" s="49">
        <v>415</v>
      </c>
      <c r="U194" s="42">
        <v>26.283100000000001</v>
      </c>
      <c r="V194" s="38">
        <f t="shared" si="64"/>
        <v>10907.486500000001</v>
      </c>
      <c r="W194" s="42">
        <v>85</v>
      </c>
      <c r="X194" s="42">
        <v>26.283100000000001</v>
      </c>
      <c r="Y194" s="42">
        <f t="shared" si="68"/>
        <v>2234.0635000000002</v>
      </c>
      <c r="Z194" s="42">
        <v>300</v>
      </c>
      <c r="AA194" s="42">
        <v>26.856000000000002</v>
      </c>
      <c r="AB194" s="42">
        <f t="shared" si="69"/>
        <v>8056.8</v>
      </c>
      <c r="AD194" s="42">
        <v>100</v>
      </c>
      <c r="AE194" s="42">
        <v>26.840599999999998</v>
      </c>
      <c r="AF194" s="42">
        <f t="shared" si="67"/>
        <v>2684.06</v>
      </c>
      <c r="AG194" s="42"/>
      <c r="AH194" s="42">
        <v>100</v>
      </c>
      <c r="AI194" s="42">
        <v>26.934999999999999</v>
      </c>
      <c r="AJ194" s="42">
        <f>AH194*AI194</f>
        <v>2693.5</v>
      </c>
      <c r="AL194" s="42"/>
      <c r="AM194" s="42"/>
      <c r="AN194" s="42"/>
      <c r="AO194" s="44"/>
      <c r="AP194" s="42"/>
      <c r="AQ194" s="42"/>
      <c r="AR194" s="42"/>
      <c r="AU194" s="98"/>
      <c r="AV194" s="35"/>
      <c r="AW194" s="104"/>
      <c r="AX194" s="42"/>
      <c r="AY194" s="42"/>
      <c r="AZ194" s="42">
        <f t="shared" si="70"/>
        <v>0</v>
      </c>
      <c r="BA194" s="42"/>
      <c r="BB194" s="42"/>
      <c r="BC194" s="42"/>
      <c r="BD194" s="38">
        <f t="shared" si="56"/>
        <v>0</v>
      </c>
      <c r="BE194" s="42"/>
      <c r="BF194" s="42"/>
      <c r="BG194" s="42"/>
      <c r="BH194" s="38">
        <f t="shared" si="57"/>
        <v>0</v>
      </c>
      <c r="BI194" s="42"/>
      <c r="BJ194" s="42"/>
      <c r="BK194" s="42"/>
      <c r="BL194" s="38">
        <f t="shared" si="58"/>
        <v>0</v>
      </c>
      <c r="BM194" s="42"/>
      <c r="BN194" s="42"/>
      <c r="BO194" s="42"/>
      <c r="BP194" s="42"/>
      <c r="BR194" s="42">
        <f t="shared" si="59"/>
        <v>26575.910000000003</v>
      </c>
      <c r="BS194" s="43">
        <f t="shared" si="60"/>
        <v>2041.653999999995</v>
      </c>
      <c r="BT194" s="42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  <c r="IM194" s="31"/>
      <c r="IN194" s="31"/>
      <c r="IO194" s="31"/>
      <c r="IP194" s="31"/>
      <c r="IQ194" s="31"/>
      <c r="IR194" s="31"/>
      <c r="IS194" s="31"/>
      <c r="IT194" s="31"/>
      <c r="IU194" s="31"/>
      <c r="IV194" s="31"/>
      <c r="IW194" s="31"/>
      <c r="IX194" s="31"/>
      <c r="IY194" s="31"/>
      <c r="IZ194" s="31"/>
      <c r="JA194" s="31"/>
      <c r="JB194" s="31"/>
      <c r="JC194" s="31"/>
      <c r="JD194" s="31"/>
      <c r="JE194" s="31"/>
      <c r="JF194" s="31"/>
      <c r="JG194" s="31"/>
      <c r="JH194" s="31"/>
      <c r="JI194" s="31"/>
      <c r="JJ194" s="31"/>
      <c r="JK194" s="31"/>
      <c r="JL194" s="31"/>
      <c r="JM194" s="31"/>
      <c r="JN194" s="31"/>
      <c r="JO194" s="31"/>
      <c r="JP194" s="31"/>
      <c r="JQ194" s="31"/>
      <c r="JR194" s="31"/>
      <c r="JS194" s="31"/>
      <c r="JT194" s="31"/>
      <c r="JU194" s="31"/>
      <c r="JV194" s="31"/>
      <c r="JW194" s="31"/>
      <c r="JX194" s="31"/>
      <c r="JY194" s="31"/>
      <c r="JZ194" s="31"/>
      <c r="KA194" s="31"/>
      <c r="KB194" s="31"/>
      <c r="KC194" s="31"/>
      <c r="KD194" s="31"/>
      <c r="KE194" s="31"/>
      <c r="KF194" s="31"/>
      <c r="KG194" s="31"/>
      <c r="KH194" s="31"/>
      <c r="KI194" s="31"/>
      <c r="KJ194" s="31"/>
      <c r="KK194" s="31"/>
      <c r="KL194" s="31"/>
      <c r="KM194" s="31"/>
      <c r="KN194" s="31"/>
      <c r="KO194" s="31"/>
      <c r="KP194" s="31"/>
      <c r="KQ194" s="31"/>
      <c r="KR194" s="31"/>
      <c r="KS194" s="31"/>
      <c r="KT194" s="31"/>
      <c r="KU194" s="31"/>
      <c r="KV194" s="31"/>
      <c r="KW194" s="31"/>
      <c r="KX194" s="31"/>
      <c r="KY194" s="31"/>
      <c r="KZ194" s="31"/>
      <c r="LA194" s="31"/>
      <c r="LB194" s="31"/>
      <c r="LC194" s="31"/>
      <c r="LD194" s="31"/>
      <c r="LE194" s="31"/>
      <c r="LF194" s="31"/>
      <c r="LG194" s="31"/>
      <c r="LH194" s="31"/>
      <c r="LI194" s="31"/>
      <c r="LJ194" s="31"/>
      <c r="LK194" s="31"/>
      <c r="LL194" s="31"/>
      <c r="LM194" s="31"/>
      <c r="LN194" s="31"/>
      <c r="LO194" s="31"/>
      <c r="LP194" s="31"/>
      <c r="LQ194" s="31"/>
      <c r="LR194" s="31"/>
      <c r="LS194" s="31"/>
      <c r="LT194" s="31"/>
      <c r="LU194" s="31"/>
      <c r="LV194" s="31"/>
      <c r="LW194" s="31"/>
      <c r="LX194" s="31"/>
      <c r="LY194" s="31"/>
      <c r="LZ194" s="31"/>
      <c r="MA194" s="31"/>
      <c r="MB194" s="31"/>
      <c r="MC194" s="31"/>
      <c r="MD194" s="31"/>
      <c r="ME194" s="31"/>
      <c r="MF194" s="31"/>
      <c r="MG194" s="31"/>
      <c r="MH194" s="31"/>
      <c r="MI194" s="31"/>
      <c r="MJ194" s="31"/>
      <c r="MK194" s="31"/>
      <c r="ML194" s="31"/>
      <c r="MM194" s="31"/>
      <c r="MN194" s="31"/>
      <c r="MO194" s="31"/>
      <c r="MP194" s="31"/>
      <c r="MQ194" s="31"/>
      <c r="MR194" s="31"/>
      <c r="MS194" s="31"/>
      <c r="MT194" s="31"/>
      <c r="MU194" s="31"/>
      <c r="MV194" s="31"/>
      <c r="MW194" s="31"/>
      <c r="MX194" s="31"/>
      <c r="MY194" s="31"/>
      <c r="MZ194" s="31"/>
      <c r="NA194" s="31"/>
      <c r="NB194" s="31"/>
      <c r="NC194" s="31"/>
      <c r="ND194" s="31"/>
      <c r="NE194" s="31"/>
      <c r="NF194" s="31"/>
      <c r="NG194" s="31"/>
      <c r="NH194" s="31"/>
      <c r="NI194" s="31"/>
      <c r="NJ194" s="31"/>
      <c r="NK194" s="31"/>
      <c r="NL194" s="31"/>
      <c r="NM194" s="31"/>
      <c r="NN194" s="31"/>
      <c r="NO194" s="31"/>
      <c r="NP194" s="31"/>
      <c r="NQ194" s="31"/>
      <c r="NR194" s="31"/>
      <c r="NS194" s="31"/>
      <c r="NT194" s="31"/>
      <c r="NU194" s="31"/>
      <c r="NV194" s="31"/>
      <c r="NW194" s="31"/>
      <c r="NX194" s="31"/>
      <c r="NY194" s="31"/>
      <c r="NZ194" s="31"/>
      <c r="OA194" s="31"/>
      <c r="OB194" s="31"/>
      <c r="OC194" s="31"/>
      <c r="OD194" s="31"/>
      <c r="OE194" s="31"/>
      <c r="OF194" s="31"/>
      <c r="OG194" s="31"/>
      <c r="OH194" s="31"/>
      <c r="OI194" s="31"/>
      <c r="OJ194" s="31"/>
      <c r="OK194" s="31"/>
      <c r="OL194" s="31"/>
      <c r="OM194" s="31"/>
      <c r="ON194" s="31"/>
      <c r="OO194" s="31"/>
      <c r="OP194" s="31"/>
      <c r="OQ194" s="31"/>
      <c r="OR194" s="31"/>
      <c r="OS194" s="31"/>
      <c r="OT194" s="31"/>
      <c r="OU194" s="31"/>
      <c r="OV194" s="31"/>
      <c r="OW194" s="31"/>
      <c r="OX194" s="31"/>
    </row>
    <row r="195" spans="2:414" s="25" customFormat="1" ht="15.6">
      <c r="B195" s="25" t="s">
        <v>61</v>
      </c>
      <c r="C195" s="27" t="s">
        <v>60</v>
      </c>
      <c r="D195" s="30" t="s">
        <v>291</v>
      </c>
      <c r="G195" s="42">
        <v>500</v>
      </c>
      <c r="H195" s="89">
        <v>26.109000000000002</v>
      </c>
      <c r="I195" s="38">
        <f t="shared" si="52"/>
        <v>13054.5</v>
      </c>
      <c r="K195" s="42">
        <v>500</v>
      </c>
      <c r="L195" s="90">
        <v>26.849599999999999</v>
      </c>
      <c r="M195" s="38">
        <f t="shared" si="53"/>
        <v>13424.8</v>
      </c>
      <c r="O195" s="38">
        <v>80</v>
      </c>
      <c r="P195" s="38">
        <v>26.728300000000001</v>
      </c>
      <c r="Q195" s="38">
        <f t="shared" si="54"/>
        <v>2138.2640000000001</v>
      </c>
      <c r="R195" s="43">
        <f t="shared" si="66"/>
        <v>1080</v>
      </c>
      <c r="S195" s="38">
        <f t="shared" si="55"/>
        <v>28617.563999999998</v>
      </c>
      <c r="T195" s="49"/>
      <c r="U195" s="42"/>
      <c r="V195" s="38">
        <f t="shared" si="64"/>
        <v>0</v>
      </c>
      <c r="W195" s="42"/>
      <c r="X195" s="42"/>
      <c r="Y195" s="42">
        <f t="shared" si="68"/>
        <v>0</v>
      </c>
      <c r="Z195" s="42"/>
      <c r="AA195" s="42"/>
      <c r="AB195" s="42">
        <f t="shared" si="69"/>
        <v>0</v>
      </c>
      <c r="AD195" s="42"/>
      <c r="AE195" s="42"/>
      <c r="AF195" s="42">
        <f t="shared" si="67"/>
        <v>0</v>
      </c>
      <c r="AG195" s="42"/>
      <c r="AH195" s="42"/>
      <c r="AI195" s="42"/>
      <c r="AJ195" s="42"/>
      <c r="AL195" s="42"/>
      <c r="AM195" s="42"/>
      <c r="AN195" s="42"/>
      <c r="AO195" s="44"/>
      <c r="AP195" s="42"/>
      <c r="AQ195" s="42"/>
      <c r="AR195" s="42"/>
      <c r="AU195" s="98"/>
      <c r="AV195" s="35"/>
      <c r="AW195" s="104"/>
      <c r="AX195" s="42"/>
      <c r="AY195" s="42"/>
      <c r="AZ195" s="42">
        <f t="shared" si="70"/>
        <v>0</v>
      </c>
      <c r="BA195" s="42"/>
      <c r="BB195" s="42"/>
      <c r="BC195" s="42"/>
      <c r="BD195" s="38">
        <f t="shared" si="56"/>
        <v>0</v>
      </c>
      <c r="BE195" s="42"/>
      <c r="BF195" s="42"/>
      <c r="BG195" s="42"/>
      <c r="BH195" s="38">
        <f t="shared" si="57"/>
        <v>0</v>
      </c>
      <c r="BI195" s="42"/>
      <c r="BJ195" s="42"/>
      <c r="BK195" s="42"/>
      <c r="BL195" s="38">
        <f t="shared" si="58"/>
        <v>0</v>
      </c>
      <c r="BM195" s="42"/>
      <c r="BN195" s="42"/>
      <c r="BO195" s="42"/>
      <c r="BP195" s="42"/>
      <c r="BR195" s="42">
        <f t="shared" si="59"/>
        <v>0</v>
      </c>
      <c r="BS195" s="43">
        <f t="shared" si="60"/>
        <v>28617.563999999998</v>
      </c>
      <c r="BT195" s="42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  <c r="IM195" s="31"/>
      <c r="IN195" s="31"/>
      <c r="IO195" s="31"/>
      <c r="IP195" s="31"/>
      <c r="IQ195" s="31"/>
      <c r="IR195" s="31"/>
      <c r="IS195" s="31"/>
      <c r="IT195" s="31"/>
      <c r="IU195" s="31"/>
      <c r="IV195" s="31"/>
      <c r="IW195" s="31"/>
      <c r="IX195" s="31"/>
      <c r="IY195" s="31"/>
      <c r="IZ195" s="31"/>
      <c r="JA195" s="31"/>
      <c r="JB195" s="31"/>
      <c r="JC195" s="31"/>
      <c r="JD195" s="31"/>
      <c r="JE195" s="31"/>
      <c r="JF195" s="31"/>
      <c r="JG195" s="31"/>
      <c r="JH195" s="31"/>
      <c r="JI195" s="31"/>
      <c r="JJ195" s="31"/>
      <c r="JK195" s="31"/>
      <c r="JL195" s="31"/>
      <c r="JM195" s="31"/>
      <c r="JN195" s="31"/>
      <c r="JO195" s="31"/>
      <c r="JP195" s="31"/>
      <c r="JQ195" s="31"/>
      <c r="JR195" s="31"/>
      <c r="JS195" s="31"/>
      <c r="JT195" s="31"/>
      <c r="JU195" s="31"/>
      <c r="JV195" s="31"/>
      <c r="JW195" s="31"/>
      <c r="JX195" s="31"/>
      <c r="JY195" s="31"/>
      <c r="JZ195" s="31"/>
      <c r="KA195" s="31"/>
      <c r="KB195" s="31"/>
      <c r="KC195" s="31"/>
      <c r="KD195" s="31"/>
      <c r="KE195" s="31"/>
      <c r="KF195" s="31"/>
      <c r="KG195" s="31"/>
      <c r="KH195" s="31"/>
      <c r="KI195" s="31"/>
      <c r="KJ195" s="31"/>
      <c r="KK195" s="31"/>
      <c r="KL195" s="31"/>
      <c r="KM195" s="31"/>
      <c r="KN195" s="31"/>
      <c r="KO195" s="31"/>
      <c r="KP195" s="31"/>
      <c r="KQ195" s="31"/>
      <c r="KR195" s="31"/>
      <c r="KS195" s="31"/>
      <c r="KT195" s="31"/>
      <c r="KU195" s="31"/>
      <c r="KV195" s="31"/>
      <c r="KW195" s="31"/>
      <c r="KX195" s="31"/>
      <c r="KY195" s="31"/>
      <c r="KZ195" s="31"/>
      <c r="LA195" s="31"/>
      <c r="LB195" s="31"/>
      <c r="LC195" s="31"/>
      <c r="LD195" s="31"/>
      <c r="LE195" s="31"/>
      <c r="LF195" s="31"/>
      <c r="LG195" s="31"/>
      <c r="LH195" s="31"/>
      <c r="LI195" s="31"/>
      <c r="LJ195" s="31"/>
      <c r="LK195" s="31"/>
      <c r="LL195" s="31"/>
      <c r="LM195" s="31"/>
      <c r="LN195" s="31"/>
      <c r="LO195" s="31"/>
      <c r="LP195" s="31"/>
      <c r="LQ195" s="31"/>
      <c r="LR195" s="31"/>
      <c r="LS195" s="31"/>
      <c r="LT195" s="31"/>
      <c r="LU195" s="31"/>
      <c r="LV195" s="31"/>
      <c r="LW195" s="31"/>
      <c r="LX195" s="31"/>
      <c r="LY195" s="31"/>
      <c r="LZ195" s="31"/>
      <c r="MA195" s="31"/>
      <c r="MB195" s="31"/>
      <c r="MC195" s="31"/>
      <c r="MD195" s="31"/>
      <c r="ME195" s="31"/>
      <c r="MF195" s="31"/>
      <c r="MG195" s="31"/>
      <c r="MH195" s="31"/>
      <c r="MI195" s="31"/>
      <c r="MJ195" s="31"/>
      <c r="MK195" s="31"/>
      <c r="ML195" s="31"/>
      <c r="MM195" s="31"/>
      <c r="MN195" s="31"/>
      <c r="MO195" s="31"/>
      <c r="MP195" s="31"/>
      <c r="MQ195" s="31"/>
      <c r="MR195" s="31"/>
      <c r="MS195" s="31"/>
      <c r="MT195" s="31"/>
      <c r="MU195" s="31"/>
      <c r="MV195" s="31"/>
      <c r="MW195" s="31"/>
      <c r="MX195" s="31"/>
      <c r="MY195" s="31"/>
      <c r="MZ195" s="31"/>
      <c r="NA195" s="31"/>
      <c r="NB195" s="31"/>
      <c r="NC195" s="31"/>
      <c r="ND195" s="31"/>
      <c r="NE195" s="31"/>
      <c r="NF195" s="31"/>
      <c r="NG195" s="31"/>
      <c r="NH195" s="31"/>
      <c r="NI195" s="31"/>
      <c r="NJ195" s="31"/>
      <c r="NK195" s="31"/>
      <c r="NL195" s="31"/>
      <c r="NM195" s="31"/>
      <c r="NN195" s="31"/>
      <c r="NO195" s="31"/>
      <c r="NP195" s="31"/>
      <c r="NQ195" s="31"/>
      <c r="NR195" s="31"/>
      <c r="NS195" s="31"/>
      <c r="NT195" s="31"/>
      <c r="NU195" s="31"/>
      <c r="NV195" s="31"/>
      <c r="NW195" s="31"/>
      <c r="NX195" s="31"/>
      <c r="NY195" s="31"/>
      <c r="NZ195" s="31"/>
      <c r="OA195" s="31"/>
      <c r="OB195" s="31"/>
      <c r="OC195" s="31"/>
      <c r="OD195" s="31"/>
      <c r="OE195" s="31"/>
      <c r="OF195" s="31"/>
      <c r="OG195" s="31"/>
      <c r="OH195" s="31"/>
      <c r="OI195" s="31"/>
      <c r="OJ195" s="31"/>
      <c r="OK195" s="31"/>
      <c r="OL195" s="31"/>
      <c r="OM195" s="31"/>
      <c r="ON195" s="31"/>
      <c r="OO195" s="31"/>
      <c r="OP195" s="31"/>
      <c r="OQ195" s="31"/>
      <c r="OR195" s="31"/>
      <c r="OS195" s="31"/>
      <c r="OT195" s="31"/>
      <c r="OU195" s="31"/>
      <c r="OV195" s="31"/>
      <c r="OW195" s="31"/>
      <c r="OX195" s="31"/>
    </row>
    <row r="196" spans="2:414" s="25" customFormat="1" ht="15.6">
      <c r="B196" s="25" t="s">
        <v>299</v>
      </c>
      <c r="C196" s="27" t="s">
        <v>298</v>
      </c>
      <c r="D196" s="30" t="s">
        <v>291</v>
      </c>
      <c r="G196" s="42">
        <v>500</v>
      </c>
      <c r="H196" s="89">
        <v>26.109000000000002</v>
      </c>
      <c r="I196" s="38">
        <f t="shared" si="52"/>
        <v>13054.5</v>
      </c>
      <c r="K196" s="42"/>
      <c r="L196" s="90">
        <v>26.849599999999999</v>
      </c>
      <c r="M196" s="38">
        <f t="shared" si="53"/>
        <v>0</v>
      </c>
      <c r="O196" s="38">
        <v>80</v>
      </c>
      <c r="P196" s="38">
        <v>26.728300000000001</v>
      </c>
      <c r="Q196" s="38">
        <f t="shared" si="54"/>
        <v>2138.2640000000001</v>
      </c>
      <c r="R196" s="43">
        <f t="shared" si="66"/>
        <v>580</v>
      </c>
      <c r="S196" s="38">
        <f t="shared" si="55"/>
        <v>15192.763999999999</v>
      </c>
      <c r="T196" s="49">
        <v>80</v>
      </c>
      <c r="U196" s="42"/>
      <c r="V196" s="38">
        <f t="shared" si="64"/>
        <v>0</v>
      </c>
      <c r="W196" s="42">
        <v>5</v>
      </c>
      <c r="X196" s="42"/>
      <c r="Y196" s="42">
        <f t="shared" si="68"/>
        <v>0</v>
      </c>
      <c r="Z196" s="42">
        <v>50</v>
      </c>
      <c r="AA196" s="42"/>
      <c r="AB196" s="42">
        <f t="shared" si="69"/>
        <v>0</v>
      </c>
      <c r="AD196" s="42">
        <v>215</v>
      </c>
      <c r="AE196" s="42">
        <v>26.023700000000002</v>
      </c>
      <c r="AF196" s="42">
        <f t="shared" si="67"/>
        <v>5595.0955000000004</v>
      </c>
      <c r="AG196" s="42"/>
      <c r="AH196" s="42">
        <v>150</v>
      </c>
      <c r="AI196" s="42">
        <v>26.94</v>
      </c>
      <c r="AJ196" s="42">
        <f>AH196*AI196</f>
        <v>4041</v>
      </c>
      <c r="AL196" s="42"/>
      <c r="AM196" s="42"/>
      <c r="AN196" s="42"/>
      <c r="AO196" s="44"/>
      <c r="AP196" s="42"/>
      <c r="AQ196" s="42"/>
      <c r="AR196" s="42"/>
      <c r="AU196" s="98"/>
      <c r="AV196" s="35"/>
      <c r="AW196" s="104"/>
      <c r="AX196" s="42"/>
      <c r="AY196" s="42"/>
      <c r="AZ196" s="42">
        <f t="shared" si="70"/>
        <v>0</v>
      </c>
      <c r="BA196" s="42"/>
      <c r="BB196" s="42"/>
      <c r="BC196" s="42"/>
      <c r="BD196" s="38">
        <f t="shared" si="56"/>
        <v>0</v>
      </c>
      <c r="BE196" s="42"/>
      <c r="BF196" s="42"/>
      <c r="BG196" s="42"/>
      <c r="BH196" s="38">
        <f t="shared" si="57"/>
        <v>0</v>
      </c>
      <c r="BI196" s="42"/>
      <c r="BJ196" s="42"/>
      <c r="BK196" s="42"/>
      <c r="BL196" s="38">
        <f t="shared" si="58"/>
        <v>0</v>
      </c>
      <c r="BM196" s="42"/>
      <c r="BN196" s="42"/>
      <c r="BO196" s="42"/>
      <c r="BP196" s="42"/>
      <c r="BR196" s="42">
        <f t="shared" si="59"/>
        <v>9636.0954999999994</v>
      </c>
      <c r="BS196" s="43">
        <f t="shared" si="60"/>
        <v>5556.6684999999998</v>
      </c>
      <c r="BT196" s="42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  <c r="IM196" s="31"/>
      <c r="IN196" s="31"/>
      <c r="IO196" s="31"/>
      <c r="IP196" s="31"/>
      <c r="IQ196" s="31"/>
      <c r="IR196" s="31"/>
      <c r="IS196" s="31"/>
      <c r="IT196" s="31"/>
      <c r="IU196" s="31"/>
      <c r="IV196" s="31"/>
      <c r="IW196" s="31"/>
      <c r="IX196" s="31"/>
      <c r="IY196" s="31"/>
      <c r="IZ196" s="31"/>
      <c r="JA196" s="31"/>
      <c r="JB196" s="31"/>
      <c r="JC196" s="31"/>
      <c r="JD196" s="31"/>
      <c r="JE196" s="31"/>
      <c r="JF196" s="31"/>
      <c r="JG196" s="31"/>
      <c r="JH196" s="31"/>
      <c r="JI196" s="31"/>
      <c r="JJ196" s="31"/>
      <c r="JK196" s="31"/>
      <c r="JL196" s="31"/>
      <c r="JM196" s="31"/>
      <c r="JN196" s="31"/>
      <c r="JO196" s="31"/>
      <c r="JP196" s="31"/>
      <c r="JQ196" s="31"/>
      <c r="JR196" s="31"/>
      <c r="JS196" s="31"/>
      <c r="JT196" s="31"/>
      <c r="JU196" s="31"/>
      <c r="JV196" s="31"/>
      <c r="JW196" s="31"/>
      <c r="JX196" s="31"/>
      <c r="JY196" s="31"/>
      <c r="JZ196" s="31"/>
      <c r="KA196" s="31"/>
      <c r="KB196" s="31"/>
      <c r="KC196" s="31"/>
      <c r="KD196" s="31"/>
      <c r="KE196" s="31"/>
      <c r="KF196" s="31"/>
      <c r="KG196" s="31"/>
      <c r="KH196" s="31"/>
      <c r="KI196" s="31"/>
      <c r="KJ196" s="31"/>
      <c r="KK196" s="31"/>
      <c r="KL196" s="31"/>
      <c r="KM196" s="31"/>
      <c r="KN196" s="31"/>
      <c r="KO196" s="31"/>
      <c r="KP196" s="31"/>
      <c r="KQ196" s="31"/>
      <c r="KR196" s="31"/>
      <c r="KS196" s="31"/>
      <c r="KT196" s="31"/>
      <c r="KU196" s="31"/>
      <c r="KV196" s="31"/>
      <c r="KW196" s="31"/>
      <c r="KX196" s="31"/>
      <c r="KY196" s="31"/>
      <c r="KZ196" s="31"/>
      <c r="LA196" s="31"/>
      <c r="LB196" s="31"/>
      <c r="LC196" s="31"/>
      <c r="LD196" s="31"/>
      <c r="LE196" s="31"/>
      <c r="LF196" s="31"/>
      <c r="LG196" s="31"/>
      <c r="LH196" s="31"/>
      <c r="LI196" s="31"/>
      <c r="LJ196" s="31"/>
      <c r="LK196" s="31"/>
      <c r="LL196" s="31"/>
      <c r="LM196" s="31"/>
      <c r="LN196" s="31"/>
      <c r="LO196" s="31"/>
      <c r="LP196" s="31"/>
      <c r="LQ196" s="31"/>
      <c r="LR196" s="31"/>
      <c r="LS196" s="31"/>
      <c r="LT196" s="31"/>
      <c r="LU196" s="31"/>
      <c r="LV196" s="31"/>
      <c r="LW196" s="31"/>
      <c r="LX196" s="31"/>
      <c r="LY196" s="31"/>
      <c r="LZ196" s="31"/>
      <c r="MA196" s="31"/>
      <c r="MB196" s="31"/>
      <c r="MC196" s="31"/>
      <c r="MD196" s="31"/>
      <c r="ME196" s="31"/>
      <c r="MF196" s="31"/>
      <c r="MG196" s="31"/>
      <c r="MH196" s="31"/>
      <c r="MI196" s="31"/>
      <c r="MJ196" s="31"/>
      <c r="MK196" s="31"/>
      <c r="ML196" s="31"/>
      <c r="MM196" s="31"/>
      <c r="MN196" s="31"/>
      <c r="MO196" s="31"/>
      <c r="MP196" s="31"/>
      <c r="MQ196" s="31"/>
      <c r="MR196" s="31"/>
      <c r="MS196" s="31"/>
      <c r="MT196" s="31"/>
      <c r="MU196" s="31"/>
      <c r="MV196" s="31"/>
      <c r="MW196" s="31"/>
      <c r="MX196" s="31"/>
      <c r="MY196" s="31"/>
      <c r="MZ196" s="31"/>
      <c r="NA196" s="31"/>
      <c r="NB196" s="31"/>
      <c r="NC196" s="31"/>
      <c r="ND196" s="31"/>
      <c r="NE196" s="31"/>
      <c r="NF196" s="31"/>
      <c r="NG196" s="31"/>
      <c r="NH196" s="31"/>
      <c r="NI196" s="31"/>
      <c r="NJ196" s="31"/>
      <c r="NK196" s="31"/>
      <c r="NL196" s="31"/>
      <c r="NM196" s="31"/>
      <c r="NN196" s="31"/>
      <c r="NO196" s="31"/>
      <c r="NP196" s="31"/>
      <c r="NQ196" s="31"/>
      <c r="NR196" s="31"/>
      <c r="NS196" s="31"/>
      <c r="NT196" s="31"/>
      <c r="NU196" s="31"/>
      <c r="NV196" s="31"/>
      <c r="NW196" s="31"/>
      <c r="NX196" s="31"/>
      <c r="NY196" s="31"/>
      <c r="NZ196" s="31"/>
      <c r="OA196" s="31"/>
      <c r="OB196" s="31"/>
      <c r="OC196" s="31"/>
      <c r="OD196" s="31"/>
      <c r="OE196" s="31"/>
      <c r="OF196" s="31"/>
      <c r="OG196" s="31"/>
      <c r="OH196" s="31"/>
      <c r="OI196" s="31"/>
      <c r="OJ196" s="31"/>
      <c r="OK196" s="31"/>
      <c r="OL196" s="31"/>
      <c r="OM196" s="31"/>
      <c r="ON196" s="31"/>
      <c r="OO196" s="31"/>
      <c r="OP196" s="31"/>
      <c r="OQ196" s="31"/>
      <c r="OR196" s="31"/>
      <c r="OS196" s="31"/>
      <c r="OT196" s="31"/>
      <c r="OU196" s="31"/>
      <c r="OV196" s="31"/>
      <c r="OW196" s="31"/>
      <c r="OX196" s="31"/>
    </row>
    <row r="197" spans="2:414" s="25" customFormat="1" ht="15.6">
      <c r="B197" s="25" t="s">
        <v>300</v>
      </c>
      <c r="C197" s="27" t="s">
        <v>301</v>
      </c>
      <c r="D197" s="30" t="s">
        <v>291</v>
      </c>
      <c r="G197" s="42">
        <v>500</v>
      </c>
      <c r="H197" s="89">
        <v>26.109000000000002</v>
      </c>
      <c r="I197" s="38">
        <f t="shared" si="52"/>
        <v>13054.5</v>
      </c>
      <c r="K197" s="42">
        <v>500</v>
      </c>
      <c r="L197" s="90">
        <v>26.849599999999999</v>
      </c>
      <c r="M197" s="38">
        <f t="shared" si="53"/>
        <v>13424.8</v>
      </c>
      <c r="O197" s="38">
        <v>80</v>
      </c>
      <c r="P197" s="38">
        <v>26.728300000000001</v>
      </c>
      <c r="Q197" s="38">
        <f t="shared" si="54"/>
        <v>2138.2640000000001</v>
      </c>
      <c r="R197" s="43">
        <f t="shared" ref="R197:R259" si="71">G197+K197+O197</f>
        <v>1080</v>
      </c>
      <c r="S197" s="38">
        <f t="shared" si="55"/>
        <v>28617.563999999998</v>
      </c>
      <c r="T197" s="49">
        <v>155</v>
      </c>
      <c r="U197" s="42">
        <v>26.885300000000001</v>
      </c>
      <c r="V197" s="38">
        <f t="shared" si="64"/>
        <v>4167.2215000000006</v>
      </c>
      <c r="W197" s="42">
        <v>100</v>
      </c>
      <c r="X197" s="42">
        <v>26.816700000000001</v>
      </c>
      <c r="Y197" s="42">
        <f t="shared" si="68"/>
        <v>2681.67</v>
      </c>
      <c r="Z197" s="42">
        <v>95</v>
      </c>
      <c r="AA197" s="42"/>
      <c r="AB197" s="42">
        <f t="shared" si="69"/>
        <v>0</v>
      </c>
      <c r="AD197" s="42">
        <v>85</v>
      </c>
      <c r="AE197" s="42">
        <v>26.283100000000001</v>
      </c>
      <c r="AF197" s="42">
        <f t="shared" si="67"/>
        <v>2234.0635000000002</v>
      </c>
      <c r="AG197" s="42"/>
      <c r="AH197" s="42"/>
      <c r="AI197" s="42"/>
      <c r="AJ197" s="42"/>
      <c r="AL197" s="42"/>
      <c r="AM197" s="42"/>
      <c r="AN197" s="42"/>
      <c r="AO197" s="44"/>
      <c r="AP197" s="42"/>
      <c r="AQ197" s="42"/>
      <c r="AR197" s="42"/>
      <c r="AU197" s="98"/>
      <c r="AV197" s="35"/>
      <c r="AW197" s="104"/>
      <c r="AX197" s="42"/>
      <c r="AY197" s="42"/>
      <c r="AZ197" s="42">
        <f t="shared" si="70"/>
        <v>0</v>
      </c>
      <c r="BA197" s="42"/>
      <c r="BB197" s="42"/>
      <c r="BC197" s="42"/>
      <c r="BD197" s="38">
        <f t="shared" si="56"/>
        <v>0</v>
      </c>
      <c r="BE197" s="42"/>
      <c r="BF197" s="42"/>
      <c r="BG197" s="42"/>
      <c r="BH197" s="38">
        <f t="shared" si="57"/>
        <v>0</v>
      </c>
      <c r="BI197" s="42"/>
      <c r="BJ197" s="42"/>
      <c r="BK197" s="42"/>
      <c r="BL197" s="38">
        <f t="shared" si="58"/>
        <v>0</v>
      </c>
      <c r="BM197" s="42"/>
      <c r="BN197" s="42"/>
      <c r="BO197" s="42"/>
      <c r="BP197" s="42"/>
      <c r="BR197" s="42">
        <f t="shared" si="59"/>
        <v>9082.9550000000017</v>
      </c>
      <c r="BS197" s="43">
        <f t="shared" si="60"/>
        <v>19534.608999999997</v>
      </c>
      <c r="BT197" s="42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  <c r="IM197" s="31"/>
      <c r="IN197" s="31"/>
      <c r="IO197" s="31"/>
      <c r="IP197" s="31"/>
      <c r="IQ197" s="31"/>
      <c r="IR197" s="31"/>
      <c r="IS197" s="31"/>
      <c r="IT197" s="31"/>
      <c r="IU197" s="31"/>
      <c r="IV197" s="31"/>
      <c r="IW197" s="31"/>
      <c r="IX197" s="31"/>
      <c r="IY197" s="31"/>
      <c r="IZ197" s="31"/>
      <c r="JA197" s="31"/>
      <c r="JB197" s="31"/>
      <c r="JC197" s="31"/>
      <c r="JD197" s="31"/>
      <c r="JE197" s="31"/>
      <c r="JF197" s="31"/>
      <c r="JG197" s="31"/>
      <c r="JH197" s="31"/>
      <c r="JI197" s="31"/>
      <c r="JJ197" s="31"/>
      <c r="JK197" s="31"/>
      <c r="JL197" s="31"/>
      <c r="JM197" s="31"/>
      <c r="JN197" s="31"/>
      <c r="JO197" s="31"/>
      <c r="JP197" s="31"/>
      <c r="JQ197" s="31"/>
      <c r="JR197" s="31"/>
      <c r="JS197" s="31"/>
      <c r="JT197" s="31"/>
      <c r="JU197" s="31"/>
      <c r="JV197" s="31"/>
      <c r="JW197" s="31"/>
      <c r="JX197" s="31"/>
      <c r="JY197" s="31"/>
      <c r="JZ197" s="31"/>
      <c r="KA197" s="31"/>
      <c r="KB197" s="31"/>
      <c r="KC197" s="31"/>
      <c r="KD197" s="31"/>
      <c r="KE197" s="31"/>
      <c r="KF197" s="31"/>
      <c r="KG197" s="31"/>
      <c r="KH197" s="31"/>
      <c r="KI197" s="31"/>
      <c r="KJ197" s="31"/>
      <c r="KK197" s="31"/>
      <c r="KL197" s="31"/>
      <c r="KM197" s="31"/>
      <c r="KN197" s="31"/>
      <c r="KO197" s="31"/>
      <c r="KP197" s="31"/>
      <c r="KQ197" s="31"/>
      <c r="KR197" s="31"/>
      <c r="KS197" s="31"/>
      <c r="KT197" s="31"/>
      <c r="KU197" s="31"/>
      <c r="KV197" s="31"/>
      <c r="KW197" s="31"/>
      <c r="KX197" s="31"/>
      <c r="KY197" s="31"/>
      <c r="KZ197" s="31"/>
      <c r="LA197" s="31"/>
      <c r="LB197" s="31"/>
      <c r="LC197" s="31"/>
      <c r="LD197" s="31"/>
      <c r="LE197" s="31"/>
      <c r="LF197" s="31"/>
      <c r="LG197" s="31"/>
      <c r="LH197" s="31"/>
      <c r="LI197" s="31"/>
      <c r="LJ197" s="31"/>
      <c r="LK197" s="31"/>
      <c r="LL197" s="31"/>
      <c r="LM197" s="31"/>
      <c r="LN197" s="31"/>
      <c r="LO197" s="31"/>
      <c r="LP197" s="31"/>
      <c r="LQ197" s="31"/>
      <c r="LR197" s="31"/>
      <c r="LS197" s="31"/>
      <c r="LT197" s="31"/>
      <c r="LU197" s="31"/>
      <c r="LV197" s="31"/>
      <c r="LW197" s="31"/>
      <c r="LX197" s="31"/>
      <c r="LY197" s="31"/>
      <c r="LZ197" s="31"/>
      <c r="MA197" s="31"/>
      <c r="MB197" s="31"/>
      <c r="MC197" s="31"/>
      <c r="MD197" s="31"/>
      <c r="ME197" s="31"/>
      <c r="MF197" s="31"/>
      <c r="MG197" s="31"/>
      <c r="MH197" s="31"/>
      <c r="MI197" s="31"/>
      <c r="MJ197" s="31"/>
      <c r="MK197" s="31"/>
      <c r="ML197" s="31"/>
      <c r="MM197" s="31"/>
      <c r="MN197" s="31"/>
      <c r="MO197" s="31"/>
      <c r="MP197" s="31"/>
      <c r="MQ197" s="31"/>
      <c r="MR197" s="31"/>
      <c r="MS197" s="31"/>
      <c r="MT197" s="31"/>
      <c r="MU197" s="31"/>
      <c r="MV197" s="31"/>
      <c r="MW197" s="31"/>
      <c r="MX197" s="31"/>
      <c r="MY197" s="31"/>
      <c r="MZ197" s="31"/>
      <c r="NA197" s="31"/>
      <c r="NB197" s="31"/>
      <c r="NC197" s="31"/>
      <c r="ND197" s="31"/>
      <c r="NE197" s="31"/>
      <c r="NF197" s="31"/>
      <c r="NG197" s="31"/>
      <c r="NH197" s="31"/>
      <c r="NI197" s="31"/>
      <c r="NJ197" s="31"/>
      <c r="NK197" s="31"/>
      <c r="NL197" s="31"/>
      <c r="NM197" s="31"/>
      <c r="NN197" s="31"/>
      <c r="NO197" s="31"/>
      <c r="NP197" s="31"/>
      <c r="NQ197" s="31"/>
      <c r="NR197" s="31"/>
      <c r="NS197" s="31"/>
      <c r="NT197" s="31"/>
      <c r="NU197" s="31"/>
      <c r="NV197" s="31"/>
      <c r="NW197" s="31"/>
      <c r="NX197" s="31"/>
      <c r="NY197" s="31"/>
      <c r="NZ197" s="31"/>
      <c r="OA197" s="31"/>
      <c r="OB197" s="31"/>
      <c r="OC197" s="31"/>
      <c r="OD197" s="31"/>
      <c r="OE197" s="31"/>
      <c r="OF197" s="31"/>
      <c r="OG197" s="31"/>
      <c r="OH197" s="31"/>
      <c r="OI197" s="31"/>
      <c r="OJ197" s="31"/>
      <c r="OK197" s="31"/>
      <c r="OL197" s="31"/>
      <c r="OM197" s="31"/>
      <c r="ON197" s="31"/>
      <c r="OO197" s="31"/>
      <c r="OP197" s="31"/>
      <c r="OQ197" s="31"/>
      <c r="OR197" s="31"/>
      <c r="OS197" s="31"/>
      <c r="OT197" s="31"/>
      <c r="OU197" s="31"/>
      <c r="OV197" s="31"/>
      <c r="OW197" s="31"/>
      <c r="OX197" s="31"/>
    </row>
    <row r="198" spans="2:414" s="25" customFormat="1" ht="15.6">
      <c r="B198" s="25" t="s">
        <v>302</v>
      </c>
      <c r="C198" s="27" t="s">
        <v>21</v>
      </c>
      <c r="D198" s="30" t="s">
        <v>291</v>
      </c>
      <c r="G198" s="42">
        <v>500</v>
      </c>
      <c r="H198" s="89">
        <v>26.109000000000002</v>
      </c>
      <c r="I198" s="38">
        <f t="shared" si="52"/>
        <v>13054.5</v>
      </c>
      <c r="K198" s="42">
        <v>500</v>
      </c>
      <c r="L198" s="90">
        <v>26.849599999999999</v>
      </c>
      <c r="M198" s="38">
        <f t="shared" si="53"/>
        <v>13424.8</v>
      </c>
      <c r="O198" s="38">
        <v>80</v>
      </c>
      <c r="P198" s="38">
        <v>26.728300000000001</v>
      </c>
      <c r="Q198" s="38">
        <f t="shared" si="54"/>
        <v>2138.2640000000001</v>
      </c>
      <c r="R198" s="43">
        <f t="shared" si="71"/>
        <v>1080</v>
      </c>
      <c r="S198" s="38">
        <f t="shared" si="55"/>
        <v>28617.563999999998</v>
      </c>
      <c r="T198" s="49">
        <v>110</v>
      </c>
      <c r="U198" s="42">
        <v>26.0579</v>
      </c>
      <c r="V198" s="38">
        <f t="shared" si="64"/>
        <v>2866.3690000000001</v>
      </c>
      <c r="W198" s="42">
        <v>70</v>
      </c>
      <c r="X198" s="42">
        <v>26.0579</v>
      </c>
      <c r="Y198" s="42">
        <f t="shared" si="68"/>
        <v>1824.0530000000001</v>
      </c>
      <c r="Z198" s="42"/>
      <c r="AA198" s="42"/>
      <c r="AB198" s="42">
        <f t="shared" si="69"/>
        <v>0</v>
      </c>
      <c r="AD198" s="42"/>
      <c r="AE198" s="42"/>
      <c r="AF198" s="42">
        <f t="shared" si="67"/>
        <v>0</v>
      </c>
      <c r="AG198" s="42"/>
      <c r="AH198" s="42"/>
      <c r="AI198" s="42"/>
      <c r="AJ198" s="42"/>
      <c r="AL198" s="42"/>
      <c r="AM198" s="42"/>
      <c r="AN198" s="42"/>
      <c r="AO198" s="44"/>
      <c r="AP198" s="42"/>
      <c r="AQ198" s="42"/>
      <c r="AR198" s="42"/>
      <c r="AU198" s="98"/>
      <c r="AV198" s="35"/>
      <c r="AW198" s="104"/>
      <c r="AX198" s="42"/>
      <c r="AY198" s="42"/>
      <c r="AZ198" s="42">
        <f t="shared" si="70"/>
        <v>0</v>
      </c>
      <c r="BA198" s="42"/>
      <c r="BB198" s="42"/>
      <c r="BC198" s="42"/>
      <c r="BD198" s="38">
        <f t="shared" si="56"/>
        <v>0</v>
      </c>
      <c r="BE198" s="42"/>
      <c r="BF198" s="42"/>
      <c r="BG198" s="42"/>
      <c r="BH198" s="38">
        <f t="shared" si="57"/>
        <v>0</v>
      </c>
      <c r="BI198" s="42"/>
      <c r="BJ198" s="42"/>
      <c r="BK198" s="42"/>
      <c r="BL198" s="38">
        <f t="shared" si="58"/>
        <v>0</v>
      </c>
      <c r="BM198" s="42"/>
      <c r="BN198" s="42"/>
      <c r="BO198" s="42"/>
      <c r="BP198" s="42"/>
      <c r="BR198" s="42">
        <f t="shared" si="59"/>
        <v>4690.4220000000005</v>
      </c>
      <c r="BS198" s="43">
        <f t="shared" si="60"/>
        <v>23927.142</v>
      </c>
      <c r="BT198" s="42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  <c r="IM198" s="31"/>
      <c r="IN198" s="31"/>
      <c r="IO198" s="31"/>
      <c r="IP198" s="31"/>
      <c r="IQ198" s="31"/>
      <c r="IR198" s="31"/>
      <c r="IS198" s="31"/>
      <c r="IT198" s="31"/>
      <c r="IU198" s="31"/>
      <c r="IV198" s="31"/>
      <c r="IW198" s="31"/>
      <c r="IX198" s="31"/>
      <c r="IY198" s="31"/>
      <c r="IZ198" s="31"/>
      <c r="JA198" s="31"/>
      <c r="JB198" s="31"/>
      <c r="JC198" s="31"/>
      <c r="JD198" s="31"/>
      <c r="JE198" s="31"/>
      <c r="JF198" s="31"/>
      <c r="JG198" s="31"/>
      <c r="JH198" s="31"/>
      <c r="JI198" s="31"/>
      <c r="JJ198" s="31"/>
      <c r="JK198" s="31"/>
      <c r="JL198" s="31"/>
      <c r="JM198" s="31"/>
      <c r="JN198" s="31"/>
      <c r="JO198" s="31"/>
      <c r="JP198" s="31"/>
      <c r="JQ198" s="31"/>
      <c r="JR198" s="31"/>
      <c r="JS198" s="31"/>
      <c r="JT198" s="31"/>
      <c r="JU198" s="31"/>
      <c r="JV198" s="31"/>
      <c r="JW198" s="31"/>
      <c r="JX198" s="31"/>
      <c r="JY198" s="31"/>
      <c r="JZ198" s="31"/>
      <c r="KA198" s="31"/>
      <c r="KB198" s="31"/>
      <c r="KC198" s="31"/>
      <c r="KD198" s="31"/>
      <c r="KE198" s="31"/>
      <c r="KF198" s="31"/>
      <c r="KG198" s="31"/>
      <c r="KH198" s="31"/>
      <c r="KI198" s="31"/>
      <c r="KJ198" s="31"/>
      <c r="KK198" s="31"/>
      <c r="KL198" s="31"/>
      <c r="KM198" s="31"/>
      <c r="KN198" s="31"/>
      <c r="KO198" s="31"/>
      <c r="KP198" s="31"/>
      <c r="KQ198" s="31"/>
      <c r="KR198" s="31"/>
      <c r="KS198" s="31"/>
      <c r="KT198" s="31"/>
      <c r="KU198" s="31"/>
      <c r="KV198" s="31"/>
      <c r="KW198" s="31"/>
      <c r="KX198" s="31"/>
      <c r="KY198" s="31"/>
      <c r="KZ198" s="31"/>
      <c r="LA198" s="31"/>
      <c r="LB198" s="31"/>
      <c r="LC198" s="31"/>
      <c r="LD198" s="31"/>
      <c r="LE198" s="31"/>
      <c r="LF198" s="31"/>
      <c r="LG198" s="31"/>
      <c r="LH198" s="31"/>
      <c r="LI198" s="31"/>
      <c r="LJ198" s="31"/>
      <c r="LK198" s="31"/>
      <c r="LL198" s="31"/>
      <c r="LM198" s="31"/>
      <c r="LN198" s="31"/>
      <c r="LO198" s="31"/>
      <c r="LP198" s="31"/>
      <c r="LQ198" s="31"/>
      <c r="LR198" s="31"/>
      <c r="LS198" s="31"/>
      <c r="LT198" s="31"/>
      <c r="LU198" s="31"/>
      <c r="LV198" s="31"/>
      <c r="LW198" s="31"/>
      <c r="LX198" s="31"/>
      <c r="LY198" s="31"/>
      <c r="LZ198" s="31"/>
      <c r="MA198" s="31"/>
      <c r="MB198" s="31"/>
      <c r="MC198" s="31"/>
      <c r="MD198" s="31"/>
      <c r="ME198" s="31"/>
      <c r="MF198" s="31"/>
      <c r="MG198" s="31"/>
      <c r="MH198" s="31"/>
      <c r="MI198" s="31"/>
      <c r="MJ198" s="31"/>
      <c r="MK198" s="31"/>
      <c r="ML198" s="31"/>
      <c r="MM198" s="31"/>
      <c r="MN198" s="31"/>
      <c r="MO198" s="31"/>
      <c r="MP198" s="31"/>
      <c r="MQ198" s="31"/>
      <c r="MR198" s="31"/>
      <c r="MS198" s="31"/>
      <c r="MT198" s="31"/>
      <c r="MU198" s="31"/>
      <c r="MV198" s="31"/>
      <c r="MW198" s="31"/>
      <c r="MX198" s="31"/>
      <c r="MY198" s="31"/>
      <c r="MZ198" s="31"/>
      <c r="NA198" s="31"/>
      <c r="NB198" s="31"/>
      <c r="NC198" s="31"/>
      <c r="ND198" s="31"/>
      <c r="NE198" s="31"/>
      <c r="NF198" s="31"/>
      <c r="NG198" s="31"/>
      <c r="NH198" s="31"/>
      <c r="NI198" s="31"/>
      <c r="NJ198" s="31"/>
      <c r="NK198" s="31"/>
      <c r="NL198" s="31"/>
      <c r="NM198" s="31"/>
      <c r="NN198" s="31"/>
      <c r="NO198" s="31"/>
      <c r="NP198" s="31"/>
      <c r="NQ198" s="31"/>
      <c r="NR198" s="31"/>
      <c r="NS198" s="31"/>
      <c r="NT198" s="31"/>
      <c r="NU198" s="31"/>
      <c r="NV198" s="31"/>
      <c r="NW198" s="31"/>
      <c r="NX198" s="31"/>
      <c r="NY198" s="31"/>
      <c r="NZ198" s="31"/>
      <c r="OA198" s="31"/>
      <c r="OB198" s="31"/>
      <c r="OC198" s="31"/>
      <c r="OD198" s="31"/>
      <c r="OE198" s="31"/>
      <c r="OF198" s="31"/>
      <c r="OG198" s="31"/>
      <c r="OH198" s="31"/>
      <c r="OI198" s="31"/>
      <c r="OJ198" s="31"/>
      <c r="OK198" s="31"/>
      <c r="OL198" s="31"/>
      <c r="OM198" s="31"/>
      <c r="ON198" s="31"/>
      <c r="OO198" s="31"/>
      <c r="OP198" s="31"/>
      <c r="OQ198" s="31"/>
      <c r="OR198" s="31"/>
      <c r="OS198" s="31"/>
      <c r="OT198" s="31"/>
      <c r="OU198" s="31"/>
      <c r="OV198" s="31"/>
      <c r="OW198" s="31"/>
      <c r="OX198" s="31"/>
    </row>
    <row r="199" spans="2:414" s="25" customFormat="1" ht="15.6">
      <c r="B199" s="25" t="s">
        <v>303</v>
      </c>
      <c r="C199" s="27" t="s">
        <v>304</v>
      </c>
      <c r="D199" s="30" t="s">
        <v>291</v>
      </c>
      <c r="G199" s="42">
        <v>500</v>
      </c>
      <c r="H199" s="89">
        <v>26.109000000000002</v>
      </c>
      <c r="I199" s="38">
        <f t="shared" si="52"/>
        <v>13054.5</v>
      </c>
      <c r="K199" s="42">
        <v>500</v>
      </c>
      <c r="L199" s="90">
        <v>26.849599999999999</v>
      </c>
      <c r="M199" s="38">
        <f t="shared" si="53"/>
        <v>13424.8</v>
      </c>
      <c r="O199" s="38">
        <v>80</v>
      </c>
      <c r="P199" s="38">
        <v>26.728300000000001</v>
      </c>
      <c r="Q199" s="38">
        <f t="shared" si="54"/>
        <v>2138.2640000000001</v>
      </c>
      <c r="R199" s="43">
        <f t="shared" si="71"/>
        <v>1080</v>
      </c>
      <c r="S199" s="38">
        <f t="shared" si="55"/>
        <v>28617.563999999998</v>
      </c>
      <c r="T199" s="49">
        <v>85</v>
      </c>
      <c r="U199" s="42">
        <v>26.298200000000001</v>
      </c>
      <c r="V199" s="38">
        <f t="shared" si="64"/>
        <v>2235.3470000000002</v>
      </c>
      <c r="W199" s="42">
        <v>165</v>
      </c>
      <c r="X199" s="42">
        <v>26.298200000000001</v>
      </c>
      <c r="Y199" s="42">
        <f t="shared" si="68"/>
        <v>4339.2030000000004</v>
      </c>
      <c r="Z199" s="42">
        <v>250</v>
      </c>
      <c r="AA199" s="42">
        <v>26.418700000000001</v>
      </c>
      <c r="AB199" s="42">
        <f t="shared" si="69"/>
        <v>6604.6750000000002</v>
      </c>
      <c r="AD199" s="42"/>
      <c r="AE199" s="42"/>
      <c r="AF199" s="42">
        <f t="shared" si="67"/>
        <v>0</v>
      </c>
      <c r="AG199" s="42"/>
      <c r="AH199" s="42"/>
      <c r="AI199" s="42"/>
      <c r="AJ199" s="42"/>
      <c r="AL199" s="42"/>
      <c r="AM199" s="42"/>
      <c r="AN199" s="42"/>
      <c r="AO199" s="44"/>
      <c r="AP199" s="42"/>
      <c r="AQ199" s="42"/>
      <c r="AR199" s="42"/>
      <c r="AU199" s="98"/>
      <c r="AV199" s="35"/>
      <c r="AW199" s="104"/>
      <c r="AX199" s="42"/>
      <c r="AY199" s="42"/>
      <c r="AZ199" s="42">
        <f t="shared" si="70"/>
        <v>0</v>
      </c>
      <c r="BA199" s="42"/>
      <c r="BB199" s="42"/>
      <c r="BC199" s="42"/>
      <c r="BD199" s="38">
        <f t="shared" si="56"/>
        <v>0</v>
      </c>
      <c r="BE199" s="42"/>
      <c r="BF199" s="42"/>
      <c r="BG199" s="42"/>
      <c r="BH199" s="38">
        <f t="shared" si="57"/>
        <v>0</v>
      </c>
      <c r="BI199" s="42"/>
      <c r="BJ199" s="42"/>
      <c r="BK199" s="42"/>
      <c r="BL199" s="38">
        <f t="shared" si="58"/>
        <v>0</v>
      </c>
      <c r="BM199" s="42"/>
      <c r="BN199" s="42"/>
      <c r="BO199" s="42"/>
      <c r="BP199" s="42"/>
      <c r="BR199" s="42">
        <f t="shared" si="59"/>
        <v>13179.225000000002</v>
      </c>
      <c r="BS199" s="43">
        <f t="shared" si="60"/>
        <v>15438.338999999996</v>
      </c>
      <c r="BT199" s="42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  <c r="IM199" s="31"/>
      <c r="IN199" s="31"/>
      <c r="IO199" s="31"/>
      <c r="IP199" s="31"/>
      <c r="IQ199" s="31"/>
      <c r="IR199" s="31"/>
      <c r="IS199" s="31"/>
      <c r="IT199" s="31"/>
      <c r="IU199" s="31"/>
      <c r="IV199" s="31"/>
      <c r="IW199" s="31"/>
      <c r="IX199" s="31"/>
      <c r="IY199" s="31"/>
      <c r="IZ199" s="31"/>
      <c r="JA199" s="31"/>
      <c r="JB199" s="31"/>
      <c r="JC199" s="31"/>
      <c r="JD199" s="31"/>
      <c r="JE199" s="31"/>
      <c r="JF199" s="31"/>
      <c r="JG199" s="31"/>
      <c r="JH199" s="31"/>
      <c r="JI199" s="31"/>
      <c r="JJ199" s="31"/>
      <c r="JK199" s="31"/>
      <c r="JL199" s="31"/>
      <c r="JM199" s="31"/>
      <c r="JN199" s="31"/>
      <c r="JO199" s="31"/>
      <c r="JP199" s="31"/>
      <c r="JQ199" s="31"/>
      <c r="JR199" s="31"/>
      <c r="JS199" s="31"/>
      <c r="JT199" s="31"/>
      <c r="JU199" s="31"/>
      <c r="JV199" s="31"/>
      <c r="JW199" s="31"/>
      <c r="JX199" s="31"/>
      <c r="JY199" s="31"/>
      <c r="JZ199" s="31"/>
      <c r="KA199" s="31"/>
      <c r="KB199" s="31"/>
      <c r="KC199" s="31"/>
      <c r="KD199" s="31"/>
      <c r="KE199" s="31"/>
      <c r="KF199" s="31"/>
      <c r="KG199" s="31"/>
      <c r="KH199" s="31"/>
      <c r="KI199" s="31"/>
      <c r="KJ199" s="31"/>
      <c r="KK199" s="31"/>
      <c r="KL199" s="31"/>
      <c r="KM199" s="31"/>
      <c r="KN199" s="31"/>
      <c r="KO199" s="31"/>
      <c r="KP199" s="31"/>
      <c r="KQ199" s="31"/>
      <c r="KR199" s="31"/>
      <c r="KS199" s="31"/>
      <c r="KT199" s="31"/>
      <c r="KU199" s="31"/>
      <c r="KV199" s="31"/>
      <c r="KW199" s="31"/>
      <c r="KX199" s="31"/>
      <c r="KY199" s="31"/>
      <c r="KZ199" s="31"/>
      <c r="LA199" s="31"/>
      <c r="LB199" s="31"/>
      <c r="LC199" s="31"/>
      <c r="LD199" s="31"/>
      <c r="LE199" s="31"/>
      <c r="LF199" s="31"/>
      <c r="LG199" s="31"/>
      <c r="LH199" s="31"/>
      <c r="LI199" s="31"/>
      <c r="LJ199" s="31"/>
      <c r="LK199" s="31"/>
      <c r="LL199" s="31"/>
      <c r="LM199" s="31"/>
      <c r="LN199" s="31"/>
      <c r="LO199" s="31"/>
      <c r="LP199" s="31"/>
      <c r="LQ199" s="31"/>
      <c r="LR199" s="31"/>
      <c r="LS199" s="31"/>
      <c r="LT199" s="31"/>
      <c r="LU199" s="31"/>
      <c r="LV199" s="31"/>
      <c r="LW199" s="31"/>
      <c r="LX199" s="31"/>
      <c r="LY199" s="31"/>
      <c r="LZ199" s="31"/>
      <c r="MA199" s="31"/>
      <c r="MB199" s="31"/>
      <c r="MC199" s="31"/>
      <c r="MD199" s="31"/>
      <c r="ME199" s="31"/>
      <c r="MF199" s="31"/>
      <c r="MG199" s="31"/>
      <c r="MH199" s="31"/>
      <c r="MI199" s="31"/>
      <c r="MJ199" s="31"/>
      <c r="MK199" s="31"/>
      <c r="ML199" s="31"/>
      <c r="MM199" s="31"/>
      <c r="MN199" s="31"/>
      <c r="MO199" s="31"/>
      <c r="MP199" s="31"/>
      <c r="MQ199" s="31"/>
      <c r="MR199" s="31"/>
      <c r="MS199" s="31"/>
      <c r="MT199" s="31"/>
      <c r="MU199" s="31"/>
      <c r="MV199" s="31"/>
      <c r="MW199" s="31"/>
      <c r="MX199" s="31"/>
      <c r="MY199" s="31"/>
      <c r="MZ199" s="31"/>
      <c r="NA199" s="31"/>
      <c r="NB199" s="31"/>
      <c r="NC199" s="31"/>
      <c r="ND199" s="31"/>
      <c r="NE199" s="31"/>
      <c r="NF199" s="31"/>
      <c r="NG199" s="31"/>
      <c r="NH199" s="31"/>
      <c r="NI199" s="31"/>
      <c r="NJ199" s="31"/>
      <c r="NK199" s="31"/>
      <c r="NL199" s="31"/>
      <c r="NM199" s="31"/>
      <c r="NN199" s="31"/>
      <c r="NO199" s="31"/>
      <c r="NP199" s="31"/>
      <c r="NQ199" s="31"/>
      <c r="NR199" s="31"/>
      <c r="NS199" s="31"/>
      <c r="NT199" s="31"/>
      <c r="NU199" s="31"/>
      <c r="NV199" s="31"/>
      <c r="NW199" s="31"/>
      <c r="NX199" s="31"/>
      <c r="NY199" s="31"/>
      <c r="NZ199" s="31"/>
      <c r="OA199" s="31"/>
      <c r="OB199" s="31"/>
      <c r="OC199" s="31"/>
      <c r="OD199" s="31"/>
      <c r="OE199" s="31"/>
      <c r="OF199" s="31"/>
      <c r="OG199" s="31"/>
      <c r="OH199" s="31"/>
      <c r="OI199" s="31"/>
      <c r="OJ199" s="31"/>
      <c r="OK199" s="31"/>
      <c r="OL199" s="31"/>
      <c r="OM199" s="31"/>
      <c r="ON199" s="31"/>
      <c r="OO199" s="31"/>
      <c r="OP199" s="31"/>
      <c r="OQ199" s="31"/>
      <c r="OR199" s="31"/>
      <c r="OS199" s="31"/>
      <c r="OT199" s="31"/>
      <c r="OU199" s="31"/>
      <c r="OV199" s="31"/>
      <c r="OW199" s="31"/>
      <c r="OX199" s="31"/>
    </row>
    <row r="200" spans="2:414" s="25" customFormat="1" ht="15.6">
      <c r="B200" s="25" t="s">
        <v>305</v>
      </c>
      <c r="C200" s="27" t="s">
        <v>293</v>
      </c>
      <c r="D200" s="30" t="s">
        <v>291</v>
      </c>
      <c r="G200" s="42">
        <v>500</v>
      </c>
      <c r="H200" s="89">
        <v>26.109000000000002</v>
      </c>
      <c r="I200" s="38">
        <f t="shared" si="52"/>
        <v>13054.5</v>
      </c>
      <c r="K200" s="42">
        <v>500</v>
      </c>
      <c r="L200" s="90">
        <v>26.849599999999999</v>
      </c>
      <c r="M200" s="38">
        <f t="shared" si="53"/>
        <v>13424.8</v>
      </c>
      <c r="O200" s="38">
        <v>80</v>
      </c>
      <c r="P200" s="38">
        <v>26.728300000000001</v>
      </c>
      <c r="Q200" s="38">
        <f t="shared" si="54"/>
        <v>2138.2640000000001</v>
      </c>
      <c r="R200" s="43">
        <f t="shared" si="71"/>
        <v>1080</v>
      </c>
      <c r="S200" s="38">
        <f t="shared" si="55"/>
        <v>28617.563999999998</v>
      </c>
      <c r="T200" s="49">
        <v>415</v>
      </c>
      <c r="U200" s="42">
        <v>26.261399999999998</v>
      </c>
      <c r="V200" s="38">
        <f t="shared" si="64"/>
        <v>10898.481</v>
      </c>
      <c r="W200" s="42">
        <v>85</v>
      </c>
      <c r="X200" s="42">
        <v>26.14</v>
      </c>
      <c r="Y200" s="42">
        <f t="shared" si="68"/>
        <v>2221.9</v>
      </c>
      <c r="Z200" s="42">
        <v>415</v>
      </c>
      <c r="AA200" s="42">
        <v>26.891200000000001</v>
      </c>
      <c r="AB200" s="42">
        <f t="shared" si="69"/>
        <v>11159.848</v>
      </c>
      <c r="AD200" s="42">
        <v>85</v>
      </c>
      <c r="AE200" s="42">
        <v>26.8962</v>
      </c>
      <c r="AF200" s="42">
        <f t="shared" si="67"/>
        <v>2286.1770000000001</v>
      </c>
      <c r="AG200" s="42"/>
      <c r="AH200" s="42"/>
      <c r="AI200" s="42"/>
      <c r="AJ200" s="42"/>
      <c r="AL200" s="42"/>
      <c r="AM200" s="42"/>
      <c r="AN200" s="42"/>
      <c r="AO200" s="44"/>
      <c r="AP200" s="42"/>
      <c r="AQ200" s="42"/>
      <c r="AR200" s="42"/>
      <c r="AU200" s="98"/>
      <c r="AV200" s="35"/>
      <c r="AW200" s="104"/>
      <c r="AX200" s="42"/>
      <c r="AY200" s="42"/>
      <c r="AZ200" s="42">
        <f t="shared" si="70"/>
        <v>0</v>
      </c>
      <c r="BA200" s="42"/>
      <c r="BB200" s="42"/>
      <c r="BC200" s="42"/>
      <c r="BD200" s="38">
        <f t="shared" si="56"/>
        <v>0</v>
      </c>
      <c r="BE200" s="42"/>
      <c r="BF200" s="42"/>
      <c r="BG200" s="42"/>
      <c r="BH200" s="38">
        <f t="shared" si="57"/>
        <v>0</v>
      </c>
      <c r="BI200" s="42"/>
      <c r="BJ200" s="42"/>
      <c r="BK200" s="42"/>
      <c r="BL200" s="38">
        <f t="shared" si="58"/>
        <v>0</v>
      </c>
      <c r="BM200" s="42"/>
      <c r="BN200" s="42"/>
      <c r="BO200" s="42"/>
      <c r="BP200" s="42"/>
      <c r="BR200" s="42">
        <f t="shared" si="59"/>
        <v>26566.405999999999</v>
      </c>
      <c r="BS200" s="43">
        <f t="shared" si="60"/>
        <v>2051.1579999999994</v>
      </c>
      <c r="BT200" s="42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  <c r="IM200" s="31"/>
      <c r="IN200" s="31"/>
      <c r="IO200" s="31"/>
      <c r="IP200" s="31"/>
      <c r="IQ200" s="31"/>
      <c r="IR200" s="31"/>
      <c r="IS200" s="31"/>
      <c r="IT200" s="31"/>
      <c r="IU200" s="31"/>
      <c r="IV200" s="31"/>
      <c r="IW200" s="31"/>
      <c r="IX200" s="31"/>
      <c r="IY200" s="31"/>
      <c r="IZ200" s="31"/>
      <c r="JA200" s="31"/>
      <c r="JB200" s="31"/>
      <c r="JC200" s="31"/>
      <c r="JD200" s="31"/>
      <c r="JE200" s="31"/>
      <c r="JF200" s="31"/>
      <c r="JG200" s="31"/>
      <c r="JH200" s="31"/>
      <c r="JI200" s="31"/>
      <c r="JJ200" s="31"/>
      <c r="JK200" s="31"/>
      <c r="JL200" s="31"/>
      <c r="JM200" s="31"/>
      <c r="JN200" s="31"/>
      <c r="JO200" s="31"/>
      <c r="JP200" s="31"/>
      <c r="JQ200" s="31"/>
      <c r="JR200" s="31"/>
      <c r="JS200" s="31"/>
      <c r="JT200" s="31"/>
      <c r="JU200" s="31"/>
      <c r="JV200" s="31"/>
      <c r="JW200" s="31"/>
      <c r="JX200" s="31"/>
      <c r="JY200" s="31"/>
      <c r="JZ200" s="31"/>
      <c r="KA200" s="31"/>
      <c r="KB200" s="31"/>
      <c r="KC200" s="31"/>
      <c r="KD200" s="31"/>
      <c r="KE200" s="31"/>
      <c r="KF200" s="31"/>
      <c r="KG200" s="31"/>
      <c r="KH200" s="31"/>
      <c r="KI200" s="31"/>
      <c r="KJ200" s="31"/>
      <c r="KK200" s="31"/>
      <c r="KL200" s="31"/>
      <c r="KM200" s="31"/>
      <c r="KN200" s="31"/>
      <c r="KO200" s="31"/>
      <c r="KP200" s="31"/>
      <c r="KQ200" s="31"/>
      <c r="KR200" s="31"/>
      <c r="KS200" s="31"/>
      <c r="KT200" s="31"/>
      <c r="KU200" s="31"/>
      <c r="KV200" s="31"/>
      <c r="KW200" s="31"/>
      <c r="KX200" s="31"/>
      <c r="KY200" s="31"/>
      <c r="KZ200" s="31"/>
      <c r="LA200" s="31"/>
      <c r="LB200" s="31"/>
      <c r="LC200" s="31"/>
      <c r="LD200" s="31"/>
      <c r="LE200" s="31"/>
      <c r="LF200" s="31"/>
      <c r="LG200" s="31"/>
      <c r="LH200" s="31"/>
      <c r="LI200" s="31"/>
      <c r="LJ200" s="31"/>
      <c r="LK200" s="31"/>
      <c r="LL200" s="31"/>
      <c r="LM200" s="31"/>
      <c r="LN200" s="31"/>
      <c r="LO200" s="31"/>
      <c r="LP200" s="31"/>
      <c r="LQ200" s="31"/>
      <c r="LR200" s="31"/>
      <c r="LS200" s="31"/>
      <c r="LT200" s="31"/>
      <c r="LU200" s="31"/>
      <c r="LV200" s="31"/>
      <c r="LW200" s="31"/>
      <c r="LX200" s="31"/>
      <c r="LY200" s="31"/>
      <c r="LZ200" s="31"/>
      <c r="MA200" s="31"/>
      <c r="MB200" s="31"/>
      <c r="MC200" s="31"/>
      <c r="MD200" s="31"/>
      <c r="ME200" s="31"/>
      <c r="MF200" s="31"/>
      <c r="MG200" s="31"/>
      <c r="MH200" s="31"/>
      <c r="MI200" s="31"/>
      <c r="MJ200" s="31"/>
      <c r="MK200" s="31"/>
      <c r="ML200" s="31"/>
      <c r="MM200" s="31"/>
      <c r="MN200" s="31"/>
      <c r="MO200" s="31"/>
      <c r="MP200" s="31"/>
      <c r="MQ200" s="31"/>
      <c r="MR200" s="31"/>
      <c r="MS200" s="31"/>
      <c r="MT200" s="31"/>
      <c r="MU200" s="31"/>
      <c r="MV200" s="31"/>
      <c r="MW200" s="31"/>
      <c r="MX200" s="31"/>
      <c r="MY200" s="31"/>
      <c r="MZ200" s="31"/>
      <c r="NA200" s="31"/>
      <c r="NB200" s="31"/>
      <c r="NC200" s="31"/>
      <c r="ND200" s="31"/>
      <c r="NE200" s="31"/>
      <c r="NF200" s="31"/>
      <c r="NG200" s="31"/>
      <c r="NH200" s="31"/>
      <c r="NI200" s="31"/>
      <c r="NJ200" s="31"/>
      <c r="NK200" s="31"/>
      <c r="NL200" s="31"/>
      <c r="NM200" s="31"/>
      <c r="NN200" s="31"/>
      <c r="NO200" s="31"/>
      <c r="NP200" s="31"/>
      <c r="NQ200" s="31"/>
      <c r="NR200" s="31"/>
      <c r="NS200" s="31"/>
      <c r="NT200" s="31"/>
      <c r="NU200" s="31"/>
      <c r="NV200" s="31"/>
      <c r="NW200" s="31"/>
      <c r="NX200" s="31"/>
      <c r="NY200" s="31"/>
      <c r="NZ200" s="31"/>
      <c r="OA200" s="31"/>
      <c r="OB200" s="31"/>
      <c r="OC200" s="31"/>
      <c r="OD200" s="31"/>
      <c r="OE200" s="31"/>
      <c r="OF200" s="31"/>
      <c r="OG200" s="31"/>
      <c r="OH200" s="31"/>
      <c r="OI200" s="31"/>
      <c r="OJ200" s="31"/>
      <c r="OK200" s="31"/>
      <c r="OL200" s="31"/>
      <c r="OM200" s="31"/>
      <c r="ON200" s="31"/>
      <c r="OO200" s="31"/>
      <c r="OP200" s="31"/>
      <c r="OQ200" s="31"/>
      <c r="OR200" s="31"/>
      <c r="OS200" s="31"/>
      <c r="OT200" s="31"/>
      <c r="OU200" s="31"/>
      <c r="OV200" s="31"/>
      <c r="OW200" s="31"/>
      <c r="OX200" s="31"/>
    </row>
    <row r="201" spans="2:414" s="25" customFormat="1" ht="15.6">
      <c r="B201" s="25" t="s">
        <v>306</v>
      </c>
      <c r="C201" s="27" t="s">
        <v>74</v>
      </c>
      <c r="D201" s="30" t="s">
        <v>291</v>
      </c>
      <c r="G201" s="42">
        <v>500</v>
      </c>
      <c r="H201" s="89">
        <v>26.109000000000002</v>
      </c>
      <c r="I201" s="38">
        <f t="shared" ref="I201:I264" si="72">G201*H201</f>
        <v>13054.5</v>
      </c>
      <c r="K201" s="42">
        <v>500</v>
      </c>
      <c r="L201" s="90">
        <v>26.849599999999999</v>
      </c>
      <c r="M201" s="38">
        <f t="shared" ref="M201:M264" si="73">K201*L201</f>
        <v>13424.8</v>
      </c>
      <c r="O201" s="38">
        <v>80</v>
      </c>
      <c r="P201" s="38">
        <v>26.728300000000001</v>
      </c>
      <c r="Q201" s="38">
        <f t="shared" ref="Q201:Q264" si="74">O201*P201</f>
        <v>2138.2640000000001</v>
      </c>
      <c r="R201" s="43">
        <f t="shared" si="71"/>
        <v>1080</v>
      </c>
      <c r="S201" s="38">
        <f t="shared" ref="S201:S264" si="75">I201+M201+Q201</f>
        <v>28617.563999999998</v>
      </c>
      <c r="T201" s="49">
        <v>85</v>
      </c>
      <c r="U201" s="42">
        <v>26.271599999999999</v>
      </c>
      <c r="V201" s="38">
        <f t="shared" si="64"/>
        <v>2233.0859999999998</v>
      </c>
      <c r="W201" s="42">
        <v>100</v>
      </c>
      <c r="X201" s="42">
        <v>26.283100000000001</v>
      </c>
      <c r="Y201" s="42">
        <f t="shared" si="68"/>
        <v>2628.31</v>
      </c>
      <c r="Z201" s="42">
        <v>315</v>
      </c>
      <c r="AA201" s="42">
        <v>26.283100000000001</v>
      </c>
      <c r="AB201" s="42">
        <f t="shared" si="69"/>
        <v>8279.1764999999996</v>
      </c>
      <c r="AD201" s="42">
        <v>100</v>
      </c>
      <c r="AE201" s="42">
        <v>26.8962</v>
      </c>
      <c r="AF201" s="42">
        <f t="shared" si="67"/>
        <v>2689.62</v>
      </c>
      <c r="AG201" s="42"/>
      <c r="AH201" s="42">
        <v>100</v>
      </c>
      <c r="AI201" s="42">
        <v>26.78</v>
      </c>
      <c r="AJ201" s="42">
        <f>AH201*AI201</f>
        <v>2678</v>
      </c>
      <c r="AL201" s="42">
        <v>150</v>
      </c>
      <c r="AM201" s="42">
        <v>26.88</v>
      </c>
      <c r="AN201" s="42">
        <f>AL201*AM201</f>
        <v>4032</v>
      </c>
      <c r="AO201" s="44"/>
      <c r="AP201" s="42">
        <v>150</v>
      </c>
      <c r="AQ201" s="42"/>
      <c r="AR201" s="42"/>
      <c r="AU201" s="98"/>
      <c r="AV201" s="35"/>
      <c r="AW201" s="104"/>
      <c r="AX201" s="42"/>
      <c r="AY201" s="42"/>
      <c r="AZ201" s="42">
        <f t="shared" si="70"/>
        <v>0</v>
      </c>
      <c r="BA201" s="42"/>
      <c r="BB201" s="42"/>
      <c r="BC201" s="42"/>
      <c r="BD201" s="38">
        <f t="shared" ref="BD201:BD264" si="76">BB201*BC201</f>
        <v>0</v>
      </c>
      <c r="BE201" s="42"/>
      <c r="BF201" s="42"/>
      <c r="BG201" s="42"/>
      <c r="BH201" s="38">
        <f t="shared" ref="BH201:BH264" si="77">BF201*BG201</f>
        <v>0</v>
      </c>
      <c r="BI201" s="42"/>
      <c r="BJ201" s="42"/>
      <c r="BK201" s="42"/>
      <c r="BL201" s="38">
        <f t="shared" ref="BL201:BL264" si="78">BJ201*BK201</f>
        <v>0</v>
      </c>
      <c r="BM201" s="42"/>
      <c r="BN201" s="42"/>
      <c r="BO201" s="42"/>
      <c r="BP201" s="42"/>
      <c r="BR201" s="42">
        <f t="shared" ref="BR201:BR264" si="79">V201+Y201+AB201+AF201+AJ201+AN201+AR201+AV201+AZ201+BD201+BH201+BL201+BP201</f>
        <v>22540.192499999997</v>
      </c>
      <c r="BS201" s="43">
        <f t="shared" ref="BS201:BS264" si="80">S201-BR201</f>
        <v>6077.3715000000011</v>
      </c>
      <c r="BT201" s="42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  <c r="IM201" s="31"/>
      <c r="IN201" s="31"/>
      <c r="IO201" s="31"/>
      <c r="IP201" s="31"/>
      <c r="IQ201" s="31"/>
      <c r="IR201" s="31"/>
      <c r="IS201" s="31"/>
      <c r="IT201" s="31"/>
      <c r="IU201" s="31"/>
      <c r="IV201" s="31"/>
      <c r="IW201" s="31"/>
      <c r="IX201" s="31"/>
      <c r="IY201" s="31"/>
      <c r="IZ201" s="31"/>
      <c r="JA201" s="31"/>
      <c r="JB201" s="31"/>
      <c r="JC201" s="31"/>
      <c r="JD201" s="31"/>
      <c r="JE201" s="31"/>
      <c r="JF201" s="31"/>
      <c r="JG201" s="31"/>
      <c r="JH201" s="31"/>
      <c r="JI201" s="31"/>
      <c r="JJ201" s="31"/>
      <c r="JK201" s="31"/>
      <c r="JL201" s="31"/>
      <c r="JM201" s="31"/>
      <c r="JN201" s="31"/>
      <c r="JO201" s="31"/>
      <c r="JP201" s="31"/>
      <c r="JQ201" s="31"/>
      <c r="JR201" s="31"/>
      <c r="JS201" s="31"/>
      <c r="JT201" s="31"/>
      <c r="JU201" s="31"/>
      <c r="JV201" s="31"/>
      <c r="JW201" s="31"/>
      <c r="JX201" s="31"/>
      <c r="JY201" s="31"/>
      <c r="JZ201" s="31"/>
      <c r="KA201" s="31"/>
      <c r="KB201" s="31"/>
      <c r="KC201" s="31"/>
      <c r="KD201" s="31"/>
      <c r="KE201" s="31"/>
      <c r="KF201" s="31"/>
      <c r="KG201" s="31"/>
      <c r="KH201" s="31"/>
      <c r="KI201" s="31"/>
      <c r="KJ201" s="31"/>
      <c r="KK201" s="31"/>
      <c r="KL201" s="31"/>
      <c r="KM201" s="31"/>
      <c r="KN201" s="31"/>
      <c r="KO201" s="31"/>
      <c r="KP201" s="31"/>
      <c r="KQ201" s="31"/>
      <c r="KR201" s="31"/>
      <c r="KS201" s="31"/>
      <c r="KT201" s="31"/>
      <c r="KU201" s="31"/>
      <c r="KV201" s="31"/>
      <c r="KW201" s="31"/>
      <c r="KX201" s="31"/>
      <c r="KY201" s="31"/>
      <c r="KZ201" s="31"/>
      <c r="LA201" s="31"/>
      <c r="LB201" s="31"/>
      <c r="LC201" s="31"/>
      <c r="LD201" s="31"/>
      <c r="LE201" s="31"/>
      <c r="LF201" s="31"/>
      <c r="LG201" s="31"/>
      <c r="LH201" s="31"/>
      <c r="LI201" s="31"/>
      <c r="LJ201" s="31"/>
      <c r="LK201" s="31"/>
      <c r="LL201" s="31"/>
      <c r="LM201" s="31"/>
      <c r="LN201" s="31"/>
      <c r="LO201" s="31"/>
      <c r="LP201" s="31"/>
      <c r="LQ201" s="31"/>
      <c r="LR201" s="31"/>
      <c r="LS201" s="31"/>
      <c r="LT201" s="31"/>
      <c r="LU201" s="31"/>
      <c r="LV201" s="31"/>
      <c r="LW201" s="31"/>
      <c r="LX201" s="31"/>
      <c r="LY201" s="31"/>
      <c r="LZ201" s="31"/>
      <c r="MA201" s="31"/>
      <c r="MB201" s="31"/>
      <c r="MC201" s="31"/>
      <c r="MD201" s="31"/>
      <c r="ME201" s="31"/>
      <c r="MF201" s="31"/>
      <c r="MG201" s="31"/>
      <c r="MH201" s="31"/>
      <c r="MI201" s="31"/>
      <c r="MJ201" s="31"/>
      <c r="MK201" s="31"/>
      <c r="ML201" s="31"/>
      <c r="MM201" s="31"/>
      <c r="MN201" s="31"/>
      <c r="MO201" s="31"/>
      <c r="MP201" s="31"/>
      <c r="MQ201" s="31"/>
      <c r="MR201" s="31"/>
      <c r="MS201" s="31"/>
      <c r="MT201" s="31"/>
      <c r="MU201" s="31"/>
      <c r="MV201" s="31"/>
      <c r="MW201" s="31"/>
      <c r="MX201" s="31"/>
      <c r="MY201" s="31"/>
      <c r="MZ201" s="31"/>
      <c r="NA201" s="31"/>
      <c r="NB201" s="31"/>
      <c r="NC201" s="31"/>
      <c r="ND201" s="31"/>
      <c r="NE201" s="31"/>
      <c r="NF201" s="31"/>
      <c r="NG201" s="31"/>
      <c r="NH201" s="31"/>
      <c r="NI201" s="31"/>
      <c r="NJ201" s="31"/>
      <c r="NK201" s="31"/>
      <c r="NL201" s="31"/>
      <c r="NM201" s="31"/>
      <c r="NN201" s="31"/>
      <c r="NO201" s="31"/>
      <c r="NP201" s="31"/>
      <c r="NQ201" s="31"/>
      <c r="NR201" s="31"/>
      <c r="NS201" s="31"/>
      <c r="NT201" s="31"/>
      <c r="NU201" s="31"/>
      <c r="NV201" s="31"/>
      <c r="NW201" s="31"/>
      <c r="NX201" s="31"/>
      <c r="NY201" s="31"/>
      <c r="NZ201" s="31"/>
      <c r="OA201" s="31"/>
      <c r="OB201" s="31"/>
      <c r="OC201" s="31"/>
      <c r="OD201" s="31"/>
      <c r="OE201" s="31"/>
      <c r="OF201" s="31"/>
      <c r="OG201" s="31"/>
      <c r="OH201" s="31"/>
      <c r="OI201" s="31"/>
      <c r="OJ201" s="31"/>
      <c r="OK201" s="31"/>
      <c r="OL201" s="31"/>
      <c r="OM201" s="31"/>
      <c r="ON201" s="31"/>
      <c r="OO201" s="31"/>
      <c r="OP201" s="31"/>
      <c r="OQ201" s="31"/>
      <c r="OR201" s="31"/>
      <c r="OS201" s="31"/>
      <c r="OT201" s="31"/>
      <c r="OU201" s="31"/>
      <c r="OV201" s="31"/>
      <c r="OW201" s="31"/>
      <c r="OX201" s="31"/>
    </row>
    <row r="202" spans="2:414" s="25" customFormat="1" ht="15.6">
      <c r="B202" s="25" t="s">
        <v>307</v>
      </c>
      <c r="C202" s="27" t="s">
        <v>308</v>
      </c>
      <c r="D202" s="30" t="s">
        <v>291</v>
      </c>
      <c r="G202" s="42">
        <v>500</v>
      </c>
      <c r="H202" s="89">
        <v>26.109000000000002</v>
      </c>
      <c r="I202" s="38">
        <f t="shared" si="72"/>
        <v>13054.5</v>
      </c>
      <c r="K202" s="42">
        <v>500</v>
      </c>
      <c r="L202" s="90">
        <v>26.849599999999999</v>
      </c>
      <c r="M202" s="38">
        <f t="shared" si="73"/>
        <v>13424.8</v>
      </c>
      <c r="O202" s="38">
        <v>80</v>
      </c>
      <c r="P202" s="38">
        <v>26.728300000000001</v>
      </c>
      <c r="Q202" s="38">
        <f t="shared" si="74"/>
        <v>2138.2640000000001</v>
      </c>
      <c r="R202" s="43">
        <f t="shared" si="71"/>
        <v>1080</v>
      </c>
      <c r="S202" s="38">
        <f t="shared" si="75"/>
        <v>28617.563999999998</v>
      </c>
      <c r="T202" s="49">
        <v>85</v>
      </c>
      <c r="U202" s="42">
        <v>26.3004</v>
      </c>
      <c r="V202" s="38">
        <f t="shared" si="64"/>
        <v>2235.5340000000001</v>
      </c>
      <c r="W202" s="42">
        <v>200</v>
      </c>
      <c r="X202" s="42">
        <v>26.878599999999999</v>
      </c>
      <c r="Y202" s="42">
        <f t="shared" si="68"/>
        <v>5375.7199999999993</v>
      </c>
      <c r="Z202" s="42">
        <v>215</v>
      </c>
      <c r="AA202" s="42">
        <v>26.3004</v>
      </c>
      <c r="AB202" s="42">
        <f t="shared" si="69"/>
        <v>5654.5860000000002</v>
      </c>
      <c r="AD202" s="42">
        <v>90</v>
      </c>
      <c r="AE202" s="42">
        <v>26.699300000000001</v>
      </c>
      <c r="AF202" s="42">
        <v>2416</v>
      </c>
      <c r="AG202" s="42"/>
      <c r="AH202" s="42">
        <v>321</v>
      </c>
      <c r="AI202" s="42">
        <v>26.7805</v>
      </c>
      <c r="AJ202" s="42">
        <f t="shared" ref="AJ202:AJ205" si="81">AH202*AI202</f>
        <v>8596.5404999999992</v>
      </c>
      <c r="AL202" s="42"/>
      <c r="AM202" s="42"/>
      <c r="AN202" s="42"/>
      <c r="AO202" s="44"/>
      <c r="AP202" s="42"/>
      <c r="AQ202" s="42"/>
      <c r="AR202" s="42"/>
      <c r="AU202" s="98"/>
      <c r="AV202" s="35"/>
      <c r="AW202" s="104"/>
      <c r="AX202" s="42"/>
      <c r="AY202" s="42"/>
      <c r="AZ202" s="42">
        <f t="shared" si="70"/>
        <v>0</v>
      </c>
      <c r="BA202" s="42"/>
      <c r="BB202" s="42"/>
      <c r="BC202" s="42"/>
      <c r="BD202" s="38">
        <f t="shared" si="76"/>
        <v>0</v>
      </c>
      <c r="BE202" s="42"/>
      <c r="BF202" s="42"/>
      <c r="BG202" s="42"/>
      <c r="BH202" s="38">
        <f t="shared" si="77"/>
        <v>0</v>
      </c>
      <c r="BI202" s="42"/>
      <c r="BJ202" s="42"/>
      <c r="BK202" s="42"/>
      <c r="BL202" s="38">
        <f t="shared" si="78"/>
        <v>0</v>
      </c>
      <c r="BM202" s="42"/>
      <c r="BN202" s="42"/>
      <c r="BO202" s="42"/>
      <c r="BP202" s="42"/>
      <c r="BR202" s="42">
        <f t="shared" si="79"/>
        <v>24278.380499999999</v>
      </c>
      <c r="BS202" s="43">
        <f t="shared" si="80"/>
        <v>4339.1834999999992</v>
      </c>
      <c r="BT202" s="42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  <c r="JH202" s="31"/>
      <c r="JI202" s="31"/>
      <c r="JJ202" s="31"/>
      <c r="JK202" s="31"/>
      <c r="JL202" s="31"/>
      <c r="JM202" s="31"/>
      <c r="JN202" s="31"/>
      <c r="JO202" s="31"/>
      <c r="JP202" s="31"/>
      <c r="JQ202" s="31"/>
      <c r="JR202" s="31"/>
      <c r="JS202" s="31"/>
      <c r="JT202" s="31"/>
      <c r="JU202" s="31"/>
      <c r="JV202" s="31"/>
      <c r="JW202" s="31"/>
      <c r="JX202" s="31"/>
      <c r="JY202" s="31"/>
      <c r="JZ202" s="31"/>
      <c r="KA202" s="31"/>
      <c r="KB202" s="31"/>
      <c r="KC202" s="31"/>
      <c r="KD202" s="31"/>
      <c r="KE202" s="31"/>
      <c r="KF202" s="31"/>
      <c r="KG202" s="31"/>
      <c r="KH202" s="31"/>
      <c r="KI202" s="31"/>
      <c r="KJ202" s="31"/>
      <c r="KK202" s="31"/>
      <c r="KL202" s="31"/>
      <c r="KM202" s="31"/>
      <c r="KN202" s="31"/>
      <c r="KO202" s="31"/>
      <c r="KP202" s="31"/>
      <c r="KQ202" s="31"/>
      <c r="KR202" s="31"/>
      <c r="KS202" s="31"/>
      <c r="KT202" s="31"/>
      <c r="KU202" s="31"/>
      <c r="KV202" s="31"/>
      <c r="KW202" s="31"/>
      <c r="KX202" s="31"/>
      <c r="KY202" s="31"/>
      <c r="KZ202" s="31"/>
      <c r="LA202" s="31"/>
      <c r="LB202" s="31"/>
      <c r="LC202" s="31"/>
      <c r="LD202" s="31"/>
      <c r="LE202" s="31"/>
      <c r="LF202" s="31"/>
      <c r="LG202" s="31"/>
      <c r="LH202" s="31"/>
      <c r="LI202" s="31"/>
      <c r="LJ202" s="31"/>
      <c r="LK202" s="31"/>
      <c r="LL202" s="31"/>
      <c r="LM202" s="31"/>
      <c r="LN202" s="31"/>
      <c r="LO202" s="31"/>
      <c r="LP202" s="31"/>
      <c r="LQ202" s="31"/>
      <c r="LR202" s="31"/>
      <c r="LS202" s="31"/>
      <c r="LT202" s="31"/>
      <c r="LU202" s="31"/>
      <c r="LV202" s="31"/>
      <c r="LW202" s="31"/>
      <c r="LX202" s="31"/>
      <c r="LY202" s="31"/>
      <c r="LZ202" s="31"/>
      <c r="MA202" s="31"/>
      <c r="MB202" s="31"/>
      <c r="MC202" s="31"/>
      <c r="MD202" s="31"/>
      <c r="ME202" s="31"/>
      <c r="MF202" s="31"/>
      <c r="MG202" s="31"/>
      <c r="MH202" s="31"/>
      <c r="MI202" s="31"/>
      <c r="MJ202" s="31"/>
      <c r="MK202" s="31"/>
      <c r="ML202" s="31"/>
      <c r="MM202" s="31"/>
      <c r="MN202" s="31"/>
      <c r="MO202" s="31"/>
      <c r="MP202" s="31"/>
      <c r="MQ202" s="31"/>
      <c r="MR202" s="31"/>
      <c r="MS202" s="31"/>
      <c r="MT202" s="31"/>
      <c r="MU202" s="31"/>
      <c r="MV202" s="31"/>
      <c r="MW202" s="31"/>
      <c r="MX202" s="31"/>
      <c r="MY202" s="31"/>
      <c r="MZ202" s="31"/>
      <c r="NA202" s="31"/>
      <c r="NB202" s="31"/>
      <c r="NC202" s="31"/>
      <c r="ND202" s="31"/>
      <c r="NE202" s="31"/>
      <c r="NF202" s="31"/>
      <c r="NG202" s="31"/>
      <c r="NH202" s="31"/>
      <c r="NI202" s="31"/>
      <c r="NJ202" s="31"/>
      <c r="NK202" s="31"/>
      <c r="NL202" s="31"/>
      <c r="NM202" s="31"/>
      <c r="NN202" s="31"/>
      <c r="NO202" s="31"/>
      <c r="NP202" s="31"/>
      <c r="NQ202" s="31"/>
      <c r="NR202" s="31"/>
      <c r="NS202" s="31"/>
      <c r="NT202" s="31"/>
      <c r="NU202" s="31"/>
      <c r="NV202" s="31"/>
      <c r="NW202" s="31"/>
      <c r="NX202" s="31"/>
      <c r="NY202" s="31"/>
      <c r="NZ202" s="31"/>
      <c r="OA202" s="31"/>
      <c r="OB202" s="31"/>
      <c r="OC202" s="31"/>
      <c r="OD202" s="31"/>
      <c r="OE202" s="31"/>
      <c r="OF202" s="31"/>
      <c r="OG202" s="31"/>
      <c r="OH202" s="31"/>
      <c r="OI202" s="31"/>
      <c r="OJ202" s="31"/>
      <c r="OK202" s="31"/>
      <c r="OL202" s="31"/>
      <c r="OM202" s="31"/>
      <c r="ON202" s="31"/>
      <c r="OO202" s="31"/>
      <c r="OP202" s="31"/>
      <c r="OQ202" s="31"/>
      <c r="OR202" s="31"/>
      <c r="OS202" s="31"/>
      <c r="OT202" s="31"/>
      <c r="OU202" s="31"/>
      <c r="OV202" s="31"/>
      <c r="OW202" s="31"/>
      <c r="OX202" s="31"/>
    </row>
    <row r="203" spans="2:414" s="25" customFormat="1" ht="15.6">
      <c r="B203" s="25" t="s">
        <v>194</v>
      </c>
      <c r="C203" s="27" t="s">
        <v>244</v>
      </c>
      <c r="D203" s="30" t="s">
        <v>291</v>
      </c>
      <c r="G203" s="42">
        <v>500</v>
      </c>
      <c r="H203" s="89">
        <v>26.109000000000002</v>
      </c>
      <c r="I203" s="38">
        <f t="shared" si="72"/>
        <v>13054.5</v>
      </c>
      <c r="K203" s="42">
        <v>500</v>
      </c>
      <c r="L203" s="90">
        <v>26.849599999999999</v>
      </c>
      <c r="M203" s="38">
        <f t="shared" si="73"/>
        <v>13424.8</v>
      </c>
      <c r="O203" s="38">
        <v>80</v>
      </c>
      <c r="P203" s="38">
        <v>26.728300000000001</v>
      </c>
      <c r="Q203" s="38">
        <f t="shared" si="74"/>
        <v>2138.2640000000001</v>
      </c>
      <c r="R203" s="43">
        <f t="shared" si="71"/>
        <v>1080</v>
      </c>
      <c r="S203" s="38">
        <f t="shared" si="75"/>
        <v>28617.563999999998</v>
      </c>
      <c r="T203" s="49">
        <v>415</v>
      </c>
      <c r="U203" s="42">
        <v>25.822600000000001</v>
      </c>
      <c r="V203" s="38">
        <f t="shared" si="64"/>
        <v>10716.379000000001</v>
      </c>
      <c r="W203" s="42">
        <v>85</v>
      </c>
      <c r="X203" s="42">
        <v>25.822600000000001</v>
      </c>
      <c r="Y203" s="42">
        <f t="shared" si="68"/>
        <v>2194.9210000000003</v>
      </c>
      <c r="Z203" s="42">
        <v>415</v>
      </c>
      <c r="AA203" s="42">
        <v>26.864000000000001</v>
      </c>
      <c r="AB203" s="42">
        <f t="shared" si="69"/>
        <v>11148.56</v>
      </c>
      <c r="AD203" s="42">
        <v>85</v>
      </c>
      <c r="AE203" s="42">
        <v>26.864000000000001</v>
      </c>
      <c r="AF203" s="42">
        <f>AD203*AE203</f>
        <v>2283.44</v>
      </c>
      <c r="AG203" s="42"/>
      <c r="AH203" s="42"/>
      <c r="AI203" s="42"/>
      <c r="AJ203" s="42">
        <f t="shared" si="81"/>
        <v>0</v>
      </c>
      <c r="AL203" s="42"/>
      <c r="AM203" s="42"/>
      <c r="AN203" s="42"/>
      <c r="AO203" s="44"/>
      <c r="AP203" s="42"/>
      <c r="AQ203" s="42"/>
      <c r="AR203" s="42"/>
      <c r="AU203" s="98"/>
      <c r="AV203" s="35"/>
      <c r="AW203" s="104"/>
      <c r="AX203" s="42"/>
      <c r="AY203" s="42"/>
      <c r="AZ203" s="42">
        <f t="shared" si="70"/>
        <v>0</v>
      </c>
      <c r="BA203" s="42"/>
      <c r="BB203" s="42"/>
      <c r="BC203" s="42"/>
      <c r="BD203" s="38">
        <f t="shared" si="76"/>
        <v>0</v>
      </c>
      <c r="BE203" s="42"/>
      <c r="BF203" s="42"/>
      <c r="BG203" s="42"/>
      <c r="BH203" s="38">
        <f t="shared" si="77"/>
        <v>0</v>
      </c>
      <c r="BI203" s="42"/>
      <c r="BJ203" s="42"/>
      <c r="BK203" s="42"/>
      <c r="BL203" s="38">
        <f t="shared" si="78"/>
        <v>0</v>
      </c>
      <c r="BM203" s="42"/>
      <c r="BN203" s="42"/>
      <c r="BO203" s="42"/>
      <c r="BP203" s="42"/>
      <c r="BR203" s="42">
        <f t="shared" si="79"/>
        <v>26343.3</v>
      </c>
      <c r="BS203" s="43">
        <f t="shared" si="80"/>
        <v>2274.2639999999992</v>
      </c>
      <c r="BT203" s="42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  <c r="IM203" s="31"/>
      <c r="IN203" s="31"/>
      <c r="IO203" s="31"/>
      <c r="IP203" s="31"/>
      <c r="IQ203" s="31"/>
      <c r="IR203" s="31"/>
      <c r="IS203" s="31"/>
      <c r="IT203" s="31"/>
      <c r="IU203" s="31"/>
      <c r="IV203" s="31"/>
      <c r="IW203" s="31"/>
      <c r="IX203" s="31"/>
      <c r="IY203" s="31"/>
      <c r="IZ203" s="31"/>
      <c r="JA203" s="31"/>
      <c r="JB203" s="31"/>
      <c r="JC203" s="31"/>
      <c r="JD203" s="31"/>
      <c r="JE203" s="31"/>
      <c r="JF203" s="31"/>
      <c r="JG203" s="31"/>
      <c r="JH203" s="31"/>
      <c r="JI203" s="31"/>
      <c r="JJ203" s="31"/>
      <c r="JK203" s="31"/>
      <c r="JL203" s="31"/>
      <c r="JM203" s="31"/>
      <c r="JN203" s="31"/>
      <c r="JO203" s="31"/>
      <c r="JP203" s="31"/>
      <c r="JQ203" s="31"/>
      <c r="JR203" s="31"/>
      <c r="JS203" s="31"/>
      <c r="JT203" s="31"/>
      <c r="JU203" s="31"/>
      <c r="JV203" s="31"/>
      <c r="JW203" s="31"/>
      <c r="JX203" s="31"/>
      <c r="JY203" s="31"/>
      <c r="JZ203" s="31"/>
      <c r="KA203" s="31"/>
      <c r="KB203" s="31"/>
      <c r="KC203" s="31"/>
      <c r="KD203" s="31"/>
      <c r="KE203" s="31"/>
      <c r="KF203" s="31"/>
      <c r="KG203" s="31"/>
      <c r="KH203" s="31"/>
      <c r="KI203" s="31"/>
      <c r="KJ203" s="31"/>
      <c r="KK203" s="31"/>
      <c r="KL203" s="31"/>
      <c r="KM203" s="31"/>
      <c r="KN203" s="31"/>
      <c r="KO203" s="31"/>
      <c r="KP203" s="31"/>
      <c r="KQ203" s="31"/>
      <c r="KR203" s="31"/>
      <c r="KS203" s="31"/>
      <c r="KT203" s="31"/>
      <c r="KU203" s="31"/>
      <c r="KV203" s="31"/>
      <c r="KW203" s="31"/>
      <c r="KX203" s="31"/>
      <c r="KY203" s="31"/>
      <c r="KZ203" s="31"/>
      <c r="LA203" s="31"/>
      <c r="LB203" s="31"/>
      <c r="LC203" s="31"/>
      <c r="LD203" s="31"/>
      <c r="LE203" s="31"/>
      <c r="LF203" s="31"/>
      <c r="LG203" s="31"/>
      <c r="LH203" s="31"/>
      <c r="LI203" s="31"/>
      <c r="LJ203" s="31"/>
      <c r="LK203" s="31"/>
      <c r="LL203" s="31"/>
      <c r="LM203" s="31"/>
      <c r="LN203" s="31"/>
      <c r="LO203" s="31"/>
      <c r="LP203" s="31"/>
      <c r="LQ203" s="31"/>
      <c r="LR203" s="31"/>
      <c r="LS203" s="31"/>
      <c r="LT203" s="31"/>
      <c r="LU203" s="31"/>
      <c r="LV203" s="31"/>
      <c r="LW203" s="31"/>
      <c r="LX203" s="31"/>
      <c r="LY203" s="31"/>
      <c r="LZ203" s="31"/>
      <c r="MA203" s="31"/>
      <c r="MB203" s="31"/>
      <c r="MC203" s="31"/>
      <c r="MD203" s="31"/>
      <c r="ME203" s="31"/>
      <c r="MF203" s="31"/>
      <c r="MG203" s="31"/>
      <c r="MH203" s="31"/>
      <c r="MI203" s="31"/>
      <c r="MJ203" s="31"/>
      <c r="MK203" s="31"/>
      <c r="ML203" s="31"/>
      <c r="MM203" s="31"/>
      <c r="MN203" s="31"/>
      <c r="MO203" s="31"/>
      <c r="MP203" s="31"/>
      <c r="MQ203" s="31"/>
      <c r="MR203" s="31"/>
      <c r="MS203" s="31"/>
      <c r="MT203" s="31"/>
      <c r="MU203" s="31"/>
      <c r="MV203" s="31"/>
      <c r="MW203" s="31"/>
      <c r="MX203" s="31"/>
      <c r="MY203" s="31"/>
      <c r="MZ203" s="31"/>
      <c r="NA203" s="31"/>
      <c r="NB203" s="31"/>
      <c r="NC203" s="31"/>
      <c r="ND203" s="31"/>
      <c r="NE203" s="31"/>
      <c r="NF203" s="31"/>
      <c r="NG203" s="31"/>
      <c r="NH203" s="31"/>
      <c r="NI203" s="31"/>
      <c r="NJ203" s="31"/>
      <c r="NK203" s="31"/>
      <c r="NL203" s="31"/>
      <c r="NM203" s="31"/>
      <c r="NN203" s="31"/>
      <c r="NO203" s="31"/>
      <c r="NP203" s="31"/>
      <c r="NQ203" s="31"/>
      <c r="NR203" s="31"/>
      <c r="NS203" s="31"/>
      <c r="NT203" s="31"/>
      <c r="NU203" s="31"/>
      <c r="NV203" s="31"/>
      <c r="NW203" s="31"/>
      <c r="NX203" s="31"/>
      <c r="NY203" s="31"/>
      <c r="NZ203" s="31"/>
      <c r="OA203" s="31"/>
      <c r="OB203" s="31"/>
      <c r="OC203" s="31"/>
      <c r="OD203" s="31"/>
      <c r="OE203" s="31"/>
      <c r="OF203" s="31"/>
      <c r="OG203" s="31"/>
      <c r="OH203" s="31"/>
      <c r="OI203" s="31"/>
      <c r="OJ203" s="31"/>
      <c r="OK203" s="31"/>
      <c r="OL203" s="31"/>
      <c r="OM203" s="31"/>
      <c r="ON203" s="31"/>
      <c r="OO203" s="31"/>
      <c r="OP203" s="31"/>
      <c r="OQ203" s="31"/>
      <c r="OR203" s="31"/>
      <c r="OS203" s="31"/>
      <c r="OT203" s="31"/>
      <c r="OU203" s="31"/>
      <c r="OV203" s="31"/>
      <c r="OW203" s="31"/>
      <c r="OX203" s="31"/>
    </row>
    <row r="204" spans="2:414" s="25" customFormat="1" ht="15.6">
      <c r="B204" s="25" t="s">
        <v>309</v>
      </c>
      <c r="C204" s="27" t="s">
        <v>84</v>
      </c>
      <c r="D204" s="30" t="s">
        <v>291</v>
      </c>
      <c r="G204" s="42">
        <v>500</v>
      </c>
      <c r="H204" s="89">
        <v>26.109000000000002</v>
      </c>
      <c r="I204" s="38">
        <f t="shared" si="72"/>
        <v>13054.5</v>
      </c>
      <c r="K204" s="42">
        <v>500</v>
      </c>
      <c r="L204" s="90">
        <v>26.849599999999999</v>
      </c>
      <c r="M204" s="38">
        <f t="shared" si="73"/>
        <v>13424.8</v>
      </c>
      <c r="O204" s="38">
        <v>80</v>
      </c>
      <c r="P204" s="38">
        <v>26.728300000000001</v>
      </c>
      <c r="Q204" s="38">
        <f t="shared" si="74"/>
        <v>2138.2640000000001</v>
      </c>
      <c r="R204" s="43">
        <f t="shared" si="71"/>
        <v>1080</v>
      </c>
      <c r="S204" s="38">
        <f t="shared" si="75"/>
        <v>28617.563999999998</v>
      </c>
      <c r="T204" s="49">
        <v>415</v>
      </c>
      <c r="U204" s="42">
        <v>25.826699999999999</v>
      </c>
      <c r="V204" s="38">
        <f t="shared" si="64"/>
        <v>10718.0805</v>
      </c>
      <c r="W204" s="42">
        <v>85</v>
      </c>
      <c r="X204" s="42">
        <v>25.826699999999999</v>
      </c>
      <c r="Y204" s="42">
        <f t="shared" si="68"/>
        <v>2195.2694999999999</v>
      </c>
      <c r="Z204" s="42">
        <v>500</v>
      </c>
      <c r="AA204" s="42">
        <v>26.805099999999999</v>
      </c>
      <c r="AB204" s="42">
        <f t="shared" si="69"/>
        <v>13402.55</v>
      </c>
      <c r="AD204" s="42"/>
      <c r="AE204" s="42"/>
      <c r="AF204" s="42">
        <f t="shared" ref="AF204:AF205" si="82">AD204*AE204</f>
        <v>0</v>
      </c>
      <c r="AG204" s="42"/>
      <c r="AH204" s="42"/>
      <c r="AI204" s="42"/>
      <c r="AJ204" s="42">
        <f t="shared" si="81"/>
        <v>0</v>
      </c>
      <c r="AL204" s="42"/>
      <c r="AM204" s="42"/>
      <c r="AN204" s="42"/>
      <c r="AO204" s="44"/>
      <c r="AP204" s="42"/>
      <c r="AQ204" s="42"/>
      <c r="AR204" s="42"/>
      <c r="AU204" s="98"/>
      <c r="AV204" s="35"/>
      <c r="AW204" s="104"/>
      <c r="AX204" s="42"/>
      <c r="AY204" s="42"/>
      <c r="AZ204" s="42">
        <f t="shared" si="70"/>
        <v>0</v>
      </c>
      <c r="BA204" s="42"/>
      <c r="BB204" s="42"/>
      <c r="BC204" s="42"/>
      <c r="BD204" s="38">
        <f t="shared" si="76"/>
        <v>0</v>
      </c>
      <c r="BE204" s="42"/>
      <c r="BF204" s="42"/>
      <c r="BG204" s="42"/>
      <c r="BH204" s="38">
        <f t="shared" si="77"/>
        <v>0</v>
      </c>
      <c r="BI204" s="42"/>
      <c r="BJ204" s="42"/>
      <c r="BK204" s="42"/>
      <c r="BL204" s="38">
        <f t="shared" si="78"/>
        <v>0</v>
      </c>
      <c r="BM204" s="42"/>
      <c r="BN204" s="42"/>
      <c r="BO204" s="42"/>
      <c r="BP204" s="42"/>
      <c r="BR204" s="42">
        <f t="shared" si="79"/>
        <v>26315.9</v>
      </c>
      <c r="BS204" s="43">
        <f t="shared" si="80"/>
        <v>2301.663999999997</v>
      </c>
      <c r="BT204" s="42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  <c r="JH204" s="31"/>
      <c r="JI204" s="31"/>
      <c r="JJ204" s="31"/>
      <c r="JK204" s="31"/>
      <c r="JL204" s="31"/>
      <c r="JM204" s="31"/>
      <c r="JN204" s="31"/>
      <c r="JO204" s="31"/>
      <c r="JP204" s="31"/>
      <c r="JQ204" s="31"/>
      <c r="JR204" s="31"/>
      <c r="JS204" s="31"/>
      <c r="JT204" s="31"/>
      <c r="JU204" s="31"/>
      <c r="JV204" s="31"/>
      <c r="JW204" s="31"/>
      <c r="JX204" s="31"/>
      <c r="JY204" s="31"/>
      <c r="JZ204" s="31"/>
      <c r="KA204" s="31"/>
      <c r="KB204" s="31"/>
      <c r="KC204" s="31"/>
      <c r="KD204" s="31"/>
      <c r="KE204" s="31"/>
      <c r="KF204" s="31"/>
      <c r="KG204" s="31"/>
      <c r="KH204" s="31"/>
      <c r="KI204" s="31"/>
      <c r="KJ204" s="31"/>
      <c r="KK204" s="31"/>
      <c r="KL204" s="31"/>
      <c r="KM204" s="31"/>
      <c r="KN204" s="31"/>
      <c r="KO204" s="31"/>
      <c r="KP204" s="31"/>
      <c r="KQ204" s="31"/>
      <c r="KR204" s="31"/>
      <c r="KS204" s="31"/>
      <c r="KT204" s="31"/>
      <c r="KU204" s="31"/>
      <c r="KV204" s="31"/>
      <c r="KW204" s="31"/>
      <c r="KX204" s="31"/>
      <c r="KY204" s="31"/>
      <c r="KZ204" s="31"/>
      <c r="LA204" s="31"/>
      <c r="LB204" s="31"/>
      <c r="LC204" s="31"/>
      <c r="LD204" s="31"/>
      <c r="LE204" s="31"/>
      <c r="LF204" s="31"/>
      <c r="LG204" s="31"/>
      <c r="LH204" s="31"/>
      <c r="LI204" s="31"/>
      <c r="LJ204" s="31"/>
      <c r="LK204" s="31"/>
      <c r="LL204" s="31"/>
      <c r="LM204" s="31"/>
      <c r="LN204" s="31"/>
      <c r="LO204" s="31"/>
      <c r="LP204" s="31"/>
      <c r="LQ204" s="31"/>
      <c r="LR204" s="31"/>
      <c r="LS204" s="31"/>
      <c r="LT204" s="31"/>
      <c r="LU204" s="31"/>
      <c r="LV204" s="31"/>
      <c r="LW204" s="31"/>
      <c r="LX204" s="31"/>
      <c r="LY204" s="31"/>
      <c r="LZ204" s="31"/>
      <c r="MA204" s="31"/>
      <c r="MB204" s="31"/>
      <c r="MC204" s="31"/>
      <c r="MD204" s="31"/>
      <c r="ME204" s="31"/>
      <c r="MF204" s="31"/>
      <c r="MG204" s="31"/>
      <c r="MH204" s="31"/>
      <c r="MI204" s="31"/>
      <c r="MJ204" s="31"/>
      <c r="MK204" s="31"/>
      <c r="ML204" s="31"/>
      <c r="MM204" s="31"/>
      <c r="MN204" s="31"/>
      <c r="MO204" s="31"/>
      <c r="MP204" s="31"/>
      <c r="MQ204" s="31"/>
      <c r="MR204" s="31"/>
      <c r="MS204" s="31"/>
      <c r="MT204" s="31"/>
      <c r="MU204" s="31"/>
      <c r="MV204" s="31"/>
      <c r="MW204" s="31"/>
      <c r="MX204" s="31"/>
      <c r="MY204" s="31"/>
      <c r="MZ204" s="31"/>
      <c r="NA204" s="31"/>
      <c r="NB204" s="31"/>
      <c r="NC204" s="31"/>
      <c r="ND204" s="31"/>
      <c r="NE204" s="31"/>
      <c r="NF204" s="31"/>
      <c r="NG204" s="31"/>
      <c r="NH204" s="31"/>
      <c r="NI204" s="31"/>
      <c r="NJ204" s="31"/>
      <c r="NK204" s="31"/>
      <c r="NL204" s="31"/>
      <c r="NM204" s="31"/>
      <c r="NN204" s="31"/>
      <c r="NO204" s="31"/>
      <c r="NP204" s="31"/>
      <c r="NQ204" s="31"/>
      <c r="NR204" s="31"/>
      <c r="NS204" s="31"/>
      <c r="NT204" s="31"/>
      <c r="NU204" s="31"/>
      <c r="NV204" s="31"/>
      <c r="NW204" s="31"/>
      <c r="NX204" s="31"/>
      <c r="NY204" s="31"/>
      <c r="NZ204" s="31"/>
      <c r="OA204" s="31"/>
      <c r="OB204" s="31"/>
      <c r="OC204" s="31"/>
      <c r="OD204" s="31"/>
      <c r="OE204" s="31"/>
      <c r="OF204" s="31"/>
      <c r="OG204" s="31"/>
      <c r="OH204" s="31"/>
      <c r="OI204" s="31"/>
      <c r="OJ204" s="31"/>
      <c r="OK204" s="31"/>
      <c r="OL204" s="31"/>
      <c r="OM204" s="31"/>
      <c r="ON204" s="31"/>
      <c r="OO204" s="31"/>
      <c r="OP204" s="31"/>
      <c r="OQ204" s="31"/>
      <c r="OR204" s="31"/>
      <c r="OS204" s="31"/>
      <c r="OT204" s="31"/>
      <c r="OU204" s="31"/>
      <c r="OV204" s="31"/>
      <c r="OW204" s="31"/>
      <c r="OX204" s="31"/>
    </row>
    <row r="205" spans="2:414" s="25" customFormat="1" ht="15.6">
      <c r="B205" s="25" t="s">
        <v>310</v>
      </c>
      <c r="C205" s="27" t="s">
        <v>115</v>
      </c>
      <c r="D205" s="30" t="s">
        <v>291</v>
      </c>
      <c r="G205" s="42">
        <v>500</v>
      </c>
      <c r="H205" s="89">
        <v>26.109000000000002</v>
      </c>
      <c r="I205" s="38">
        <f t="shared" si="72"/>
        <v>13054.5</v>
      </c>
      <c r="K205" s="42">
        <v>500</v>
      </c>
      <c r="L205" s="90">
        <v>26.849599999999999</v>
      </c>
      <c r="M205" s="38">
        <f t="shared" si="73"/>
        <v>13424.8</v>
      </c>
      <c r="O205" s="38">
        <v>80</v>
      </c>
      <c r="P205" s="38">
        <v>26.728300000000001</v>
      </c>
      <c r="Q205" s="38">
        <f t="shared" si="74"/>
        <v>2138.2640000000001</v>
      </c>
      <c r="R205" s="43">
        <f t="shared" si="71"/>
        <v>1080</v>
      </c>
      <c r="S205" s="38">
        <f t="shared" si="75"/>
        <v>28617.563999999998</v>
      </c>
      <c r="T205" s="49">
        <v>295</v>
      </c>
      <c r="U205" s="42">
        <v>26.0579</v>
      </c>
      <c r="V205" s="38">
        <f t="shared" si="64"/>
        <v>7687.0805</v>
      </c>
      <c r="W205" s="42">
        <v>85</v>
      </c>
      <c r="X205" s="42">
        <v>26.0579</v>
      </c>
      <c r="Y205" s="42">
        <f t="shared" si="68"/>
        <v>2214.9214999999999</v>
      </c>
      <c r="Z205" s="42">
        <v>120</v>
      </c>
      <c r="AA205" s="42">
        <v>26.976800000000001</v>
      </c>
      <c r="AB205" s="42">
        <f t="shared" si="69"/>
        <v>3237.2159999999999</v>
      </c>
      <c r="AD205" s="42">
        <v>200</v>
      </c>
      <c r="AE205" s="42">
        <v>26.8719</v>
      </c>
      <c r="AF205" s="42">
        <f t="shared" si="82"/>
        <v>5374.38</v>
      </c>
      <c r="AG205" s="42"/>
      <c r="AH205" s="42">
        <v>215</v>
      </c>
      <c r="AI205" s="42">
        <v>26.934999999999999</v>
      </c>
      <c r="AJ205" s="42">
        <f t="shared" si="81"/>
        <v>5791.0249999999996</v>
      </c>
      <c r="AL205" s="42">
        <v>85</v>
      </c>
      <c r="AM205" s="42">
        <v>26.861899999999999</v>
      </c>
      <c r="AN205" s="42">
        <f>AL205*AM205</f>
        <v>2283.2615000000001</v>
      </c>
      <c r="AO205" s="44"/>
      <c r="AP205" s="42"/>
      <c r="AQ205" s="42"/>
      <c r="AR205" s="42"/>
      <c r="AU205" s="98"/>
      <c r="AV205" s="35"/>
      <c r="AW205" s="104"/>
      <c r="AX205" s="42"/>
      <c r="AY205" s="42"/>
      <c r="AZ205" s="42">
        <f t="shared" si="70"/>
        <v>0</v>
      </c>
      <c r="BA205" s="42"/>
      <c r="BB205" s="42"/>
      <c r="BC205" s="42"/>
      <c r="BD205" s="38">
        <f t="shared" si="76"/>
        <v>0</v>
      </c>
      <c r="BE205" s="42"/>
      <c r="BF205" s="42"/>
      <c r="BG205" s="42"/>
      <c r="BH205" s="38">
        <f t="shared" si="77"/>
        <v>0</v>
      </c>
      <c r="BI205" s="42"/>
      <c r="BJ205" s="42"/>
      <c r="BK205" s="42"/>
      <c r="BL205" s="38">
        <f t="shared" si="78"/>
        <v>0</v>
      </c>
      <c r="BM205" s="42"/>
      <c r="BN205" s="42"/>
      <c r="BO205" s="42"/>
      <c r="BP205" s="42"/>
      <c r="BR205" s="42">
        <f t="shared" si="79"/>
        <v>26587.8845</v>
      </c>
      <c r="BS205" s="43">
        <f t="shared" si="80"/>
        <v>2029.6794999999984</v>
      </c>
      <c r="BT205" s="42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  <c r="IM205" s="31"/>
      <c r="IN205" s="31"/>
      <c r="IO205" s="31"/>
      <c r="IP205" s="31"/>
      <c r="IQ205" s="31"/>
      <c r="IR205" s="31"/>
      <c r="IS205" s="31"/>
      <c r="IT205" s="31"/>
      <c r="IU205" s="31"/>
      <c r="IV205" s="31"/>
      <c r="IW205" s="31"/>
      <c r="IX205" s="31"/>
      <c r="IY205" s="31"/>
      <c r="IZ205" s="31"/>
      <c r="JA205" s="31"/>
      <c r="JB205" s="31"/>
      <c r="JC205" s="31"/>
      <c r="JD205" s="31"/>
      <c r="JE205" s="31"/>
      <c r="JF205" s="31"/>
      <c r="JG205" s="31"/>
      <c r="JH205" s="31"/>
      <c r="JI205" s="31"/>
      <c r="JJ205" s="31"/>
      <c r="JK205" s="31"/>
      <c r="JL205" s="31"/>
      <c r="JM205" s="31"/>
      <c r="JN205" s="31"/>
      <c r="JO205" s="31"/>
      <c r="JP205" s="31"/>
      <c r="JQ205" s="31"/>
      <c r="JR205" s="31"/>
      <c r="JS205" s="31"/>
      <c r="JT205" s="31"/>
      <c r="JU205" s="31"/>
      <c r="JV205" s="31"/>
      <c r="JW205" s="31"/>
      <c r="JX205" s="31"/>
      <c r="JY205" s="31"/>
      <c r="JZ205" s="31"/>
      <c r="KA205" s="31"/>
      <c r="KB205" s="31"/>
      <c r="KC205" s="31"/>
      <c r="KD205" s="31"/>
      <c r="KE205" s="31"/>
      <c r="KF205" s="31"/>
      <c r="KG205" s="31"/>
      <c r="KH205" s="31"/>
      <c r="KI205" s="31"/>
      <c r="KJ205" s="31"/>
      <c r="KK205" s="31"/>
      <c r="KL205" s="31"/>
      <c r="KM205" s="31"/>
      <c r="KN205" s="31"/>
      <c r="KO205" s="31"/>
      <c r="KP205" s="31"/>
      <c r="KQ205" s="31"/>
      <c r="KR205" s="31"/>
      <c r="KS205" s="31"/>
      <c r="KT205" s="31"/>
      <c r="KU205" s="31"/>
      <c r="KV205" s="31"/>
      <c r="KW205" s="31"/>
      <c r="KX205" s="31"/>
      <c r="KY205" s="31"/>
      <c r="KZ205" s="31"/>
      <c r="LA205" s="31"/>
      <c r="LB205" s="31"/>
      <c r="LC205" s="31"/>
      <c r="LD205" s="31"/>
      <c r="LE205" s="31"/>
      <c r="LF205" s="31"/>
      <c r="LG205" s="31"/>
      <c r="LH205" s="31"/>
      <c r="LI205" s="31"/>
      <c r="LJ205" s="31"/>
      <c r="LK205" s="31"/>
      <c r="LL205" s="31"/>
      <c r="LM205" s="31"/>
      <c r="LN205" s="31"/>
      <c r="LO205" s="31"/>
      <c r="LP205" s="31"/>
      <c r="LQ205" s="31"/>
      <c r="LR205" s="31"/>
      <c r="LS205" s="31"/>
      <c r="LT205" s="31"/>
      <c r="LU205" s="31"/>
      <c r="LV205" s="31"/>
      <c r="LW205" s="31"/>
      <c r="LX205" s="31"/>
      <c r="LY205" s="31"/>
      <c r="LZ205" s="31"/>
      <c r="MA205" s="31"/>
      <c r="MB205" s="31"/>
      <c r="MC205" s="31"/>
      <c r="MD205" s="31"/>
      <c r="ME205" s="31"/>
      <c r="MF205" s="31"/>
      <c r="MG205" s="31"/>
      <c r="MH205" s="31"/>
      <c r="MI205" s="31"/>
      <c r="MJ205" s="31"/>
      <c r="MK205" s="31"/>
      <c r="ML205" s="31"/>
      <c r="MM205" s="31"/>
      <c r="MN205" s="31"/>
      <c r="MO205" s="31"/>
      <c r="MP205" s="31"/>
      <c r="MQ205" s="31"/>
      <c r="MR205" s="31"/>
      <c r="MS205" s="31"/>
      <c r="MT205" s="31"/>
      <c r="MU205" s="31"/>
      <c r="MV205" s="31"/>
      <c r="MW205" s="31"/>
      <c r="MX205" s="31"/>
      <c r="MY205" s="31"/>
      <c r="MZ205" s="31"/>
      <c r="NA205" s="31"/>
      <c r="NB205" s="31"/>
      <c r="NC205" s="31"/>
      <c r="ND205" s="31"/>
      <c r="NE205" s="31"/>
      <c r="NF205" s="31"/>
      <c r="NG205" s="31"/>
      <c r="NH205" s="31"/>
      <c r="NI205" s="31"/>
      <c r="NJ205" s="31"/>
      <c r="NK205" s="31"/>
      <c r="NL205" s="31"/>
      <c r="NM205" s="31"/>
      <c r="NN205" s="31"/>
      <c r="NO205" s="31"/>
      <c r="NP205" s="31"/>
      <c r="NQ205" s="31"/>
      <c r="NR205" s="31"/>
      <c r="NS205" s="31"/>
      <c r="NT205" s="31"/>
      <c r="NU205" s="31"/>
      <c r="NV205" s="31"/>
      <c r="NW205" s="31"/>
      <c r="NX205" s="31"/>
      <c r="NY205" s="31"/>
      <c r="NZ205" s="31"/>
      <c r="OA205" s="31"/>
      <c r="OB205" s="31"/>
      <c r="OC205" s="31"/>
      <c r="OD205" s="31"/>
      <c r="OE205" s="31"/>
      <c r="OF205" s="31"/>
      <c r="OG205" s="31"/>
      <c r="OH205" s="31"/>
      <c r="OI205" s="31"/>
      <c r="OJ205" s="31"/>
      <c r="OK205" s="31"/>
      <c r="OL205" s="31"/>
      <c r="OM205" s="31"/>
      <c r="ON205" s="31"/>
      <c r="OO205" s="31"/>
      <c r="OP205" s="31"/>
      <c r="OQ205" s="31"/>
      <c r="OR205" s="31"/>
      <c r="OS205" s="31"/>
      <c r="OT205" s="31"/>
      <c r="OU205" s="31"/>
      <c r="OV205" s="31"/>
      <c r="OW205" s="31"/>
      <c r="OX205" s="31"/>
    </row>
    <row r="206" spans="2:414" s="25" customFormat="1" ht="15.6">
      <c r="B206" s="25" t="s">
        <v>157</v>
      </c>
      <c r="C206" s="27" t="s">
        <v>311</v>
      </c>
      <c r="D206" s="30" t="s">
        <v>291</v>
      </c>
      <c r="G206" s="42">
        <v>500</v>
      </c>
      <c r="H206" s="89">
        <v>26.109000000000002</v>
      </c>
      <c r="I206" s="38">
        <f t="shared" si="72"/>
        <v>13054.5</v>
      </c>
      <c r="K206" s="42">
        <v>500</v>
      </c>
      <c r="L206" s="90">
        <v>26.849599999999999</v>
      </c>
      <c r="M206" s="38">
        <f t="shared" si="73"/>
        <v>13424.8</v>
      </c>
      <c r="O206" s="38">
        <v>80</v>
      </c>
      <c r="P206" s="38">
        <v>26.728300000000001</v>
      </c>
      <c r="Q206" s="38">
        <f t="shared" si="74"/>
        <v>2138.2640000000001</v>
      </c>
      <c r="R206" s="43">
        <f t="shared" si="71"/>
        <v>1080</v>
      </c>
      <c r="S206" s="38">
        <f t="shared" si="75"/>
        <v>28617.563999999998</v>
      </c>
      <c r="T206" s="49">
        <v>85</v>
      </c>
      <c r="U206" s="42">
        <v>26.456099999999999</v>
      </c>
      <c r="V206" s="38">
        <f t="shared" si="64"/>
        <v>2248.7685000000001</v>
      </c>
      <c r="W206" s="42"/>
      <c r="X206" s="42"/>
      <c r="Y206" s="42">
        <v>6500</v>
      </c>
      <c r="Z206" s="42">
        <v>235</v>
      </c>
      <c r="AA206" s="42">
        <v>26.023700000000002</v>
      </c>
      <c r="AB206" s="42">
        <f t="shared" si="69"/>
        <v>6115.5695000000005</v>
      </c>
      <c r="AD206" s="42">
        <v>178</v>
      </c>
      <c r="AE206" s="42">
        <v>26.91</v>
      </c>
      <c r="AF206" s="42">
        <v>1650</v>
      </c>
      <c r="AG206" s="42"/>
      <c r="AH206" s="42"/>
      <c r="AI206" s="42"/>
      <c r="AJ206" s="42">
        <v>1200</v>
      </c>
      <c r="AL206" s="42"/>
      <c r="AM206" s="42"/>
      <c r="AN206" s="42">
        <v>990</v>
      </c>
      <c r="AO206" s="44"/>
      <c r="AP206" s="42"/>
      <c r="AQ206" s="42"/>
      <c r="AR206" s="42">
        <v>3000</v>
      </c>
      <c r="AU206" s="98"/>
      <c r="AV206" s="35"/>
      <c r="AW206" s="104"/>
      <c r="AX206" s="42"/>
      <c r="AY206" s="42"/>
      <c r="AZ206" s="42">
        <f t="shared" si="70"/>
        <v>0</v>
      </c>
      <c r="BA206" s="42"/>
      <c r="BB206" s="42"/>
      <c r="BC206" s="42"/>
      <c r="BD206" s="38">
        <f t="shared" si="76"/>
        <v>0</v>
      </c>
      <c r="BE206" s="42"/>
      <c r="BF206" s="42"/>
      <c r="BG206" s="42"/>
      <c r="BH206" s="38">
        <f t="shared" si="77"/>
        <v>0</v>
      </c>
      <c r="BI206" s="42"/>
      <c r="BJ206" s="42"/>
      <c r="BK206" s="42"/>
      <c r="BL206" s="38">
        <f t="shared" si="78"/>
        <v>0</v>
      </c>
      <c r="BM206" s="42"/>
      <c r="BN206" s="42"/>
      <c r="BO206" s="42"/>
      <c r="BP206" s="42"/>
      <c r="BR206" s="42">
        <f t="shared" si="79"/>
        <v>21704.338</v>
      </c>
      <c r="BS206" s="43">
        <f t="shared" si="80"/>
        <v>6913.2259999999987</v>
      </c>
      <c r="BT206" s="42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  <c r="JH206" s="31"/>
      <c r="JI206" s="31"/>
      <c r="JJ206" s="31"/>
      <c r="JK206" s="31"/>
      <c r="JL206" s="31"/>
      <c r="JM206" s="31"/>
      <c r="JN206" s="31"/>
      <c r="JO206" s="31"/>
      <c r="JP206" s="31"/>
      <c r="JQ206" s="31"/>
      <c r="JR206" s="31"/>
      <c r="JS206" s="31"/>
      <c r="JT206" s="31"/>
      <c r="JU206" s="31"/>
      <c r="JV206" s="31"/>
      <c r="JW206" s="31"/>
      <c r="JX206" s="31"/>
      <c r="JY206" s="31"/>
      <c r="JZ206" s="31"/>
      <c r="KA206" s="31"/>
      <c r="KB206" s="31"/>
      <c r="KC206" s="31"/>
      <c r="KD206" s="31"/>
      <c r="KE206" s="31"/>
      <c r="KF206" s="31"/>
      <c r="KG206" s="31"/>
      <c r="KH206" s="31"/>
      <c r="KI206" s="31"/>
      <c r="KJ206" s="31"/>
      <c r="KK206" s="31"/>
      <c r="KL206" s="31"/>
      <c r="KM206" s="31"/>
      <c r="KN206" s="31"/>
      <c r="KO206" s="31"/>
      <c r="KP206" s="31"/>
      <c r="KQ206" s="31"/>
      <c r="KR206" s="31"/>
      <c r="KS206" s="31"/>
      <c r="KT206" s="31"/>
      <c r="KU206" s="31"/>
      <c r="KV206" s="31"/>
      <c r="KW206" s="31"/>
      <c r="KX206" s="31"/>
      <c r="KY206" s="31"/>
      <c r="KZ206" s="31"/>
      <c r="LA206" s="31"/>
      <c r="LB206" s="31"/>
      <c r="LC206" s="31"/>
      <c r="LD206" s="31"/>
      <c r="LE206" s="31"/>
      <c r="LF206" s="31"/>
      <c r="LG206" s="31"/>
      <c r="LH206" s="31"/>
      <c r="LI206" s="31"/>
      <c r="LJ206" s="31"/>
      <c r="LK206" s="31"/>
      <c r="LL206" s="31"/>
      <c r="LM206" s="31"/>
      <c r="LN206" s="31"/>
      <c r="LO206" s="31"/>
      <c r="LP206" s="31"/>
      <c r="LQ206" s="31"/>
      <c r="LR206" s="31"/>
      <c r="LS206" s="31"/>
      <c r="LT206" s="31"/>
      <c r="LU206" s="31"/>
      <c r="LV206" s="31"/>
      <c r="LW206" s="31"/>
      <c r="LX206" s="31"/>
      <c r="LY206" s="31"/>
      <c r="LZ206" s="31"/>
      <c r="MA206" s="31"/>
      <c r="MB206" s="31"/>
      <c r="MC206" s="31"/>
      <c r="MD206" s="31"/>
      <c r="ME206" s="31"/>
      <c r="MF206" s="31"/>
      <c r="MG206" s="31"/>
      <c r="MH206" s="31"/>
      <c r="MI206" s="31"/>
      <c r="MJ206" s="31"/>
      <c r="MK206" s="31"/>
      <c r="ML206" s="31"/>
      <c r="MM206" s="31"/>
      <c r="MN206" s="31"/>
      <c r="MO206" s="31"/>
      <c r="MP206" s="31"/>
      <c r="MQ206" s="31"/>
      <c r="MR206" s="31"/>
      <c r="MS206" s="31"/>
      <c r="MT206" s="31"/>
      <c r="MU206" s="31"/>
      <c r="MV206" s="31"/>
      <c r="MW206" s="31"/>
      <c r="MX206" s="31"/>
      <c r="MY206" s="31"/>
      <c r="MZ206" s="31"/>
      <c r="NA206" s="31"/>
      <c r="NB206" s="31"/>
      <c r="NC206" s="31"/>
      <c r="ND206" s="31"/>
      <c r="NE206" s="31"/>
      <c r="NF206" s="31"/>
      <c r="NG206" s="31"/>
      <c r="NH206" s="31"/>
      <c r="NI206" s="31"/>
      <c r="NJ206" s="31"/>
      <c r="NK206" s="31"/>
      <c r="NL206" s="31"/>
      <c r="NM206" s="31"/>
      <c r="NN206" s="31"/>
      <c r="NO206" s="31"/>
      <c r="NP206" s="31"/>
      <c r="NQ206" s="31"/>
      <c r="NR206" s="31"/>
      <c r="NS206" s="31"/>
      <c r="NT206" s="31"/>
      <c r="NU206" s="31"/>
      <c r="NV206" s="31"/>
      <c r="NW206" s="31"/>
      <c r="NX206" s="31"/>
      <c r="NY206" s="31"/>
      <c r="NZ206" s="31"/>
      <c r="OA206" s="31"/>
      <c r="OB206" s="31"/>
      <c r="OC206" s="31"/>
      <c r="OD206" s="31"/>
      <c r="OE206" s="31"/>
      <c r="OF206" s="31"/>
      <c r="OG206" s="31"/>
      <c r="OH206" s="31"/>
      <c r="OI206" s="31"/>
      <c r="OJ206" s="31"/>
      <c r="OK206" s="31"/>
      <c r="OL206" s="31"/>
      <c r="OM206" s="31"/>
      <c r="ON206" s="31"/>
      <c r="OO206" s="31"/>
      <c r="OP206" s="31"/>
      <c r="OQ206" s="31"/>
      <c r="OR206" s="31"/>
      <c r="OS206" s="31"/>
      <c r="OT206" s="31"/>
      <c r="OU206" s="31"/>
      <c r="OV206" s="31"/>
      <c r="OW206" s="31"/>
      <c r="OX206" s="31"/>
    </row>
    <row r="207" spans="2:414" s="25" customFormat="1" ht="15.6">
      <c r="B207" s="25" t="s">
        <v>312</v>
      </c>
      <c r="C207" s="27" t="s">
        <v>313</v>
      </c>
      <c r="D207" s="30" t="s">
        <v>291</v>
      </c>
      <c r="G207" s="42">
        <v>500</v>
      </c>
      <c r="H207" s="89">
        <v>26.109000000000002</v>
      </c>
      <c r="I207" s="38">
        <f t="shared" si="72"/>
        <v>13054.5</v>
      </c>
      <c r="K207" s="42">
        <v>500</v>
      </c>
      <c r="L207" s="90">
        <v>26.849599999999999</v>
      </c>
      <c r="M207" s="38">
        <f t="shared" si="73"/>
        <v>13424.8</v>
      </c>
      <c r="O207" s="38">
        <v>80</v>
      </c>
      <c r="P207" s="38">
        <v>26.728300000000001</v>
      </c>
      <c r="Q207" s="38">
        <f t="shared" si="74"/>
        <v>2138.2640000000001</v>
      </c>
      <c r="R207" s="43">
        <f t="shared" si="71"/>
        <v>1080</v>
      </c>
      <c r="S207" s="38">
        <f t="shared" si="75"/>
        <v>28617.563999999998</v>
      </c>
      <c r="T207" s="49">
        <v>500</v>
      </c>
      <c r="U207" s="42">
        <v>26.670400000000001</v>
      </c>
      <c r="V207" s="38">
        <f t="shared" si="64"/>
        <v>13335.2</v>
      </c>
      <c r="W207" s="42"/>
      <c r="X207" s="42"/>
      <c r="Y207" s="42">
        <f>W207*X207</f>
        <v>0</v>
      </c>
      <c r="Z207" s="42"/>
      <c r="AA207" s="42"/>
      <c r="AB207" s="42">
        <f t="shared" si="69"/>
        <v>0</v>
      </c>
      <c r="AD207" s="42"/>
      <c r="AE207" s="42"/>
      <c r="AF207" s="42">
        <f>AD207*AE207</f>
        <v>0</v>
      </c>
      <c r="AG207" s="42"/>
      <c r="AH207" s="42"/>
      <c r="AI207" s="42"/>
      <c r="AJ207" s="42"/>
      <c r="AL207" s="42"/>
      <c r="AM207" s="42"/>
      <c r="AN207" s="42"/>
      <c r="AO207" s="44"/>
      <c r="AP207" s="42"/>
      <c r="AQ207" s="42"/>
      <c r="AR207" s="42"/>
      <c r="AU207" s="98"/>
      <c r="AV207" s="35"/>
      <c r="AW207" s="104"/>
      <c r="AX207" s="42"/>
      <c r="AY207" s="42"/>
      <c r="AZ207" s="42">
        <f t="shared" si="70"/>
        <v>0</v>
      </c>
      <c r="BA207" s="42"/>
      <c r="BB207" s="42"/>
      <c r="BC207" s="42"/>
      <c r="BD207" s="38">
        <f t="shared" si="76"/>
        <v>0</v>
      </c>
      <c r="BE207" s="42"/>
      <c r="BF207" s="42"/>
      <c r="BG207" s="42"/>
      <c r="BH207" s="38">
        <f t="shared" si="77"/>
        <v>0</v>
      </c>
      <c r="BI207" s="42"/>
      <c r="BJ207" s="42"/>
      <c r="BK207" s="42"/>
      <c r="BL207" s="38">
        <f t="shared" si="78"/>
        <v>0</v>
      </c>
      <c r="BM207" s="42"/>
      <c r="BN207" s="42"/>
      <c r="BO207" s="42"/>
      <c r="BP207" s="42"/>
      <c r="BR207" s="42">
        <f t="shared" si="79"/>
        <v>13335.2</v>
      </c>
      <c r="BS207" s="43">
        <f t="shared" si="80"/>
        <v>15282.363999999998</v>
      </c>
      <c r="BT207" s="42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  <c r="IM207" s="31"/>
      <c r="IN207" s="31"/>
      <c r="IO207" s="31"/>
      <c r="IP207" s="31"/>
      <c r="IQ207" s="31"/>
      <c r="IR207" s="31"/>
      <c r="IS207" s="31"/>
      <c r="IT207" s="31"/>
      <c r="IU207" s="31"/>
      <c r="IV207" s="31"/>
      <c r="IW207" s="31"/>
      <c r="IX207" s="31"/>
      <c r="IY207" s="31"/>
      <c r="IZ207" s="31"/>
      <c r="JA207" s="31"/>
      <c r="JB207" s="31"/>
      <c r="JC207" s="31"/>
      <c r="JD207" s="31"/>
      <c r="JE207" s="31"/>
      <c r="JF207" s="31"/>
      <c r="JG207" s="31"/>
      <c r="JH207" s="31"/>
      <c r="JI207" s="31"/>
      <c r="JJ207" s="31"/>
      <c r="JK207" s="31"/>
      <c r="JL207" s="31"/>
      <c r="JM207" s="31"/>
      <c r="JN207" s="31"/>
      <c r="JO207" s="31"/>
      <c r="JP207" s="31"/>
      <c r="JQ207" s="31"/>
      <c r="JR207" s="31"/>
      <c r="JS207" s="31"/>
      <c r="JT207" s="31"/>
      <c r="JU207" s="31"/>
      <c r="JV207" s="31"/>
      <c r="JW207" s="31"/>
      <c r="JX207" s="31"/>
      <c r="JY207" s="31"/>
      <c r="JZ207" s="31"/>
      <c r="KA207" s="31"/>
      <c r="KB207" s="31"/>
      <c r="KC207" s="31"/>
      <c r="KD207" s="31"/>
      <c r="KE207" s="31"/>
      <c r="KF207" s="31"/>
      <c r="KG207" s="31"/>
      <c r="KH207" s="31"/>
      <c r="KI207" s="31"/>
      <c r="KJ207" s="31"/>
      <c r="KK207" s="31"/>
      <c r="KL207" s="31"/>
      <c r="KM207" s="31"/>
      <c r="KN207" s="31"/>
      <c r="KO207" s="31"/>
      <c r="KP207" s="31"/>
      <c r="KQ207" s="31"/>
      <c r="KR207" s="31"/>
      <c r="KS207" s="31"/>
      <c r="KT207" s="31"/>
      <c r="KU207" s="31"/>
      <c r="KV207" s="31"/>
      <c r="KW207" s="31"/>
      <c r="KX207" s="31"/>
      <c r="KY207" s="31"/>
      <c r="KZ207" s="31"/>
      <c r="LA207" s="31"/>
      <c r="LB207" s="31"/>
      <c r="LC207" s="31"/>
      <c r="LD207" s="31"/>
      <c r="LE207" s="31"/>
      <c r="LF207" s="31"/>
      <c r="LG207" s="31"/>
      <c r="LH207" s="31"/>
      <c r="LI207" s="31"/>
      <c r="LJ207" s="31"/>
      <c r="LK207" s="31"/>
      <c r="LL207" s="31"/>
      <c r="LM207" s="31"/>
      <c r="LN207" s="31"/>
      <c r="LO207" s="31"/>
      <c r="LP207" s="31"/>
      <c r="LQ207" s="31"/>
      <c r="LR207" s="31"/>
      <c r="LS207" s="31"/>
      <c r="LT207" s="31"/>
      <c r="LU207" s="31"/>
      <c r="LV207" s="31"/>
      <c r="LW207" s="31"/>
      <c r="LX207" s="31"/>
      <c r="LY207" s="31"/>
      <c r="LZ207" s="31"/>
      <c r="MA207" s="31"/>
      <c r="MB207" s="31"/>
      <c r="MC207" s="31"/>
      <c r="MD207" s="31"/>
      <c r="ME207" s="31"/>
      <c r="MF207" s="31"/>
      <c r="MG207" s="31"/>
      <c r="MH207" s="31"/>
      <c r="MI207" s="31"/>
      <c r="MJ207" s="31"/>
      <c r="MK207" s="31"/>
      <c r="ML207" s="31"/>
      <c r="MM207" s="31"/>
      <c r="MN207" s="31"/>
      <c r="MO207" s="31"/>
      <c r="MP207" s="31"/>
      <c r="MQ207" s="31"/>
      <c r="MR207" s="31"/>
      <c r="MS207" s="31"/>
      <c r="MT207" s="31"/>
      <c r="MU207" s="31"/>
      <c r="MV207" s="31"/>
      <c r="MW207" s="31"/>
      <c r="MX207" s="31"/>
      <c r="MY207" s="31"/>
      <c r="MZ207" s="31"/>
      <c r="NA207" s="31"/>
      <c r="NB207" s="31"/>
      <c r="NC207" s="31"/>
      <c r="ND207" s="31"/>
      <c r="NE207" s="31"/>
      <c r="NF207" s="31"/>
      <c r="NG207" s="31"/>
      <c r="NH207" s="31"/>
      <c r="NI207" s="31"/>
      <c r="NJ207" s="31"/>
      <c r="NK207" s="31"/>
      <c r="NL207" s="31"/>
      <c r="NM207" s="31"/>
      <c r="NN207" s="31"/>
      <c r="NO207" s="31"/>
      <c r="NP207" s="31"/>
      <c r="NQ207" s="31"/>
      <c r="NR207" s="31"/>
      <c r="NS207" s="31"/>
      <c r="NT207" s="31"/>
      <c r="NU207" s="31"/>
      <c r="NV207" s="31"/>
      <c r="NW207" s="31"/>
      <c r="NX207" s="31"/>
      <c r="NY207" s="31"/>
      <c r="NZ207" s="31"/>
      <c r="OA207" s="31"/>
      <c r="OB207" s="31"/>
      <c r="OC207" s="31"/>
      <c r="OD207" s="31"/>
      <c r="OE207" s="31"/>
      <c r="OF207" s="31"/>
      <c r="OG207" s="31"/>
      <c r="OH207" s="31"/>
      <c r="OI207" s="31"/>
      <c r="OJ207" s="31"/>
      <c r="OK207" s="31"/>
      <c r="OL207" s="31"/>
      <c r="OM207" s="31"/>
      <c r="ON207" s="31"/>
      <c r="OO207" s="31"/>
      <c r="OP207" s="31"/>
      <c r="OQ207" s="31"/>
      <c r="OR207" s="31"/>
      <c r="OS207" s="31"/>
      <c r="OT207" s="31"/>
      <c r="OU207" s="31"/>
      <c r="OV207" s="31"/>
      <c r="OW207" s="31"/>
      <c r="OX207" s="31"/>
    </row>
    <row r="208" spans="2:414" s="25" customFormat="1" ht="15.6">
      <c r="B208" s="25" t="s">
        <v>314</v>
      </c>
      <c r="C208" s="27" t="s">
        <v>293</v>
      </c>
      <c r="D208" s="30" t="s">
        <v>291</v>
      </c>
      <c r="G208" s="42">
        <v>500</v>
      </c>
      <c r="H208" s="89">
        <v>26.109000000000002</v>
      </c>
      <c r="I208" s="38">
        <f t="shared" si="72"/>
        <v>13054.5</v>
      </c>
      <c r="K208" s="42">
        <v>500</v>
      </c>
      <c r="L208" s="90">
        <v>26.849599999999999</v>
      </c>
      <c r="M208" s="38">
        <f t="shared" si="73"/>
        <v>13424.8</v>
      </c>
      <c r="O208" s="38">
        <v>80</v>
      </c>
      <c r="P208" s="38">
        <v>26.728300000000001</v>
      </c>
      <c r="Q208" s="38">
        <f t="shared" si="74"/>
        <v>2138.2640000000001</v>
      </c>
      <c r="R208" s="43">
        <f t="shared" si="71"/>
        <v>1080</v>
      </c>
      <c r="S208" s="38">
        <f t="shared" si="75"/>
        <v>28617.563999999998</v>
      </c>
      <c r="T208" s="49">
        <v>90</v>
      </c>
      <c r="U208" s="42">
        <v>26.7498</v>
      </c>
      <c r="V208" s="38">
        <f t="shared" si="64"/>
        <v>2407.482</v>
      </c>
      <c r="W208" s="42">
        <v>85</v>
      </c>
      <c r="X208" s="42">
        <v>26.76</v>
      </c>
      <c r="Y208" s="42">
        <f t="shared" ref="Y208:Y219" si="83">W208*X208</f>
        <v>2274.6</v>
      </c>
      <c r="Z208" s="42">
        <v>115</v>
      </c>
      <c r="AA208" s="42">
        <v>26.727900000000002</v>
      </c>
      <c r="AB208" s="42">
        <f t="shared" si="69"/>
        <v>3073.7085000000002</v>
      </c>
      <c r="AD208" s="42">
        <v>210</v>
      </c>
      <c r="AE208" s="42">
        <v>26.727900000000002</v>
      </c>
      <c r="AF208" s="42">
        <f t="shared" ref="AF208:AF258" si="84">AD208*AE208</f>
        <v>5612.8590000000004</v>
      </c>
      <c r="AG208" s="42"/>
      <c r="AH208" s="42">
        <v>400</v>
      </c>
      <c r="AI208" s="42">
        <v>26.94</v>
      </c>
      <c r="AJ208" s="42">
        <f>AH208*AI208</f>
        <v>10776</v>
      </c>
      <c r="AL208" s="42">
        <v>100</v>
      </c>
      <c r="AM208" s="42">
        <v>26.86</v>
      </c>
      <c r="AN208" s="42">
        <f>AL208*AM208</f>
        <v>2686</v>
      </c>
      <c r="AO208" s="44"/>
      <c r="AP208" s="42"/>
      <c r="AQ208" s="42"/>
      <c r="AR208" s="42"/>
      <c r="AU208" s="98"/>
      <c r="AV208" s="35"/>
      <c r="AW208" s="104"/>
      <c r="AX208" s="42"/>
      <c r="AY208" s="42"/>
      <c r="AZ208" s="42">
        <f t="shared" si="70"/>
        <v>0</v>
      </c>
      <c r="BA208" s="42"/>
      <c r="BB208" s="42"/>
      <c r="BC208" s="42"/>
      <c r="BD208" s="38">
        <f t="shared" si="76"/>
        <v>0</v>
      </c>
      <c r="BE208" s="42"/>
      <c r="BF208" s="42"/>
      <c r="BG208" s="42"/>
      <c r="BH208" s="38">
        <f t="shared" si="77"/>
        <v>0</v>
      </c>
      <c r="BI208" s="42"/>
      <c r="BJ208" s="42"/>
      <c r="BK208" s="42"/>
      <c r="BL208" s="38">
        <f t="shared" si="78"/>
        <v>0</v>
      </c>
      <c r="BM208" s="42"/>
      <c r="BN208" s="42"/>
      <c r="BO208" s="42"/>
      <c r="BP208" s="42"/>
      <c r="BR208" s="42">
        <f t="shared" si="79"/>
        <v>26830.6495</v>
      </c>
      <c r="BS208" s="43">
        <f t="shared" si="80"/>
        <v>1786.914499999999</v>
      </c>
      <c r="BT208" s="42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  <c r="IM208" s="31"/>
      <c r="IN208" s="31"/>
      <c r="IO208" s="31"/>
      <c r="IP208" s="31"/>
      <c r="IQ208" s="31"/>
      <c r="IR208" s="31"/>
      <c r="IS208" s="31"/>
      <c r="IT208" s="31"/>
      <c r="IU208" s="31"/>
      <c r="IV208" s="31"/>
      <c r="IW208" s="31"/>
      <c r="IX208" s="31"/>
      <c r="IY208" s="31"/>
      <c r="IZ208" s="31"/>
      <c r="JA208" s="31"/>
      <c r="JB208" s="31"/>
      <c r="JC208" s="31"/>
      <c r="JD208" s="31"/>
      <c r="JE208" s="31"/>
      <c r="JF208" s="31"/>
      <c r="JG208" s="31"/>
      <c r="JH208" s="31"/>
      <c r="JI208" s="31"/>
      <c r="JJ208" s="31"/>
      <c r="JK208" s="31"/>
      <c r="JL208" s="31"/>
      <c r="JM208" s="31"/>
      <c r="JN208" s="31"/>
      <c r="JO208" s="31"/>
      <c r="JP208" s="31"/>
      <c r="JQ208" s="31"/>
      <c r="JR208" s="31"/>
      <c r="JS208" s="31"/>
      <c r="JT208" s="31"/>
      <c r="JU208" s="31"/>
      <c r="JV208" s="31"/>
      <c r="JW208" s="31"/>
      <c r="JX208" s="31"/>
      <c r="JY208" s="31"/>
      <c r="JZ208" s="31"/>
      <c r="KA208" s="31"/>
      <c r="KB208" s="31"/>
      <c r="KC208" s="31"/>
      <c r="KD208" s="31"/>
      <c r="KE208" s="31"/>
      <c r="KF208" s="31"/>
      <c r="KG208" s="31"/>
      <c r="KH208" s="31"/>
      <c r="KI208" s="31"/>
      <c r="KJ208" s="31"/>
      <c r="KK208" s="31"/>
      <c r="KL208" s="31"/>
      <c r="KM208" s="31"/>
      <c r="KN208" s="31"/>
      <c r="KO208" s="31"/>
      <c r="KP208" s="31"/>
      <c r="KQ208" s="31"/>
      <c r="KR208" s="31"/>
      <c r="KS208" s="31"/>
      <c r="KT208" s="31"/>
      <c r="KU208" s="31"/>
      <c r="KV208" s="31"/>
      <c r="KW208" s="31"/>
      <c r="KX208" s="31"/>
      <c r="KY208" s="31"/>
      <c r="KZ208" s="31"/>
      <c r="LA208" s="31"/>
      <c r="LB208" s="31"/>
      <c r="LC208" s="31"/>
      <c r="LD208" s="31"/>
      <c r="LE208" s="31"/>
      <c r="LF208" s="31"/>
      <c r="LG208" s="31"/>
      <c r="LH208" s="31"/>
      <c r="LI208" s="31"/>
      <c r="LJ208" s="31"/>
      <c r="LK208" s="31"/>
      <c r="LL208" s="31"/>
      <c r="LM208" s="31"/>
      <c r="LN208" s="31"/>
      <c r="LO208" s="31"/>
      <c r="LP208" s="31"/>
      <c r="LQ208" s="31"/>
      <c r="LR208" s="31"/>
      <c r="LS208" s="31"/>
      <c r="LT208" s="31"/>
      <c r="LU208" s="31"/>
      <c r="LV208" s="31"/>
      <c r="LW208" s="31"/>
      <c r="LX208" s="31"/>
      <c r="LY208" s="31"/>
      <c r="LZ208" s="31"/>
      <c r="MA208" s="31"/>
      <c r="MB208" s="31"/>
      <c r="MC208" s="31"/>
      <c r="MD208" s="31"/>
      <c r="ME208" s="31"/>
      <c r="MF208" s="31"/>
      <c r="MG208" s="31"/>
      <c r="MH208" s="31"/>
      <c r="MI208" s="31"/>
      <c r="MJ208" s="31"/>
      <c r="MK208" s="31"/>
      <c r="ML208" s="31"/>
      <c r="MM208" s="31"/>
      <c r="MN208" s="31"/>
      <c r="MO208" s="31"/>
      <c r="MP208" s="31"/>
      <c r="MQ208" s="31"/>
      <c r="MR208" s="31"/>
      <c r="MS208" s="31"/>
      <c r="MT208" s="31"/>
      <c r="MU208" s="31"/>
      <c r="MV208" s="31"/>
      <c r="MW208" s="31"/>
      <c r="MX208" s="31"/>
      <c r="MY208" s="31"/>
      <c r="MZ208" s="31"/>
      <c r="NA208" s="31"/>
      <c r="NB208" s="31"/>
      <c r="NC208" s="31"/>
      <c r="ND208" s="31"/>
      <c r="NE208" s="31"/>
      <c r="NF208" s="31"/>
      <c r="NG208" s="31"/>
      <c r="NH208" s="31"/>
      <c r="NI208" s="31"/>
      <c r="NJ208" s="31"/>
      <c r="NK208" s="31"/>
      <c r="NL208" s="31"/>
      <c r="NM208" s="31"/>
      <c r="NN208" s="31"/>
      <c r="NO208" s="31"/>
      <c r="NP208" s="31"/>
      <c r="NQ208" s="31"/>
      <c r="NR208" s="31"/>
      <c r="NS208" s="31"/>
      <c r="NT208" s="31"/>
      <c r="NU208" s="31"/>
      <c r="NV208" s="31"/>
      <c r="NW208" s="31"/>
      <c r="NX208" s="31"/>
      <c r="NY208" s="31"/>
      <c r="NZ208" s="31"/>
      <c r="OA208" s="31"/>
      <c r="OB208" s="31"/>
      <c r="OC208" s="31"/>
      <c r="OD208" s="31"/>
      <c r="OE208" s="31"/>
      <c r="OF208" s="31"/>
      <c r="OG208" s="31"/>
      <c r="OH208" s="31"/>
      <c r="OI208" s="31"/>
      <c r="OJ208" s="31"/>
      <c r="OK208" s="31"/>
      <c r="OL208" s="31"/>
      <c r="OM208" s="31"/>
      <c r="ON208" s="31"/>
      <c r="OO208" s="31"/>
      <c r="OP208" s="31"/>
      <c r="OQ208" s="31"/>
      <c r="OR208" s="31"/>
      <c r="OS208" s="31"/>
      <c r="OT208" s="31"/>
      <c r="OU208" s="31"/>
      <c r="OV208" s="31"/>
      <c r="OW208" s="31"/>
      <c r="OX208" s="31"/>
    </row>
    <row r="209" spans="2:414" s="25" customFormat="1" ht="15.6">
      <c r="B209" s="25" t="s">
        <v>315</v>
      </c>
      <c r="C209" s="27" t="s">
        <v>301</v>
      </c>
      <c r="D209" s="30" t="s">
        <v>291</v>
      </c>
      <c r="G209" s="42">
        <v>360</v>
      </c>
      <c r="H209" s="89">
        <v>26.109000000000002</v>
      </c>
      <c r="I209" s="38">
        <f t="shared" si="72"/>
        <v>9399.24</v>
      </c>
      <c r="K209" s="42">
        <v>360</v>
      </c>
      <c r="L209" s="90">
        <v>26.849599999999999</v>
      </c>
      <c r="M209" s="38">
        <f t="shared" si="73"/>
        <v>9665.8559999999998</v>
      </c>
      <c r="O209" s="38">
        <v>80</v>
      </c>
      <c r="P209" s="38">
        <v>26.728300000000001</v>
      </c>
      <c r="Q209" s="38">
        <f t="shared" si="74"/>
        <v>2138.2640000000001</v>
      </c>
      <c r="R209" s="43">
        <f t="shared" si="71"/>
        <v>800</v>
      </c>
      <c r="S209" s="38">
        <f t="shared" si="75"/>
        <v>21203.359999999997</v>
      </c>
      <c r="T209" s="49">
        <v>305</v>
      </c>
      <c r="U209" s="42">
        <v>26.9815</v>
      </c>
      <c r="V209" s="38">
        <f t="shared" si="64"/>
        <v>8229.3575000000001</v>
      </c>
      <c r="W209" s="42">
        <v>85</v>
      </c>
      <c r="X209" s="42">
        <v>26.9815</v>
      </c>
      <c r="Y209" s="42">
        <f t="shared" si="83"/>
        <v>2293.4275000000002</v>
      </c>
      <c r="Z209" s="42"/>
      <c r="AA209" s="42"/>
      <c r="AB209" s="42">
        <f t="shared" si="69"/>
        <v>0</v>
      </c>
      <c r="AD209" s="42"/>
      <c r="AE209" s="42"/>
      <c r="AF209" s="42">
        <f t="shared" si="84"/>
        <v>0</v>
      </c>
      <c r="AG209" s="42"/>
      <c r="AH209" s="42"/>
      <c r="AI209" s="42"/>
      <c r="AJ209" s="42"/>
      <c r="AL209" s="42"/>
      <c r="AM209" s="42"/>
      <c r="AN209" s="42">
        <f t="shared" ref="AN209:AN261" si="85">AL209*AM209</f>
        <v>0</v>
      </c>
      <c r="AO209" s="44"/>
      <c r="AP209" s="42"/>
      <c r="AQ209" s="42"/>
      <c r="AR209" s="42"/>
      <c r="AU209" s="98"/>
      <c r="AV209" s="35"/>
      <c r="AW209" s="104"/>
      <c r="AX209" s="42"/>
      <c r="AY209" s="42"/>
      <c r="AZ209" s="42">
        <f t="shared" si="70"/>
        <v>0</v>
      </c>
      <c r="BA209" s="42"/>
      <c r="BB209" s="42"/>
      <c r="BC209" s="42"/>
      <c r="BD209" s="38">
        <f t="shared" si="76"/>
        <v>0</v>
      </c>
      <c r="BE209" s="42"/>
      <c r="BF209" s="42"/>
      <c r="BG209" s="42"/>
      <c r="BH209" s="38">
        <f t="shared" si="77"/>
        <v>0</v>
      </c>
      <c r="BI209" s="42"/>
      <c r="BJ209" s="42"/>
      <c r="BK209" s="42"/>
      <c r="BL209" s="38">
        <f t="shared" si="78"/>
        <v>0</v>
      </c>
      <c r="BM209" s="42"/>
      <c r="BN209" s="42"/>
      <c r="BO209" s="42"/>
      <c r="BP209" s="42"/>
      <c r="BR209" s="42">
        <f t="shared" si="79"/>
        <v>10522.785</v>
      </c>
      <c r="BS209" s="43">
        <f t="shared" si="80"/>
        <v>10680.574999999997</v>
      </c>
      <c r="BT209" s="42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  <c r="IM209" s="31"/>
      <c r="IN209" s="31"/>
      <c r="IO209" s="31"/>
      <c r="IP209" s="31"/>
      <c r="IQ209" s="31"/>
      <c r="IR209" s="31"/>
      <c r="IS209" s="31"/>
      <c r="IT209" s="31"/>
      <c r="IU209" s="31"/>
      <c r="IV209" s="31"/>
      <c r="IW209" s="31"/>
      <c r="IX209" s="31"/>
      <c r="IY209" s="31"/>
      <c r="IZ209" s="31"/>
      <c r="JA209" s="31"/>
      <c r="JB209" s="31"/>
      <c r="JC209" s="31"/>
      <c r="JD209" s="31"/>
      <c r="JE209" s="31"/>
      <c r="JF209" s="31"/>
      <c r="JG209" s="31"/>
      <c r="JH209" s="31"/>
      <c r="JI209" s="31"/>
      <c r="JJ209" s="31"/>
      <c r="JK209" s="31"/>
      <c r="JL209" s="31"/>
      <c r="JM209" s="31"/>
      <c r="JN209" s="31"/>
      <c r="JO209" s="31"/>
      <c r="JP209" s="31"/>
      <c r="JQ209" s="31"/>
      <c r="JR209" s="31"/>
      <c r="JS209" s="31"/>
      <c r="JT209" s="31"/>
      <c r="JU209" s="31"/>
      <c r="JV209" s="31"/>
      <c r="JW209" s="31"/>
      <c r="JX209" s="31"/>
      <c r="JY209" s="31"/>
      <c r="JZ209" s="31"/>
      <c r="KA209" s="31"/>
      <c r="KB209" s="31"/>
      <c r="KC209" s="31"/>
      <c r="KD209" s="31"/>
      <c r="KE209" s="31"/>
      <c r="KF209" s="31"/>
      <c r="KG209" s="31"/>
      <c r="KH209" s="31"/>
      <c r="KI209" s="31"/>
      <c r="KJ209" s="31"/>
      <c r="KK209" s="31"/>
      <c r="KL209" s="31"/>
      <c r="KM209" s="31"/>
      <c r="KN209" s="31"/>
      <c r="KO209" s="31"/>
      <c r="KP209" s="31"/>
      <c r="KQ209" s="31"/>
      <c r="KR209" s="31"/>
      <c r="KS209" s="31"/>
      <c r="KT209" s="31"/>
      <c r="KU209" s="31"/>
      <c r="KV209" s="31"/>
      <c r="KW209" s="31"/>
      <c r="KX209" s="31"/>
      <c r="KY209" s="31"/>
      <c r="KZ209" s="31"/>
      <c r="LA209" s="31"/>
      <c r="LB209" s="31"/>
      <c r="LC209" s="31"/>
      <c r="LD209" s="31"/>
      <c r="LE209" s="31"/>
      <c r="LF209" s="31"/>
      <c r="LG209" s="31"/>
      <c r="LH209" s="31"/>
      <c r="LI209" s="31"/>
      <c r="LJ209" s="31"/>
      <c r="LK209" s="31"/>
      <c r="LL209" s="31"/>
      <c r="LM209" s="31"/>
      <c r="LN209" s="31"/>
      <c r="LO209" s="31"/>
      <c r="LP209" s="31"/>
      <c r="LQ209" s="31"/>
      <c r="LR209" s="31"/>
      <c r="LS209" s="31"/>
      <c r="LT209" s="31"/>
      <c r="LU209" s="31"/>
      <c r="LV209" s="31"/>
      <c r="LW209" s="31"/>
      <c r="LX209" s="31"/>
      <c r="LY209" s="31"/>
      <c r="LZ209" s="31"/>
      <c r="MA209" s="31"/>
      <c r="MB209" s="31"/>
      <c r="MC209" s="31"/>
      <c r="MD209" s="31"/>
      <c r="ME209" s="31"/>
      <c r="MF209" s="31"/>
      <c r="MG209" s="31"/>
      <c r="MH209" s="31"/>
      <c r="MI209" s="31"/>
      <c r="MJ209" s="31"/>
      <c r="MK209" s="31"/>
      <c r="ML209" s="31"/>
      <c r="MM209" s="31"/>
      <c r="MN209" s="31"/>
      <c r="MO209" s="31"/>
      <c r="MP209" s="31"/>
      <c r="MQ209" s="31"/>
      <c r="MR209" s="31"/>
      <c r="MS209" s="31"/>
      <c r="MT209" s="31"/>
      <c r="MU209" s="31"/>
      <c r="MV209" s="31"/>
      <c r="MW209" s="31"/>
      <c r="MX209" s="31"/>
      <c r="MY209" s="31"/>
      <c r="MZ209" s="31"/>
      <c r="NA209" s="31"/>
      <c r="NB209" s="31"/>
      <c r="NC209" s="31"/>
      <c r="ND209" s="31"/>
      <c r="NE209" s="31"/>
      <c r="NF209" s="31"/>
      <c r="NG209" s="31"/>
      <c r="NH209" s="31"/>
      <c r="NI209" s="31"/>
      <c r="NJ209" s="31"/>
      <c r="NK209" s="31"/>
      <c r="NL209" s="31"/>
      <c r="NM209" s="31"/>
      <c r="NN209" s="31"/>
      <c r="NO209" s="31"/>
      <c r="NP209" s="31"/>
      <c r="NQ209" s="31"/>
      <c r="NR209" s="31"/>
      <c r="NS209" s="31"/>
      <c r="NT209" s="31"/>
      <c r="NU209" s="31"/>
      <c r="NV209" s="31"/>
      <c r="NW209" s="31"/>
      <c r="NX209" s="31"/>
      <c r="NY209" s="31"/>
      <c r="NZ209" s="31"/>
      <c r="OA209" s="31"/>
      <c r="OB209" s="31"/>
      <c r="OC209" s="31"/>
      <c r="OD209" s="31"/>
      <c r="OE209" s="31"/>
      <c r="OF209" s="31"/>
      <c r="OG209" s="31"/>
      <c r="OH209" s="31"/>
      <c r="OI209" s="31"/>
      <c r="OJ209" s="31"/>
      <c r="OK209" s="31"/>
      <c r="OL209" s="31"/>
      <c r="OM209" s="31"/>
      <c r="ON209" s="31"/>
      <c r="OO209" s="31"/>
      <c r="OP209" s="31"/>
      <c r="OQ209" s="31"/>
      <c r="OR209" s="31"/>
      <c r="OS209" s="31"/>
      <c r="OT209" s="31"/>
      <c r="OU209" s="31"/>
      <c r="OV209" s="31"/>
      <c r="OW209" s="31"/>
      <c r="OX209" s="31"/>
    </row>
    <row r="210" spans="2:414" s="25" customFormat="1" ht="15.6">
      <c r="B210" s="25" t="s">
        <v>317</v>
      </c>
      <c r="C210" s="27" t="s">
        <v>146</v>
      </c>
      <c r="D210" s="30" t="s">
        <v>316</v>
      </c>
      <c r="G210" s="42">
        <v>500</v>
      </c>
      <c r="H210" s="89">
        <v>26.109000000000002</v>
      </c>
      <c r="I210" s="38">
        <f t="shared" si="72"/>
        <v>13054.5</v>
      </c>
      <c r="K210" s="42">
        <v>500</v>
      </c>
      <c r="L210" s="90">
        <v>26.849599999999999</v>
      </c>
      <c r="M210" s="38">
        <f t="shared" si="73"/>
        <v>13424.8</v>
      </c>
      <c r="O210" s="38">
        <v>80</v>
      </c>
      <c r="P210" s="38">
        <v>26.728300000000001</v>
      </c>
      <c r="Q210" s="38">
        <f t="shared" si="74"/>
        <v>2138.2640000000001</v>
      </c>
      <c r="R210" s="43">
        <f t="shared" si="71"/>
        <v>1080</v>
      </c>
      <c r="S210" s="38">
        <f t="shared" si="75"/>
        <v>28617.563999999998</v>
      </c>
      <c r="T210" s="49">
        <v>405</v>
      </c>
      <c r="U210" s="42">
        <v>26.261399999999998</v>
      </c>
      <c r="V210" s="38">
        <f t="shared" si="64"/>
        <v>10635.867</v>
      </c>
      <c r="W210" s="42">
        <v>85</v>
      </c>
      <c r="X210" s="42">
        <v>26.194800000000001</v>
      </c>
      <c r="Y210" s="42">
        <f t="shared" si="83"/>
        <v>2226.558</v>
      </c>
      <c r="Z210" s="42">
        <v>415</v>
      </c>
      <c r="AA210" s="42">
        <v>26.849499999999999</v>
      </c>
      <c r="AB210" s="42">
        <f t="shared" si="69"/>
        <v>11142.5425</v>
      </c>
      <c r="AD210" s="42">
        <v>85</v>
      </c>
      <c r="AE210" s="42">
        <v>26.805099999999999</v>
      </c>
      <c r="AF210" s="42">
        <f t="shared" si="84"/>
        <v>2278.4335000000001</v>
      </c>
      <c r="AG210" s="42"/>
      <c r="AH210" s="42"/>
      <c r="AI210" s="42"/>
      <c r="AJ210" s="42"/>
      <c r="AL210" s="42"/>
      <c r="AM210" s="42"/>
      <c r="AN210" s="42">
        <f t="shared" si="85"/>
        <v>0</v>
      </c>
      <c r="AO210" s="44"/>
      <c r="AP210" s="42"/>
      <c r="AQ210" s="42"/>
      <c r="AR210" s="42"/>
      <c r="AU210" s="98"/>
      <c r="AV210" s="35"/>
      <c r="AW210" s="104"/>
      <c r="AX210" s="42"/>
      <c r="AY210" s="42"/>
      <c r="AZ210" s="42">
        <f t="shared" si="70"/>
        <v>0</v>
      </c>
      <c r="BA210" s="42"/>
      <c r="BB210" s="42"/>
      <c r="BC210" s="42"/>
      <c r="BD210" s="38">
        <f t="shared" si="76"/>
        <v>0</v>
      </c>
      <c r="BE210" s="42"/>
      <c r="BF210" s="42"/>
      <c r="BG210" s="42"/>
      <c r="BH210" s="38">
        <f t="shared" si="77"/>
        <v>0</v>
      </c>
      <c r="BI210" s="42"/>
      <c r="BJ210" s="42"/>
      <c r="BK210" s="42"/>
      <c r="BL210" s="38">
        <f t="shared" si="78"/>
        <v>0</v>
      </c>
      <c r="BM210" s="42"/>
      <c r="BN210" s="42"/>
      <c r="BO210" s="42"/>
      <c r="BP210" s="42"/>
      <c r="BR210" s="42">
        <f t="shared" si="79"/>
        <v>26283.400999999998</v>
      </c>
      <c r="BS210" s="43">
        <f t="shared" si="80"/>
        <v>2334.1630000000005</v>
      </c>
      <c r="BT210" s="42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  <c r="IM210" s="31"/>
      <c r="IN210" s="31"/>
      <c r="IO210" s="31"/>
      <c r="IP210" s="31"/>
      <c r="IQ210" s="31"/>
      <c r="IR210" s="31"/>
      <c r="IS210" s="31"/>
      <c r="IT210" s="31"/>
      <c r="IU210" s="31"/>
      <c r="IV210" s="31"/>
      <c r="IW210" s="31"/>
      <c r="IX210" s="31"/>
      <c r="IY210" s="31"/>
      <c r="IZ210" s="31"/>
      <c r="JA210" s="31"/>
      <c r="JB210" s="31"/>
      <c r="JC210" s="31"/>
      <c r="JD210" s="31"/>
      <c r="JE210" s="31"/>
      <c r="JF210" s="31"/>
      <c r="JG210" s="31"/>
      <c r="JH210" s="31"/>
      <c r="JI210" s="31"/>
      <c r="JJ210" s="31"/>
      <c r="JK210" s="31"/>
      <c r="JL210" s="31"/>
      <c r="JM210" s="31"/>
      <c r="JN210" s="31"/>
      <c r="JO210" s="31"/>
      <c r="JP210" s="31"/>
      <c r="JQ210" s="31"/>
      <c r="JR210" s="31"/>
      <c r="JS210" s="31"/>
      <c r="JT210" s="31"/>
      <c r="JU210" s="31"/>
      <c r="JV210" s="31"/>
      <c r="JW210" s="31"/>
      <c r="JX210" s="31"/>
      <c r="JY210" s="31"/>
      <c r="JZ210" s="31"/>
      <c r="KA210" s="31"/>
      <c r="KB210" s="31"/>
      <c r="KC210" s="31"/>
      <c r="KD210" s="31"/>
      <c r="KE210" s="31"/>
      <c r="KF210" s="31"/>
      <c r="KG210" s="31"/>
      <c r="KH210" s="31"/>
      <c r="KI210" s="31"/>
      <c r="KJ210" s="31"/>
      <c r="KK210" s="31"/>
      <c r="KL210" s="31"/>
      <c r="KM210" s="31"/>
      <c r="KN210" s="31"/>
      <c r="KO210" s="31"/>
      <c r="KP210" s="31"/>
      <c r="KQ210" s="31"/>
      <c r="KR210" s="31"/>
      <c r="KS210" s="31"/>
      <c r="KT210" s="31"/>
      <c r="KU210" s="31"/>
      <c r="KV210" s="31"/>
      <c r="KW210" s="31"/>
      <c r="KX210" s="31"/>
      <c r="KY210" s="31"/>
      <c r="KZ210" s="31"/>
      <c r="LA210" s="31"/>
      <c r="LB210" s="31"/>
      <c r="LC210" s="31"/>
      <c r="LD210" s="31"/>
      <c r="LE210" s="31"/>
      <c r="LF210" s="31"/>
      <c r="LG210" s="31"/>
      <c r="LH210" s="31"/>
      <c r="LI210" s="31"/>
      <c r="LJ210" s="31"/>
      <c r="LK210" s="31"/>
      <c r="LL210" s="31"/>
      <c r="LM210" s="31"/>
      <c r="LN210" s="31"/>
      <c r="LO210" s="31"/>
      <c r="LP210" s="31"/>
      <c r="LQ210" s="31"/>
      <c r="LR210" s="31"/>
      <c r="LS210" s="31"/>
      <c r="LT210" s="31"/>
      <c r="LU210" s="31"/>
      <c r="LV210" s="31"/>
      <c r="LW210" s="31"/>
      <c r="LX210" s="31"/>
      <c r="LY210" s="31"/>
      <c r="LZ210" s="31"/>
      <c r="MA210" s="31"/>
      <c r="MB210" s="31"/>
      <c r="MC210" s="31"/>
      <c r="MD210" s="31"/>
      <c r="ME210" s="31"/>
      <c r="MF210" s="31"/>
      <c r="MG210" s="31"/>
      <c r="MH210" s="31"/>
      <c r="MI210" s="31"/>
      <c r="MJ210" s="31"/>
      <c r="MK210" s="31"/>
      <c r="ML210" s="31"/>
      <c r="MM210" s="31"/>
      <c r="MN210" s="31"/>
      <c r="MO210" s="31"/>
      <c r="MP210" s="31"/>
      <c r="MQ210" s="31"/>
      <c r="MR210" s="31"/>
      <c r="MS210" s="31"/>
      <c r="MT210" s="31"/>
      <c r="MU210" s="31"/>
      <c r="MV210" s="31"/>
      <c r="MW210" s="31"/>
      <c r="MX210" s="31"/>
      <c r="MY210" s="31"/>
      <c r="MZ210" s="31"/>
      <c r="NA210" s="31"/>
      <c r="NB210" s="31"/>
      <c r="NC210" s="31"/>
      <c r="ND210" s="31"/>
      <c r="NE210" s="31"/>
      <c r="NF210" s="31"/>
      <c r="NG210" s="31"/>
      <c r="NH210" s="31"/>
      <c r="NI210" s="31"/>
      <c r="NJ210" s="31"/>
      <c r="NK210" s="31"/>
      <c r="NL210" s="31"/>
      <c r="NM210" s="31"/>
      <c r="NN210" s="31"/>
      <c r="NO210" s="31"/>
      <c r="NP210" s="31"/>
      <c r="NQ210" s="31"/>
      <c r="NR210" s="31"/>
      <c r="NS210" s="31"/>
      <c r="NT210" s="31"/>
      <c r="NU210" s="31"/>
      <c r="NV210" s="31"/>
      <c r="NW210" s="31"/>
      <c r="NX210" s="31"/>
      <c r="NY210" s="31"/>
      <c r="NZ210" s="31"/>
      <c r="OA210" s="31"/>
      <c r="OB210" s="31"/>
      <c r="OC210" s="31"/>
      <c r="OD210" s="31"/>
      <c r="OE210" s="31"/>
      <c r="OF210" s="31"/>
      <c r="OG210" s="31"/>
      <c r="OH210" s="31"/>
      <c r="OI210" s="31"/>
      <c r="OJ210" s="31"/>
      <c r="OK210" s="31"/>
      <c r="OL210" s="31"/>
      <c r="OM210" s="31"/>
      <c r="ON210" s="31"/>
      <c r="OO210" s="31"/>
      <c r="OP210" s="31"/>
      <c r="OQ210" s="31"/>
      <c r="OR210" s="31"/>
      <c r="OS210" s="31"/>
      <c r="OT210" s="31"/>
      <c r="OU210" s="31"/>
      <c r="OV210" s="31"/>
      <c r="OW210" s="31"/>
      <c r="OX210" s="31"/>
    </row>
    <row r="211" spans="2:414" s="25" customFormat="1" ht="15.6">
      <c r="B211" s="25" t="s">
        <v>318</v>
      </c>
      <c r="C211" s="27" t="s">
        <v>319</v>
      </c>
      <c r="D211" s="30" t="s">
        <v>316</v>
      </c>
      <c r="G211" s="42">
        <v>500</v>
      </c>
      <c r="H211" s="89">
        <v>26.109000000000002</v>
      </c>
      <c r="I211" s="38">
        <f t="shared" si="72"/>
        <v>13054.5</v>
      </c>
      <c r="K211" s="42">
        <v>500</v>
      </c>
      <c r="L211" s="90">
        <v>26.849599999999999</v>
      </c>
      <c r="M211" s="38">
        <f t="shared" si="73"/>
        <v>13424.8</v>
      </c>
      <c r="O211" s="38">
        <v>80</v>
      </c>
      <c r="P211" s="38">
        <v>26.728300000000001</v>
      </c>
      <c r="Q211" s="38">
        <f t="shared" si="74"/>
        <v>2138.2640000000001</v>
      </c>
      <c r="R211" s="43">
        <f t="shared" si="71"/>
        <v>1080</v>
      </c>
      <c r="S211" s="38">
        <f t="shared" si="75"/>
        <v>28617.563999999998</v>
      </c>
      <c r="T211" s="49">
        <v>415</v>
      </c>
      <c r="U211" s="42">
        <v>25.826699999999999</v>
      </c>
      <c r="V211" s="38">
        <f t="shared" si="64"/>
        <v>10718.0805</v>
      </c>
      <c r="W211" s="42">
        <v>85</v>
      </c>
      <c r="X211" s="42"/>
      <c r="Y211" s="42">
        <f t="shared" si="83"/>
        <v>0</v>
      </c>
      <c r="Z211" s="42"/>
      <c r="AA211" s="42"/>
      <c r="AB211" s="42">
        <f t="shared" si="69"/>
        <v>0</v>
      </c>
      <c r="AD211" s="42">
        <v>230</v>
      </c>
      <c r="AE211" s="42">
        <v>26.8337</v>
      </c>
      <c r="AF211" s="42">
        <f t="shared" si="84"/>
        <v>6171.7510000000002</v>
      </c>
      <c r="AG211" s="42"/>
      <c r="AH211" s="42">
        <v>85</v>
      </c>
      <c r="AI211" s="42">
        <v>26.8962</v>
      </c>
      <c r="AJ211" s="42">
        <f>AH211*AI211</f>
        <v>2286.1770000000001</v>
      </c>
      <c r="AL211" s="42">
        <v>85</v>
      </c>
      <c r="AM211" s="42">
        <v>26.8962</v>
      </c>
      <c r="AN211" s="42">
        <f t="shared" si="85"/>
        <v>2286.1770000000001</v>
      </c>
      <c r="AO211" s="44"/>
      <c r="AP211" s="42">
        <v>100</v>
      </c>
      <c r="AQ211" s="42">
        <v>26.940100000000001</v>
      </c>
      <c r="AR211" s="42"/>
      <c r="AT211" s="25">
        <v>80</v>
      </c>
      <c r="AU211" s="98">
        <v>26.779299999999999</v>
      </c>
      <c r="AV211" s="35">
        <f>AT211*AU211</f>
        <v>2142.3440000000001</v>
      </c>
      <c r="AW211" s="104"/>
      <c r="AX211" s="42"/>
      <c r="AY211" s="42"/>
      <c r="AZ211" s="42">
        <f t="shared" si="70"/>
        <v>0</v>
      </c>
      <c r="BA211" s="42"/>
      <c r="BB211" s="42"/>
      <c r="BC211" s="42"/>
      <c r="BD211" s="38">
        <f t="shared" si="76"/>
        <v>0</v>
      </c>
      <c r="BE211" s="42"/>
      <c r="BF211" s="42"/>
      <c r="BG211" s="42"/>
      <c r="BH211" s="38">
        <f t="shared" si="77"/>
        <v>0</v>
      </c>
      <c r="BI211" s="42"/>
      <c r="BJ211" s="42"/>
      <c r="BK211" s="42"/>
      <c r="BL211" s="38">
        <f t="shared" si="78"/>
        <v>0</v>
      </c>
      <c r="BM211" s="42"/>
      <c r="BN211" s="42"/>
      <c r="BO211" s="42"/>
      <c r="BP211" s="42"/>
      <c r="BR211" s="42">
        <f t="shared" si="79"/>
        <v>23604.529500000001</v>
      </c>
      <c r="BS211" s="43">
        <f t="shared" si="80"/>
        <v>5013.0344999999979</v>
      </c>
      <c r="BT211" s="42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  <c r="IM211" s="31"/>
      <c r="IN211" s="31"/>
      <c r="IO211" s="31"/>
      <c r="IP211" s="31"/>
      <c r="IQ211" s="31"/>
      <c r="IR211" s="31"/>
      <c r="IS211" s="31"/>
      <c r="IT211" s="31"/>
      <c r="IU211" s="31"/>
      <c r="IV211" s="31"/>
      <c r="IW211" s="31"/>
      <c r="IX211" s="31"/>
      <c r="IY211" s="31"/>
      <c r="IZ211" s="31"/>
      <c r="JA211" s="31"/>
      <c r="JB211" s="31"/>
      <c r="JC211" s="31"/>
      <c r="JD211" s="31"/>
      <c r="JE211" s="31"/>
      <c r="JF211" s="31"/>
      <c r="JG211" s="31"/>
      <c r="JH211" s="31"/>
      <c r="JI211" s="31"/>
      <c r="JJ211" s="31"/>
      <c r="JK211" s="31"/>
      <c r="JL211" s="31"/>
      <c r="JM211" s="31"/>
      <c r="JN211" s="31"/>
      <c r="JO211" s="31"/>
      <c r="JP211" s="31"/>
      <c r="JQ211" s="31"/>
      <c r="JR211" s="31"/>
      <c r="JS211" s="31"/>
      <c r="JT211" s="31"/>
      <c r="JU211" s="31"/>
      <c r="JV211" s="31"/>
      <c r="JW211" s="31"/>
      <c r="JX211" s="31"/>
      <c r="JY211" s="31"/>
      <c r="JZ211" s="31"/>
      <c r="KA211" s="31"/>
      <c r="KB211" s="31"/>
      <c r="KC211" s="31"/>
      <c r="KD211" s="31"/>
      <c r="KE211" s="31"/>
      <c r="KF211" s="31"/>
      <c r="KG211" s="31"/>
      <c r="KH211" s="31"/>
      <c r="KI211" s="31"/>
      <c r="KJ211" s="31"/>
      <c r="KK211" s="31"/>
      <c r="KL211" s="31"/>
      <c r="KM211" s="31"/>
      <c r="KN211" s="31"/>
      <c r="KO211" s="31"/>
      <c r="KP211" s="31"/>
      <c r="KQ211" s="31"/>
      <c r="KR211" s="31"/>
      <c r="KS211" s="31"/>
      <c r="KT211" s="31"/>
      <c r="KU211" s="31"/>
      <c r="KV211" s="31"/>
      <c r="KW211" s="31"/>
      <c r="KX211" s="31"/>
      <c r="KY211" s="31"/>
      <c r="KZ211" s="31"/>
      <c r="LA211" s="31"/>
      <c r="LB211" s="31"/>
      <c r="LC211" s="31"/>
      <c r="LD211" s="31"/>
      <c r="LE211" s="31"/>
      <c r="LF211" s="31"/>
      <c r="LG211" s="31"/>
      <c r="LH211" s="31"/>
      <c r="LI211" s="31"/>
      <c r="LJ211" s="31"/>
      <c r="LK211" s="31"/>
      <c r="LL211" s="31"/>
      <c r="LM211" s="31"/>
      <c r="LN211" s="31"/>
      <c r="LO211" s="31"/>
      <c r="LP211" s="31"/>
      <c r="LQ211" s="31"/>
      <c r="LR211" s="31"/>
      <c r="LS211" s="31"/>
      <c r="LT211" s="31"/>
      <c r="LU211" s="31"/>
      <c r="LV211" s="31"/>
      <c r="LW211" s="31"/>
      <c r="LX211" s="31"/>
      <c r="LY211" s="31"/>
      <c r="LZ211" s="31"/>
      <c r="MA211" s="31"/>
      <c r="MB211" s="31"/>
      <c r="MC211" s="31"/>
      <c r="MD211" s="31"/>
      <c r="ME211" s="31"/>
      <c r="MF211" s="31"/>
      <c r="MG211" s="31"/>
      <c r="MH211" s="31"/>
      <c r="MI211" s="31"/>
      <c r="MJ211" s="31"/>
      <c r="MK211" s="31"/>
      <c r="ML211" s="31"/>
      <c r="MM211" s="31"/>
      <c r="MN211" s="31"/>
      <c r="MO211" s="31"/>
      <c r="MP211" s="31"/>
      <c r="MQ211" s="31"/>
      <c r="MR211" s="31"/>
      <c r="MS211" s="31"/>
      <c r="MT211" s="31"/>
      <c r="MU211" s="31"/>
      <c r="MV211" s="31"/>
      <c r="MW211" s="31"/>
      <c r="MX211" s="31"/>
      <c r="MY211" s="31"/>
      <c r="MZ211" s="31"/>
      <c r="NA211" s="31"/>
      <c r="NB211" s="31"/>
      <c r="NC211" s="31"/>
      <c r="ND211" s="31"/>
      <c r="NE211" s="31"/>
      <c r="NF211" s="31"/>
      <c r="NG211" s="31"/>
      <c r="NH211" s="31"/>
      <c r="NI211" s="31"/>
      <c r="NJ211" s="31"/>
      <c r="NK211" s="31"/>
      <c r="NL211" s="31"/>
      <c r="NM211" s="31"/>
      <c r="NN211" s="31"/>
      <c r="NO211" s="31"/>
      <c r="NP211" s="31"/>
      <c r="NQ211" s="31"/>
      <c r="NR211" s="31"/>
      <c r="NS211" s="31"/>
      <c r="NT211" s="31"/>
      <c r="NU211" s="31"/>
      <c r="NV211" s="31"/>
      <c r="NW211" s="31"/>
      <c r="NX211" s="31"/>
      <c r="NY211" s="31"/>
      <c r="NZ211" s="31"/>
      <c r="OA211" s="31"/>
      <c r="OB211" s="31"/>
      <c r="OC211" s="31"/>
      <c r="OD211" s="31"/>
      <c r="OE211" s="31"/>
      <c r="OF211" s="31"/>
      <c r="OG211" s="31"/>
      <c r="OH211" s="31"/>
      <c r="OI211" s="31"/>
      <c r="OJ211" s="31"/>
      <c r="OK211" s="31"/>
      <c r="OL211" s="31"/>
      <c r="OM211" s="31"/>
      <c r="ON211" s="31"/>
      <c r="OO211" s="31"/>
      <c r="OP211" s="31"/>
      <c r="OQ211" s="31"/>
      <c r="OR211" s="31"/>
      <c r="OS211" s="31"/>
      <c r="OT211" s="31"/>
      <c r="OU211" s="31"/>
      <c r="OV211" s="31"/>
      <c r="OW211" s="31"/>
      <c r="OX211" s="31"/>
    </row>
    <row r="212" spans="2:414" s="25" customFormat="1" ht="15.6">
      <c r="B212" s="25" t="s">
        <v>320</v>
      </c>
      <c r="C212" s="27" t="s">
        <v>321</v>
      </c>
      <c r="D212" s="30" t="s">
        <v>316</v>
      </c>
      <c r="G212" s="42">
        <v>500</v>
      </c>
      <c r="H212" s="89">
        <v>26.109000000000002</v>
      </c>
      <c r="I212" s="38">
        <f t="shared" si="72"/>
        <v>13054.5</v>
      </c>
      <c r="K212" s="42">
        <v>500</v>
      </c>
      <c r="L212" s="90">
        <v>26.849599999999999</v>
      </c>
      <c r="M212" s="38">
        <f t="shared" si="73"/>
        <v>13424.8</v>
      </c>
      <c r="O212" s="38">
        <v>80</v>
      </c>
      <c r="P212" s="38">
        <v>26.728300000000001</v>
      </c>
      <c r="Q212" s="38">
        <f t="shared" si="74"/>
        <v>2138.2640000000001</v>
      </c>
      <c r="R212" s="43">
        <f t="shared" si="71"/>
        <v>1080</v>
      </c>
      <c r="S212" s="38">
        <f t="shared" si="75"/>
        <v>28617.563999999998</v>
      </c>
      <c r="T212" s="49">
        <v>415</v>
      </c>
      <c r="U212" s="42">
        <v>26.267499999999998</v>
      </c>
      <c r="V212" s="38">
        <f t="shared" si="64"/>
        <v>10901.012499999999</v>
      </c>
      <c r="W212" s="42">
        <v>85</v>
      </c>
      <c r="X212" s="42">
        <v>25.826699999999999</v>
      </c>
      <c r="Y212" s="42">
        <f t="shared" si="83"/>
        <v>2195.2694999999999</v>
      </c>
      <c r="Z212" s="42">
        <v>500</v>
      </c>
      <c r="AA212" s="42">
        <v>26.827200000000001</v>
      </c>
      <c r="AB212" s="42">
        <f t="shared" si="69"/>
        <v>13413.6</v>
      </c>
      <c r="AD212" s="42"/>
      <c r="AE212" s="42"/>
      <c r="AF212" s="42">
        <f t="shared" si="84"/>
        <v>0</v>
      </c>
      <c r="AG212" s="42"/>
      <c r="AH212" s="42"/>
      <c r="AI212" s="42"/>
      <c r="AJ212" s="42"/>
      <c r="AL212" s="42"/>
      <c r="AM212" s="42"/>
      <c r="AN212" s="42">
        <f t="shared" si="85"/>
        <v>0</v>
      </c>
      <c r="AO212" s="44"/>
      <c r="AP212" s="42"/>
      <c r="AQ212" s="42"/>
      <c r="AR212" s="42"/>
      <c r="AU212" s="98"/>
      <c r="AV212" s="35"/>
      <c r="AW212" s="104"/>
      <c r="AX212" s="42"/>
      <c r="AY212" s="42"/>
      <c r="AZ212" s="42">
        <f t="shared" si="70"/>
        <v>0</v>
      </c>
      <c r="BA212" s="42"/>
      <c r="BB212" s="42"/>
      <c r="BC212" s="42"/>
      <c r="BD212" s="38">
        <f t="shared" si="76"/>
        <v>0</v>
      </c>
      <c r="BE212" s="42"/>
      <c r="BF212" s="42"/>
      <c r="BG212" s="42"/>
      <c r="BH212" s="38">
        <f t="shared" si="77"/>
        <v>0</v>
      </c>
      <c r="BI212" s="42"/>
      <c r="BJ212" s="42"/>
      <c r="BK212" s="42"/>
      <c r="BL212" s="38">
        <f t="shared" si="78"/>
        <v>0</v>
      </c>
      <c r="BM212" s="42"/>
      <c r="BN212" s="42"/>
      <c r="BO212" s="42"/>
      <c r="BP212" s="42"/>
      <c r="BR212" s="42">
        <f t="shared" si="79"/>
        <v>26509.881999999998</v>
      </c>
      <c r="BS212" s="43">
        <f t="shared" si="80"/>
        <v>2107.6820000000007</v>
      </c>
      <c r="BT212" s="42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  <c r="IM212" s="31"/>
      <c r="IN212" s="31"/>
      <c r="IO212" s="31"/>
      <c r="IP212" s="31"/>
      <c r="IQ212" s="31"/>
      <c r="IR212" s="31"/>
      <c r="IS212" s="31"/>
      <c r="IT212" s="31"/>
      <c r="IU212" s="31"/>
      <c r="IV212" s="31"/>
      <c r="IW212" s="31"/>
      <c r="IX212" s="31"/>
      <c r="IY212" s="31"/>
      <c r="IZ212" s="31"/>
      <c r="JA212" s="31"/>
      <c r="JB212" s="31"/>
      <c r="JC212" s="31"/>
      <c r="JD212" s="31"/>
      <c r="JE212" s="31"/>
      <c r="JF212" s="31"/>
      <c r="JG212" s="31"/>
      <c r="JH212" s="31"/>
      <c r="JI212" s="31"/>
      <c r="JJ212" s="31"/>
      <c r="JK212" s="31"/>
      <c r="JL212" s="31"/>
      <c r="JM212" s="31"/>
      <c r="JN212" s="31"/>
      <c r="JO212" s="31"/>
      <c r="JP212" s="31"/>
      <c r="JQ212" s="31"/>
      <c r="JR212" s="31"/>
      <c r="JS212" s="31"/>
      <c r="JT212" s="31"/>
      <c r="JU212" s="31"/>
      <c r="JV212" s="31"/>
      <c r="JW212" s="31"/>
      <c r="JX212" s="31"/>
      <c r="JY212" s="31"/>
      <c r="JZ212" s="31"/>
      <c r="KA212" s="31"/>
      <c r="KB212" s="31"/>
      <c r="KC212" s="31"/>
      <c r="KD212" s="31"/>
      <c r="KE212" s="31"/>
      <c r="KF212" s="31"/>
      <c r="KG212" s="31"/>
      <c r="KH212" s="31"/>
      <c r="KI212" s="31"/>
      <c r="KJ212" s="31"/>
      <c r="KK212" s="31"/>
      <c r="KL212" s="31"/>
      <c r="KM212" s="31"/>
      <c r="KN212" s="31"/>
      <c r="KO212" s="31"/>
      <c r="KP212" s="31"/>
      <c r="KQ212" s="31"/>
      <c r="KR212" s="31"/>
      <c r="KS212" s="31"/>
      <c r="KT212" s="31"/>
      <c r="KU212" s="31"/>
      <c r="KV212" s="31"/>
      <c r="KW212" s="31"/>
      <c r="KX212" s="31"/>
      <c r="KY212" s="31"/>
      <c r="KZ212" s="31"/>
      <c r="LA212" s="31"/>
      <c r="LB212" s="31"/>
      <c r="LC212" s="31"/>
      <c r="LD212" s="31"/>
      <c r="LE212" s="31"/>
      <c r="LF212" s="31"/>
      <c r="LG212" s="31"/>
      <c r="LH212" s="31"/>
      <c r="LI212" s="31"/>
      <c r="LJ212" s="31"/>
      <c r="LK212" s="31"/>
      <c r="LL212" s="31"/>
      <c r="LM212" s="31"/>
      <c r="LN212" s="31"/>
      <c r="LO212" s="31"/>
      <c r="LP212" s="31"/>
      <c r="LQ212" s="31"/>
      <c r="LR212" s="31"/>
      <c r="LS212" s="31"/>
      <c r="LT212" s="31"/>
      <c r="LU212" s="31"/>
      <c r="LV212" s="31"/>
      <c r="LW212" s="31"/>
      <c r="LX212" s="31"/>
      <c r="LY212" s="31"/>
      <c r="LZ212" s="31"/>
      <c r="MA212" s="31"/>
      <c r="MB212" s="31"/>
      <c r="MC212" s="31"/>
      <c r="MD212" s="31"/>
      <c r="ME212" s="31"/>
      <c r="MF212" s="31"/>
      <c r="MG212" s="31"/>
      <c r="MH212" s="31"/>
      <c r="MI212" s="31"/>
      <c r="MJ212" s="31"/>
      <c r="MK212" s="31"/>
      <c r="ML212" s="31"/>
      <c r="MM212" s="31"/>
      <c r="MN212" s="31"/>
      <c r="MO212" s="31"/>
      <c r="MP212" s="31"/>
      <c r="MQ212" s="31"/>
      <c r="MR212" s="31"/>
      <c r="MS212" s="31"/>
      <c r="MT212" s="31"/>
      <c r="MU212" s="31"/>
      <c r="MV212" s="31"/>
      <c r="MW212" s="31"/>
      <c r="MX212" s="31"/>
      <c r="MY212" s="31"/>
      <c r="MZ212" s="31"/>
      <c r="NA212" s="31"/>
      <c r="NB212" s="31"/>
      <c r="NC212" s="31"/>
      <c r="ND212" s="31"/>
      <c r="NE212" s="31"/>
      <c r="NF212" s="31"/>
      <c r="NG212" s="31"/>
      <c r="NH212" s="31"/>
      <c r="NI212" s="31"/>
      <c r="NJ212" s="31"/>
      <c r="NK212" s="31"/>
      <c r="NL212" s="31"/>
      <c r="NM212" s="31"/>
      <c r="NN212" s="31"/>
      <c r="NO212" s="31"/>
      <c r="NP212" s="31"/>
      <c r="NQ212" s="31"/>
      <c r="NR212" s="31"/>
      <c r="NS212" s="31"/>
      <c r="NT212" s="31"/>
      <c r="NU212" s="31"/>
      <c r="NV212" s="31"/>
      <c r="NW212" s="31"/>
      <c r="NX212" s="31"/>
      <c r="NY212" s="31"/>
      <c r="NZ212" s="31"/>
      <c r="OA212" s="31"/>
      <c r="OB212" s="31"/>
      <c r="OC212" s="31"/>
      <c r="OD212" s="31"/>
      <c r="OE212" s="31"/>
      <c r="OF212" s="31"/>
      <c r="OG212" s="31"/>
      <c r="OH212" s="31"/>
      <c r="OI212" s="31"/>
      <c r="OJ212" s="31"/>
      <c r="OK212" s="31"/>
      <c r="OL212" s="31"/>
      <c r="OM212" s="31"/>
      <c r="ON212" s="31"/>
      <c r="OO212" s="31"/>
      <c r="OP212" s="31"/>
      <c r="OQ212" s="31"/>
      <c r="OR212" s="31"/>
      <c r="OS212" s="31"/>
      <c r="OT212" s="31"/>
      <c r="OU212" s="31"/>
      <c r="OV212" s="31"/>
      <c r="OW212" s="31"/>
      <c r="OX212" s="31"/>
    </row>
    <row r="213" spans="2:414" s="25" customFormat="1" ht="15.6">
      <c r="B213" s="25" t="s">
        <v>322</v>
      </c>
      <c r="C213" s="27" t="s">
        <v>323</v>
      </c>
      <c r="D213" s="30" t="s">
        <v>316</v>
      </c>
      <c r="G213" s="42">
        <v>500</v>
      </c>
      <c r="H213" s="89">
        <v>26.109000000000002</v>
      </c>
      <c r="I213" s="38">
        <f t="shared" si="72"/>
        <v>13054.5</v>
      </c>
      <c r="K213" s="42">
        <v>500</v>
      </c>
      <c r="L213" s="90">
        <v>26.849599999999999</v>
      </c>
      <c r="M213" s="38">
        <f t="shared" si="73"/>
        <v>13424.8</v>
      </c>
      <c r="O213" s="38">
        <v>80</v>
      </c>
      <c r="P213" s="38">
        <v>26.728300000000001</v>
      </c>
      <c r="Q213" s="38">
        <f t="shared" si="74"/>
        <v>2138.2640000000001</v>
      </c>
      <c r="R213" s="43">
        <f t="shared" si="71"/>
        <v>1080</v>
      </c>
      <c r="S213" s="38">
        <f t="shared" si="75"/>
        <v>28617.563999999998</v>
      </c>
      <c r="T213" s="49">
        <v>415</v>
      </c>
      <c r="U213" s="42">
        <v>26.261399999999998</v>
      </c>
      <c r="V213" s="38">
        <f t="shared" si="64"/>
        <v>10898.481</v>
      </c>
      <c r="W213" s="42">
        <v>85</v>
      </c>
      <c r="X213" s="42"/>
      <c r="Y213" s="42">
        <f t="shared" si="83"/>
        <v>0</v>
      </c>
      <c r="Z213" s="42">
        <v>415</v>
      </c>
      <c r="AA213" s="42">
        <v>26.819299999999998</v>
      </c>
      <c r="AB213" s="42">
        <f t="shared" si="69"/>
        <v>11130.0095</v>
      </c>
      <c r="AD213" s="42">
        <v>85</v>
      </c>
      <c r="AE213" s="42">
        <v>26.819299999999998</v>
      </c>
      <c r="AF213" s="42">
        <f t="shared" si="84"/>
        <v>2279.6405</v>
      </c>
      <c r="AG213" s="42"/>
      <c r="AH213" s="42"/>
      <c r="AI213" s="42"/>
      <c r="AJ213" s="42"/>
      <c r="AL213" s="42"/>
      <c r="AM213" s="42"/>
      <c r="AN213" s="42">
        <f t="shared" si="85"/>
        <v>0</v>
      </c>
      <c r="AO213" s="44"/>
      <c r="AP213" s="42"/>
      <c r="AQ213" s="42"/>
      <c r="AR213" s="42"/>
      <c r="AU213" s="98"/>
      <c r="AV213" s="35"/>
      <c r="AW213" s="104"/>
      <c r="AX213" s="42"/>
      <c r="AY213" s="42"/>
      <c r="AZ213" s="42">
        <f t="shared" si="70"/>
        <v>0</v>
      </c>
      <c r="BA213" s="42"/>
      <c r="BB213" s="42"/>
      <c r="BC213" s="42"/>
      <c r="BD213" s="38">
        <f t="shared" si="76"/>
        <v>0</v>
      </c>
      <c r="BE213" s="42"/>
      <c r="BF213" s="42"/>
      <c r="BG213" s="42"/>
      <c r="BH213" s="38">
        <f t="shared" si="77"/>
        <v>0</v>
      </c>
      <c r="BI213" s="42"/>
      <c r="BJ213" s="42"/>
      <c r="BK213" s="42"/>
      <c r="BL213" s="38">
        <f t="shared" si="78"/>
        <v>0</v>
      </c>
      <c r="BM213" s="42"/>
      <c r="BN213" s="42"/>
      <c r="BO213" s="42"/>
      <c r="BP213" s="42"/>
      <c r="BR213" s="42">
        <f t="shared" si="79"/>
        <v>24308.131000000001</v>
      </c>
      <c r="BS213" s="43">
        <f t="shared" si="80"/>
        <v>4309.4329999999973</v>
      </c>
      <c r="BT213" s="42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  <c r="IM213" s="31"/>
      <c r="IN213" s="31"/>
      <c r="IO213" s="31"/>
      <c r="IP213" s="31"/>
      <c r="IQ213" s="31"/>
      <c r="IR213" s="31"/>
      <c r="IS213" s="31"/>
      <c r="IT213" s="31"/>
      <c r="IU213" s="31"/>
      <c r="IV213" s="31"/>
      <c r="IW213" s="31"/>
      <c r="IX213" s="31"/>
      <c r="IY213" s="31"/>
      <c r="IZ213" s="31"/>
      <c r="JA213" s="31"/>
      <c r="JB213" s="31"/>
      <c r="JC213" s="31"/>
      <c r="JD213" s="31"/>
      <c r="JE213" s="31"/>
      <c r="JF213" s="31"/>
      <c r="JG213" s="31"/>
      <c r="JH213" s="31"/>
      <c r="JI213" s="31"/>
      <c r="JJ213" s="31"/>
      <c r="JK213" s="31"/>
      <c r="JL213" s="31"/>
      <c r="JM213" s="31"/>
      <c r="JN213" s="31"/>
      <c r="JO213" s="31"/>
      <c r="JP213" s="31"/>
      <c r="JQ213" s="31"/>
      <c r="JR213" s="31"/>
      <c r="JS213" s="31"/>
      <c r="JT213" s="31"/>
      <c r="JU213" s="31"/>
      <c r="JV213" s="31"/>
      <c r="JW213" s="31"/>
      <c r="JX213" s="31"/>
      <c r="JY213" s="31"/>
      <c r="JZ213" s="31"/>
      <c r="KA213" s="31"/>
      <c r="KB213" s="31"/>
      <c r="KC213" s="31"/>
      <c r="KD213" s="31"/>
      <c r="KE213" s="31"/>
      <c r="KF213" s="31"/>
      <c r="KG213" s="31"/>
      <c r="KH213" s="31"/>
      <c r="KI213" s="31"/>
      <c r="KJ213" s="31"/>
      <c r="KK213" s="31"/>
      <c r="KL213" s="31"/>
      <c r="KM213" s="31"/>
      <c r="KN213" s="31"/>
      <c r="KO213" s="31"/>
      <c r="KP213" s="31"/>
      <c r="KQ213" s="31"/>
      <c r="KR213" s="31"/>
      <c r="KS213" s="31"/>
      <c r="KT213" s="31"/>
      <c r="KU213" s="31"/>
      <c r="KV213" s="31"/>
      <c r="KW213" s="31"/>
      <c r="KX213" s="31"/>
      <c r="KY213" s="31"/>
      <c r="KZ213" s="31"/>
      <c r="LA213" s="31"/>
      <c r="LB213" s="31"/>
      <c r="LC213" s="31"/>
      <c r="LD213" s="31"/>
      <c r="LE213" s="31"/>
      <c r="LF213" s="31"/>
      <c r="LG213" s="31"/>
      <c r="LH213" s="31"/>
      <c r="LI213" s="31"/>
      <c r="LJ213" s="31"/>
      <c r="LK213" s="31"/>
      <c r="LL213" s="31"/>
      <c r="LM213" s="31"/>
      <c r="LN213" s="31"/>
      <c r="LO213" s="31"/>
      <c r="LP213" s="31"/>
      <c r="LQ213" s="31"/>
      <c r="LR213" s="31"/>
      <c r="LS213" s="31"/>
      <c r="LT213" s="31"/>
      <c r="LU213" s="31"/>
      <c r="LV213" s="31"/>
      <c r="LW213" s="31"/>
      <c r="LX213" s="31"/>
      <c r="LY213" s="31"/>
      <c r="LZ213" s="31"/>
      <c r="MA213" s="31"/>
      <c r="MB213" s="31"/>
      <c r="MC213" s="31"/>
      <c r="MD213" s="31"/>
      <c r="ME213" s="31"/>
      <c r="MF213" s="31"/>
      <c r="MG213" s="31"/>
      <c r="MH213" s="31"/>
      <c r="MI213" s="31"/>
      <c r="MJ213" s="31"/>
      <c r="MK213" s="31"/>
      <c r="ML213" s="31"/>
      <c r="MM213" s="31"/>
      <c r="MN213" s="31"/>
      <c r="MO213" s="31"/>
      <c r="MP213" s="31"/>
      <c r="MQ213" s="31"/>
      <c r="MR213" s="31"/>
      <c r="MS213" s="31"/>
      <c r="MT213" s="31"/>
      <c r="MU213" s="31"/>
      <c r="MV213" s="31"/>
      <c r="MW213" s="31"/>
      <c r="MX213" s="31"/>
      <c r="MY213" s="31"/>
      <c r="MZ213" s="31"/>
      <c r="NA213" s="31"/>
      <c r="NB213" s="31"/>
      <c r="NC213" s="31"/>
      <c r="ND213" s="31"/>
      <c r="NE213" s="31"/>
      <c r="NF213" s="31"/>
      <c r="NG213" s="31"/>
      <c r="NH213" s="31"/>
      <c r="NI213" s="31"/>
      <c r="NJ213" s="31"/>
      <c r="NK213" s="31"/>
      <c r="NL213" s="31"/>
      <c r="NM213" s="31"/>
      <c r="NN213" s="31"/>
      <c r="NO213" s="31"/>
      <c r="NP213" s="31"/>
      <c r="NQ213" s="31"/>
      <c r="NR213" s="31"/>
      <c r="NS213" s="31"/>
      <c r="NT213" s="31"/>
      <c r="NU213" s="31"/>
      <c r="NV213" s="31"/>
      <c r="NW213" s="31"/>
      <c r="NX213" s="31"/>
      <c r="NY213" s="31"/>
      <c r="NZ213" s="31"/>
      <c r="OA213" s="31"/>
      <c r="OB213" s="31"/>
      <c r="OC213" s="31"/>
      <c r="OD213" s="31"/>
      <c r="OE213" s="31"/>
      <c r="OF213" s="31"/>
      <c r="OG213" s="31"/>
      <c r="OH213" s="31"/>
      <c r="OI213" s="31"/>
      <c r="OJ213" s="31"/>
      <c r="OK213" s="31"/>
      <c r="OL213" s="31"/>
      <c r="OM213" s="31"/>
      <c r="ON213" s="31"/>
      <c r="OO213" s="31"/>
      <c r="OP213" s="31"/>
      <c r="OQ213" s="31"/>
      <c r="OR213" s="31"/>
      <c r="OS213" s="31"/>
      <c r="OT213" s="31"/>
      <c r="OU213" s="31"/>
      <c r="OV213" s="31"/>
      <c r="OW213" s="31"/>
      <c r="OX213" s="31"/>
    </row>
    <row r="214" spans="2:414" s="25" customFormat="1" ht="15.6">
      <c r="B214" s="25" t="s">
        <v>324</v>
      </c>
      <c r="C214" s="27" t="s">
        <v>216</v>
      </c>
      <c r="D214" s="30" t="s">
        <v>316</v>
      </c>
      <c r="G214" s="42">
        <v>500</v>
      </c>
      <c r="H214" s="89">
        <v>26.109000000000002</v>
      </c>
      <c r="I214" s="38">
        <f t="shared" si="72"/>
        <v>13054.5</v>
      </c>
      <c r="K214" s="42">
        <v>500</v>
      </c>
      <c r="L214" s="90">
        <v>26.849599999999999</v>
      </c>
      <c r="M214" s="38">
        <f t="shared" si="73"/>
        <v>13424.8</v>
      </c>
      <c r="O214" s="38">
        <v>80</v>
      </c>
      <c r="P214" s="38">
        <v>26.728300000000001</v>
      </c>
      <c r="Q214" s="38">
        <f t="shared" si="74"/>
        <v>2138.2640000000001</v>
      </c>
      <c r="R214" s="43">
        <f t="shared" si="71"/>
        <v>1080</v>
      </c>
      <c r="S214" s="38">
        <f t="shared" si="75"/>
        <v>28617.563999999998</v>
      </c>
      <c r="T214" s="49">
        <v>315</v>
      </c>
      <c r="U214" s="42">
        <v>26.109000000000002</v>
      </c>
      <c r="V214" s="38">
        <f t="shared" si="64"/>
        <v>8224.3350000000009</v>
      </c>
      <c r="W214" s="42">
        <v>100</v>
      </c>
      <c r="X214" s="42">
        <v>26.261399999999998</v>
      </c>
      <c r="Y214" s="42">
        <f t="shared" si="83"/>
        <v>2626.14</v>
      </c>
      <c r="Z214" s="42">
        <v>85</v>
      </c>
      <c r="AA214" s="42">
        <v>26.194800000000001</v>
      </c>
      <c r="AB214" s="42">
        <f t="shared" si="69"/>
        <v>2226.558</v>
      </c>
      <c r="AD214" s="42">
        <v>45</v>
      </c>
      <c r="AE214" s="42">
        <v>26.570799999999998</v>
      </c>
      <c r="AF214" s="42">
        <f t="shared" si="84"/>
        <v>1195.6859999999999</v>
      </c>
      <c r="AG214" s="42"/>
      <c r="AH214" s="42">
        <v>370</v>
      </c>
      <c r="AI214" s="42">
        <v>26.849599999999999</v>
      </c>
      <c r="AJ214" s="42">
        <f>AH214*AI214</f>
        <v>9934.351999999999</v>
      </c>
      <c r="AL214" s="42">
        <v>85</v>
      </c>
      <c r="AM214" s="42">
        <v>26.849599999999999</v>
      </c>
      <c r="AN214" s="42">
        <f t="shared" si="85"/>
        <v>2282.2159999999999</v>
      </c>
      <c r="AO214" s="44"/>
      <c r="AP214" s="42"/>
      <c r="AQ214" s="42"/>
      <c r="AR214" s="42"/>
      <c r="AU214" s="98"/>
      <c r="AV214" s="35"/>
      <c r="AW214" s="104"/>
      <c r="AX214" s="42"/>
      <c r="AY214" s="42"/>
      <c r="AZ214" s="42">
        <f t="shared" si="70"/>
        <v>0</v>
      </c>
      <c r="BA214" s="42"/>
      <c r="BB214" s="42"/>
      <c r="BC214" s="42"/>
      <c r="BD214" s="38">
        <f t="shared" si="76"/>
        <v>0</v>
      </c>
      <c r="BE214" s="42"/>
      <c r="BF214" s="42"/>
      <c r="BG214" s="42"/>
      <c r="BH214" s="38">
        <f t="shared" si="77"/>
        <v>0</v>
      </c>
      <c r="BI214" s="42"/>
      <c r="BJ214" s="42"/>
      <c r="BK214" s="42"/>
      <c r="BL214" s="38">
        <f t="shared" si="78"/>
        <v>0</v>
      </c>
      <c r="BM214" s="42"/>
      <c r="BN214" s="42"/>
      <c r="BO214" s="42"/>
      <c r="BP214" s="42"/>
      <c r="BR214" s="42">
        <f t="shared" si="79"/>
        <v>26489.286999999997</v>
      </c>
      <c r="BS214" s="43">
        <f t="shared" si="80"/>
        <v>2128.2770000000019</v>
      </c>
      <c r="BT214" s="42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  <c r="IM214" s="31"/>
      <c r="IN214" s="31"/>
      <c r="IO214" s="31"/>
      <c r="IP214" s="31"/>
      <c r="IQ214" s="31"/>
      <c r="IR214" s="31"/>
      <c r="IS214" s="31"/>
      <c r="IT214" s="31"/>
      <c r="IU214" s="31"/>
      <c r="IV214" s="31"/>
      <c r="IW214" s="31"/>
      <c r="IX214" s="31"/>
      <c r="IY214" s="31"/>
      <c r="IZ214" s="31"/>
      <c r="JA214" s="31"/>
      <c r="JB214" s="31"/>
      <c r="JC214" s="31"/>
      <c r="JD214" s="31"/>
      <c r="JE214" s="31"/>
      <c r="JF214" s="31"/>
      <c r="JG214" s="31"/>
      <c r="JH214" s="31"/>
      <c r="JI214" s="31"/>
      <c r="JJ214" s="31"/>
      <c r="JK214" s="31"/>
      <c r="JL214" s="31"/>
      <c r="JM214" s="31"/>
      <c r="JN214" s="31"/>
      <c r="JO214" s="31"/>
      <c r="JP214" s="31"/>
      <c r="JQ214" s="31"/>
      <c r="JR214" s="31"/>
      <c r="JS214" s="31"/>
      <c r="JT214" s="31"/>
      <c r="JU214" s="31"/>
      <c r="JV214" s="31"/>
      <c r="JW214" s="31"/>
      <c r="JX214" s="31"/>
      <c r="JY214" s="31"/>
      <c r="JZ214" s="31"/>
      <c r="KA214" s="31"/>
      <c r="KB214" s="31"/>
      <c r="KC214" s="31"/>
      <c r="KD214" s="31"/>
      <c r="KE214" s="31"/>
      <c r="KF214" s="31"/>
      <c r="KG214" s="31"/>
      <c r="KH214" s="31"/>
      <c r="KI214" s="31"/>
      <c r="KJ214" s="31"/>
      <c r="KK214" s="31"/>
      <c r="KL214" s="31"/>
      <c r="KM214" s="31"/>
      <c r="KN214" s="31"/>
      <c r="KO214" s="31"/>
      <c r="KP214" s="31"/>
      <c r="KQ214" s="31"/>
      <c r="KR214" s="31"/>
      <c r="KS214" s="31"/>
      <c r="KT214" s="31"/>
      <c r="KU214" s="31"/>
      <c r="KV214" s="31"/>
      <c r="KW214" s="31"/>
      <c r="KX214" s="31"/>
      <c r="KY214" s="31"/>
      <c r="KZ214" s="31"/>
      <c r="LA214" s="31"/>
      <c r="LB214" s="31"/>
      <c r="LC214" s="31"/>
      <c r="LD214" s="31"/>
      <c r="LE214" s="31"/>
      <c r="LF214" s="31"/>
      <c r="LG214" s="31"/>
      <c r="LH214" s="31"/>
      <c r="LI214" s="31"/>
      <c r="LJ214" s="31"/>
      <c r="LK214" s="31"/>
      <c r="LL214" s="31"/>
      <c r="LM214" s="31"/>
      <c r="LN214" s="31"/>
      <c r="LO214" s="31"/>
      <c r="LP214" s="31"/>
      <c r="LQ214" s="31"/>
      <c r="LR214" s="31"/>
      <c r="LS214" s="31"/>
      <c r="LT214" s="31"/>
      <c r="LU214" s="31"/>
      <c r="LV214" s="31"/>
      <c r="LW214" s="31"/>
      <c r="LX214" s="31"/>
      <c r="LY214" s="31"/>
      <c r="LZ214" s="31"/>
      <c r="MA214" s="31"/>
      <c r="MB214" s="31"/>
      <c r="MC214" s="31"/>
      <c r="MD214" s="31"/>
      <c r="ME214" s="31"/>
      <c r="MF214" s="31"/>
      <c r="MG214" s="31"/>
      <c r="MH214" s="31"/>
      <c r="MI214" s="31"/>
      <c r="MJ214" s="31"/>
      <c r="MK214" s="31"/>
      <c r="ML214" s="31"/>
      <c r="MM214" s="31"/>
      <c r="MN214" s="31"/>
      <c r="MO214" s="31"/>
      <c r="MP214" s="31"/>
      <c r="MQ214" s="31"/>
      <c r="MR214" s="31"/>
      <c r="MS214" s="31"/>
      <c r="MT214" s="31"/>
      <c r="MU214" s="31"/>
      <c r="MV214" s="31"/>
      <c r="MW214" s="31"/>
      <c r="MX214" s="31"/>
      <c r="MY214" s="31"/>
      <c r="MZ214" s="31"/>
      <c r="NA214" s="31"/>
      <c r="NB214" s="31"/>
      <c r="NC214" s="31"/>
      <c r="ND214" s="31"/>
      <c r="NE214" s="31"/>
      <c r="NF214" s="31"/>
      <c r="NG214" s="31"/>
      <c r="NH214" s="31"/>
      <c r="NI214" s="31"/>
      <c r="NJ214" s="31"/>
      <c r="NK214" s="31"/>
      <c r="NL214" s="31"/>
      <c r="NM214" s="31"/>
      <c r="NN214" s="31"/>
      <c r="NO214" s="31"/>
      <c r="NP214" s="31"/>
      <c r="NQ214" s="31"/>
      <c r="NR214" s="31"/>
      <c r="NS214" s="31"/>
      <c r="NT214" s="31"/>
      <c r="NU214" s="31"/>
      <c r="NV214" s="31"/>
      <c r="NW214" s="31"/>
      <c r="NX214" s="31"/>
      <c r="NY214" s="31"/>
      <c r="NZ214" s="31"/>
      <c r="OA214" s="31"/>
      <c r="OB214" s="31"/>
      <c r="OC214" s="31"/>
      <c r="OD214" s="31"/>
      <c r="OE214" s="31"/>
      <c r="OF214" s="31"/>
      <c r="OG214" s="31"/>
      <c r="OH214" s="31"/>
      <c r="OI214" s="31"/>
      <c r="OJ214" s="31"/>
      <c r="OK214" s="31"/>
      <c r="OL214" s="31"/>
      <c r="OM214" s="31"/>
      <c r="ON214" s="31"/>
      <c r="OO214" s="31"/>
      <c r="OP214" s="31"/>
      <c r="OQ214" s="31"/>
      <c r="OR214" s="31"/>
      <c r="OS214" s="31"/>
      <c r="OT214" s="31"/>
      <c r="OU214" s="31"/>
      <c r="OV214" s="31"/>
      <c r="OW214" s="31"/>
      <c r="OX214" s="31"/>
    </row>
    <row r="215" spans="2:414" s="25" customFormat="1" ht="15.6">
      <c r="B215" s="25" t="s">
        <v>325</v>
      </c>
      <c r="C215" s="27" t="s">
        <v>326</v>
      </c>
      <c r="D215" s="30" t="s">
        <v>316</v>
      </c>
      <c r="G215" s="42">
        <v>500</v>
      </c>
      <c r="H215" s="89">
        <v>26.109000000000002</v>
      </c>
      <c r="I215" s="38">
        <f t="shared" si="72"/>
        <v>13054.5</v>
      </c>
      <c r="K215" s="42">
        <v>500</v>
      </c>
      <c r="L215" s="90">
        <v>26.849599999999999</v>
      </c>
      <c r="M215" s="38">
        <f t="shared" si="73"/>
        <v>13424.8</v>
      </c>
      <c r="O215" s="38">
        <v>80</v>
      </c>
      <c r="P215" s="38">
        <v>26.728300000000001</v>
      </c>
      <c r="Q215" s="38">
        <f t="shared" si="74"/>
        <v>2138.2640000000001</v>
      </c>
      <c r="R215" s="43">
        <f t="shared" si="71"/>
        <v>1080</v>
      </c>
      <c r="S215" s="38">
        <f t="shared" si="75"/>
        <v>28617.563999999998</v>
      </c>
      <c r="T215" s="49">
        <v>85</v>
      </c>
      <c r="U215" s="42">
        <v>26.0579</v>
      </c>
      <c r="V215" s="38">
        <f t="shared" si="64"/>
        <v>2214.9214999999999</v>
      </c>
      <c r="W215" s="42">
        <v>250</v>
      </c>
      <c r="X215" s="42">
        <v>26.0579</v>
      </c>
      <c r="Y215" s="42">
        <f t="shared" si="83"/>
        <v>6514.4750000000004</v>
      </c>
      <c r="Z215" s="42"/>
      <c r="AA215" s="42"/>
      <c r="AB215" s="42">
        <f t="shared" si="69"/>
        <v>0</v>
      </c>
      <c r="AD215" s="42"/>
      <c r="AE215" s="42"/>
      <c r="AF215" s="42">
        <f t="shared" si="84"/>
        <v>0</v>
      </c>
      <c r="AG215" s="42"/>
      <c r="AH215" s="42"/>
      <c r="AI215" s="42"/>
      <c r="AJ215" s="42"/>
      <c r="AL215" s="42"/>
      <c r="AM215" s="42"/>
      <c r="AN215" s="42">
        <f t="shared" si="85"/>
        <v>0</v>
      </c>
      <c r="AO215" s="44"/>
      <c r="AP215" s="42"/>
      <c r="AQ215" s="42"/>
      <c r="AR215" s="42"/>
      <c r="AU215" s="98"/>
      <c r="AV215" s="35"/>
      <c r="AW215" s="104"/>
      <c r="AX215" s="42"/>
      <c r="AY215" s="42"/>
      <c r="AZ215" s="42">
        <f t="shared" si="70"/>
        <v>0</v>
      </c>
      <c r="BA215" s="42"/>
      <c r="BB215" s="42"/>
      <c r="BC215" s="42"/>
      <c r="BD215" s="38">
        <f t="shared" si="76"/>
        <v>0</v>
      </c>
      <c r="BE215" s="42"/>
      <c r="BF215" s="42"/>
      <c r="BG215" s="42"/>
      <c r="BH215" s="38">
        <f t="shared" si="77"/>
        <v>0</v>
      </c>
      <c r="BI215" s="42"/>
      <c r="BJ215" s="42"/>
      <c r="BK215" s="42"/>
      <c r="BL215" s="38">
        <f t="shared" si="78"/>
        <v>0</v>
      </c>
      <c r="BM215" s="42"/>
      <c r="BN215" s="42"/>
      <c r="BO215" s="42"/>
      <c r="BP215" s="42"/>
      <c r="BR215" s="42">
        <f t="shared" si="79"/>
        <v>8729.3965000000007</v>
      </c>
      <c r="BS215" s="43">
        <f t="shared" si="80"/>
        <v>19888.167499999996</v>
      </c>
      <c r="BT215" s="42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  <c r="IM215" s="31"/>
      <c r="IN215" s="31"/>
      <c r="IO215" s="31"/>
      <c r="IP215" s="31"/>
      <c r="IQ215" s="31"/>
      <c r="IR215" s="31"/>
      <c r="IS215" s="31"/>
      <c r="IT215" s="31"/>
      <c r="IU215" s="31"/>
      <c r="IV215" s="31"/>
      <c r="IW215" s="31"/>
      <c r="IX215" s="31"/>
      <c r="IY215" s="31"/>
      <c r="IZ215" s="31"/>
      <c r="JA215" s="31"/>
      <c r="JB215" s="31"/>
      <c r="JC215" s="31"/>
      <c r="JD215" s="31"/>
      <c r="JE215" s="31"/>
      <c r="JF215" s="31"/>
      <c r="JG215" s="31"/>
      <c r="JH215" s="31"/>
      <c r="JI215" s="31"/>
      <c r="JJ215" s="31"/>
      <c r="JK215" s="31"/>
      <c r="JL215" s="31"/>
      <c r="JM215" s="31"/>
      <c r="JN215" s="31"/>
      <c r="JO215" s="31"/>
      <c r="JP215" s="31"/>
      <c r="JQ215" s="31"/>
      <c r="JR215" s="31"/>
      <c r="JS215" s="31"/>
      <c r="JT215" s="31"/>
      <c r="JU215" s="31"/>
      <c r="JV215" s="31"/>
      <c r="JW215" s="31"/>
      <c r="JX215" s="31"/>
      <c r="JY215" s="31"/>
      <c r="JZ215" s="31"/>
      <c r="KA215" s="31"/>
      <c r="KB215" s="31"/>
      <c r="KC215" s="31"/>
      <c r="KD215" s="31"/>
      <c r="KE215" s="31"/>
      <c r="KF215" s="31"/>
      <c r="KG215" s="31"/>
      <c r="KH215" s="31"/>
      <c r="KI215" s="31"/>
      <c r="KJ215" s="31"/>
      <c r="KK215" s="31"/>
      <c r="KL215" s="31"/>
      <c r="KM215" s="31"/>
      <c r="KN215" s="31"/>
      <c r="KO215" s="31"/>
      <c r="KP215" s="31"/>
      <c r="KQ215" s="31"/>
      <c r="KR215" s="31"/>
      <c r="KS215" s="31"/>
      <c r="KT215" s="31"/>
      <c r="KU215" s="31"/>
      <c r="KV215" s="31"/>
      <c r="KW215" s="31"/>
      <c r="KX215" s="31"/>
      <c r="KY215" s="31"/>
      <c r="KZ215" s="31"/>
      <c r="LA215" s="31"/>
      <c r="LB215" s="31"/>
      <c r="LC215" s="31"/>
      <c r="LD215" s="31"/>
      <c r="LE215" s="31"/>
      <c r="LF215" s="31"/>
      <c r="LG215" s="31"/>
      <c r="LH215" s="31"/>
      <c r="LI215" s="31"/>
      <c r="LJ215" s="31"/>
      <c r="LK215" s="31"/>
      <c r="LL215" s="31"/>
      <c r="LM215" s="31"/>
      <c r="LN215" s="31"/>
      <c r="LO215" s="31"/>
      <c r="LP215" s="31"/>
      <c r="LQ215" s="31"/>
      <c r="LR215" s="31"/>
      <c r="LS215" s="31"/>
      <c r="LT215" s="31"/>
      <c r="LU215" s="31"/>
      <c r="LV215" s="31"/>
      <c r="LW215" s="31"/>
      <c r="LX215" s="31"/>
      <c r="LY215" s="31"/>
      <c r="LZ215" s="31"/>
      <c r="MA215" s="31"/>
      <c r="MB215" s="31"/>
      <c r="MC215" s="31"/>
      <c r="MD215" s="31"/>
      <c r="ME215" s="31"/>
      <c r="MF215" s="31"/>
      <c r="MG215" s="31"/>
      <c r="MH215" s="31"/>
      <c r="MI215" s="31"/>
      <c r="MJ215" s="31"/>
      <c r="MK215" s="31"/>
      <c r="ML215" s="31"/>
      <c r="MM215" s="31"/>
      <c r="MN215" s="31"/>
      <c r="MO215" s="31"/>
      <c r="MP215" s="31"/>
      <c r="MQ215" s="31"/>
      <c r="MR215" s="31"/>
      <c r="MS215" s="31"/>
      <c r="MT215" s="31"/>
      <c r="MU215" s="31"/>
      <c r="MV215" s="31"/>
      <c r="MW215" s="31"/>
      <c r="MX215" s="31"/>
      <c r="MY215" s="31"/>
      <c r="MZ215" s="31"/>
      <c r="NA215" s="31"/>
      <c r="NB215" s="31"/>
      <c r="NC215" s="31"/>
      <c r="ND215" s="31"/>
      <c r="NE215" s="31"/>
      <c r="NF215" s="31"/>
      <c r="NG215" s="31"/>
      <c r="NH215" s="31"/>
      <c r="NI215" s="31"/>
      <c r="NJ215" s="31"/>
      <c r="NK215" s="31"/>
      <c r="NL215" s="31"/>
      <c r="NM215" s="31"/>
      <c r="NN215" s="31"/>
      <c r="NO215" s="31"/>
      <c r="NP215" s="31"/>
      <c r="NQ215" s="31"/>
      <c r="NR215" s="31"/>
      <c r="NS215" s="31"/>
      <c r="NT215" s="31"/>
      <c r="NU215" s="31"/>
      <c r="NV215" s="31"/>
      <c r="NW215" s="31"/>
      <c r="NX215" s="31"/>
      <c r="NY215" s="31"/>
      <c r="NZ215" s="31"/>
      <c r="OA215" s="31"/>
      <c r="OB215" s="31"/>
      <c r="OC215" s="31"/>
      <c r="OD215" s="31"/>
      <c r="OE215" s="31"/>
      <c r="OF215" s="31"/>
      <c r="OG215" s="31"/>
      <c r="OH215" s="31"/>
      <c r="OI215" s="31"/>
      <c r="OJ215" s="31"/>
      <c r="OK215" s="31"/>
      <c r="OL215" s="31"/>
      <c r="OM215" s="31"/>
      <c r="ON215" s="31"/>
      <c r="OO215" s="31"/>
      <c r="OP215" s="31"/>
      <c r="OQ215" s="31"/>
      <c r="OR215" s="31"/>
      <c r="OS215" s="31"/>
      <c r="OT215" s="31"/>
      <c r="OU215" s="31"/>
      <c r="OV215" s="31"/>
      <c r="OW215" s="31"/>
      <c r="OX215" s="31"/>
    </row>
    <row r="216" spans="2:414" s="25" customFormat="1" ht="15.6">
      <c r="B216" s="25" t="s">
        <v>128</v>
      </c>
      <c r="C216" s="27" t="s">
        <v>327</v>
      </c>
      <c r="D216" s="30" t="s">
        <v>316</v>
      </c>
      <c r="G216" s="42">
        <v>500</v>
      </c>
      <c r="H216" s="89">
        <v>26.109000000000002</v>
      </c>
      <c r="I216" s="38">
        <f t="shared" si="72"/>
        <v>13054.5</v>
      </c>
      <c r="K216" s="42">
        <v>500</v>
      </c>
      <c r="L216" s="90">
        <v>26.849599999999999</v>
      </c>
      <c r="M216" s="38">
        <f t="shared" si="73"/>
        <v>13424.8</v>
      </c>
      <c r="O216" s="38">
        <v>80</v>
      </c>
      <c r="P216" s="38">
        <v>26.728300000000001</v>
      </c>
      <c r="Q216" s="38">
        <f t="shared" si="74"/>
        <v>2138.2640000000001</v>
      </c>
      <c r="R216" s="43">
        <f t="shared" si="71"/>
        <v>1080</v>
      </c>
      <c r="S216" s="38">
        <f t="shared" si="75"/>
        <v>28617.563999999998</v>
      </c>
      <c r="T216" s="49">
        <v>415</v>
      </c>
      <c r="U216" s="42">
        <v>25.826699999999999</v>
      </c>
      <c r="V216" s="38">
        <f t="shared" si="64"/>
        <v>10718.0805</v>
      </c>
      <c r="W216" s="42">
        <v>85</v>
      </c>
      <c r="X216" s="42">
        <v>26.283100000000001</v>
      </c>
      <c r="Y216" s="42">
        <f t="shared" si="83"/>
        <v>2234.0635000000002</v>
      </c>
      <c r="Z216" s="42">
        <v>180</v>
      </c>
      <c r="AA216" s="42">
        <v>26.952500000000001</v>
      </c>
      <c r="AB216" s="42">
        <f t="shared" si="69"/>
        <v>4851.45</v>
      </c>
      <c r="AD216" s="42">
        <v>65</v>
      </c>
      <c r="AE216" s="42">
        <v>26.861899999999999</v>
      </c>
      <c r="AF216" s="42">
        <f t="shared" si="84"/>
        <v>1746.0235</v>
      </c>
      <c r="AG216" s="42"/>
      <c r="AH216" s="42"/>
      <c r="AI216" s="42"/>
      <c r="AJ216" s="42"/>
      <c r="AL216" s="42">
        <v>55</v>
      </c>
      <c r="AM216" s="42">
        <v>26.8064</v>
      </c>
      <c r="AN216" s="42">
        <f t="shared" si="85"/>
        <v>1474.3520000000001</v>
      </c>
      <c r="AO216" s="44"/>
      <c r="AP216" s="42"/>
      <c r="AQ216" s="42"/>
      <c r="AR216" s="42"/>
      <c r="AU216" s="98"/>
      <c r="AV216" s="35"/>
      <c r="AW216" s="104"/>
      <c r="AX216" s="42"/>
      <c r="AY216" s="42"/>
      <c r="AZ216" s="42">
        <f t="shared" si="70"/>
        <v>0</v>
      </c>
      <c r="BA216" s="42"/>
      <c r="BB216" s="42"/>
      <c r="BC216" s="42"/>
      <c r="BD216" s="38">
        <f t="shared" si="76"/>
        <v>0</v>
      </c>
      <c r="BE216" s="42"/>
      <c r="BF216" s="42"/>
      <c r="BG216" s="42"/>
      <c r="BH216" s="38">
        <f t="shared" si="77"/>
        <v>0</v>
      </c>
      <c r="BI216" s="42"/>
      <c r="BJ216" s="42"/>
      <c r="BK216" s="42"/>
      <c r="BL216" s="38">
        <f t="shared" si="78"/>
        <v>0</v>
      </c>
      <c r="BM216" s="42"/>
      <c r="BN216" s="42"/>
      <c r="BO216" s="42"/>
      <c r="BP216" s="42"/>
      <c r="BR216" s="42">
        <f t="shared" si="79"/>
        <v>21023.969499999999</v>
      </c>
      <c r="BS216" s="43">
        <f t="shared" si="80"/>
        <v>7593.5944999999992</v>
      </c>
      <c r="BT216" s="42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  <c r="IM216" s="31"/>
      <c r="IN216" s="31"/>
      <c r="IO216" s="31"/>
      <c r="IP216" s="31"/>
      <c r="IQ216" s="31"/>
      <c r="IR216" s="31"/>
      <c r="IS216" s="31"/>
      <c r="IT216" s="31"/>
      <c r="IU216" s="31"/>
      <c r="IV216" s="31"/>
      <c r="IW216" s="31"/>
      <c r="IX216" s="31"/>
      <c r="IY216" s="31"/>
      <c r="IZ216" s="31"/>
      <c r="JA216" s="31"/>
      <c r="JB216" s="31"/>
      <c r="JC216" s="31"/>
      <c r="JD216" s="31"/>
      <c r="JE216" s="31"/>
      <c r="JF216" s="31"/>
      <c r="JG216" s="31"/>
      <c r="JH216" s="31"/>
      <c r="JI216" s="31"/>
      <c r="JJ216" s="31"/>
      <c r="JK216" s="31"/>
      <c r="JL216" s="31"/>
      <c r="JM216" s="31"/>
      <c r="JN216" s="31"/>
      <c r="JO216" s="31"/>
      <c r="JP216" s="31"/>
      <c r="JQ216" s="31"/>
      <c r="JR216" s="31"/>
      <c r="JS216" s="31"/>
      <c r="JT216" s="31"/>
      <c r="JU216" s="31"/>
      <c r="JV216" s="31"/>
      <c r="JW216" s="31"/>
      <c r="JX216" s="31"/>
      <c r="JY216" s="31"/>
      <c r="JZ216" s="31"/>
      <c r="KA216" s="31"/>
      <c r="KB216" s="31"/>
      <c r="KC216" s="31"/>
      <c r="KD216" s="31"/>
      <c r="KE216" s="31"/>
      <c r="KF216" s="31"/>
      <c r="KG216" s="31"/>
      <c r="KH216" s="31"/>
      <c r="KI216" s="31"/>
      <c r="KJ216" s="31"/>
      <c r="KK216" s="31"/>
      <c r="KL216" s="31"/>
      <c r="KM216" s="31"/>
      <c r="KN216" s="31"/>
      <c r="KO216" s="31"/>
      <c r="KP216" s="31"/>
      <c r="KQ216" s="31"/>
      <c r="KR216" s="31"/>
      <c r="KS216" s="31"/>
      <c r="KT216" s="31"/>
      <c r="KU216" s="31"/>
      <c r="KV216" s="31"/>
      <c r="KW216" s="31"/>
      <c r="KX216" s="31"/>
      <c r="KY216" s="31"/>
      <c r="KZ216" s="31"/>
      <c r="LA216" s="31"/>
      <c r="LB216" s="31"/>
      <c r="LC216" s="31"/>
      <c r="LD216" s="31"/>
      <c r="LE216" s="31"/>
      <c r="LF216" s="31"/>
      <c r="LG216" s="31"/>
      <c r="LH216" s="31"/>
      <c r="LI216" s="31"/>
      <c r="LJ216" s="31"/>
      <c r="LK216" s="31"/>
      <c r="LL216" s="31"/>
      <c r="LM216" s="31"/>
      <c r="LN216" s="31"/>
      <c r="LO216" s="31"/>
      <c r="LP216" s="31"/>
      <c r="LQ216" s="31"/>
      <c r="LR216" s="31"/>
      <c r="LS216" s="31"/>
      <c r="LT216" s="31"/>
      <c r="LU216" s="31"/>
      <c r="LV216" s="31"/>
      <c r="LW216" s="31"/>
      <c r="LX216" s="31"/>
      <c r="LY216" s="31"/>
      <c r="LZ216" s="31"/>
      <c r="MA216" s="31"/>
      <c r="MB216" s="31"/>
      <c r="MC216" s="31"/>
      <c r="MD216" s="31"/>
      <c r="ME216" s="31"/>
      <c r="MF216" s="31"/>
      <c r="MG216" s="31"/>
      <c r="MH216" s="31"/>
      <c r="MI216" s="31"/>
      <c r="MJ216" s="31"/>
      <c r="MK216" s="31"/>
      <c r="ML216" s="31"/>
      <c r="MM216" s="31"/>
      <c r="MN216" s="31"/>
      <c r="MO216" s="31"/>
      <c r="MP216" s="31"/>
      <c r="MQ216" s="31"/>
      <c r="MR216" s="31"/>
      <c r="MS216" s="31"/>
      <c r="MT216" s="31"/>
      <c r="MU216" s="31"/>
      <c r="MV216" s="31"/>
      <c r="MW216" s="31"/>
      <c r="MX216" s="31"/>
      <c r="MY216" s="31"/>
      <c r="MZ216" s="31"/>
      <c r="NA216" s="31"/>
      <c r="NB216" s="31"/>
      <c r="NC216" s="31"/>
      <c r="ND216" s="31"/>
      <c r="NE216" s="31"/>
      <c r="NF216" s="31"/>
      <c r="NG216" s="31"/>
      <c r="NH216" s="31"/>
      <c r="NI216" s="31"/>
      <c r="NJ216" s="31"/>
      <c r="NK216" s="31"/>
      <c r="NL216" s="31"/>
      <c r="NM216" s="31"/>
      <c r="NN216" s="31"/>
      <c r="NO216" s="31"/>
      <c r="NP216" s="31"/>
      <c r="NQ216" s="31"/>
      <c r="NR216" s="31"/>
      <c r="NS216" s="31"/>
      <c r="NT216" s="31"/>
      <c r="NU216" s="31"/>
      <c r="NV216" s="31"/>
      <c r="NW216" s="31"/>
      <c r="NX216" s="31"/>
      <c r="NY216" s="31"/>
      <c r="NZ216" s="31"/>
      <c r="OA216" s="31"/>
      <c r="OB216" s="31"/>
      <c r="OC216" s="31"/>
      <c r="OD216" s="31"/>
      <c r="OE216" s="31"/>
      <c r="OF216" s="31"/>
      <c r="OG216" s="31"/>
      <c r="OH216" s="31"/>
      <c r="OI216" s="31"/>
      <c r="OJ216" s="31"/>
      <c r="OK216" s="31"/>
      <c r="OL216" s="31"/>
      <c r="OM216" s="31"/>
      <c r="ON216" s="31"/>
      <c r="OO216" s="31"/>
      <c r="OP216" s="31"/>
      <c r="OQ216" s="31"/>
      <c r="OR216" s="31"/>
      <c r="OS216" s="31"/>
      <c r="OT216" s="31"/>
      <c r="OU216" s="31"/>
      <c r="OV216" s="31"/>
      <c r="OW216" s="31"/>
      <c r="OX216" s="31"/>
    </row>
    <row r="217" spans="2:414" s="25" customFormat="1" ht="15.6">
      <c r="B217" s="25" t="s">
        <v>328</v>
      </c>
      <c r="C217" s="27" t="s">
        <v>329</v>
      </c>
      <c r="D217" s="30" t="s">
        <v>316</v>
      </c>
      <c r="G217" s="42">
        <v>500</v>
      </c>
      <c r="H217" s="89">
        <v>26.109000000000002</v>
      </c>
      <c r="I217" s="38">
        <f t="shared" si="72"/>
        <v>13054.5</v>
      </c>
      <c r="K217" s="42">
        <v>500</v>
      </c>
      <c r="L217" s="90">
        <v>26.849599999999999</v>
      </c>
      <c r="M217" s="38">
        <f t="shared" si="73"/>
        <v>13424.8</v>
      </c>
      <c r="O217" s="38">
        <v>80</v>
      </c>
      <c r="P217" s="38">
        <v>26.728300000000001</v>
      </c>
      <c r="Q217" s="38">
        <f t="shared" si="74"/>
        <v>2138.2640000000001</v>
      </c>
      <c r="R217" s="43">
        <f t="shared" si="71"/>
        <v>1080</v>
      </c>
      <c r="S217" s="38">
        <f t="shared" si="75"/>
        <v>28617.563999999998</v>
      </c>
      <c r="T217" s="49">
        <v>85</v>
      </c>
      <c r="U217" s="42">
        <v>26.194800000000001</v>
      </c>
      <c r="V217" s="38">
        <f t="shared" ref="V217:V280" si="86">T217*U217</f>
        <v>2226.558</v>
      </c>
      <c r="W217" s="42">
        <v>415</v>
      </c>
      <c r="X217" s="42">
        <v>26.194800000000001</v>
      </c>
      <c r="Y217" s="42">
        <f t="shared" si="83"/>
        <v>10870.842000000001</v>
      </c>
      <c r="Z217" s="42">
        <v>415</v>
      </c>
      <c r="AA217" s="42">
        <v>26.856000000000002</v>
      </c>
      <c r="AB217" s="42">
        <f t="shared" si="69"/>
        <v>11145.24</v>
      </c>
      <c r="AD217" s="42">
        <v>85</v>
      </c>
      <c r="AE217" s="42">
        <v>26.856000000000002</v>
      </c>
      <c r="AF217" s="42">
        <f t="shared" si="84"/>
        <v>2282.7600000000002</v>
      </c>
      <c r="AG217" s="42"/>
      <c r="AH217" s="42"/>
      <c r="AI217" s="42"/>
      <c r="AJ217" s="42"/>
      <c r="AL217" s="42"/>
      <c r="AM217" s="42"/>
      <c r="AN217" s="42">
        <f t="shared" si="85"/>
        <v>0</v>
      </c>
      <c r="AO217" s="44"/>
      <c r="AP217" s="42"/>
      <c r="AQ217" s="42"/>
      <c r="AR217" s="42"/>
      <c r="AU217" s="98"/>
      <c r="AV217" s="35"/>
      <c r="AW217" s="104"/>
      <c r="AX217" s="42"/>
      <c r="AY217" s="42"/>
      <c r="AZ217" s="42">
        <f t="shared" si="70"/>
        <v>0</v>
      </c>
      <c r="BA217" s="42"/>
      <c r="BB217" s="42"/>
      <c r="BC217" s="42"/>
      <c r="BD217" s="38">
        <f t="shared" si="76"/>
        <v>0</v>
      </c>
      <c r="BE217" s="42"/>
      <c r="BF217" s="42"/>
      <c r="BG217" s="42"/>
      <c r="BH217" s="38">
        <f t="shared" si="77"/>
        <v>0</v>
      </c>
      <c r="BI217" s="42"/>
      <c r="BJ217" s="42"/>
      <c r="BK217" s="42"/>
      <c r="BL217" s="38">
        <f t="shared" si="78"/>
        <v>0</v>
      </c>
      <c r="BM217" s="42"/>
      <c r="BN217" s="42"/>
      <c r="BO217" s="42"/>
      <c r="BP217" s="42"/>
      <c r="BR217" s="42">
        <f t="shared" si="79"/>
        <v>26525.4</v>
      </c>
      <c r="BS217" s="43">
        <f t="shared" si="80"/>
        <v>2092.163999999997</v>
      </c>
      <c r="BT217" s="42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  <c r="IM217" s="31"/>
      <c r="IN217" s="31"/>
      <c r="IO217" s="31"/>
      <c r="IP217" s="31"/>
      <c r="IQ217" s="31"/>
      <c r="IR217" s="31"/>
      <c r="IS217" s="31"/>
      <c r="IT217" s="31"/>
      <c r="IU217" s="31"/>
      <c r="IV217" s="31"/>
      <c r="IW217" s="31"/>
      <c r="IX217" s="31"/>
      <c r="IY217" s="31"/>
      <c r="IZ217" s="31"/>
      <c r="JA217" s="31"/>
      <c r="JB217" s="31"/>
      <c r="JC217" s="31"/>
      <c r="JD217" s="31"/>
      <c r="JE217" s="31"/>
      <c r="JF217" s="31"/>
      <c r="JG217" s="31"/>
      <c r="JH217" s="31"/>
      <c r="JI217" s="31"/>
      <c r="JJ217" s="31"/>
      <c r="JK217" s="31"/>
      <c r="JL217" s="31"/>
      <c r="JM217" s="31"/>
      <c r="JN217" s="31"/>
      <c r="JO217" s="31"/>
      <c r="JP217" s="31"/>
      <c r="JQ217" s="31"/>
      <c r="JR217" s="31"/>
      <c r="JS217" s="31"/>
      <c r="JT217" s="31"/>
      <c r="JU217" s="31"/>
      <c r="JV217" s="31"/>
      <c r="JW217" s="31"/>
      <c r="JX217" s="31"/>
      <c r="JY217" s="31"/>
      <c r="JZ217" s="31"/>
      <c r="KA217" s="31"/>
      <c r="KB217" s="31"/>
      <c r="KC217" s="31"/>
      <c r="KD217" s="31"/>
      <c r="KE217" s="31"/>
      <c r="KF217" s="31"/>
      <c r="KG217" s="31"/>
      <c r="KH217" s="31"/>
      <c r="KI217" s="31"/>
      <c r="KJ217" s="31"/>
      <c r="KK217" s="31"/>
      <c r="KL217" s="31"/>
      <c r="KM217" s="31"/>
      <c r="KN217" s="31"/>
      <c r="KO217" s="31"/>
      <c r="KP217" s="31"/>
      <c r="KQ217" s="31"/>
      <c r="KR217" s="31"/>
      <c r="KS217" s="31"/>
      <c r="KT217" s="31"/>
      <c r="KU217" s="31"/>
      <c r="KV217" s="31"/>
      <c r="KW217" s="31"/>
      <c r="KX217" s="31"/>
      <c r="KY217" s="31"/>
      <c r="KZ217" s="31"/>
      <c r="LA217" s="31"/>
      <c r="LB217" s="31"/>
      <c r="LC217" s="31"/>
      <c r="LD217" s="31"/>
      <c r="LE217" s="31"/>
      <c r="LF217" s="31"/>
      <c r="LG217" s="31"/>
      <c r="LH217" s="31"/>
      <c r="LI217" s="31"/>
      <c r="LJ217" s="31"/>
      <c r="LK217" s="31"/>
      <c r="LL217" s="31"/>
      <c r="LM217" s="31"/>
      <c r="LN217" s="31"/>
      <c r="LO217" s="31"/>
      <c r="LP217" s="31"/>
      <c r="LQ217" s="31"/>
      <c r="LR217" s="31"/>
      <c r="LS217" s="31"/>
      <c r="LT217" s="31"/>
      <c r="LU217" s="31"/>
      <c r="LV217" s="31"/>
      <c r="LW217" s="31"/>
      <c r="LX217" s="31"/>
      <c r="LY217" s="31"/>
      <c r="LZ217" s="31"/>
      <c r="MA217" s="31"/>
      <c r="MB217" s="31"/>
      <c r="MC217" s="31"/>
      <c r="MD217" s="31"/>
      <c r="ME217" s="31"/>
      <c r="MF217" s="31"/>
      <c r="MG217" s="31"/>
      <c r="MH217" s="31"/>
      <c r="MI217" s="31"/>
      <c r="MJ217" s="31"/>
      <c r="MK217" s="31"/>
      <c r="ML217" s="31"/>
      <c r="MM217" s="31"/>
      <c r="MN217" s="31"/>
      <c r="MO217" s="31"/>
      <c r="MP217" s="31"/>
      <c r="MQ217" s="31"/>
      <c r="MR217" s="31"/>
      <c r="MS217" s="31"/>
      <c r="MT217" s="31"/>
      <c r="MU217" s="31"/>
      <c r="MV217" s="31"/>
      <c r="MW217" s="31"/>
      <c r="MX217" s="31"/>
      <c r="MY217" s="31"/>
      <c r="MZ217" s="31"/>
      <c r="NA217" s="31"/>
      <c r="NB217" s="31"/>
      <c r="NC217" s="31"/>
      <c r="ND217" s="31"/>
      <c r="NE217" s="31"/>
      <c r="NF217" s="31"/>
      <c r="NG217" s="31"/>
      <c r="NH217" s="31"/>
      <c r="NI217" s="31"/>
      <c r="NJ217" s="31"/>
      <c r="NK217" s="31"/>
      <c r="NL217" s="31"/>
      <c r="NM217" s="31"/>
      <c r="NN217" s="31"/>
      <c r="NO217" s="31"/>
      <c r="NP217" s="31"/>
      <c r="NQ217" s="31"/>
      <c r="NR217" s="31"/>
      <c r="NS217" s="31"/>
      <c r="NT217" s="31"/>
      <c r="NU217" s="31"/>
      <c r="NV217" s="31"/>
      <c r="NW217" s="31"/>
      <c r="NX217" s="31"/>
      <c r="NY217" s="31"/>
      <c r="NZ217" s="31"/>
      <c r="OA217" s="31"/>
      <c r="OB217" s="31"/>
      <c r="OC217" s="31"/>
      <c r="OD217" s="31"/>
      <c r="OE217" s="31"/>
      <c r="OF217" s="31"/>
      <c r="OG217" s="31"/>
      <c r="OH217" s="31"/>
      <c r="OI217" s="31"/>
      <c r="OJ217" s="31"/>
      <c r="OK217" s="31"/>
      <c r="OL217" s="31"/>
      <c r="OM217" s="31"/>
      <c r="ON217" s="31"/>
      <c r="OO217" s="31"/>
      <c r="OP217" s="31"/>
      <c r="OQ217" s="31"/>
      <c r="OR217" s="31"/>
      <c r="OS217" s="31"/>
      <c r="OT217" s="31"/>
      <c r="OU217" s="31"/>
      <c r="OV217" s="31"/>
      <c r="OW217" s="31"/>
      <c r="OX217" s="31"/>
    </row>
    <row r="218" spans="2:414" s="25" customFormat="1" ht="15.6">
      <c r="B218" s="25" t="s">
        <v>330</v>
      </c>
      <c r="C218" s="27" t="s">
        <v>323</v>
      </c>
      <c r="D218" s="30" t="s">
        <v>316</v>
      </c>
      <c r="G218" s="42">
        <v>500</v>
      </c>
      <c r="H218" s="89">
        <v>26.109000000000002</v>
      </c>
      <c r="I218" s="38">
        <f t="shared" si="72"/>
        <v>13054.5</v>
      </c>
      <c r="K218" s="42">
        <v>500</v>
      </c>
      <c r="L218" s="90">
        <v>26.849599999999999</v>
      </c>
      <c r="M218" s="38">
        <f t="shared" si="73"/>
        <v>13424.8</v>
      </c>
      <c r="O218" s="38">
        <v>80</v>
      </c>
      <c r="P218" s="38">
        <v>26.728300000000001</v>
      </c>
      <c r="Q218" s="38">
        <f t="shared" si="74"/>
        <v>2138.2640000000001</v>
      </c>
      <c r="R218" s="43">
        <f t="shared" si="71"/>
        <v>1080</v>
      </c>
      <c r="S218" s="38">
        <f t="shared" si="75"/>
        <v>28617.563999999998</v>
      </c>
      <c r="T218" s="49">
        <v>93</v>
      </c>
      <c r="U218" s="42"/>
      <c r="V218" s="38">
        <f t="shared" si="86"/>
        <v>0</v>
      </c>
      <c r="W218" s="42">
        <v>200</v>
      </c>
      <c r="X218" s="42"/>
      <c r="Y218" s="42">
        <f t="shared" si="83"/>
        <v>0</v>
      </c>
      <c r="Z218" s="42">
        <v>100</v>
      </c>
      <c r="AA218" s="42">
        <v>26.261399999999998</v>
      </c>
      <c r="AB218" s="42">
        <f t="shared" si="69"/>
        <v>2626.14</v>
      </c>
      <c r="AD218" s="42">
        <v>105</v>
      </c>
      <c r="AE218" s="42">
        <v>26.261399999999998</v>
      </c>
      <c r="AF218" s="42">
        <f t="shared" si="84"/>
        <v>2757.4469999999997</v>
      </c>
      <c r="AG218" s="42"/>
      <c r="AH218" s="42">
        <v>85</v>
      </c>
      <c r="AI218" s="42">
        <v>26.856000000000002</v>
      </c>
      <c r="AJ218" s="42">
        <f>AH218*AI218</f>
        <v>2282.7600000000002</v>
      </c>
      <c r="AL218" s="42">
        <v>15</v>
      </c>
      <c r="AM218" s="42">
        <v>26.856000000000002</v>
      </c>
      <c r="AN218" s="42">
        <f t="shared" si="85"/>
        <v>402.84000000000003</v>
      </c>
      <c r="AO218" s="44"/>
      <c r="AP218" s="42">
        <v>200</v>
      </c>
      <c r="AQ218" s="42">
        <v>26.901399999999999</v>
      </c>
      <c r="AR218" s="42"/>
      <c r="AT218" s="25">
        <v>130</v>
      </c>
      <c r="AU218" s="98">
        <v>26.7498</v>
      </c>
      <c r="AV218" s="35">
        <f>AT218*AU218</f>
        <v>3477.4740000000002</v>
      </c>
      <c r="AW218" s="104"/>
      <c r="AX218" s="42">
        <v>70</v>
      </c>
      <c r="AY218" s="42">
        <v>26.570799999999998</v>
      </c>
      <c r="AZ218" s="42">
        <f t="shared" si="70"/>
        <v>1859.9559999999999</v>
      </c>
      <c r="BA218" s="42"/>
      <c r="BB218" s="42"/>
      <c r="BC218" s="42"/>
      <c r="BD218" s="38">
        <f t="shared" si="76"/>
        <v>0</v>
      </c>
      <c r="BE218" s="42"/>
      <c r="BF218" s="42"/>
      <c r="BG218" s="42"/>
      <c r="BH218" s="38">
        <f t="shared" si="77"/>
        <v>0</v>
      </c>
      <c r="BI218" s="42"/>
      <c r="BJ218" s="42"/>
      <c r="BK218" s="42"/>
      <c r="BL218" s="38">
        <f t="shared" si="78"/>
        <v>0</v>
      </c>
      <c r="BM218" s="42"/>
      <c r="BN218" s="42"/>
      <c r="BO218" s="42"/>
      <c r="BP218" s="42"/>
      <c r="BR218" s="42">
        <f t="shared" si="79"/>
        <v>13406.617</v>
      </c>
      <c r="BS218" s="43">
        <f t="shared" si="80"/>
        <v>15210.946999999998</v>
      </c>
      <c r="BT218" s="42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  <c r="IM218" s="31"/>
      <c r="IN218" s="31"/>
      <c r="IO218" s="31"/>
      <c r="IP218" s="31"/>
      <c r="IQ218" s="31"/>
      <c r="IR218" s="31"/>
      <c r="IS218" s="31"/>
      <c r="IT218" s="31"/>
      <c r="IU218" s="31"/>
      <c r="IV218" s="31"/>
      <c r="IW218" s="31"/>
      <c r="IX218" s="31"/>
      <c r="IY218" s="31"/>
      <c r="IZ218" s="31"/>
      <c r="JA218" s="31"/>
      <c r="JB218" s="31"/>
      <c r="JC218" s="31"/>
      <c r="JD218" s="31"/>
      <c r="JE218" s="31"/>
      <c r="JF218" s="31"/>
      <c r="JG218" s="31"/>
      <c r="JH218" s="31"/>
      <c r="JI218" s="31"/>
      <c r="JJ218" s="31"/>
      <c r="JK218" s="31"/>
      <c r="JL218" s="31"/>
      <c r="JM218" s="31"/>
      <c r="JN218" s="31"/>
      <c r="JO218" s="31"/>
      <c r="JP218" s="31"/>
      <c r="JQ218" s="31"/>
      <c r="JR218" s="31"/>
      <c r="JS218" s="31"/>
      <c r="JT218" s="31"/>
      <c r="JU218" s="31"/>
      <c r="JV218" s="31"/>
      <c r="JW218" s="31"/>
      <c r="JX218" s="31"/>
      <c r="JY218" s="31"/>
      <c r="JZ218" s="31"/>
      <c r="KA218" s="31"/>
      <c r="KB218" s="31"/>
      <c r="KC218" s="31"/>
      <c r="KD218" s="31"/>
      <c r="KE218" s="31"/>
      <c r="KF218" s="31"/>
      <c r="KG218" s="31"/>
      <c r="KH218" s="31"/>
      <c r="KI218" s="31"/>
      <c r="KJ218" s="31"/>
      <c r="KK218" s="31"/>
      <c r="KL218" s="31"/>
      <c r="KM218" s="31"/>
      <c r="KN218" s="31"/>
      <c r="KO218" s="31"/>
      <c r="KP218" s="31"/>
      <c r="KQ218" s="31"/>
      <c r="KR218" s="31"/>
      <c r="KS218" s="31"/>
      <c r="KT218" s="31"/>
      <c r="KU218" s="31"/>
      <c r="KV218" s="31"/>
      <c r="KW218" s="31"/>
      <c r="KX218" s="31"/>
      <c r="KY218" s="31"/>
      <c r="KZ218" s="31"/>
      <c r="LA218" s="31"/>
      <c r="LB218" s="31"/>
      <c r="LC218" s="31"/>
      <c r="LD218" s="31"/>
      <c r="LE218" s="31"/>
      <c r="LF218" s="31"/>
      <c r="LG218" s="31"/>
      <c r="LH218" s="31"/>
      <c r="LI218" s="31"/>
      <c r="LJ218" s="31"/>
      <c r="LK218" s="31"/>
      <c r="LL218" s="31"/>
      <c r="LM218" s="31"/>
      <c r="LN218" s="31"/>
      <c r="LO218" s="31"/>
      <c r="LP218" s="31"/>
      <c r="LQ218" s="31"/>
      <c r="LR218" s="31"/>
      <c r="LS218" s="31"/>
      <c r="LT218" s="31"/>
      <c r="LU218" s="31"/>
      <c r="LV218" s="31"/>
      <c r="LW218" s="31"/>
      <c r="LX218" s="31"/>
      <c r="LY218" s="31"/>
      <c r="LZ218" s="31"/>
      <c r="MA218" s="31"/>
      <c r="MB218" s="31"/>
      <c r="MC218" s="31"/>
      <c r="MD218" s="31"/>
      <c r="ME218" s="31"/>
      <c r="MF218" s="31"/>
      <c r="MG218" s="31"/>
      <c r="MH218" s="31"/>
      <c r="MI218" s="31"/>
      <c r="MJ218" s="31"/>
      <c r="MK218" s="31"/>
      <c r="ML218" s="31"/>
      <c r="MM218" s="31"/>
      <c r="MN218" s="31"/>
      <c r="MO218" s="31"/>
      <c r="MP218" s="31"/>
      <c r="MQ218" s="31"/>
      <c r="MR218" s="31"/>
      <c r="MS218" s="31"/>
      <c r="MT218" s="31"/>
      <c r="MU218" s="31"/>
      <c r="MV218" s="31"/>
      <c r="MW218" s="31"/>
      <c r="MX218" s="31"/>
      <c r="MY218" s="31"/>
      <c r="MZ218" s="31"/>
      <c r="NA218" s="31"/>
      <c r="NB218" s="31"/>
      <c r="NC218" s="31"/>
      <c r="ND218" s="31"/>
      <c r="NE218" s="31"/>
      <c r="NF218" s="31"/>
      <c r="NG218" s="31"/>
      <c r="NH218" s="31"/>
      <c r="NI218" s="31"/>
      <c r="NJ218" s="31"/>
      <c r="NK218" s="31"/>
      <c r="NL218" s="31"/>
      <c r="NM218" s="31"/>
      <c r="NN218" s="31"/>
      <c r="NO218" s="31"/>
      <c r="NP218" s="31"/>
      <c r="NQ218" s="31"/>
      <c r="NR218" s="31"/>
      <c r="NS218" s="31"/>
      <c r="NT218" s="31"/>
      <c r="NU218" s="31"/>
      <c r="NV218" s="31"/>
      <c r="NW218" s="31"/>
      <c r="NX218" s="31"/>
      <c r="NY218" s="31"/>
      <c r="NZ218" s="31"/>
      <c r="OA218" s="31"/>
      <c r="OB218" s="31"/>
      <c r="OC218" s="31"/>
      <c r="OD218" s="31"/>
      <c r="OE218" s="31"/>
      <c r="OF218" s="31"/>
      <c r="OG218" s="31"/>
      <c r="OH218" s="31"/>
      <c r="OI218" s="31"/>
      <c r="OJ218" s="31"/>
      <c r="OK218" s="31"/>
      <c r="OL218" s="31"/>
      <c r="OM218" s="31"/>
      <c r="ON218" s="31"/>
      <c r="OO218" s="31"/>
      <c r="OP218" s="31"/>
      <c r="OQ218" s="31"/>
      <c r="OR218" s="31"/>
      <c r="OS218" s="31"/>
      <c r="OT218" s="31"/>
      <c r="OU218" s="31"/>
      <c r="OV218" s="31"/>
      <c r="OW218" s="31"/>
      <c r="OX218" s="31"/>
    </row>
    <row r="219" spans="2:414" s="25" customFormat="1" ht="15.6">
      <c r="B219" s="25" t="s">
        <v>277</v>
      </c>
      <c r="C219" s="27" t="s">
        <v>331</v>
      </c>
      <c r="D219" s="30" t="s">
        <v>316</v>
      </c>
      <c r="G219" s="42">
        <v>500</v>
      </c>
      <c r="H219" s="89">
        <v>26.109000000000002</v>
      </c>
      <c r="I219" s="38">
        <f t="shared" si="72"/>
        <v>13054.5</v>
      </c>
      <c r="K219" s="42">
        <v>500</v>
      </c>
      <c r="L219" s="90">
        <v>26.849599999999999</v>
      </c>
      <c r="M219" s="38">
        <f t="shared" si="73"/>
        <v>13424.8</v>
      </c>
      <c r="O219" s="38">
        <v>80</v>
      </c>
      <c r="P219" s="38">
        <v>26.728300000000001</v>
      </c>
      <c r="Q219" s="38">
        <f t="shared" si="74"/>
        <v>2138.2640000000001</v>
      </c>
      <c r="R219" s="43">
        <f t="shared" si="71"/>
        <v>1080</v>
      </c>
      <c r="S219" s="38">
        <f t="shared" si="75"/>
        <v>28617.563999999998</v>
      </c>
      <c r="T219" s="49">
        <v>415</v>
      </c>
      <c r="U219" s="42">
        <v>26.261399999999998</v>
      </c>
      <c r="V219" s="38">
        <f t="shared" si="86"/>
        <v>10898.481</v>
      </c>
      <c r="W219" s="42">
        <v>85</v>
      </c>
      <c r="X219" s="42"/>
      <c r="Y219" s="42">
        <f t="shared" si="83"/>
        <v>0</v>
      </c>
      <c r="Z219" s="42">
        <v>415</v>
      </c>
      <c r="AA219" s="42">
        <v>26.819299999999998</v>
      </c>
      <c r="AB219" s="42">
        <f t="shared" si="69"/>
        <v>11130.0095</v>
      </c>
      <c r="AD219" s="42">
        <v>85</v>
      </c>
      <c r="AE219" s="42">
        <v>26.820799999999998</v>
      </c>
      <c r="AF219" s="42">
        <f t="shared" si="84"/>
        <v>2279.768</v>
      </c>
      <c r="AG219" s="42"/>
      <c r="AH219" s="42"/>
      <c r="AI219" s="42"/>
      <c r="AJ219" s="42"/>
      <c r="AL219" s="42"/>
      <c r="AM219" s="42"/>
      <c r="AN219" s="42">
        <f t="shared" si="85"/>
        <v>0</v>
      </c>
      <c r="AO219" s="44"/>
      <c r="AP219" s="42"/>
      <c r="AQ219" s="42"/>
      <c r="AR219" s="42"/>
      <c r="AU219" s="98"/>
      <c r="AV219" s="35"/>
      <c r="AW219" s="104"/>
      <c r="AX219" s="42"/>
      <c r="AY219" s="42"/>
      <c r="AZ219" s="42">
        <f t="shared" si="70"/>
        <v>0</v>
      </c>
      <c r="BA219" s="42"/>
      <c r="BB219" s="42"/>
      <c r="BC219" s="42"/>
      <c r="BD219" s="38">
        <f t="shared" si="76"/>
        <v>0</v>
      </c>
      <c r="BE219" s="42"/>
      <c r="BF219" s="42"/>
      <c r="BG219" s="42"/>
      <c r="BH219" s="38">
        <f t="shared" si="77"/>
        <v>0</v>
      </c>
      <c r="BI219" s="42"/>
      <c r="BJ219" s="42"/>
      <c r="BK219" s="42"/>
      <c r="BL219" s="38">
        <f t="shared" si="78"/>
        <v>0</v>
      </c>
      <c r="BM219" s="42"/>
      <c r="BN219" s="42"/>
      <c r="BO219" s="42"/>
      <c r="BP219" s="42"/>
      <c r="BR219" s="42">
        <f t="shared" si="79"/>
        <v>24308.2585</v>
      </c>
      <c r="BS219" s="43">
        <f t="shared" si="80"/>
        <v>4309.3054999999986</v>
      </c>
      <c r="BT219" s="42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  <c r="IM219" s="31"/>
      <c r="IN219" s="31"/>
      <c r="IO219" s="31"/>
      <c r="IP219" s="31"/>
      <c r="IQ219" s="31"/>
      <c r="IR219" s="31"/>
      <c r="IS219" s="31"/>
      <c r="IT219" s="31"/>
      <c r="IU219" s="31"/>
      <c r="IV219" s="31"/>
      <c r="IW219" s="31"/>
      <c r="IX219" s="31"/>
      <c r="IY219" s="31"/>
      <c r="IZ219" s="31"/>
      <c r="JA219" s="31"/>
      <c r="JB219" s="31"/>
      <c r="JC219" s="31"/>
      <c r="JD219" s="31"/>
      <c r="JE219" s="31"/>
      <c r="JF219" s="31"/>
      <c r="JG219" s="31"/>
      <c r="JH219" s="31"/>
      <c r="JI219" s="31"/>
      <c r="JJ219" s="31"/>
      <c r="JK219" s="31"/>
      <c r="JL219" s="31"/>
      <c r="JM219" s="31"/>
      <c r="JN219" s="31"/>
      <c r="JO219" s="31"/>
      <c r="JP219" s="31"/>
      <c r="JQ219" s="31"/>
      <c r="JR219" s="31"/>
      <c r="JS219" s="31"/>
      <c r="JT219" s="31"/>
      <c r="JU219" s="31"/>
      <c r="JV219" s="31"/>
      <c r="JW219" s="31"/>
      <c r="JX219" s="31"/>
      <c r="JY219" s="31"/>
      <c r="JZ219" s="31"/>
      <c r="KA219" s="31"/>
      <c r="KB219" s="31"/>
      <c r="KC219" s="31"/>
      <c r="KD219" s="31"/>
      <c r="KE219" s="31"/>
      <c r="KF219" s="31"/>
      <c r="KG219" s="31"/>
      <c r="KH219" s="31"/>
      <c r="KI219" s="31"/>
      <c r="KJ219" s="31"/>
      <c r="KK219" s="31"/>
      <c r="KL219" s="31"/>
      <c r="KM219" s="31"/>
      <c r="KN219" s="31"/>
      <c r="KO219" s="31"/>
      <c r="KP219" s="31"/>
      <c r="KQ219" s="31"/>
      <c r="KR219" s="31"/>
      <c r="KS219" s="31"/>
      <c r="KT219" s="31"/>
      <c r="KU219" s="31"/>
      <c r="KV219" s="31"/>
      <c r="KW219" s="31"/>
      <c r="KX219" s="31"/>
      <c r="KY219" s="31"/>
      <c r="KZ219" s="31"/>
      <c r="LA219" s="31"/>
      <c r="LB219" s="31"/>
      <c r="LC219" s="31"/>
      <c r="LD219" s="31"/>
      <c r="LE219" s="31"/>
      <c r="LF219" s="31"/>
      <c r="LG219" s="31"/>
      <c r="LH219" s="31"/>
      <c r="LI219" s="31"/>
      <c r="LJ219" s="31"/>
      <c r="LK219" s="31"/>
      <c r="LL219" s="31"/>
      <c r="LM219" s="31"/>
      <c r="LN219" s="31"/>
      <c r="LO219" s="31"/>
      <c r="LP219" s="31"/>
      <c r="LQ219" s="31"/>
      <c r="LR219" s="31"/>
      <c r="LS219" s="31"/>
      <c r="LT219" s="31"/>
      <c r="LU219" s="31"/>
      <c r="LV219" s="31"/>
      <c r="LW219" s="31"/>
      <c r="LX219" s="31"/>
      <c r="LY219" s="31"/>
      <c r="LZ219" s="31"/>
      <c r="MA219" s="31"/>
      <c r="MB219" s="31"/>
      <c r="MC219" s="31"/>
      <c r="MD219" s="31"/>
      <c r="ME219" s="31"/>
      <c r="MF219" s="31"/>
      <c r="MG219" s="31"/>
      <c r="MH219" s="31"/>
      <c r="MI219" s="31"/>
      <c r="MJ219" s="31"/>
      <c r="MK219" s="31"/>
      <c r="ML219" s="31"/>
      <c r="MM219" s="31"/>
      <c r="MN219" s="31"/>
      <c r="MO219" s="31"/>
      <c r="MP219" s="31"/>
      <c r="MQ219" s="31"/>
      <c r="MR219" s="31"/>
      <c r="MS219" s="31"/>
      <c r="MT219" s="31"/>
      <c r="MU219" s="31"/>
      <c r="MV219" s="31"/>
      <c r="MW219" s="31"/>
      <c r="MX219" s="31"/>
      <c r="MY219" s="31"/>
      <c r="MZ219" s="31"/>
      <c r="NA219" s="31"/>
      <c r="NB219" s="31"/>
      <c r="NC219" s="31"/>
      <c r="ND219" s="31"/>
      <c r="NE219" s="31"/>
      <c r="NF219" s="31"/>
      <c r="NG219" s="31"/>
      <c r="NH219" s="31"/>
      <c r="NI219" s="31"/>
      <c r="NJ219" s="31"/>
      <c r="NK219" s="31"/>
      <c r="NL219" s="31"/>
      <c r="NM219" s="31"/>
      <c r="NN219" s="31"/>
      <c r="NO219" s="31"/>
      <c r="NP219" s="31"/>
      <c r="NQ219" s="31"/>
      <c r="NR219" s="31"/>
      <c r="NS219" s="31"/>
      <c r="NT219" s="31"/>
      <c r="NU219" s="31"/>
      <c r="NV219" s="31"/>
      <c r="NW219" s="31"/>
      <c r="NX219" s="31"/>
      <c r="NY219" s="31"/>
      <c r="NZ219" s="31"/>
      <c r="OA219" s="31"/>
      <c r="OB219" s="31"/>
      <c r="OC219" s="31"/>
      <c r="OD219" s="31"/>
      <c r="OE219" s="31"/>
      <c r="OF219" s="31"/>
      <c r="OG219" s="31"/>
      <c r="OH219" s="31"/>
      <c r="OI219" s="31"/>
      <c r="OJ219" s="31"/>
      <c r="OK219" s="31"/>
      <c r="OL219" s="31"/>
      <c r="OM219" s="31"/>
      <c r="ON219" s="31"/>
      <c r="OO219" s="31"/>
      <c r="OP219" s="31"/>
      <c r="OQ219" s="31"/>
      <c r="OR219" s="31"/>
      <c r="OS219" s="31"/>
      <c r="OT219" s="31"/>
      <c r="OU219" s="31"/>
      <c r="OV219" s="31"/>
      <c r="OW219" s="31"/>
      <c r="OX219" s="31"/>
    </row>
    <row r="220" spans="2:414" s="25" customFormat="1" ht="15.6">
      <c r="B220" s="25" t="s">
        <v>332</v>
      </c>
      <c r="C220" s="27" t="s">
        <v>333</v>
      </c>
      <c r="D220" s="30" t="s">
        <v>316</v>
      </c>
      <c r="G220" s="42">
        <v>500</v>
      </c>
      <c r="H220" s="89">
        <v>26.109000000000002</v>
      </c>
      <c r="I220" s="38">
        <f t="shared" si="72"/>
        <v>13054.5</v>
      </c>
      <c r="K220" s="42">
        <v>500</v>
      </c>
      <c r="L220" s="90">
        <v>26.849599999999999</v>
      </c>
      <c r="M220" s="38">
        <f t="shared" si="73"/>
        <v>13424.8</v>
      </c>
      <c r="O220" s="38">
        <v>80</v>
      </c>
      <c r="P220" s="38">
        <v>26.728300000000001</v>
      </c>
      <c r="Q220" s="38">
        <f t="shared" si="74"/>
        <v>2138.2640000000001</v>
      </c>
      <c r="R220" s="43">
        <f t="shared" si="71"/>
        <v>1080</v>
      </c>
      <c r="S220" s="38">
        <f t="shared" si="75"/>
        <v>28617.563999999998</v>
      </c>
      <c r="T220" s="49">
        <v>85</v>
      </c>
      <c r="U220" s="42">
        <v>26.261399999999998</v>
      </c>
      <c r="V220" s="38">
        <f t="shared" si="86"/>
        <v>2232.2190000000001</v>
      </c>
      <c r="W220" s="42">
        <v>200</v>
      </c>
      <c r="X220" s="42">
        <v>26.261399999999998</v>
      </c>
      <c r="Y220" s="42">
        <v>6010</v>
      </c>
      <c r="Z220" s="42">
        <v>222</v>
      </c>
      <c r="AA220" s="42">
        <v>26.641200000000001</v>
      </c>
      <c r="AB220" s="42">
        <f t="shared" si="69"/>
        <v>5914.3464000000004</v>
      </c>
      <c r="AD220" s="42">
        <v>100</v>
      </c>
      <c r="AE220" s="42">
        <v>26.861899999999999</v>
      </c>
      <c r="AF220" s="42">
        <f t="shared" si="84"/>
        <v>2686.19</v>
      </c>
      <c r="AG220" s="42"/>
      <c r="AH220" s="42">
        <v>85</v>
      </c>
      <c r="AI220" s="42">
        <v>26.861899999999999</v>
      </c>
      <c r="AJ220" s="42">
        <f>AH220*AI220</f>
        <v>2283.2615000000001</v>
      </c>
      <c r="AL220" s="42">
        <v>315</v>
      </c>
      <c r="AM220" s="42">
        <v>26.952500000000001</v>
      </c>
      <c r="AN220" s="42">
        <f t="shared" si="85"/>
        <v>8490.0375000000004</v>
      </c>
      <c r="AO220" s="44"/>
      <c r="AP220" s="42">
        <v>200</v>
      </c>
      <c r="AQ220" s="42"/>
      <c r="AR220" s="42"/>
      <c r="AU220" s="98"/>
      <c r="AV220" s="35"/>
      <c r="AW220" s="104"/>
      <c r="AX220" s="42"/>
      <c r="AY220" s="42"/>
      <c r="AZ220" s="42">
        <f t="shared" si="70"/>
        <v>0</v>
      </c>
      <c r="BA220" s="42"/>
      <c r="BB220" s="42"/>
      <c r="BC220" s="42"/>
      <c r="BD220" s="38">
        <f t="shared" si="76"/>
        <v>0</v>
      </c>
      <c r="BE220" s="42"/>
      <c r="BF220" s="42"/>
      <c r="BG220" s="42"/>
      <c r="BH220" s="38">
        <f t="shared" si="77"/>
        <v>0</v>
      </c>
      <c r="BI220" s="42"/>
      <c r="BJ220" s="42"/>
      <c r="BK220" s="42"/>
      <c r="BL220" s="38">
        <f t="shared" si="78"/>
        <v>0</v>
      </c>
      <c r="BM220" s="42"/>
      <c r="BN220" s="42"/>
      <c r="BO220" s="42"/>
      <c r="BP220" s="42"/>
      <c r="BR220" s="42">
        <f t="shared" si="79"/>
        <v>27616.054400000001</v>
      </c>
      <c r="BS220" s="43">
        <f t="shared" si="80"/>
        <v>1001.5095999999976</v>
      </c>
      <c r="BT220" s="42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  <c r="IM220" s="31"/>
      <c r="IN220" s="31"/>
      <c r="IO220" s="31"/>
      <c r="IP220" s="31"/>
      <c r="IQ220" s="31"/>
      <c r="IR220" s="31"/>
      <c r="IS220" s="31"/>
      <c r="IT220" s="31"/>
      <c r="IU220" s="31"/>
      <c r="IV220" s="31"/>
      <c r="IW220" s="31"/>
      <c r="IX220" s="31"/>
      <c r="IY220" s="31"/>
      <c r="IZ220" s="31"/>
      <c r="JA220" s="31"/>
      <c r="JB220" s="31"/>
      <c r="JC220" s="31"/>
      <c r="JD220" s="31"/>
      <c r="JE220" s="31"/>
      <c r="JF220" s="31"/>
      <c r="JG220" s="31"/>
      <c r="JH220" s="31"/>
      <c r="JI220" s="31"/>
      <c r="JJ220" s="31"/>
      <c r="JK220" s="31"/>
      <c r="JL220" s="31"/>
      <c r="JM220" s="31"/>
      <c r="JN220" s="31"/>
      <c r="JO220" s="31"/>
      <c r="JP220" s="31"/>
      <c r="JQ220" s="31"/>
      <c r="JR220" s="31"/>
      <c r="JS220" s="31"/>
      <c r="JT220" s="31"/>
      <c r="JU220" s="31"/>
      <c r="JV220" s="31"/>
      <c r="JW220" s="31"/>
      <c r="JX220" s="31"/>
      <c r="JY220" s="31"/>
      <c r="JZ220" s="31"/>
      <c r="KA220" s="31"/>
      <c r="KB220" s="31"/>
      <c r="KC220" s="31"/>
      <c r="KD220" s="31"/>
      <c r="KE220" s="31"/>
      <c r="KF220" s="31"/>
      <c r="KG220" s="31"/>
      <c r="KH220" s="31"/>
      <c r="KI220" s="31"/>
      <c r="KJ220" s="31"/>
      <c r="KK220" s="31"/>
      <c r="KL220" s="31"/>
      <c r="KM220" s="31"/>
      <c r="KN220" s="31"/>
      <c r="KO220" s="31"/>
      <c r="KP220" s="31"/>
      <c r="KQ220" s="31"/>
      <c r="KR220" s="31"/>
      <c r="KS220" s="31"/>
      <c r="KT220" s="31"/>
      <c r="KU220" s="31"/>
      <c r="KV220" s="31"/>
      <c r="KW220" s="31"/>
      <c r="KX220" s="31"/>
      <c r="KY220" s="31"/>
      <c r="KZ220" s="31"/>
      <c r="LA220" s="31"/>
      <c r="LB220" s="31"/>
      <c r="LC220" s="31"/>
      <c r="LD220" s="31"/>
      <c r="LE220" s="31"/>
      <c r="LF220" s="31"/>
      <c r="LG220" s="31"/>
      <c r="LH220" s="31"/>
      <c r="LI220" s="31"/>
      <c r="LJ220" s="31"/>
      <c r="LK220" s="31"/>
      <c r="LL220" s="31"/>
      <c r="LM220" s="31"/>
      <c r="LN220" s="31"/>
      <c r="LO220" s="31"/>
      <c r="LP220" s="31"/>
      <c r="LQ220" s="31"/>
      <c r="LR220" s="31"/>
      <c r="LS220" s="31"/>
      <c r="LT220" s="31"/>
      <c r="LU220" s="31"/>
      <c r="LV220" s="31"/>
      <c r="LW220" s="31"/>
      <c r="LX220" s="31"/>
      <c r="LY220" s="31"/>
      <c r="LZ220" s="31"/>
      <c r="MA220" s="31"/>
      <c r="MB220" s="31"/>
      <c r="MC220" s="31"/>
      <c r="MD220" s="31"/>
      <c r="ME220" s="31"/>
      <c r="MF220" s="31"/>
      <c r="MG220" s="31"/>
      <c r="MH220" s="31"/>
      <c r="MI220" s="31"/>
      <c r="MJ220" s="31"/>
      <c r="MK220" s="31"/>
      <c r="ML220" s="31"/>
      <c r="MM220" s="31"/>
      <c r="MN220" s="31"/>
      <c r="MO220" s="31"/>
      <c r="MP220" s="31"/>
      <c r="MQ220" s="31"/>
      <c r="MR220" s="31"/>
      <c r="MS220" s="31"/>
      <c r="MT220" s="31"/>
      <c r="MU220" s="31"/>
      <c r="MV220" s="31"/>
      <c r="MW220" s="31"/>
      <c r="MX220" s="31"/>
      <c r="MY220" s="31"/>
      <c r="MZ220" s="31"/>
      <c r="NA220" s="31"/>
      <c r="NB220" s="31"/>
      <c r="NC220" s="31"/>
      <c r="ND220" s="31"/>
      <c r="NE220" s="31"/>
      <c r="NF220" s="31"/>
      <c r="NG220" s="31"/>
      <c r="NH220" s="31"/>
      <c r="NI220" s="31"/>
      <c r="NJ220" s="31"/>
      <c r="NK220" s="31"/>
      <c r="NL220" s="31"/>
      <c r="NM220" s="31"/>
      <c r="NN220" s="31"/>
      <c r="NO220" s="31"/>
      <c r="NP220" s="31"/>
      <c r="NQ220" s="31"/>
      <c r="NR220" s="31"/>
      <c r="NS220" s="31"/>
      <c r="NT220" s="31"/>
      <c r="NU220" s="31"/>
      <c r="NV220" s="31"/>
      <c r="NW220" s="31"/>
      <c r="NX220" s="31"/>
      <c r="NY220" s="31"/>
      <c r="NZ220" s="31"/>
      <c r="OA220" s="31"/>
      <c r="OB220" s="31"/>
      <c r="OC220" s="31"/>
      <c r="OD220" s="31"/>
      <c r="OE220" s="31"/>
      <c r="OF220" s="31"/>
      <c r="OG220" s="31"/>
      <c r="OH220" s="31"/>
      <c r="OI220" s="31"/>
      <c r="OJ220" s="31"/>
      <c r="OK220" s="31"/>
      <c r="OL220" s="31"/>
      <c r="OM220" s="31"/>
      <c r="ON220" s="31"/>
      <c r="OO220" s="31"/>
      <c r="OP220" s="31"/>
      <c r="OQ220" s="31"/>
      <c r="OR220" s="31"/>
      <c r="OS220" s="31"/>
      <c r="OT220" s="31"/>
      <c r="OU220" s="31"/>
      <c r="OV220" s="31"/>
      <c r="OW220" s="31"/>
      <c r="OX220" s="31"/>
    </row>
    <row r="221" spans="2:414" s="25" customFormat="1" ht="15.6">
      <c r="B221" s="25" t="s">
        <v>334</v>
      </c>
      <c r="C221" s="27" t="s">
        <v>335</v>
      </c>
      <c r="D221" s="30" t="s">
        <v>316</v>
      </c>
      <c r="G221" s="42">
        <v>500</v>
      </c>
      <c r="H221" s="89">
        <v>26.109000000000002</v>
      </c>
      <c r="I221" s="38">
        <f t="shared" si="72"/>
        <v>13054.5</v>
      </c>
      <c r="K221" s="42">
        <v>500</v>
      </c>
      <c r="L221" s="90">
        <v>26.849599999999999</v>
      </c>
      <c r="M221" s="38">
        <f t="shared" si="73"/>
        <v>13424.8</v>
      </c>
      <c r="O221" s="38">
        <v>80</v>
      </c>
      <c r="P221" s="38">
        <v>26.728300000000001</v>
      </c>
      <c r="Q221" s="38">
        <f t="shared" si="74"/>
        <v>2138.2640000000001</v>
      </c>
      <c r="R221" s="43">
        <f t="shared" si="71"/>
        <v>1080</v>
      </c>
      <c r="S221" s="38">
        <f t="shared" si="75"/>
        <v>28617.563999999998</v>
      </c>
      <c r="T221" s="49">
        <v>300</v>
      </c>
      <c r="U221" s="42">
        <v>25.883199999999999</v>
      </c>
      <c r="V221" s="38">
        <f t="shared" si="86"/>
        <v>7764.96</v>
      </c>
      <c r="W221" s="42">
        <v>200</v>
      </c>
      <c r="X221" s="42">
        <v>26.648599999999998</v>
      </c>
      <c r="Y221" s="42">
        <f>W221*X221</f>
        <v>5329.7199999999993</v>
      </c>
      <c r="Z221" s="42">
        <v>300</v>
      </c>
      <c r="AA221" s="42">
        <v>26.8337</v>
      </c>
      <c r="AB221" s="42">
        <f t="shared" si="69"/>
        <v>8050.11</v>
      </c>
      <c r="AD221" s="42">
        <v>30</v>
      </c>
      <c r="AE221" s="42">
        <v>26.9529</v>
      </c>
      <c r="AF221" s="42">
        <f t="shared" si="84"/>
        <v>808.58699999999999</v>
      </c>
      <c r="AG221" s="42"/>
      <c r="AH221" s="42">
        <v>35</v>
      </c>
      <c r="AI221" s="42">
        <v>26.8064</v>
      </c>
      <c r="AJ221" s="42">
        <f t="shared" ref="AJ221:AJ225" si="87">AH221*AI221</f>
        <v>938.22400000000005</v>
      </c>
      <c r="AL221" s="42"/>
      <c r="AM221" s="42"/>
      <c r="AN221" s="42">
        <f t="shared" si="85"/>
        <v>0</v>
      </c>
      <c r="AO221" s="44"/>
      <c r="AP221" s="42"/>
      <c r="AQ221" s="42"/>
      <c r="AR221" s="42"/>
      <c r="AU221" s="98"/>
      <c r="AV221" s="35"/>
      <c r="AW221" s="104"/>
      <c r="AX221" s="42"/>
      <c r="AY221" s="42"/>
      <c r="AZ221" s="42">
        <f t="shared" si="70"/>
        <v>0</v>
      </c>
      <c r="BA221" s="42"/>
      <c r="BB221" s="42"/>
      <c r="BC221" s="42"/>
      <c r="BD221" s="38">
        <f t="shared" si="76"/>
        <v>0</v>
      </c>
      <c r="BE221" s="42"/>
      <c r="BF221" s="42"/>
      <c r="BG221" s="42"/>
      <c r="BH221" s="38">
        <f t="shared" si="77"/>
        <v>0</v>
      </c>
      <c r="BI221" s="42"/>
      <c r="BJ221" s="42"/>
      <c r="BK221" s="42"/>
      <c r="BL221" s="38">
        <f t="shared" si="78"/>
        <v>0</v>
      </c>
      <c r="BM221" s="42"/>
      <c r="BN221" s="42"/>
      <c r="BO221" s="42"/>
      <c r="BP221" s="42"/>
      <c r="BR221" s="42">
        <f t="shared" si="79"/>
        <v>22891.600999999999</v>
      </c>
      <c r="BS221" s="43">
        <f t="shared" si="80"/>
        <v>5725.9629999999997</v>
      </c>
      <c r="BT221" s="42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  <c r="IM221" s="31"/>
      <c r="IN221" s="31"/>
      <c r="IO221" s="31"/>
      <c r="IP221" s="31"/>
      <c r="IQ221" s="31"/>
      <c r="IR221" s="31"/>
      <c r="IS221" s="31"/>
      <c r="IT221" s="31"/>
      <c r="IU221" s="31"/>
      <c r="IV221" s="31"/>
      <c r="IW221" s="31"/>
      <c r="IX221" s="31"/>
      <c r="IY221" s="31"/>
      <c r="IZ221" s="31"/>
      <c r="JA221" s="31"/>
      <c r="JB221" s="31"/>
      <c r="JC221" s="31"/>
      <c r="JD221" s="31"/>
      <c r="JE221" s="31"/>
      <c r="JF221" s="31"/>
      <c r="JG221" s="31"/>
      <c r="JH221" s="31"/>
      <c r="JI221" s="31"/>
      <c r="JJ221" s="31"/>
      <c r="JK221" s="31"/>
      <c r="JL221" s="31"/>
      <c r="JM221" s="31"/>
      <c r="JN221" s="31"/>
      <c r="JO221" s="31"/>
      <c r="JP221" s="31"/>
      <c r="JQ221" s="31"/>
      <c r="JR221" s="31"/>
      <c r="JS221" s="31"/>
      <c r="JT221" s="31"/>
      <c r="JU221" s="31"/>
      <c r="JV221" s="31"/>
      <c r="JW221" s="31"/>
      <c r="JX221" s="31"/>
      <c r="JY221" s="31"/>
      <c r="JZ221" s="31"/>
      <c r="KA221" s="31"/>
      <c r="KB221" s="31"/>
      <c r="KC221" s="31"/>
      <c r="KD221" s="31"/>
      <c r="KE221" s="31"/>
      <c r="KF221" s="31"/>
      <c r="KG221" s="31"/>
      <c r="KH221" s="31"/>
      <c r="KI221" s="31"/>
      <c r="KJ221" s="31"/>
      <c r="KK221" s="31"/>
      <c r="KL221" s="31"/>
      <c r="KM221" s="31"/>
      <c r="KN221" s="31"/>
      <c r="KO221" s="31"/>
      <c r="KP221" s="31"/>
      <c r="KQ221" s="31"/>
      <c r="KR221" s="31"/>
      <c r="KS221" s="31"/>
      <c r="KT221" s="31"/>
      <c r="KU221" s="31"/>
      <c r="KV221" s="31"/>
      <c r="KW221" s="31"/>
      <c r="KX221" s="31"/>
      <c r="KY221" s="31"/>
      <c r="KZ221" s="31"/>
      <c r="LA221" s="31"/>
      <c r="LB221" s="31"/>
      <c r="LC221" s="31"/>
      <c r="LD221" s="31"/>
      <c r="LE221" s="31"/>
      <c r="LF221" s="31"/>
      <c r="LG221" s="31"/>
      <c r="LH221" s="31"/>
      <c r="LI221" s="31"/>
      <c r="LJ221" s="31"/>
      <c r="LK221" s="31"/>
      <c r="LL221" s="31"/>
      <c r="LM221" s="31"/>
      <c r="LN221" s="31"/>
      <c r="LO221" s="31"/>
      <c r="LP221" s="31"/>
      <c r="LQ221" s="31"/>
      <c r="LR221" s="31"/>
      <c r="LS221" s="31"/>
      <c r="LT221" s="31"/>
      <c r="LU221" s="31"/>
      <c r="LV221" s="31"/>
      <c r="LW221" s="31"/>
      <c r="LX221" s="31"/>
      <c r="LY221" s="31"/>
      <c r="LZ221" s="31"/>
      <c r="MA221" s="31"/>
      <c r="MB221" s="31"/>
      <c r="MC221" s="31"/>
      <c r="MD221" s="31"/>
      <c r="ME221" s="31"/>
      <c r="MF221" s="31"/>
      <c r="MG221" s="31"/>
      <c r="MH221" s="31"/>
      <c r="MI221" s="31"/>
      <c r="MJ221" s="31"/>
      <c r="MK221" s="31"/>
      <c r="ML221" s="31"/>
      <c r="MM221" s="31"/>
      <c r="MN221" s="31"/>
      <c r="MO221" s="31"/>
      <c r="MP221" s="31"/>
      <c r="MQ221" s="31"/>
      <c r="MR221" s="31"/>
      <c r="MS221" s="31"/>
      <c r="MT221" s="31"/>
      <c r="MU221" s="31"/>
      <c r="MV221" s="31"/>
      <c r="MW221" s="31"/>
      <c r="MX221" s="31"/>
      <c r="MY221" s="31"/>
      <c r="MZ221" s="31"/>
      <c r="NA221" s="31"/>
      <c r="NB221" s="31"/>
      <c r="NC221" s="31"/>
      <c r="ND221" s="31"/>
      <c r="NE221" s="31"/>
      <c r="NF221" s="31"/>
      <c r="NG221" s="31"/>
      <c r="NH221" s="31"/>
      <c r="NI221" s="31"/>
      <c r="NJ221" s="31"/>
      <c r="NK221" s="31"/>
      <c r="NL221" s="31"/>
      <c r="NM221" s="31"/>
      <c r="NN221" s="31"/>
      <c r="NO221" s="31"/>
      <c r="NP221" s="31"/>
      <c r="NQ221" s="31"/>
      <c r="NR221" s="31"/>
      <c r="NS221" s="31"/>
      <c r="NT221" s="31"/>
      <c r="NU221" s="31"/>
      <c r="NV221" s="31"/>
      <c r="NW221" s="31"/>
      <c r="NX221" s="31"/>
      <c r="NY221" s="31"/>
      <c r="NZ221" s="31"/>
      <c r="OA221" s="31"/>
      <c r="OB221" s="31"/>
      <c r="OC221" s="31"/>
      <c r="OD221" s="31"/>
      <c r="OE221" s="31"/>
      <c r="OF221" s="31"/>
      <c r="OG221" s="31"/>
      <c r="OH221" s="31"/>
      <c r="OI221" s="31"/>
      <c r="OJ221" s="31"/>
      <c r="OK221" s="31"/>
      <c r="OL221" s="31"/>
      <c r="OM221" s="31"/>
      <c r="ON221" s="31"/>
      <c r="OO221" s="31"/>
      <c r="OP221" s="31"/>
      <c r="OQ221" s="31"/>
      <c r="OR221" s="31"/>
      <c r="OS221" s="31"/>
      <c r="OT221" s="31"/>
      <c r="OU221" s="31"/>
      <c r="OV221" s="31"/>
      <c r="OW221" s="31"/>
      <c r="OX221" s="31"/>
    </row>
    <row r="222" spans="2:414" s="25" customFormat="1" ht="15.6">
      <c r="B222" s="25" t="s">
        <v>336</v>
      </c>
      <c r="C222" s="27" t="s">
        <v>221</v>
      </c>
      <c r="D222" s="30" t="s">
        <v>316</v>
      </c>
      <c r="G222" s="42">
        <v>500</v>
      </c>
      <c r="H222" s="89">
        <v>26.109000000000002</v>
      </c>
      <c r="I222" s="38">
        <f t="shared" si="72"/>
        <v>13054.5</v>
      </c>
      <c r="K222" s="42">
        <v>500</v>
      </c>
      <c r="L222" s="90">
        <v>26.849599999999999</v>
      </c>
      <c r="M222" s="38">
        <f t="shared" si="73"/>
        <v>13424.8</v>
      </c>
      <c r="O222" s="38">
        <v>80</v>
      </c>
      <c r="P222" s="38">
        <v>26.728300000000001</v>
      </c>
      <c r="Q222" s="38">
        <f t="shared" si="74"/>
        <v>2138.2640000000001</v>
      </c>
      <c r="R222" s="43">
        <f t="shared" si="71"/>
        <v>1080</v>
      </c>
      <c r="S222" s="38">
        <f t="shared" si="75"/>
        <v>28617.563999999998</v>
      </c>
      <c r="T222" s="49">
        <v>415</v>
      </c>
      <c r="U222" s="42">
        <v>26.283100000000001</v>
      </c>
      <c r="V222" s="38">
        <f t="shared" si="86"/>
        <v>10907.486500000001</v>
      </c>
      <c r="W222" s="42">
        <v>85</v>
      </c>
      <c r="X222" s="42"/>
      <c r="Y222" s="42">
        <f t="shared" ref="Y222:Y285" si="88">W222*X222</f>
        <v>0</v>
      </c>
      <c r="Z222" s="42">
        <v>415</v>
      </c>
      <c r="AA222" s="42">
        <v>26.849599999999999</v>
      </c>
      <c r="AB222" s="42">
        <f t="shared" si="69"/>
        <v>11142.583999999999</v>
      </c>
      <c r="AD222" s="42">
        <v>50</v>
      </c>
      <c r="AE222" s="42">
        <v>26.856000000000002</v>
      </c>
      <c r="AF222" s="42">
        <f t="shared" si="84"/>
        <v>1342.8000000000002</v>
      </c>
      <c r="AG222" s="42"/>
      <c r="AH222" s="42">
        <v>35</v>
      </c>
      <c r="AI222" s="42">
        <v>26.878599999999999</v>
      </c>
      <c r="AJ222" s="42">
        <f t="shared" si="87"/>
        <v>940.75099999999998</v>
      </c>
      <c r="AL222" s="42"/>
      <c r="AM222" s="42"/>
      <c r="AN222" s="42">
        <f t="shared" si="85"/>
        <v>0</v>
      </c>
      <c r="AO222" s="44"/>
      <c r="AP222" s="42"/>
      <c r="AQ222" s="42"/>
      <c r="AR222" s="42"/>
      <c r="AU222" s="98"/>
      <c r="AV222" s="35"/>
      <c r="AW222" s="104"/>
      <c r="AX222" s="42"/>
      <c r="AY222" s="42"/>
      <c r="AZ222" s="42">
        <f t="shared" si="70"/>
        <v>0</v>
      </c>
      <c r="BA222" s="42"/>
      <c r="BB222" s="42"/>
      <c r="BC222" s="42"/>
      <c r="BD222" s="38">
        <f t="shared" si="76"/>
        <v>0</v>
      </c>
      <c r="BE222" s="42"/>
      <c r="BF222" s="42"/>
      <c r="BG222" s="42"/>
      <c r="BH222" s="38">
        <f t="shared" si="77"/>
        <v>0</v>
      </c>
      <c r="BI222" s="42"/>
      <c r="BJ222" s="42"/>
      <c r="BK222" s="42"/>
      <c r="BL222" s="38">
        <f t="shared" si="78"/>
        <v>0</v>
      </c>
      <c r="BM222" s="42"/>
      <c r="BN222" s="42"/>
      <c r="BO222" s="42"/>
      <c r="BP222" s="42"/>
      <c r="BR222" s="42">
        <f t="shared" si="79"/>
        <v>24333.621500000001</v>
      </c>
      <c r="BS222" s="43">
        <f t="shared" si="80"/>
        <v>4283.9424999999974</v>
      </c>
      <c r="BT222" s="42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  <c r="IM222" s="31"/>
      <c r="IN222" s="31"/>
      <c r="IO222" s="31"/>
      <c r="IP222" s="31"/>
      <c r="IQ222" s="31"/>
      <c r="IR222" s="31"/>
      <c r="IS222" s="31"/>
      <c r="IT222" s="31"/>
      <c r="IU222" s="31"/>
      <c r="IV222" s="31"/>
      <c r="IW222" s="31"/>
      <c r="IX222" s="31"/>
      <c r="IY222" s="31"/>
      <c r="IZ222" s="31"/>
      <c r="JA222" s="31"/>
      <c r="JB222" s="31"/>
      <c r="JC222" s="31"/>
      <c r="JD222" s="31"/>
      <c r="JE222" s="31"/>
      <c r="JF222" s="31"/>
      <c r="JG222" s="31"/>
      <c r="JH222" s="31"/>
      <c r="JI222" s="31"/>
      <c r="JJ222" s="31"/>
      <c r="JK222" s="31"/>
      <c r="JL222" s="31"/>
      <c r="JM222" s="31"/>
      <c r="JN222" s="31"/>
      <c r="JO222" s="31"/>
      <c r="JP222" s="31"/>
      <c r="JQ222" s="31"/>
      <c r="JR222" s="31"/>
      <c r="JS222" s="31"/>
      <c r="JT222" s="31"/>
      <c r="JU222" s="31"/>
      <c r="JV222" s="31"/>
      <c r="JW222" s="31"/>
      <c r="JX222" s="31"/>
      <c r="JY222" s="31"/>
      <c r="JZ222" s="31"/>
      <c r="KA222" s="31"/>
      <c r="KB222" s="31"/>
      <c r="KC222" s="31"/>
      <c r="KD222" s="31"/>
      <c r="KE222" s="31"/>
      <c r="KF222" s="31"/>
      <c r="KG222" s="31"/>
      <c r="KH222" s="31"/>
      <c r="KI222" s="31"/>
      <c r="KJ222" s="31"/>
      <c r="KK222" s="31"/>
      <c r="KL222" s="31"/>
      <c r="KM222" s="31"/>
      <c r="KN222" s="31"/>
      <c r="KO222" s="31"/>
      <c r="KP222" s="31"/>
      <c r="KQ222" s="31"/>
      <c r="KR222" s="31"/>
      <c r="KS222" s="31"/>
      <c r="KT222" s="31"/>
      <c r="KU222" s="31"/>
      <c r="KV222" s="31"/>
      <c r="KW222" s="31"/>
      <c r="KX222" s="31"/>
      <c r="KY222" s="31"/>
      <c r="KZ222" s="31"/>
      <c r="LA222" s="31"/>
      <c r="LB222" s="31"/>
      <c r="LC222" s="31"/>
      <c r="LD222" s="31"/>
      <c r="LE222" s="31"/>
      <c r="LF222" s="31"/>
      <c r="LG222" s="31"/>
      <c r="LH222" s="31"/>
      <c r="LI222" s="31"/>
      <c r="LJ222" s="31"/>
      <c r="LK222" s="31"/>
      <c r="LL222" s="31"/>
      <c r="LM222" s="31"/>
      <c r="LN222" s="31"/>
      <c r="LO222" s="31"/>
      <c r="LP222" s="31"/>
      <c r="LQ222" s="31"/>
      <c r="LR222" s="31"/>
      <c r="LS222" s="31"/>
      <c r="LT222" s="31"/>
      <c r="LU222" s="31"/>
      <c r="LV222" s="31"/>
      <c r="LW222" s="31"/>
      <c r="LX222" s="31"/>
      <c r="LY222" s="31"/>
      <c r="LZ222" s="31"/>
      <c r="MA222" s="31"/>
      <c r="MB222" s="31"/>
      <c r="MC222" s="31"/>
      <c r="MD222" s="31"/>
      <c r="ME222" s="31"/>
      <c r="MF222" s="31"/>
      <c r="MG222" s="31"/>
      <c r="MH222" s="31"/>
      <c r="MI222" s="31"/>
      <c r="MJ222" s="31"/>
      <c r="MK222" s="31"/>
      <c r="ML222" s="31"/>
      <c r="MM222" s="31"/>
      <c r="MN222" s="31"/>
      <c r="MO222" s="31"/>
      <c r="MP222" s="31"/>
      <c r="MQ222" s="31"/>
      <c r="MR222" s="31"/>
      <c r="MS222" s="31"/>
      <c r="MT222" s="31"/>
      <c r="MU222" s="31"/>
      <c r="MV222" s="31"/>
      <c r="MW222" s="31"/>
      <c r="MX222" s="31"/>
      <c r="MY222" s="31"/>
      <c r="MZ222" s="31"/>
      <c r="NA222" s="31"/>
      <c r="NB222" s="31"/>
      <c r="NC222" s="31"/>
      <c r="ND222" s="31"/>
      <c r="NE222" s="31"/>
      <c r="NF222" s="31"/>
      <c r="NG222" s="31"/>
      <c r="NH222" s="31"/>
      <c r="NI222" s="31"/>
      <c r="NJ222" s="31"/>
      <c r="NK222" s="31"/>
      <c r="NL222" s="31"/>
      <c r="NM222" s="31"/>
      <c r="NN222" s="31"/>
      <c r="NO222" s="31"/>
      <c r="NP222" s="31"/>
      <c r="NQ222" s="31"/>
      <c r="NR222" s="31"/>
      <c r="NS222" s="31"/>
      <c r="NT222" s="31"/>
      <c r="NU222" s="31"/>
      <c r="NV222" s="31"/>
      <c r="NW222" s="31"/>
      <c r="NX222" s="31"/>
      <c r="NY222" s="31"/>
      <c r="NZ222" s="31"/>
      <c r="OA222" s="31"/>
      <c r="OB222" s="31"/>
      <c r="OC222" s="31"/>
      <c r="OD222" s="31"/>
      <c r="OE222" s="31"/>
      <c r="OF222" s="31"/>
      <c r="OG222" s="31"/>
      <c r="OH222" s="31"/>
      <c r="OI222" s="31"/>
      <c r="OJ222" s="31"/>
      <c r="OK222" s="31"/>
      <c r="OL222" s="31"/>
      <c r="OM222" s="31"/>
      <c r="ON222" s="31"/>
      <c r="OO222" s="31"/>
      <c r="OP222" s="31"/>
      <c r="OQ222" s="31"/>
      <c r="OR222" s="31"/>
      <c r="OS222" s="31"/>
      <c r="OT222" s="31"/>
      <c r="OU222" s="31"/>
      <c r="OV222" s="31"/>
      <c r="OW222" s="31"/>
      <c r="OX222" s="31"/>
    </row>
    <row r="223" spans="2:414" s="25" customFormat="1" ht="15.6">
      <c r="B223" s="25" t="s">
        <v>337</v>
      </c>
      <c r="C223" s="27" t="s">
        <v>338</v>
      </c>
      <c r="D223" s="30" t="s">
        <v>316</v>
      </c>
      <c r="G223" s="42">
        <v>500</v>
      </c>
      <c r="H223" s="89">
        <v>26.109000000000002</v>
      </c>
      <c r="I223" s="38">
        <f t="shared" si="72"/>
        <v>13054.5</v>
      </c>
      <c r="K223" s="42">
        <v>500</v>
      </c>
      <c r="L223" s="90">
        <v>26.849599999999999</v>
      </c>
      <c r="M223" s="38">
        <f t="shared" si="73"/>
        <v>13424.8</v>
      </c>
      <c r="O223" s="38">
        <v>80</v>
      </c>
      <c r="P223" s="38">
        <v>26.728300000000001</v>
      </c>
      <c r="Q223" s="38">
        <f t="shared" si="74"/>
        <v>2138.2640000000001</v>
      </c>
      <c r="R223" s="43">
        <f t="shared" si="71"/>
        <v>1080</v>
      </c>
      <c r="S223" s="38">
        <f t="shared" si="75"/>
        <v>28617.563999999998</v>
      </c>
      <c r="T223" s="49">
        <v>415</v>
      </c>
      <c r="U223" s="42">
        <v>26.283100000000001</v>
      </c>
      <c r="V223" s="38">
        <f t="shared" si="86"/>
        <v>10907.486500000001</v>
      </c>
      <c r="W223" s="42">
        <v>85</v>
      </c>
      <c r="X223" s="42">
        <v>26.283100000000001</v>
      </c>
      <c r="Y223" s="42">
        <f t="shared" si="88"/>
        <v>2234.0635000000002</v>
      </c>
      <c r="Z223" s="42">
        <v>250</v>
      </c>
      <c r="AA223" s="42">
        <v>26.828900000000001</v>
      </c>
      <c r="AB223" s="42">
        <f t="shared" si="69"/>
        <v>6707.2250000000004</v>
      </c>
      <c r="AD223" s="42">
        <v>100</v>
      </c>
      <c r="AE223" s="42">
        <v>26.878599999999999</v>
      </c>
      <c r="AF223" s="42">
        <f t="shared" si="84"/>
        <v>2687.8599999999997</v>
      </c>
      <c r="AG223" s="42"/>
      <c r="AH223" s="42">
        <v>150</v>
      </c>
      <c r="AI223" s="42">
        <v>26.998100000000001</v>
      </c>
      <c r="AJ223" s="42">
        <f t="shared" si="87"/>
        <v>4049.7150000000001</v>
      </c>
      <c r="AL223" s="42"/>
      <c r="AM223" s="42"/>
      <c r="AN223" s="42">
        <f t="shared" si="85"/>
        <v>0</v>
      </c>
      <c r="AO223" s="44"/>
      <c r="AP223" s="42"/>
      <c r="AQ223" s="42"/>
      <c r="AR223" s="42"/>
      <c r="AU223" s="98"/>
      <c r="AV223" s="35"/>
      <c r="AW223" s="104"/>
      <c r="AX223" s="42"/>
      <c r="AY223" s="42"/>
      <c r="AZ223" s="42">
        <f t="shared" si="70"/>
        <v>0</v>
      </c>
      <c r="BA223" s="42"/>
      <c r="BB223" s="42"/>
      <c r="BC223" s="42"/>
      <c r="BD223" s="38">
        <f t="shared" si="76"/>
        <v>0</v>
      </c>
      <c r="BE223" s="42"/>
      <c r="BF223" s="42"/>
      <c r="BG223" s="42"/>
      <c r="BH223" s="38">
        <f t="shared" si="77"/>
        <v>0</v>
      </c>
      <c r="BI223" s="42"/>
      <c r="BJ223" s="42"/>
      <c r="BK223" s="42"/>
      <c r="BL223" s="38">
        <f t="shared" si="78"/>
        <v>0</v>
      </c>
      <c r="BM223" s="42"/>
      <c r="BN223" s="42"/>
      <c r="BO223" s="42"/>
      <c r="BP223" s="42"/>
      <c r="BR223" s="42">
        <f t="shared" si="79"/>
        <v>26586.350000000002</v>
      </c>
      <c r="BS223" s="43">
        <f t="shared" si="80"/>
        <v>2031.2139999999963</v>
      </c>
      <c r="BT223" s="42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  <c r="IM223" s="31"/>
      <c r="IN223" s="31"/>
      <c r="IO223" s="31"/>
      <c r="IP223" s="31"/>
      <c r="IQ223" s="31"/>
      <c r="IR223" s="31"/>
      <c r="IS223" s="31"/>
      <c r="IT223" s="31"/>
      <c r="IU223" s="31"/>
      <c r="IV223" s="31"/>
      <c r="IW223" s="31"/>
      <c r="IX223" s="31"/>
      <c r="IY223" s="31"/>
      <c r="IZ223" s="31"/>
      <c r="JA223" s="31"/>
      <c r="JB223" s="31"/>
      <c r="JC223" s="31"/>
      <c r="JD223" s="31"/>
      <c r="JE223" s="31"/>
      <c r="JF223" s="31"/>
      <c r="JG223" s="31"/>
      <c r="JH223" s="31"/>
      <c r="JI223" s="31"/>
      <c r="JJ223" s="31"/>
      <c r="JK223" s="31"/>
      <c r="JL223" s="31"/>
      <c r="JM223" s="31"/>
      <c r="JN223" s="31"/>
      <c r="JO223" s="31"/>
      <c r="JP223" s="31"/>
      <c r="JQ223" s="31"/>
      <c r="JR223" s="31"/>
      <c r="JS223" s="31"/>
      <c r="JT223" s="31"/>
      <c r="JU223" s="31"/>
      <c r="JV223" s="31"/>
      <c r="JW223" s="31"/>
      <c r="JX223" s="31"/>
      <c r="JY223" s="31"/>
      <c r="JZ223" s="31"/>
      <c r="KA223" s="31"/>
      <c r="KB223" s="31"/>
      <c r="KC223" s="31"/>
      <c r="KD223" s="31"/>
      <c r="KE223" s="31"/>
      <c r="KF223" s="31"/>
      <c r="KG223" s="31"/>
      <c r="KH223" s="31"/>
      <c r="KI223" s="31"/>
      <c r="KJ223" s="31"/>
      <c r="KK223" s="31"/>
      <c r="KL223" s="31"/>
      <c r="KM223" s="31"/>
      <c r="KN223" s="31"/>
      <c r="KO223" s="31"/>
      <c r="KP223" s="31"/>
      <c r="KQ223" s="31"/>
      <c r="KR223" s="31"/>
      <c r="KS223" s="31"/>
      <c r="KT223" s="31"/>
      <c r="KU223" s="31"/>
      <c r="KV223" s="31"/>
      <c r="KW223" s="31"/>
      <c r="KX223" s="31"/>
      <c r="KY223" s="31"/>
      <c r="KZ223" s="31"/>
      <c r="LA223" s="31"/>
      <c r="LB223" s="31"/>
      <c r="LC223" s="31"/>
      <c r="LD223" s="31"/>
      <c r="LE223" s="31"/>
      <c r="LF223" s="31"/>
      <c r="LG223" s="31"/>
      <c r="LH223" s="31"/>
      <c r="LI223" s="31"/>
      <c r="LJ223" s="31"/>
      <c r="LK223" s="31"/>
      <c r="LL223" s="31"/>
      <c r="LM223" s="31"/>
      <c r="LN223" s="31"/>
      <c r="LO223" s="31"/>
      <c r="LP223" s="31"/>
      <c r="LQ223" s="31"/>
      <c r="LR223" s="31"/>
      <c r="LS223" s="31"/>
      <c r="LT223" s="31"/>
      <c r="LU223" s="31"/>
      <c r="LV223" s="31"/>
      <c r="LW223" s="31"/>
      <c r="LX223" s="31"/>
      <c r="LY223" s="31"/>
      <c r="LZ223" s="31"/>
      <c r="MA223" s="31"/>
      <c r="MB223" s="31"/>
      <c r="MC223" s="31"/>
      <c r="MD223" s="31"/>
      <c r="ME223" s="31"/>
      <c r="MF223" s="31"/>
      <c r="MG223" s="31"/>
      <c r="MH223" s="31"/>
      <c r="MI223" s="31"/>
      <c r="MJ223" s="31"/>
      <c r="MK223" s="31"/>
      <c r="ML223" s="31"/>
      <c r="MM223" s="31"/>
      <c r="MN223" s="31"/>
      <c r="MO223" s="31"/>
      <c r="MP223" s="31"/>
      <c r="MQ223" s="31"/>
      <c r="MR223" s="31"/>
      <c r="MS223" s="31"/>
      <c r="MT223" s="31"/>
      <c r="MU223" s="31"/>
      <c r="MV223" s="31"/>
      <c r="MW223" s="31"/>
      <c r="MX223" s="31"/>
      <c r="MY223" s="31"/>
      <c r="MZ223" s="31"/>
      <c r="NA223" s="31"/>
      <c r="NB223" s="31"/>
      <c r="NC223" s="31"/>
      <c r="ND223" s="31"/>
      <c r="NE223" s="31"/>
      <c r="NF223" s="31"/>
      <c r="NG223" s="31"/>
      <c r="NH223" s="31"/>
      <c r="NI223" s="31"/>
      <c r="NJ223" s="31"/>
      <c r="NK223" s="31"/>
      <c r="NL223" s="31"/>
      <c r="NM223" s="31"/>
      <c r="NN223" s="31"/>
      <c r="NO223" s="31"/>
      <c r="NP223" s="31"/>
      <c r="NQ223" s="31"/>
      <c r="NR223" s="31"/>
      <c r="NS223" s="31"/>
      <c r="NT223" s="31"/>
      <c r="NU223" s="31"/>
      <c r="NV223" s="31"/>
      <c r="NW223" s="31"/>
      <c r="NX223" s="31"/>
      <c r="NY223" s="31"/>
      <c r="NZ223" s="31"/>
      <c r="OA223" s="31"/>
      <c r="OB223" s="31"/>
      <c r="OC223" s="31"/>
      <c r="OD223" s="31"/>
      <c r="OE223" s="31"/>
      <c r="OF223" s="31"/>
      <c r="OG223" s="31"/>
      <c r="OH223" s="31"/>
      <c r="OI223" s="31"/>
      <c r="OJ223" s="31"/>
      <c r="OK223" s="31"/>
      <c r="OL223" s="31"/>
      <c r="OM223" s="31"/>
      <c r="ON223" s="31"/>
      <c r="OO223" s="31"/>
      <c r="OP223" s="31"/>
      <c r="OQ223" s="31"/>
      <c r="OR223" s="31"/>
      <c r="OS223" s="31"/>
      <c r="OT223" s="31"/>
      <c r="OU223" s="31"/>
      <c r="OV223" s="31"/>
      <c r="OW223" s="31"/>
      <c r="OX223" s="31"/>
    </row>
    <row r="224" spans="2:414" s="25" customFormat="1" ht="15.6">
      <c r="B224" s="25" t="s">
        <v>339</v>
      </c>
      <c r="C224" s="27" t="s">
        <v>213</v>
      </c>
      <c r="D224" s="30" t="s">
        <v>316</v>
      </c>
      <c r="G224" s="42">
        <v>500</v>
      </c>
      <c r="H224" s="89">
        <v>26.109000000000002</v>
      </c>
      <c r="I224" s="38">
        <f t="shared" si="72"/>
        <v>13054.5</v>
      </c>
      <c r="K224" s="42">
        <v>500</v>
      </c>
      <c r="L224" s="90">
        <v>26.849599999999999</v>
      </c>
      <c r="M224" s="38">
        <f t="shared" si="73"/>
        <v>13424.8</v>
      </c>
      <c r="O224" s="38">
        <v>80</v>
      </c>
      <c r="P224" s="38">
        <v>26.728300000000001</v>
      </c>
      <c r="Q224" s="38">
        <f t="shared" si="74"/>
        <v>2138.2640000000001</v>
      </c>
      <c r="R224" s="43">
        <f t="shared" si="71"/>
        <v>1080</v>
      </c>
      <c r="S224" s="38">
        <f t="shared" si="75"/>
        <v>28617.563999999998</v>
      </c>
      <c r="T224" s="49">
        <v>415</v>
      </c>
      <c r="U224" s="42">
        <v>26.350200000000001</v>
      </c>
      <c r="V224" s="38">
        <f t="shared" si="86"/>
        <v>10935.333000000001</v>
      </c>
      <c r="W224" s="42">
        <v>85</v>
      </c>
      <c r="X224" s="42">
        <v>26.350200000000001</v>
      </c>
      <c r="Y224" s="42">
        <f t="shared" si="88"/>
        <v>2239.7670000000003</v>
      </c>
      <c r="Z224" s="42">
        <v>415</v>
      </c>
      <c r="AA224" s="42">
        <v>26.799399999999999</v>
      </c>
      <c r="AB224" s="42">
        <f t="shared" si="69"/>
        <v>11121.751</v>
      </c>
      <c r="AD224" s="42">
        <v>85</v>
      </c>
      <c r="AE224" s="42">
        <v>26.766200000000001</v>
      </c>
      <c r="AF224" s="42">
        <f t="shared" si="84"/>
        <v>2275.127</v>
      </c>
      <c r="AG224" s="42"/>
      <c r="AH224" s="42"/>
      <c r="AI224" s="42"/>
      <c r="AJ224" s="42">
        <f t="shared" si="87"/>
        <v>0</v>
      </c>
      <c r="AL224" s="42"/>
      <c r="AM224" s="42"/>
      <c r="AN224" s="42">
        <f t="shared" si="85"/>
        <v>0</v>
      </c>
      <c r="AO224" s="44"/>
      <c r="AP224" s="42"/>
      <c r="AQ224" s="42"/>
      <c r="AR224" s="42"/>
      <c r="AU224" s="98"/>
      <c r="AV224" s="35"/>
      <c r="AW224" s="104"/>
      <c r="AX224" s="42"/>
      <c r="AY224" s="42"/>
      <c r="AZ224" s="42">
        <f t="shared" si="70"/>
        <v>0</v>
      </c>
      <c r="BA224" s="42"/>
      <c r="BB224" s="42"/>
      <c r="BC224" s="42"/>
      <c r="BD224" s="38">
        <f t="shared" si="76"/>
        <v>0</v>
      </c>
      <c r="BE224" s="42"/>
      <c r="BF224" s="42"/>
      <c r="BG224" s="42"/>
      <c r="BH224" s="38">
        <f t="shared" si="77"/>
        <v>0</v>
      </c>
      <c r="BI224" s="42"/>
      <c r="BJ224" s="42"/>
      <c r="BK224" s="42"/>
      <c r="BL224" s="38">
        <f t="shared" si="78"/>
        <v>0</v>
      </c>
      <c r="BM224" s="42"/>
      <c r="BN224" s="42"/>
      <c r="BO224" s="42"/>
      <c r="BP224" s="42"/>
      <c r="BR224" s="42">
        <f t="shared" si="79"/>
        <v>26571.978000000003</v>
      </c>
      <c r="BS224" s="43">
        <f t="shared" si="80"/>
        <v>2045.5859999999957</v>
      </c>
      <c r="BT224" s="42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  <c r="IM224" s="31"/>
      <c r="IN224" s="31"/>
      <c r="IO224" s="31"/>
      <c r="IP224" s="31"/>
      <c r="IQ224" s="31"/>
      <c r="IR224" s="31"/>
      <c r="IS224" s="31"/>
      <c r="IT224" s="31"/>
      <c r="IU224" s="31"/>
      <c r="IV224" s="31"/>
      <c r="IW224" s="31"/>
      <c r="IX224" s="31"/>
      <c r="IY224" s="31"/>
      <c r="IZ224" s="31"/>
      <c r="JA224" s="31"/>
      <c r="JB224" s="31"/>
      <c r="JC224" s="31"/>
      <c r="JD224" s="31"/>
      <c r="JE224" s="31"/>
      <c r="JF224" s="31"/>
      <c r="JG224" s="31"/>
      <c r="JH224" s="31"/>
      <c r="JI224" s="31"/>
      <c r="JJ224" s="31"/>
      <c r="JK224" s="31"/>
      <c r="JL224" s="31"/>
      <c r="JM224" s="31"/>
      <c r="JN224" s="31"/>
      <c r="JO224" s="31"/>
      <c r="JP224" s="31"/>
      <c r="JQ224" s="31"/>
      <c r="JR224" s="31"/>
      <c r="JS224" s="31"/>
      <c r="JT224" s="31"/>
      <c r="JU224" s="31"/>
      <c r="JV224" s="31"/>
      <c r="JW224" s="31"/>
      <c r="JX224" s="31"/>
      <c r="JY224" s="31"/>
      <c r="JZ224" s="31"/>
      <c r="KA224" s="31"/>
      <c r="KB224" s="31"/>
      <c r="KC224" s="31"/>
      <c r="KD224" s="31"/>
      <c r="KE224" s="31"/>
      <c r="KF224" s="31"/>
      <c r="KG224" s="31"/>
      <c r="KH224" s="31"/>
      <c r="KI224" s="31"/>
      <c r="KJ224" s="31"/>
      <c r="KK224" s="31"/>
      <c r="KL224" s="31"/>
      <c r="KM224" s="31"/>
      <c r="KN224" s="31"/>
      <c r="KO224" s="31"/>
      <c r="KP224" s="31"/>
      <c r="KQ224" s="31"/>
      <c r="KR224" s="31"/>
      <c r="KS224" s="31"/>
      <c r="KT224" s="31"/>
      <c r="KU224" s="31"/>
      <c r="KV224" s="31"/>
      <c r="KW224" s="31"/>
      <c r="KX224" s="31"/>
      <c r="KY224" s="31"/>
      <c r="KZ224" s="31"/>
      <c r="LA224" s="31"/>
      <c r="LB224" s="31"/>
      <c r="LC224" s="31"/>
      <c r="LD224" s="31"/>
      <c r="LE224" s="31"/>
      <c r="LF224" s="31"/>
      <c r="LG224" s="31"/>
      <c r="LH224" s="31"/>
      <c r="LI224" s="31"/>
      <c r="LJ224" s="31"/>
      <c r="LK224" s="31"/>
      <c r="LL224" s="31"/>
      <c r="LM224" s="31"/>
      <c r="LN224" s="31"/>
      <c r="LO224" s="31"/>
      <c r="LP224" s="31"/>
      <c r="LQ224" s="31"/>
      <c r="LR224" s="31"/>
      <c r="LS224" s="31"/>
      <c r="LT224" s="31"/>
      <c r="LU224" s="31"/>
      <c r="LV224" s="31"/>
      <c r="LW224" s="31"/>
      <c r="LX224" s="31"/>
      <c r="LY224" s="31"/>
      <c r="LZ224" s="31"/>
      <c r="MA224" s="31"/>
      <c r="MB224" s="31"/>
      <c r="MC224" s="31"/>
      <c r="MD224" s="31"/>
      <c r="ME224" s="31"/>
      <c r="MF224" s="31"/>
      <c r="MG224" s="31"/>
      <c r="MH224" s="31"/>
      <c r="MI224" s="31"/>
      <c r="MJ224" s="31"/>
      <c r="MK224" s="31"/>
      <c r="ML224" s="31"/>
      <c r="MM224" s="31"/>
      <c r="MN224" s="31"/>
      <c r="MO224" s="31"/>
      <c r="MP224" s="31"/>
      <c r="MQ224" s="31"/>
      <c r="MR224" s="31"/>
      <c r="MS224" s="31"/>
      <c r="MT224" s="31"/>
      <c r="MU224" s="31"/>
      <c r="MV224" s="31"/>
      <c r="MW224" s="31"/>
      <c r="MX224" s="31"/>
      <c r="MY224" s="31"/>
      <c r="MZ224" s="31"/>
      <c r="NA224" s="31"/>
      <c r="NB224" s="31"/>
      <c r="NC224" s="31"/>
      <c r="ND224" s="31"/>
      <c r="NE224" s="31"/>
      <c r="NF224" s="31"/>
      <c r="NG224" s="31"/>
      <c r="NH224" s="31"/>
      <c r="NI224" s="31"/>
      <c r="NJ224" s="31"/>
      <c r="NK224" s="31"/>
      <c r="NL224" s="31"/>
      <c r="NM224" s="31"/>
      <c r="NN224" s="31"/>
      <c r="NO224" s="31"/>
      <c r="NP224" s="31"/>
      <c r="NQ224" s="31"/>
      <c r="NR224" s="31"/>
      <c r="NS224" s="31"/>
      <c r="NT224" s="31"/>
      <c r="NU224" s="31"/>
      <c r="NV224" s="31"/>
      <c r="NW224" s="31"/>
      <c r="NX224" s="31"/>
      <c r="NY224" s="31"/>
      <c r="NZ224" s="31"/>
      <c r="OA224" s="31"/>
      <c r="OB224" s="31"/>
      <c r="OC224" s="31"/>
      <c r="OD224" s="31"/>
      <c r="OE224" s="31"/>
      <c r="OF224" s="31"/>
      <c r="OG224" s="31"/>
      <c r="OH224" s="31"/>
      <c r="OI224" s="31"/>
      <c r="OJ224" s="31"/>
      <c r="OK224" s="31"/>
      <c r="OL224" s="31"/>
      <c r="OM224" s="31"/>
      <c r="ON224" s="31"/>
      <c r="OO224" s="31"/>
      <c r="OP224" s="31"/>
      <c r="OQ224" s="31"/>
      <c r="OR224" s="31"/>
      <c r="OS224" s="31"/>
      <c r="OT224" s="31"/>
      <c r="OU224" s="31"/>
      <c r="OV224" s="31"/>
      <c r="OW224" s="31"/>
      <c r="OX224" s="31"/>
    </row>
    <row r="225" spans="2:414" s="25" customFormat="1" ht="15.6">
      <c r="B225" s="25" t="s">
        <v>340</v>
      </c>
      <c r="C225" s="27" t="s">
        <v>341</v>
      </c>
      <c r="D225" s="30" t="s">
        <v>316</v>
      </c>
      <c r="G225" s="42">
        <v>500</v>
      </c>
      <c r="H225" s="89">
        <v>26.109000000000002</v>
      </c>
      <c r="I225" s="38">
        <f t="shared" si="72"/>
        <v>13054.5</v>
      </c>
      <c r="K225" s="42">
        <v>500</v>
      </c>
      <c r="L225" s="90">
        <v>26.849599999999999</v>
      </c>
      <c r="M225" s="38">
        <f t="shared" si="73"/>
        <v>13424.8</v>
      </c>
      <c r="O225" s="38">
        <v>80</v>
      </c>
      <c r="P225" s="38">
        <v>26.728300000000001</v>
      </c>
      <c r="Q225" s="38">
        <f t="shared" si="74"/>
        <v>2138.2640000000001</v>
      </c>
      <c r="R225" s="43">
        <f t="shared" si="71"/>
        <v>1080</v>
      </c>
      <c r="S225" s="38">
        <f t="shared" si="75"/>
        <v>28617.563999999998</v>
      </c>
      <c r="T225" s="49">
        <v>250</v>
      </c>
      <c r="U225" s="42">
        <v>25.822600000000001</v>
      </c>
      <c r="V225" s="38">
        <f t="shared" si="86"/>
        <v>6455.6500000000005</v>
      </c>
      <c r="W225" s="42">
        <v>70</v>
      </c>
      <c r="X225" s="42">
        <v>26.652100000000001</v>
      </c>
      <c r="Y225" s="42">
        <f t="shared" si="88"/>
        <v>1865.6470000000002</v>
      </c>
      <c r="Z225" s="42"/>
      <c r="AA225" s="42"/>
      <c r="AB225" s="42">
        <v>5000</v>
      </c>
      <c r="AD225" s="42"/>
      <c r="AE225" s="42"/>
      <c r="AF225" s="42">
        <f t="shared" si="84"/>
        <v>0</v>
      </c>
      <c r="AG225" s="42"/>
      <c r="AH225" s="42">
        <v>300</v>
      </c>
      <c r="AI225" s="42">
        <v>26.940100000000001</v>
      </c>
      <c r="AJ225" s="42">
        <f t="shared" si="87"/>
        <v>8082.0300000000007</v>
      </c>
      <c r="AL225" s="42">
        <v>200</v>
      </c>
      <c r="AM225" s="42">
        <v>26.799399999999999</v>
      </c>
      <c r="AN225" s="42">
        <f t="shared" si="85"/>
        <v>5359.88</v>
      </c>
      <c r="AO225" s="44"/>
      <c r="AP225" s="42"/>
      <c r="AQ225" s="42"/>
      <c r="AR225" s="42"/>
      <c r="AU225" s="98"/>
      <c r="AV225" s="35"/>
      <c r="AW225" s="104"/>
      <c r="AX225" s="42"/>
      <c r="AY225" s="42"/>
      <c r="AZ225" s="42">
        <f t="shared" si="70"/>
        <v>0</v>
      </c>
      <c r="BA225" s="42"/>
      <c r="BB225" s="42"/>
      <c r="BC225" s="42"/>
      <c r="BD225" s="38">
        <f t="shared" si="76"/>
        <v>0</v>
      </c>
      <c r="BE225" s="42"/>
      <c r="BF225" s="42"/>
      <c r="BG225" s="42"/>
      <c r="BH225" s="38">
        <f t="shared" si="77"/>
        <v>0</v>
      </c>
      <c r="BI225" s="42"/>
      <c r="BJ225" s="42"/>
      <c r="BK225" s="42"/>
      <c r="BL225" s="38">
        <f t="shared" si="78"/>
        <v>0</v>
      </c>
      <c r="BM225" s="42"/>
      <c r="BN225" s="42"/>
      <c r="BO225" s="42"/>
      <c r="BP225" s="42"/>
      <c r="BR225" s="42">
        <f t="shared" si="79"/>
        <v>26763.207000000002</v>
      </c>
      <c r="BS225" s="43">
        <f t="shared" si="80"/>
        <v>1854.3569999999963</v>
      </c>
      <c r="BT225" s="42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  <c r="IM225" s="31"/>
      <c r="IN225" s="31"/>
      <c r="IO225" s="31"/>
      <c r="IP225" s="31"/>
      <c r="IQ225" s="31"/>
      <c r="IR225" s="31"/>
      <c r="IS225" s="31"/>
      <c r="IT225" s="31"/>
      <c r="IU225" s="31"/>
      <c r="IV225" s="31"/>
      <c r="IW225" s="31"/>
      <c r="IX225" s="31"/>
      <c r="IY225" s="31"/>
      <c r="IZ225" s="31"/>
      <c r="JA225" s="31"/>
      <c r="JB225" s="31"/>
      <c r="JC225" s="31"/>
      <c r="JD225" s="31"/>
      <c r="JE225" s="31"/>
      <c r="JF225" s="31"/>
      <c r="JG225" s="31"/>
      <c r="JH225" s="31"/>
      <c r="JI225" s="31"/>
      <c r="JJ225" s="31"/>
      <c r="JK225" s="31"/>
      <c r="JL225" s="31"/>
      <c r="JM225" s="31"/>
      <c r="JN225" s="31"/>
      <c r="JO225" s="31"/>
      <c r="JP225" s="31"/>
      <c r="JQ225" s="31"/>
      <c r="JR225" s="31"/>
      <c r="JS225" s="31"/>
      <c r="JT225" s="31"/>
      <c r="JU225" s="31"/>
      <c r="JV225" s="31"/>
      <c r="JW225" s="31"/>
      <c r="JX225" s="31"/>
      <c r="JY225" s="31"/>
      <c r="JZ225" s="31"/>
      <c r="KA225" s="31"/>
      <c r="KB225" s="31"/>
      <c r="KC225" s="31"/>
      <c r="KD225" s="31"/>
      <c r="KE225" s="31"/>
      <c r="KF225" s="31"/>
      <c r="KG225" s="31"/>
      <c r="KH225" s="31"/>
      <c r="KI225" s="31"/>
      <c r="KJ225" s="31"/>
      <c r="KK225" s="31"/>
      <c r="KL225" s="31"/>
      <c r="KM225" s="31"/>
      <c r="KN225" s="31"/>
      <c r="KO225" s="31"/>
      <c r="KP225" s="31"/>
      <c r="KQ225" s="31"/>
      <c r="KR225" s="31"/>
      <c r="KS225" s="31"/>
      <c r="KT225" s="31"/>
      <c r="KU225" s="31"/>
      <c r="KV225" s="31"/>
      <c r="KW225" s="31"/>
      <c r="KX225" s="31"/>
      <c r="KY225" s="31"/>
      <c r="KZ225" s="31"/>
      <c r="LA225" s="31"/>
      <c r="LB225" s="31"/>
      <c r="LC225" s="31"/>
      <c r="LD225" s="31"/>
      <c r="LE225" s="31"/>
      <c r="LF225" s="31"/>
      <c r="LG225" s="31"/>
      <c r="LH225" s="31"/>
      <c r="LI225" s="31"/>
      <c r="LJ225" s="31"/>
      <c r="LK225" s="31"/>
      <c r="LL225" s="31"/>
      <c r="LM225" s="31"/>
      <c r="LN225" s="31"/>
      <c r="LO225" s="31"/>
      <c r="LP225" s="31"/>
      <c r="LQ225" s="31"/>
      <c r="LR225" s="31"/>
      <c r="LS225" s="31"/>
      <c r="LT225" s="31"/>
      <c r="LU225" s="31"/>
      <c r="LV225" s="31"/>
      <c r="LW225" s="31"/>
      <c r="LX225" s="31"/>
      <c r="LY225" s="31"/>
      <c r="LZ225" s="31"/>
      <c r="MA225" s="31"/>
      <c r="MB225" s="31"/>
      <c r="MC225" s="31"/>
      <c r="MD225" s="31"/>
      <c r="ME225" s="31"/>
      <c r="MF225" s="31"/>
      <c r="MG225" s="31"/>
      <c r="MH225" s="31"/>
      <c r="MI225" s="31"/>
      <c r="MJ225" s="31"/>
      <c r="MK225" s="31"/>
      <c r="ML225" s="31"/>
      <c r="MM225" s="31"/>
      <c r="MN225" s="31"/>
      <c r="MO225" s="31"/>
      <c r="MP225" s="31"/>
      <c r="MQ225" s="31"/>
      <c r="MR225" s="31"/>
      <c r="MS225" s="31"/>
      <c r="MT225" s="31"/>
      <c r="MU225" s="31"/>
      <c r="MV225" s="31"/>
      <c r="MW225" s="31"/>
      <c r="MX225" s="31"/>
      <c r="MY225" s="31"/>
      <c r="MZ225" s="31"/>
      <c r="NA225" s="31"/>
      <c r="NB225" s="31"/>
      <c r="NC225" s="31"/>
      <c r="ND225" s="31"/>
      <c r="NE225" s="31"/>
      <c r="NF225" s="31"/>
      <c r="NG225" s="31"/>
      <c r="NH225" s="31"/>
      <c r="NI225" s="31"/>
      <c r="NJ225" s="31"/>
      <c r="NK225" s="31"/>
      <c r="NL225" s="31"/>
      <c r="NM225" s="31"/>
      <c r="NN225" s="31"/>
      <c r="NO225" s="31"/>
      <c r="NP225" s="31"/>
      <c r="NQ225" s="31"/>
      <c r="NR225" s="31"/>
      <c r="NS225" s="31"/>
      <c r="NT225" s="31"/>
      <c r="NU225" s="31"/>
      <c r="NV225" s="31"/>
      <c r="NW225" s="31"/>
      <c r="NX225" s="31"/>
      <c r="NY225" s="31"/>
      <c r="NZ225" s="31"/>
      <c r="OA225" s="31"/>
      <c r="OB225" s="31"/>
      <c r="OC225" s="31"/>
      <c r="OD225" s="31"/>
      <c r="OE225" s="31"/>
      <c r="OF225" s="31"/>
      <c r="OG225" s="31"/>
      <c r="OH225" s="31"/>
      <c r="OI225" s="31"/>
      <c r="OJ225" s="31"/>
      <c r="OK225" s="31"/>
      <c r="OL225" s="31"/>
      <c r="OM225" s="31"/>
      <c r="ON225" s="31"/>
      <c r="OO225" s="31"/>
      <c r="OP225" s="31"/>
      <c r="OQ225" s="31"/>
      <c r="OR225" s="31"/>
      <c r="OS225" s="31"/>
      <c r="OT225" s="31"/>
      <c r="OU225" s="31"/>
      <c r="OV225" s="31"/>
      <c r="OW225" s="31"/>
      <c r="OX225" s="31"/>
    </row>
    <row r="226" spans="2:414" s="25" customFormat="1" ht="15.6">
      <c r="B226" s="25" t="s">
        <v>342</v>
      </c>
      <c r="C226" s="27" t="s">
        <v>321</v>
      </c>
      <c r="D226" s="30" t="s">
        <v>316</v>
      </c>
      <c r="G226" s="42">
        <v>500</v>
      </c>
      <c r="H226" s="89">
        <v>26.109000000000002</v>
      </c>
      <c r="I226" s="38">
        <f t="shared" si="72"/>
        <v>13054.5</v>
      </c>
      <c r="K226" s="42">
        <v>500</v>
      </c>
      <c r="L226" s="90">
        <v>26.849599999999999</v>
      </c>
      <c r="M226" s="38">
        <f t="shared" si="73"/>
        <v>13424.8</v>
      </c>
      <c r="O226" s="38">
        <v>80</v>
      </c>
      <c r="P226" s="38">
        <v>26.728300000000001</v>
      </c>
      <c r="Q226" s="38">
        <f t="shared" si="74"/>
        <v>2138.2640000000001</v>
      </c>
      <c r="R226" s="43">
        <f t="shared" si="71"/>
        <v>1080</v>
      </c>
      <c r="S226" s="38">
        <f t="shared" si="75"/>
        <v>28617.563999999998</v>
      </c>
      <c r="T226" s="49"/>
      <c r="U226" s="42"/>
      <c r="V226" s="38">
        <f t="shared" si="86"/>
        <v>0</v>
      </c>
      <c r="W226" s="42"/>
      <c r="X226" s="42"/>
      <c r="Y226" s="42">
        <f t="shared" si="88"/>
        <v>0</v>
      </c>
      <c r="Z226" s="42"/>
      <c r="AA226" s="42"/>
      <c r="AB226" s="42">
        <f>Z226*AA226</f>
        <v>0</v>
      </c>
      <c r="AD226" s="42"/>
      <c r="AE226" s="42"/>
      <c r="AF226" s="42">
        <f t="shared" si="84"/>
        <v>0</v>
      </c>
      <c r="AG226" s="42"/>
      <c r="AH226" s="42"/>
      <c r="AI226" s="42"/>
      <c r="AJ226" s="42"/>
      <c r="AL226" s="42"/>
      <c r="AM226" s="42"/>
      <c r="AN226" s="42">
        <f t="shared" si="85"/>
        <v>0</v>
      </c>
      <c r="AO226" s="44"/>
      <c r="AP226" s="42"/>
      <c r="AQ226" s="42"/>
      <c r="AR226" s="42"/>
      <c r="AU226" s="98"/>
      <c r="AV226" s="35"/>
      <c r="AW226" s="104"/>
      <c r="AX226" s="42"/>
      <c r="AY226" s="42"/>
      <c r="AZ226" s="42">
        <f t="shared" si="70"/>
        <v>0</v>
      </c>
      <c r="BA226" s="42"/>
      <c r="BB226" s="42"/>
      <c r="BC226" s="42"/>
      <c r="BD226" s="38">
        <f t="shared" si="76"/>
        <v>0</v>
      </c>
      <c r="BE226" s="42"/>
      <c r="BF226" s="42"/>
      <c r="BG226" s="42"/>
      <c r="BH226" s="38">
        <f t="shared" si="77"/>
        <v>0</v>
      </c>
      <c r="BI226" s="42"/>
      <c r="BJ226" s="42"/>
      <c r="BK226" s="42"/>
      <c r="BL226" s="38">
        <f t="shared" si="78"/>
        <v>0</v>
      </c>
      <c r="BM226" s="42"/>
      <c r="BN226" s="42"/>
      <c r="BO226" s="42"/>
      <c r="BP226" s="42"/>
      <c r="BR226" s="42">
        <f t="shared" si="79"/>
        <v>0</v>
      </c>
      <c r="BS226" s="43">
        <f t="shared" si="80"/>
        <v>28617.563999999998</v>
      </c>
      <c r="BT226" s="42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  <c r="IM226" s="31"/>
      <c r="IN226" s="31"/>
      <c r="IO226" s="31"/>
      <c r="IP226" s="31"/>
      <c r="IQ226" s="31"/>
      <c r="IR226" s="31"/>
      <c r="IS226" s="31"/>
      <c r="IT226" s="31"/>
      <c r="IU226" s="31"/>
      <c r="IV226" s="31"/>
      <c r="IW226" s="31"/>
      <c r="IX226" s="31"/>
      <c r="IY226" s="31"/>
      <c r="IZ226" s="31"/>
      <c r="JA226" s="31"/>
      <c r="JB226" s="31"/>
      <c r="JC226" s="31"/>
      <c r="JD226" s="31"/>
      <c r="JE226" s="31"/>
      <c r="JF226" s="31"/>
      <c r="JG226" s="31"/>
      <c r="JH226" s="31"/>
      <c r="JI226" s="31"/>
      <c r="JJ226" s="31"/>
      <c r="JK226" s="31"/>
      <c r="JL226" s="31"/>
      <c r="JM226" s="31"/>
      <c r="JN226" s="31"/>
      <c r="JO226" s="31"/>
      <c r="JP226" s="31"/>
      <c r="JQ226" s="31"/>
      <c r="JR226" s="31"/>
      <c r="JS226" s="31"/>
      <c r="JT226" s="31"/>
      <c r="JU226" s="31"/>
      <c r="JV226" s="31"/>
      <c r="JW226" s="31"/>
      <c r="JX226" s="31"/>
      <c r="JY226" s="31"/>
      <c r="JZ226" s="31"/>
      <c r="KA226" s="31"/>
      <c r="KB226" s="31"/>
      <c r="KC226" s="31"/>
      <c r="KD226" s="31"/>
      <c r="KE226" s="31"/>
      <c r="KF226" s="31"/>
      <c r="KG226" s="31"/>
      <c r="KH226" s="31"/>
      <c r="KI226" s="31"/>
      <c r="KJ226" s="31"/>
      <c r="KK226" s="31"/>
      <c r="KL226" s="31"/>
      <c r="KM226" s="31"/>
      <c r="KN226" s="31"/>
      <c r="KO226" s="31"/>
      <c r="KP226" s="31"/>
      <c r="KQ226" s="31"/>
      <c r="KR226" s="31"/>
      <c r="KS226" s="31"/>
      <c r="KT226" s="31"/>
      <c r="KU226" s="31"/>
      <c r="KV226" s="31"/>
      <c r="KW226" s="31"/>
      <c r="KX226" s="31"/>
      <c r="KY226" s="31"/>
      <c r="KZ226" s="31"/>
      <c r="LA226" s="31"/>
      <c r="LB226" s="31"/>
      <c r="LC226" s="31"/>
      <c r="LD226" s="31"/>
      <c r="LE226" s="31"/>
      <c r="LF226" s="31"/>
      <c r="LG226" s="31"/>
      <c r="LH226" s="31"/>
      <c r="LI226" s="31"/>
      <c r="LJ226" s="31"/>
      <c r="LK226" s="31"/>
      <c r="LL226" s="31"/>
      <c r="LM226" s="31"/>
      <c r="LN226" s="31"/>
      <c r="LO226" s="31"/>
      <c r="LP226" s="31"/>
      <c r="LQ226" s="31"/>
      <c r="LR226" s="31"/>
      <c r="LS226" s="31"/>
      <c r="LT226" s="31"/>
      <c r="LU226" s="31"/>
      <c r="LV226" s="31"/>
      <c r="LW226" s="31"/>
      <c r="LX226" s="31"/>
      <c r="LY226" s="31"/>
      <c r="LZ226" s="31"/>
      <c r="MA226" s="31"/>
      <c r="MB226" s="31"/>
      <c r="MC226" s="31"/>
      <c r="MD226" s="31"/>
      <c r="ME226" s="31"/>
      <c r="MF226" s="31"/>
      <c r="MG226" s="31"/>
      <c r="MH226" s="31"/>
      <c r="MI226" s="31"/>
      <c r="MJ226" s="31"/>
      <c r="MK226" s="31"/>
      <c r="ML226" s="31"/>
      <c r="MM226" s="31"/>
      <c r="MN226" s="31"/>
      <c r="MO226" s="31"/>
      <c r="MP226" s="31"/>
      <c r="MQ226" s="31"/>
      <c r="MR226" s="31"/>
      <c r="MS226" s="31"/>
      <c r="MT226" s="31"/>
      <c r="MU226" s="31"/>
      <c r="MV226" s="31"/>
      <c r="MW226" s="31"/>
      <c r="MX226" s="31"/>
      <c r="MY226" s="31"/>
      <c r="MZ226" s="31"/>
      <c r="NA226" s="31"/>
      <c r="NB226" s="31"/>
      <c r="NC226" s="31"/>
      <c r="ND226" s="31"/>
      <c r="NE226" s="31"/>
      <c r="NF226" s="31"/>
      <c r="NG226" s="31"/>
      <c r="NH226" s="31"/>
      <c r="NI226" s="31"/>
      <c r="NJ226" s="31"/>
      <c r="NK226" s="31"/>
      <c r="NL226" s="31"/>
      <c r="NM226" s="31"/>
      <c r="NN226" s="31"/>
      <c r="NO226" s="31"/>
      <c r="NP226" s="31"/>
      <c r="NQ226" s="31"/>
      <c r="NR226" s="31"/>
      <c r="NS226" s="31"/>
      <c r="NT226" s="31"/>
      <c r="NU226" s="31"/>
      <c r="NV226" s="31"/>
      <c r="NW226" s="31"/>
      <c r="NX226" s="31"/>
      <c r="NY226" s="31"/>
      <c r="NZ226" s="31"/>
      <c r="OA226" s="31"/>
      <c r="OB226" s="31"/>
      <c r="OC226" s="31"/>
      <c r="OD226" s="31"/>
      <c r="OE226" s="31"/>
      <c r="OF226" s="31"/>
      <c r="OG226" s="31"/>
      <c r="OH226" s="31"/>
      <c r="OI226" s="31"/>
      <c r="OJ226" s="31"/>
      <c r="OK226" s="31"/>
      <c r="OL226" s="31"/>
      <c r="OM226" s="31"/>
      <c r="ON226" s="31"/>
      <c r="OO226" s="31"/>
      <c r="OP226" s="31"/>
      <c r="OQ226" s="31"/>
      <c r="OR226" s="31"/>
      <c r="OS226" s="31"/>
      <c r="OT226" s="31"/>
      <c r="OU226" s="31"/>
      <c r="OV226" s="31"/>
      <c r="OW226" s="31"/>
      <c r="OX226" s="31"/>
    </row>
    <row r="227" spans="2:414" s="25" customFormat="1" ht="15.6">
      <c r="B227" s="25" t="s">
        <v>344</v>
      </c>
      <c r="C227" s="27" t="s">
        <v>345</v>
      </c>
      <c r="D227" s="30" t="s">
        <v>316</v>
      </c>
      <c r="G227" s="42">
        <v>500</v>
      </c>
      <c r="H227" s="89">
        <v>26.109000000000002</v>
      </c>
      <c r="I227" s="38">
        <f t="shared" si="72"/>
        <v>13054.5</v>
      </c>
      <c r="K227" s="42">
        <v>500</v>
      </c>
      <c r="L227" s="90">
        <v>26.849599999999999</v>
      </c>
      <c r="M227" s="38">
        <f t="shared" si="73"/>
        <v>13424.8</v>
      </c>
      <c r="O227" s="38">
        <v>80</v>
      </c>
      <c r="P227" s="38">
        <v>26.728300000000001</v>
      </c>
      <c r="Q227" s="38">
        <f t="shared" si="74"/>
        <v>2138.2640000000001</v>
      </c>
      <c r="R227" s="43">
        <f t="shared" si="71"/>
        <v>1080</v>
      </c>
      <c r="S227" s="38">
        <f t="shared" si="75"/>
        <v>28617.563999999998</v>
      </c>
      <c r="T227" s="49">
        <v>85</v>
      </c>
      <c r="U227" s="42">
        <v>26.401700000000002</v>
      </c>
      <c r="V227" s="38">
        <f t="shared" si="86"/>
        <v>2244.1445000000003</v>
      </c>
      <c r="W227" s="42">
        <v>115</v>
      </c>
      <c r="X227" s="42">
        <v>26.771999999999998</v>
      </c>
      <c r="Y227" s="42">
        <f t="shared" si="88"/>
        <v>3078.7799999999997</v>
      </c>
      <c r="Z227" s="42">
        <v>190</v>
      </c>
      <c r="AA227" s="42">
        <v>26.816700000000001</v>
      </c>
      <c r="AB227" s="42">
        <f t="shared" ref="AB227:AB279" si="89">Z227*AA227</f>
        <v>5095.1729999999998</v>
      </c>
      <c r="AD227" s="42"/>
      <c r="AE227" s="42"/>
      <c r="AF227" s="42">
        <f t="shared" si="84"/>
        <v>0</v>
      </c>
      <c r="AG227" s="42"/>
      <c r="AH227" s="42"/>
      <c r="AI227" s="42"/>
      <c r="AJ227" s="42"/>
      <c r="AL227" s="42"/>
      <c r="AM227" s="42"/>
      <c r="AN227" s="42">
        <f t="shared" si="85"/>
        <v>0</v>
      </c>
      <c r="AO227" s="44"/>
      <c r="AP227" s="42"/>
      <c r="AQ227" s="42"/>
      <c r="AR227" s="42"/>
      <c r="AU227" s="98"/>
      <c r="AV227" s="35"/>
      <c r="AW227" s="104"/>
      <c r="AX227" s="42"/>
      <c r="AY227" s="42"/>
      <c r="AZ227" s="42">
        <f t="shared" si="70"/>
        <v>0</v>
      </c>
      <c r="BA227" s="42"/>
      <c r="BB227" s="42"/>
      <c r="BC227" s="42"/>
      <c r="BD227" s="38">
        <f t="shared" si="76"/>
        <v>0</v>
      </c>
      <c r="BE227" s="42"/>
      <c r="BF227" s="42"/>
      <c r="BG227" s="42"/>
      <c r="BH227" s="38">
        <f t="shared" si="77"/>
        <v>0</v>
      </c>
      <c r="BI227" s="42"/>
      <c r="BJ227" s="42"/>
      <c r="BK227" s="42"/>
      <c r="BL227" s="38">
        <f t="shared" si="78"/>
        <v>0</v>
      </c>
      <c r="BM227" s="42"/>
      <c r="BN227" s="42"/>
      <c r="BO227" s="42"/>
      <c r="BP227" s="42"/>
      <c r="BR227" s="42">
        <f t="shared" si="79"/>
        <v>10418.0975</v>
      </c>
      <c r="BS227" s="43">
        <f t="shared" si="80"/>
        <v>18199.466499999999</v>
      </c>
      <c r="BT227" s="42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  <c r="IM227" s="31"/>
      <c r="IN227" s="31"/>
      <c r="IO227" s="31"/>
      <c r="IP227" s="31"/>
      <c r="IQ227" s="31"/>
      <c r="IR227" s="31"/>
      <c r="IS227" s="31"/>
      <c r="IT227" s="31"/>
      <c r="IU227" s="31"/>
      <c r="IV227" s="31"/>
      <c r="IW227" s="31"/>
      <c r="IX227" s="31"/>
      <c r="IY227" s="31"/>
      <c r="IZ227" s="31"/>
      <c r="JA227" s="31"/>
      <c r="JB227" s="31"/>
      <c r="JC227" s="31"/>
      <c r="JD227" s="31"/>
      <c r="JE227" s="31"/>
      <c r="JF227" s="31"/>
      <c r="JG227" s="31"/>
      <c r="JH227" s="31"/>
      <c r="JI227" s="31"/>
      <c r="JJ227" s="31"/>
      <c r="JK227" s="31"/>
      <c r="JL227" s="31"/>
      <c r="JM227" s="31"/>
      <c r="JN227" s="31"/>
      <c r="JO227" s="31"/>
      <c r="JP227" s="31"/>
      <c r="JQ227" s="31"/>
      <c r="JR227" s="31"/>
      <c r="JS227" s="31"/>
      <c r="JT227" s="31"/>
      <c r="JU227" s="31"/>
      <c r="JV227" s="31"/>
      <c r="JW227" s="31"/>
      <c r="JX227" s="31"/>
      <c r="JY227" s="31"/>
      <c r="JZ227" s="31"/>
      <c r="KA227" s="31"/>
      <c r="KB227" s="31"/>
      <c r="KC227" s="31"/>
      <c r="KD227" s="31"/>
      <c r="KE227" s="31"/>
      <c r="KF227" s="31"/>
      <c r="KG227" s="31"/>
      <c r="KH227" s="31"/>
      <c r="KI227" s="31"/>
      <c r="KJ227" s="31"/>
      <c r="KK227" s="31"/>
      <c r="KL227" s="31"/>
      <c r="KM227" s="31"/>
      <c r="KN227" s="31"/>
      <c r="KO227" s="31"/>
      <c r="KP227" s="31"/>
      <c r="KQ227" s="31"/>
      <c r="KR227" s="31"/>
      <c r="KS227" s="31"/>
      <c r="KT227" s="31"/>
      <c r="KU227" s="31"/>
      <c r="KV227" s="31"/>
      <c r="KW227" s="31"/>
      <c r="KX227" s="31"/>
      <c r="KY227" s="31"/>
      <c r="KZ227" s="31"/>
      <c r="LA227" s="31"/>
      <c r="LB227" s="31"/>
      <c r="LC227" s="31"/>
      <c r="LD227" s="31"/>
      <c r="LE227" s="31"/>
      <c r="LF227" s="31"/>
      <c r="LG227" s="31"/>
      <c r="LH227" s="31"/>
      <c r="LI227" s="31"/>
      <c r="LJ227" s="31"/>
      <c r="LK227" s="31"/>
      <c r="LL227" s="31"/>
      <c r="LM227" s="31"/>
      <c r="LN227" s="31"/>
      <c r="LO227" s="31"/>
      <c r="LP227" s="31"/>
      <c r="LQ227" s="31"/>
      <c r="LR227" s="31"/>
      <c r="LS227" s="31"/>
      <c r="LT227" s="31"/>
      <c r="LU227" s="31"/>
      <c r="LV227" s="31"/>
      <c r="LW227" s="31"/>
      <c r="LX227" s="31"/>
      <c r="LY227" s="31"/>
      <c r="LZ227" s="31"/>
      <c r="MA227" s="31"/>
      <c r="MB227" s="31"/>
      <c r="MC227" s="31"/>
      <c r="MD227" s="31"/>
      <c r="ME227" s="31"/>
      <c r="MF227" s="31"/>
      <c r="MG227" s="31"/>
      <c r="MH227" s="31"/>
      <c r="MI227" s="31"/>
      <c r="MJ227" s="31"/>
      <c r="MK227" s="31"/>
      <c r="ML227" s="31"/>
      <c r="MM227" s="31"/>
      <c r="MN227" s="31"/>
      <c r="MO227" s="31"/>
      <c r="MP227" s="31"/>
      <c r="MQ227" s="31"/>
      <c r="MR227" s="31"/>
      <c r="MS227" s="31"/>
      <c r="MT227" s="31"/>
      <c r="MU227" s="31"/>
      <c r="MV227" s="31"/>
      <c r="MW227" s="31"/>
      <c r="MX227" s="31"/>
      <c r="MY227" s="31"/>
      <c r="MZ227" s="31"/>
      <c r="NA227" s="31"/>
      <c r="NB227" s="31"/>
      <c r="NC227" s="31"/>
      <c r="ND227" s="31"/>
      <c r="NE227" s="31"/>
      <c r="NF227" s="31"/>
      <c r="NG227" s="31"/>
      <c r="NH227" s="31"/>
      <c r="NI227" s="31"/>
      <c r="NJ227" s="31"/>
      <c r="NK227" s="31"/>
      <c r="NL227" s="31"/>
      <c r="NM227" s="31"/>
      <c r="NN227" s="31"/>
      <c r="NO227" s="31"/>
      <c r="NP227" s="31"/>
      <c r="NQ227" s="31"/>
      <c r="NR227" s="31"/>
      <c r="NS227" s="31"/>
      <c r="NT227" s="31"/>
      <c r="NU227" s="31"/>
      <c r="NV227" s="31"/>
      <c r="NW227" s="31"/>
      <c r="NX227" s="31"/>
      <c r="NY227" s="31"/>
      <c r="NZ227" s="31"/>
      <c r="OA227" s="31"/>
      <c r="OB227" s="31"/>
      <c r="OC227" s="31"/>
      <c r="OD227" s="31"/>
      <c r="OE227" s="31"/>
      <c r="OF227" s="31"/>
      <c r="OG227" s="31"/>
      <c r="OH227" s="31"/>
      <c r="OI227" s="31"/>
      <c r="OJ227" s="31"/>
      <c r="OK227" s="31"/>
      <c r="OL227" s="31"/>
      <c r="OM227" s="31"/>
      <c r="ON227" s="31"/>
      <c r="OO227" s="31"/>
      <c r="OP227" s="31"/>
      <c r="OQ227" s="31"/>
      <c r="OR227" s="31"/>
      <c r="OS227" s="31"/>
      <c r="OT227" s="31"/>
      <c r="OU227" s="31"/>
      <c r="OV227" s="31"/>
      <c r="OW227" s="31"/>
      <c r="OX227" s="31"/>
    </row>
    <row r="228" spans="2:414" s="25" customFormat="1" ht="15.6">
      <c r="B228" s="25" t="s">
        <v>346</v>
      </c>
      <c r="C228" s="27" t="s">
        <v>347</v>
      </c>
      <c r="D228" s="30" t="s">
        <v>316</v>
      </c>
      <c r="G228" s="42">
        <v>500</v>
      </c>
      <c r="H228" s="89">
        <v>26.109000000000002</v>
      </c>
      <c r="I228" s="38">
        <f t="shared" si="72"/>
        <v>13054.5</v>
      </c>
      <c r="K228" s="42">
        <v>500</v>
      </c>
      <c r="L228" s="90">
        <v>26.849599999999999</v>
      </c>
      <c r="M228" s="38">
        <f t="shared" si="73"/>
        <v>13424.8</v>
      </c>
      <c r="O228" s="38">
        <v>80</v>
      </c>
      <c r="P228" s="38">
        <v>26.728300000000001</v>
      </c>
      <c r="Q228" s="38">
        <f t="shared" si="74"/>
        <v>2138.2640000000001</v>
      </c>
      <c r="R228" s="43">
        <f t="shared" si="71"/>
        <v>1080</v>
      </c>
      <c r="S228" s="38">
        <f t="shared" si="75"/>
        <v>28617.563999999998</v>
      </c>
      <c r="T228" s="49">
        <v>100</v>
      </c>
      <c r="U228" s="42">
        <v>26.389500000000002</v>
      </c>
      <c r="V228" s="38">
        <f t="shared" si="86"/>
        <v>2638.9500000000003</v>
      </c>
      <c r="W228" s="42">
        <v>110</v>
      </c>
      <c r="X228" s="42">
        <v>26.4072</v>
      </c>
      <c r="Y228" s="42">
        <f t="shared" si="88"/>
        <v>2904.7919999999999</v>
      </c>
      <c r="Z228" s="42">
        <v>85</v>
      </c>
      <c r="AA228" s="42">
        <v>26.390799999999999</v>
      </c>
      <c r="AB228" s="42">
        <f t="shared" si="89"/>
        <v>2243.2179999999998</v>
      </c>
      <c r="AD228" s="42"/>
      <c r="AE228" s="42"/>
      <c r="AF228" s="42">
        <f t="shared" si="84"/>
        <v>0</v>
      </c>
      <c r="AG228" s="42"/>
      <c r="AH228" s="42"/>
      <c r="AI228" s="42"/>
      <c r="AJ228" s="42"/>
      <c r="AL228" s="42"/>
      <c r="AM228" s="42"/>
      <c r="AN228" s="42">
        <f t="shared" si="85"/>
        <v>0</v>
      </c>
      <c r="AO228" s="44"/>
      <c r="AP228" s="42"/>
      <c r="AQ228" s="42"/>
      <c r="AR228" s="42"/>
      <c r="AU228" s="98"/>
      <c r="AV228" s="35"/>
      <c r="AW228" s="104"/>
      <c r="AX228" s="42"/>
      <c r="AY228" s="42"/>
      <c r="AZ228" s="42">
        <f t="shared" si="70"/>
        <v>0</v>
      </c>
      <c r="BA228" s="42"/>
      <c r="BB228" s="42"/>
      <c r="BC228" s="42"/>
      <c r="BD228" s="38">
        <f t="shared" si="76"/>
        <v>0</v>
      </c>
      <c r="BE228" s="42"/>
      <c r="BF228" s="42"/>
      <c r="BG228" s="42"/>
      <c r="BH228" s="38">
        <f t="shared" si="77"/>
        <v>0</v>
      </c>
      <c r="BI228" s="42"/>
      <c r="BJ228" s="42"/>
      <c r="BK228" s="42"/>
      <c r="BL228" s="38">
        <f t="shared" si="78"/>
        <v>0</v>
      </c>
      <c r="BM228" s="42"/>
      <c r="BN228" s="42"/>
      <c r="BO228" s="42"/>
      <c r="BP228" s="42"/>
      <c r="BR228" s="42">
        <f t="shared" si="79"/>
        <v>7786.96</v>
      </c>
      <c r="BS228" s="43">
        <f t="shared" si="80"/>
        <v>20830.603999999999</v>
      </c>
      <c r="BT228" s="42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  <c r="IM228" s="31"/>
      <c r="IN228" s="31"/>
      <c r="IO228" s="31"/>
      <c r="IP228" s="31"/>
      <c r="IQ228" s="31"/>
      <c r="IR228" s="31"/>
      <c r="IS228" s="31"/>
      <c r="IT228" s="31"/>
      <c r="IU228" s="31"/>
      <c r="IV228" s="31"/>
      <c r="IW228" s="31"/>
      <c r="IX228" s="31"/>
      <c r="IY228" s="31"/>
      <c r="IZ228" s="31"/>
      <c r="JA228" s="31"/>
      <c r="JB228" s="31"/>
      <c r="JC228" s="31"/>
      <c r="JD228" s="31"/>
      <c r="JE228" s="31"/>
      <c r="JF228" s="31"/>
      <c r="JG228" s="31"/>
      <c r="JH228" s="31"/>
      <c r="JI228" s="31"/>
      <c r="JJ228" s="31"/>
      <c r="JK228" s="31"/>
      <c r="JL228" s="31"/>
      <c r="JM228" s="31"/>
      <c r="JN228" s="31"/>
      <c r="JO228" s="31"/>
      <c r="JP228" s="31"/>
      <c r="JQ228" s="31"/>
      <c r="JR228" s="31"/>
      <c r="JS228" s="31"/>
      <c r="JT228" s="31"/>
      <c r="JU228" s="31"/>
      <c r="JV228" s="31"/>
      <c r="JW228" s="31"/>
      <c r="JX228" s="31"/>
      <c r="JY228" s="31"/>
      <c r="JZ228" s="31"/>
      <c r="KA228" s="31"/>
      <c r="KB228" s="31"/>
      <c r="KC228" s="31"/>
      <c r="KD228" s="31"/>
      <c r="KE228" s="31"/>
      <c r="KF228" s="31"/>
      <c r="KG228" s="31"/>
      <c r="KH228" s="31"/>
      <c r="KI228" s="31"/>
      <c r="KJ228" s="31"/>
      <c r="KK228" s="31"/>
      <c r="KL228" s="31"/>
      <c r="KM228" s="31"/>
      <c r="KN228" s="31"/>
      <c r="KO228" s="31"/>
      <c r="KP228" s="31"/>
      <c r="KQ228" s="31"/>
      <c r="KR228" s="31"/>
      <c r="KS228" s="31"/>
      <c r="KT228" s="31"/>
      <c r="KU228" s="31"/>
      <c r="KV228" s="31"/>
      <c r="KW228" s="31"/>
      <c r="KX228" s="31"/>
      <c r="KY228" s="31"/>
      <c r="KZ228" s="31"/>
      <c r="LA228" s="31"/>
      <c r="LB228" s="31"/>
      <c r="LC228" s="31"/>
      <c r="LD228" s="31"/>
      <c r="LE228" s="31"/>
      <c r="LF228" s="31"/>
      <c r="LG228" s="31"/>
      <c r="LH228" s="31"/>
      <c r="LI228" s="31"/>
      <c r="LJ228" s="31"/>
      <c r="LK228" s="31"/>
      <c r="LL228" s="31"/>
      <c r="LM228" s="31"/>
      <c r="LN228" s="31"/>
      <c r="LO228" s="31"/>
      <c r="LP228" s="31"/>
      <c r="LQ228" s="31"/>
      <c r="LR228" s="31"/>
      <c r="LS228" s="31"/>
      <c r="LT228" s="31"/>
      <c r="LU228" s="31"/>
      <c r="LV228" s="31"/>
      <c r="LW228" s="31"/>
      <c r="LX228" s="31"/>
      <c r="LY228" s="31"/>
      <c r="LZ228" s="31"/>
      <c r="MA228" s="31"/>
      <c r="MB228" s="31"/>
      <c r="MC228" s="31"/>
      <c r="MD228" s="31"/>
      <c r="ME228" s="31"/>
      <c r="MF228" s="31"/>
      <c r="MG228" s="31"/>
      <c r="MH228" s="31"/>
      <c r="MI228" s="31"/>
      <c r="MJ228" s="31"/>
      <c r="MK228" s="31"/>
      <c r="ML228" s="31"/>
      <c r="MM228" s="31"/>
      <c r="MN228" s="31"/>
      <c r="MO228" s="31"/>
      <c r="MP228" s="31"/>
      <c r="MQ228" s="31"/>
      <c r="MR228" s="31"/>
      <c r="MS228" s="31"/>
      <c r="MT228" s="31"/>
      <c r="MU228" s="31"/>
      <c r="MV228" s="31"/>
      <c r="MW228" s="31"/>
      <c r="MX228" s="31"/>
      <c r="MY228" s="31"/>
      <c r="MZ228" s="31"/>
      <c r="NA228" s="31"/>
      <c r="NB228" s="31"/>
      <c r="NC228" s="31"/>
      <c r="ND228" s="31"/>
      <c r="NE228" s="31"/>
      <c r="NF228" s="31"/>
      <c r="NG228" s="31"/>
      <c r="NH228" s="31"/>
      <c r="NI228" s="31"/>
      <c r="NJ228" s="31"/>
      <c r="NK228" s="31"/>
      <c r="NL228" s="31"/>
      <c r="NM228" s="31"/>
      <c r="NN228" s="31"/>
      <c r="NO228" s="31"/>
      <c r="NP228" s="31"/>
      <c r="NQ228" s="31"/>
      <c r="NR228" s="31"/>
      <c r="NS228" s="31"/>
      <c r="NT228" s="31"/>
      <c r="NU228" s="31"/>
      <c r="NV228" s="31"/>
      <c r="NW228" s="31"/>
      <c r="NX228" s="31"/>
      <c r="NY228" s="31"/>
      <c r="NZ228" s="31"/>
      <c r="OA228" s="31"/>
      <c r="OB228" s="31"/>
      <c r="OC228" s="31"/>
      <c r="OD228" s="31"/>
      <c r="OE228" s="31"/>
      <c r="OF228" s="31"/>
      <c r="OG228" s="31"/>
      <c r="OH228" s="31"/>
      <c r="OI228" s="31"/>
      <c r="OJ228" s="31"/>
      <c r="OK228" s="31"/>
      <c r="OL228" s="31"/>
      <c r="OM228" s="31"/>
      <c r="ON228" s="31"/>
      <c r="OO228" s="31"/>
      <c r="OP228" s="31"/>
      <c r="OQ228" s="31"/>
      <c r="OR228" s="31"/>
      <c r="OS228" s="31"/>
      <c r="OT228" s="31"/>
      <c r="OU228" s="31"/>
      <c r="OV228" s="31"/>
      <c r="OW228" s="31"/>
      <c r="OX228" s="31"/>
    </row>
    <row r="229" spans="2:414" s="25" customFormat="1" ht="15.6">
      <c r="B229" s="25" t="s">
        <v>348</v>
      </c>
      <c r="C229" s="27" t="s">
        <v>349</v>
      </c>
      <c r="D229" s="30" t="s">
        <v>316</v>
      </c>
      <c r="G229" s="42">
        <v>500</v>
      </c>
      <c r="H229" s="89">
        <v>26.109000000000002</v>
      </c>
      <c r="I229" s="38">
        <f t="shared" si="72"/>
        <v>13054.5</v>
      </c>
      <c r="K229" s="42">
        <v>500</v>
      </c>
      <c r="L229" s="90">
        <v>26.849599999999999</v>
      </c>
      <c r="M229" s="38">
        <f t="shared" si="73"/>
        <v>13424.8</v>
      </c>
      <c r="O229" s="38">
        <v>80</v>
      </c>
      <c r="P229" s="38">
        <v>26.728300000000001</v>
      </c>
      <c r="Q229" s="38">
        <f t="shared" si="74"/>
        <v>2138.2640000000001</v>
      </c>
      <c r="R229" s="43">
        <f t="shared" si="71"/>
        <v>1080</v>
      </c>
      <c r="S229" s="38">
        <f t="shared" si="75"/>
        <v>28617.563999999998</v>
      </c>
      <c r="T229" s="49">
        <v>260</v>
      </c>
      <c r="U229" s="42">
        <v>26.420999999999999</v>
      </c>
      <c r="V229" s="38">
        <f t="shared" si="86"/>
        <v>6869.46</v>
      </c>
      <c r="W229" s="42">
        <v>155</v>
      </c>
      <c r="X229" s="42">
        <v>26.9239</v>
      </c>
      <c r="Y229" s="42">
        <f t="shared" si="88"/>
        <v>4173.2044999999998</v>
      </c>
      <c r="Z229" s="42">
        <v>85</v>
      </c>
      <c r="AA229" s="42">
        <v>26.9239</v>
      </c>
      <c r="AB229" s="42">
        <f t="shared" si="89"/>
        <v>2288.5315000000001</v>
      </c>
      <c r="AD229" s="42">
        <v>400</v>
      </c>
      <c r="AE229" s="42">
        <v>26.8827</v>
      </c>
      <c r="AF229" s="42">
        <f t="shared" si="84"/>
        <v>10753.08</v>
      </c>
      <c r="AG229" s="42"/>
      <c r="AH229" s="42">
        <v>97</v>
      </c>
      <c r="AI229" s="42">
        <v>26.940100000000001</v>
      </c>
      <c r="AJ229" s="42">
        <f>AH229*AI229</f>
        <v>2613.1896999999999</v>
      </c>
      <c r="AL229" s="42"/>
      <c r="AM229" s="42"/>
      <c r="AN229" s="42">
        <f t="shared" si="85"/>
        <v>0</v>
      </c>
      <c r="AO229" s="44"/>
      <c r="AP229" s="42"/>
      <c r="AQ229" s="42"/>
      <c r="AR229" s="42"/>
      <c r="AU229" s="98"/>
      <c r="AV229" s="35"/>
      <c r="AW229" s="104"/>
      <c r="AX229" s="42"/>
      <c r="AY229" s="42"/>
      <c r="AZ229" s="42">
        <f t="shared" si="70"/>
        <v>0</v>
      </c>
      <c r="BA229" s="42"/>
      <c r="BB229" s="42"/>
      <c r="BC229" s="42"/>
      <c r="BD229" s="38">
        <f t="shared" si="76"/>
        <v>0</v>
      </c>
      <c r="BE229" s="42"/>
      <c r="BF229" s="42"/>
      <c r="BG229" s="42"/>
      <c r="BH229" s="38">
        <f t="shared" si="77"/>
        <v>0</v>
      </c>
      <c r="BI229" s="42"/>
      <c r="BJ229" s="42"/>
      <c r="BK229" s="42"/>
      <c r="BL229" s="38">
        <f t="shared" si="78"/>
        <v>0</v>
      </c>
      <c r="BM229" s="42"/>
      <c r="BN229" s="42"/>
      <c r="BO229" s="42"/>
      <c r="BP229" s="42"/>
      <c r="BR229" s="42">
        <f t="shared" si="79"/>
        <v>26697.465699999997</v>
      </c>
      <c r="BS229" s="43">
        <f t="shared" si="80"/>
        <v>1920.0983000000015</v>
      </c>
      <c r="BT229" s="42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  <c r="IM229" s="31"/>
      <c r="IN229" s="31"/>
      <c r="IO229" s="31"/>
      <c r="IP229" s="31"/>
      <c r="IQ229" s="31"/>
      <c r="IR229" s="31"/>
      <c r="IS229" s="31"/>
      <c r="IT229" s="31"/>
      <c r="IU229" s="31"/>
      <c r="IV229" s="31"/>
      <c r="IW229" s="31"/>
      <c r="IX229" s="31"/>
      <c r="IY229" s="31"/>
      <c r="IZ229" s="31"/>
      <c r="JA229" s="31"/>
      <c r="JB229" s="31"/>
      <c r="JC229" s="31"/>
      <c r="JD229" s="31"/>
      <c r="JE229" s="31"/>
      <c r="JF229" s="31"/>
      <c r="JG229" s="31"/>
      <c r="JH229" s="31"/>
      <c r="JI229" s="31"/>
      <c r="JJ229" s="31"/>
      <c r="JK229" s="31"/>
      <c r="JL229" s="31"/>
      <c r="JM229" s="31"/>
      <c r="JN229" s="31"/>
      <c r="JO229" s="31"/>
      <c r="JP229" s="31"/>
      <c r="JQ229" s="31"/>
      <c r="JR229" s="31"/>
      <c r="JS229" s="31"/>
      <c r="JT229" s="31"/>
      <c r="JU229" s="31"/>
      <c r="JV229" s="31"/>
      <c r="JW229" s="31"/>
      <c r="JX229" s="31"/>
      <c r="JY229" s="31"/>
      <c r="JZ229" s="31"/>
      <c r="KA229" s="31"/>
      <c r="KB229" s="31"/>
      <c r="KC229" s="31"/>
      <c r="KD229" s="31"/>
      <c r="KE229" s="31"/>
      <c r="KF229" s="31"/>
      <c r="KG229" s="31"/>
      <c r="KH229" s="31"/>
      <c r="KI229" s="31"/>
      <c r="KJ229" s="31"/>
      <c r="KK229" s="31"/>
      <c r="KL229" s="31"/>
      <c r="KM229" s="31"/>
      <c r="KN229" s="31"/>
      <c r="KO229" s="31"/>
      <c r="KP229" s="31"/>
      <c r="KQ229" s="31"/>
      <c r="KR229" s="31"/>
      <c r="KS229" s="31"/>
      <c r="KT229" s="31"/>
      <c r="KU229" s="31"/>
      <c r="KV229" s="31"/>
      <c r="KW229" s="31"/>
      <c r="KX229" s="31"/>
      <c r="KY229" s="31"/>
      <c r="KZ229" s="31"/>
      <c r="LA229" s="31"/>
      <c r="LB229" s="31"/>
      <c r="LC229" s="31"/>
      <c r="LD229" s="31"/>
      <c r="LE229" s="31"/>
      <c r="LF229" s="31"/>
      <c r="LG229" s="31"/>
      <c r="LH229" s="31"/>
      <c r="LI229" s="31"/>
      <c r="LJ229" s="31"/>
      <c r="LK229" s="31"/>
      <c r="LL229" s="31"/>
      <c r="LM229" s="31"/>
      <c r="LN229" s="31"/>
      <c r="LO229" s="31"/>
      <c r="LP229" s="31"/>
      <c r="LQ229" s="31"/>
      <c r="LR229" s="31"/>
      <c r="LS229" s="31"/>
      <c r="LT229" s="31"/>
      <c r="LU229" s="31"/>
      <c r="LV229" s="31"/>
      <c r="LW229" s="31"/>
      <c r="LX229" s="31"/>
      <c r="LY229" s="31"/>
      <c r="LZ229" s="31"/>
      <c r="MA229" s="31"/>
      <c r="MB229" s="31"/>
      <c r="MC229" s="31"/>
      <c r="MD229" s="31"/>
      <c r="ME229" s="31"/>
      <c r="MF229" s="31"/>
      <c r="MG229" s="31"/>
      <c r="MH229" s="31"/>
      <c r="MI229" s="31"/>
      <c r="MJ229" s="31"/>
      <c r="MK229" s="31"/>
      <c r="ML229" s="31"/>
      <c r="MM229" s="31"/>
      <c r="MN229" s="31"/>
      <c r="MO229" s="31"/>
      <c r="MP229" s="31"/>
      <c r="MQ229" s="31"/>
      <c r="MR229" s="31"/>
      <c r="MS229" s="31"/>
      <c r="MT229" s="31"/>
      <c r="MU229" s="31"/>
      <c r="MV229" s="31"/>
      <c r="MW229" s="31"/>
      <c r="MX229" s="31"/>
      <c r="MY229" s="31"/>
      <c r="MZ229" s="31"/>
      <c r="NA229" s="31"/>
      <c r="NB229" s="31"/>
      <c r="NC229" s="31"/>
      <c r="ND229" s="31"/>
      <c r="NE229" s="31"/>
      <c r="NF229" s="31"/>
      <c r="NG229" s="31"/>
      <c r="NH229" s="31"/>
      <c r="NI229" s="31"/>
      <c r="NJ229" s="31"/>
      <c r="NK229" s="31"/>
      <c r="NL229" s="31"/>
      <c r="NM229" s="31"/>
      <c r="NN229" s="31"/>
      <c r="NO229" s="31"/>
      <c r="NP229" s="31"/>
      <c r="NQ229" s="31"/>
      <c r="NR229" s="31"/>
      <c r="NS229" s="31"/>
      <c r="NT229" s="31"/>
      <c r="NU229" s="31"/>
      <c r="NV229" s="31"/>
      <c r="NW229" s="31"/>
      <c r="NX229" s="31"/>
      <c r="NY229" s="31"/>
      <c r="NZ229" s="31"/>
      <c r="OA229" s="31"/>
      <c r="OB229" s="31"/>
      <c r="OC229" s="31"/>
      <c r="OD229" s="31"/>
      <c r="OE229" s="31"/>
      <c r="OF229" s="31"/>
      <c r="OG229" s="31"/>
      <c r="OH229" s="31"/>
      <c r="OI229" s="31"/>
      <c r="OJ229" s="31"/>
      <c r="OK229" s="31"/>
      <c r="OL229" s="31"/>
      <c r="OM229" s="31"/>
      <c r="ON229" s="31"/>
      <c r="OO229" s="31"/>
      <c r="OP229" s="31"/>
      <c r="OQ229" s="31"/>
      <c r="OR229" s="31"/>
      <c r="OS229" s="31"/>
      <c r="OT229" s="31"/>
      <c r="OU229" s="31"/>
      <c r="OV229" s="31"/>
      <c r="OW229" s="31"/>
      <c r="OX229" s="31"/>
    </row>
    <row r="230" spans="2:414" s="25" customFormat="1" ht="15.6">
      <c r="B230" s="25" t="s">
        <v>350</v>
      </c>
      <c r="C230" s="27" t="s">
        <v>138</v>
      </c>
      <c r="D230" s="30" t="s">
        <v>316</v>
      </c>
      <c r="G230" s="42">
        <v>500</v>
      </c>
      <c r="H230" s="89">
        <v>26.109000000000002</v>
      </c>
      <c r="I230" s="38">
        <f t="shared" si="72"/>
        <v>13054.5</v>
      </c>
      <c r="K230" s="42">
        <v>500</v>
      </c>
      <c r="L230" s="90">
        <v>26.849599999999999</v>
      </c>
      <c r="M230" s="38">
        <f t="shared" si="73"/>
        <v>13424.8</v>
      </c>
      <c r="O230" s="38">
        <v>80</v>
      </c>
      <c r="P230" s="38">
        <v>26.728300000000001</v>
      </c>
      <c r="Q230" s="38">
        <f t="shared" si="74"/>
        <v>2138.2640000000001</v>
      </c>
      <c r="R230" s="43">
        <f t="shared" si="71"/>
        <v>1080</v>
      </c>
      <c r="S230" s="38">
        <f t="shared" si="75"/>
        <v>28617.563999999998</v>
      </c>
      <c r="T230" s="49">
        <v>85</v>
      </c>
      <c r="U230" s="42">
        <v>26.3813</v>
      </c>
      <c r="V230" s="38">
        <f t="shared" si="86"/>
        <v>2242.4105</v>
      </c>
      <c r="W230" s="42">
        <v>300</v>
      </c>
      <c r="X230" s="42">
        <v>26.389500000000002</v>
      </c>
      <c r="Y230" s="42">
        <f t="shared" si="88"/>
        <v>7916.85</v>
      </c>
      <c r="Z230" s="42">
        <v>115</v>
      </c>
      <c r="AA230" s="42">
        <v>26.582999999999998</v>
      </c>
      <c r="AB230" s="42">
        <f t="shared" si="89"/>
        <v>3057.0449999999996</v>
      </c>
      <c r="AD230" s="42">
        <v>250</v>
      </c>
      <c r="AE230" s="42">
        <v>26.861899999999999</v>
      </c>
      <c r="AF230" s="42">
        <f t="shared" si="84"/>
        <v>6715.4749999999995</v>
      </c>
      <c r="AG230" s="42"/>
      <c r="AH230" s="42">
        <v>200</v>
      </c>
      <c r="AI230" s="42">
        <v>26.952500000000001</v>
      </c>
      <c r="AJ230" s="42">
        <f>AH230*AI230</f>
        <v>5390.5</v>
      </c>
      <c r="AL230" s="42">
        <v>50</v>
      </c>
      <c r="AM230" s="42">
        <v>26.952500000000001</v>
      </c>
      <c r="AN230" s="42">
        <f t="shared" si="85"/>
        <v>1347.625</v>
      </c>
      <c r="AO230" s="44"/>
      <c r="AP230" s="42"/>
      <c r="AQ230" s="42"/>
      <c r="AR230" s="42"/>
      <c r="AU230" s="98"/>
      <c r="AV230" s="35"/>
      <c r="AW230" s="104"/>
      <c r="AX230" s="42"/>
      <c r="AY230" s="42"/>
      <c r="AZ230" s="42">
        <f t="shared" si="70"/>
        <v>0</v>
      </c>
      <c r="BA230" s="42"/>
      <c r="BB230" s="42"/>
      <c r="BC230" s="42"/>
      <c r="BD230" s="38">
        <f t="shared" si="76"/>
        <v>0</v>
      </c>
      <c r="BE230" s="42"/>
      <c r="BF230" s="42"/>
      <c r="BG230" s="42"/>
      <c r="BH230" s="38">
        <f t="shared" si="77"/>
        <v>0</v>
      </c>
      <c r="BI230" s="42"/>
      <c r="BJ230" s="42"/>
      <c r="BK230" s="42"/>
      <c r="BL230" s="38">
        <f t="shared" si="78"/>
        <v>0</v>
      </c>
      <c r="BM230" s="42"/>
      <c r="BN230" s="42"/>
      <c r="BO230" s="42"/>
      <c r="BP230" s="42"/>
      <c r="BR230" s="42">
        <f t="shared" si="79"/>
        <v>26669.905500000001</v>
      </c>
      <c r="BS230" s="43">
        <f t="shared" si="80"/>
        <v>1947.6584999999977</v>
      </c>
      <c r="BT230" s="42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  <c r="IM230" s="31"/>
      <c r="IN230" s="31"/>
      <c r="IO230" s="31"/>
      <c r="IP230" s="31"/>
      <c r="IQ230" s="31"/>
      <c r="IR230" s="31"/>
      <c r="IS230" s="31"/>
      <c r="IT230" s="31"/>
      <c r="IU230" s="31"/>
      <c r="IV230" s="31"/>
      <c r="IW230" s="31"/>
      <c r="IX230" s="31"/>
      <c r="IY230" s="31"/>
      <c r="IZ230" s="31"/>
      <c r="JA230" s="31"/>
      <c r="JB230" s="31"/>
      <c r="JC230" s="31"/>
      <c r="JD230" s="31"/>
      <c r="JE230" s="31"/>
      <c r="JF230" s="31"/>
      <c r="JG230" s="31"/>
      <c r="JH230" s="31"/>
      <c r="JI230" s="31"/>
      <c r="JJ230" s="31"/>
      <c r="JK230" s="31"/>
      <c r="JL230" s="31"/>
      <c r="JM230" s="31"/>
      <c r="JN230" s="31"/>
      <c r="JO230" s="31"/>
      <c r="JP230" s="31"/>
      <c r="JQ230" s="31"/>
      <c r="JR230" s="31"/>
      <c r="JS230" s="31"/>
      <c r="JT230" s="31"/>
      <c r="JU230" s="31"/>
      <c r="JV230" s="31"/>
      <c r="JW230" s="31"/>
      <c r="JX230" s="31"/>
      <c r="JY230" s="31"/>
      <c r="JZ230" s="31"/>
      <c r="KA230" s="31"/>
      <c r="KB230" s="31"/>
      <c r="KC230" s="31"/>
      <c r="KD230" s="31"/>
      <c r="KE230" s="31"/>
      <c r="KF230" s="31"/>
      <c r="KG230" s="31"/>
      <c r="KH230" s="31"/>
      <c r="KI230" s="31"/>
      <c r="KJ230" s="31"/>
      <c r="KK230" s="31"/>
      <c r="KL230" s="31"/>
      <c r="KM230" s="31"/>
      <c r="KN230" s="31"/>
      <c r="KO230" s="31"/>
      <c r="KP230" s="31"/>
      <c r="KQ230" s="31"/>
      <c r="KR230" s="31"/>
      <c r="KS230" s="31"/>
      <c r="KT230" s="31"/>
      <c r="KU230" s="31"/>
      <c r="KV230" s="31"/>
      <c r="KW230" s="31"/>
      <c r="KX230" s="31"/>
      <c r="KY230" s="31"/>
      <c r="KZ230" s="31"/>
      <c r="LA230" s="31"/>
      <c r="LB230" s="31"/>
      <c r="LC230" s="31"/>
      <c r="LD230" s="31"/>
      <c r="LE230" s="31"/>
      <c r="LF230" s="31"/>
      <c r="LG230" s="31"/>
      <c r="LH230" s="31"/>
      <c r="LI230" s="31"/>
      <c r="LJ230" s="31"/>
      <c r="LK230" s="31"/>
      <c r="LL230" s="31"/>
      <c r="LM230" s="31"/>
      <c r="LN230" s="31"/>
      <c r="LO230" s="31"/>
      <c r="LP230" s="31"/>
      <c r="LQ230" s="31"/>
      <c r="LR230" s="31"/>
      <c r="LS230" s="31"/>
      <c r="LT230" s="31"/>
      <c r="LU230" s="31"/>
      <c r="LV230" s="31"/>
      <c r="LW230" s="31"/>
      <c r="LX230" s="31"/>
      <c r="LY230" s="31"/>
      <c r="LZ230" s="31"/>
      <c r="MA230" s="31"/>
      <c r="MB230" s="31"/>
      <c r="MC230" s="31"/>
      <c r="MD230" s="31"/>
      <c r="ME230" s="31"/>
      <c r="MF230" s="31"/>
      <c r="MG230" s="31"/>
      <c r="MH230" s="31"/>
      <c r="MI230" s="31"/>
      <c r="MJ230" s="31"/>
      <c r="MK230" s="31"/>
      <c r="ML230" s="31"/>
      <c r="MM230" s="31"/>
      <c r="MN230" s="31"/>
      <c r="MO230" s="31"/>
      <c r="MP230" s="31"/>
      <c r="MQ230" s="31"/>
      <c r="MR230" s="31"/>
      <c r="MS230" s="31"/>
      <c r="MT230" s="31"/>
      <c r="MU230" s="31"/>
      <c r="MV230" s="31"/>
      <c r="MW230" s="31"/>
      <c r="MX230" s="31"/>
      <c r="MY230" s="31"/>
      <c r="MZ230" s="31"/>
      <c r="NA230" s="31"/>
      <c r="NB230" s="31"/>
      <c r="NC230" s="31"/>
      <c r="ND230" s="31"/>
      <c r="NE230" s="31"/>
      <c r="NF230" s="31"/>
      <c r="NG230" s="31"/>
      <c r="NH230" s="31"/>
      <c r="NI230" s="31"/>
      <c r="NJ230" s="31"/>
      <c r="NK230" s="31"/>
      <c r="NL230" s="31"/>
      <c r="NM230" s="31"/>
      <c r="NN230" s="31"/>
      <c r="NO230" s="31"/>
      <c r="NP230" s="31"/>
      <c r="NQ230" s="31"/>
      <c r="NR230" s="31"/>
      <c r="NS230" s="31"/>
      <c r="NT230" s="31"/>
      <c r="NU230" s="31"/>
      <c r="NV230" s="31"/>
      <c r="NW230" s="31"/>
      <c r="NX230" s="31"/>
      <c r="NY230" s="31"/>
      <c r="NZ230" s="31"/>
      <c r="OA230" s="31"/>
      <c r="OB230" s="31"/>
      <c r="OC230" s="31"/>
      <c r="OD230" s="31"/>
      <c r="OE230" s="31"/>
      <c r="OF230" s="31"/>
      <c r="OG230" s="31"/>
      <c r="OH230" s="31"/>
      <c r="OI230" s="31"/>
      <c r="OJ230" s="31"/>
      <c r="OK230" s="31"/>
      <c r="OL230" s="31"/>
      <c r="OM230" s="31"/>
      <c r="ON230" s="31"/>
      <c r="OO230" s="31"/>
      <c r="OP230" s="31"/>
      <c r="OQ230" s="31"/>
      <c r="OR230" s="31"/>
      <c r="OS230" s="31"/>
      <c r="OT230" s="31"/>
      <c r="OU230" s="31"/>
      <c r="OV230" s="31"/>
      <c r="OW230" s="31"/>
      <c r="OX230" s="31"/>
    </row>
    <row r="231" spans="2:414" s="25" customFormat="1" ht="15.6">
      <c r="B231" s="25" t="s">
        <v>281</v>
      </c>
      <c r="C231" s="27" t="s">
        <v>282</v>
      </c>
      <c r="D231" s="30" t="s">
        <v>316</v>
      </c>
      <c r="G231" s="42">
        <v>500</v>
      </c>
      <c r="H231" s="89">
        <v>26.109000000000002</v>
      </c>
      <c r="I231" s="38">
        <f t="shared" si="72"/>
        <v>13054.5</v>
      </c>
      <c r="K231" s="42">
        <v>500</v>
      </c>
      <c r="L231" s="90">
        <v>26.849599999999999</v>
      </c>
      <c r="M231" s="38">
        <f t="shared" si="73"/>
        <v>13424.8</v>
      </c>
      <c r="O231" s="38">
        <v>80</v>
      </c>
      <c r="P231" s="38">
        <v>26.728300000000001</v>
      </c>
      <c r="Q231" s="38">
        <f t="shared" si="74"/>
        <v>2138.2640000000001</v>
      </c>
      <c r="R231" s="43">
        <f t="shared" si="71"/>
        <v>1080</v>
      </c>
      <c r="S231" s="38">
        <f t="shared" si="75"/>
        <v>28617.563999999998</v>
      </c>
      <c r="T231" s="49">
        <v>415</v>
      </c>
      <c r="U231" s="42">
        <v>26.271599999999999</v>
      </c>
      <c r="V231" s="38">
        <f t="shared" si="86"/>
        <v>10902.714</v>
      </c>
      <c r="W231" s="42">
        <v>85</v>
      </c>
      <c r="X231" s="42">
        <v>26.271599999999999</v>
      </c>
      <c r="Y231" s="42">
        <f t="shared" si="88"/>
        <v>2233.0859999999998</v>
      </c>
      <c r="Z231" s="42">
        <v>332</v>
      </c>
      <c r="AA231" s="42"/>
      <c r="AB231" s="42">
        <f t="shared" si="89"/>
        <v>0</v>
      </c>
      <c r="AD231" s="42">
        <v>85</v>
      </c>
      <c r="AE231" s="42"/>
      <c r="AF231" s="42">
        <f t="shared" si="84"/>
        <v>0</v>
      </c>
      <c r="AG231" s="42"/>
      <c r="AH231" s="42"/>
      <c r="AI231" s="42"/>
      <c r="AJ231" s="42"/>
      <c r="AL231" s="42"/>
      <c r="AM231" s="42"/>
      <c r="AN231" s="42">
        <f t="shared" si="85"/>
        <v>0</v>
      </c>
      <c r="AO231" s="44"/>
      <c r="AP231" s="42"/>
      <c r="AQ231" s="42"/>
      <c r="AR231" s="42"/>
      <c r="AU231" s="98"/>
      <c r="AV231" s="35"/>
      <c r="AW231" s="104"/>
      <c r="AX231" s="42"/>
      <c r="AY231" s="42"/>
      <c r="AZ231" s="42">
        <f t="shared" si="70"/>
        <v>0</v>
      </c>
      <c r="BA231" s="42"/>
      <c r="BB231" s="42"/>
      <c r="BC231" s="42"/>
      <c r="BD231" s="38">
        <f t="shared" si="76"/>
        <v>0</v>
      </c>
      <c r="BE231" s="42"/>
      <c r="BF231" s="42"/>
      <c r="BG231" s="42"/>
      <c r="BH231" s="38">
        <f t="shared" si="77"/>
        <v>0</v>
      </c>
      <c r="BI231" s="42"/>
      <c r="BJ231" s="42"/>
      <c r="BK231" s="42"/>
      <c r="BL231" s="38">
        <f t="shared" si="78"/>
        <v>0</v>
      </c>
      <c r="BM231" s="42"/>
      <c r="BN231" s="42"/>
      <c r="BO231" s="42"/>
      <c r="BP231" s="42"/>
      <c r="BR231" s="42">
        <f t="shared" si="79"/>
        <v>13135.8</v>
      </c>
      <c r="BS231" s="43">
        <f t="shared" si="80"/>
        <v>15481.763999999999</v>
      </c>
      <c r="BT231" s="42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  <c r="JH231" s="31"/>
      <c r="JI231" s="31"/>
      <c r="JJ231" s="31"/>
      <c r="JK231" s="31"/>
      <c r="JL231" s="31"/>
      <c r="JM231" s="31"/>
      <c r="JN231" s="31"/>
      <c r="JO231" s="31"/>
      <c r="JP231" s="31"/>
      <c r="JQ231" s="31"/>
      <c r="JR231" s="31"/>
      <c r="JS231" s="31"/>
      <c r="JT231" s="31"/>
      <c r="JU231" s="31"/>
      <c r="JV231" s="31"/>
      <c r="JW231" s="31"/>
      <c r="JX231" s="31"/>
      <c r="JY231" s="31"/>
      <c r="JZ231" s="31"/>
      <c r="KA231" s="31"/>
      <c r="KB231" s="31"/>
      <c r="KC231" s="31"/>
      <c r="KD231" s="31"/>
      <c r="KE231" s="31"/>
      <c r="KF231" s="31"/>
      <c r="KG231" s="31"/>
      <c r="KH231" s="31"/>
      <c r="KI231" s="31"/>
      <c r="KJ231" s="31"/>
      <c r="KK231" s="31"/>
      <c r="KL231" s="31"/>
      <c r="KM231" s="31"/>
      <c r="KN231" s="31"/>
      <c r="KO231" s="31"/>
      <c r="KP231" s="31"/>
      <c r="KQ231" s="31"/>
      <c r="KR231" s="31"/>
      <c r="KS231" s="31"/>
      <c r="KT231" s="31"/>
      <c r="KU231" s="31"/>
      <c r="KV231" s="31"/>
      <c r="KW231" s="31"/>
      <c r="KX231" s="31"/>
      <c r="KY231" s="31"/>
      <c r="KZ231" s="31"/>
      <c r="LA231" s="31"/>
      <c r="LB231" s="31"/>
      <c r="LC231" s="31"/>
      <c r="LD231" s="31"/>
      <c r="LE231" s="31"/>
      <c r="LF231" s="31"/>
      <c r="LG231" s="31"/>
      <c r="LH231" s="31"/>
      <c r="LI231" s="31"/>
      <c r="LJ231" s="31"/>
      <c r="LK231" s="31"/>
      <c r="LL231" s="31"/>
      <c r="LM231" s="31"/>
      <c r="LN231" s="31"/>
      <c r="LO231" s="31"/>
      <c r="LP231" s="31"/>
      <c r="LQ231" s="31"/>
      <c r="LR231" s="31"/>
      <c r="LS231" s="31"/>
      <c r="LT231" s="31"/>
      <c r="LU231" s="31"/>
      <c r="LV231" s="31"/>
      <c r="LW231" s="31"/>
      <c r="LX231" s="31"/>
      <c r="LY231" s="31"/>
      <c r="LZ231" s="31"/>
      <c r="MA231" s="31"/>
      <c r="MB231" s="31"/>
      <c r="MC231" s="31"/>
      <c r="MD231" s="31"/>
      <c r="ME231" s="31"/>
      <c r="MF231" s="31"/>
      <c r="MG231" s="31"/>
      <c r="MH231" s="31"/>
      <c r="MI231" s="31"/>
      <c r="MJ231" s="31"/>
      <c r="MK231" s="31"/>
      <c r="ML231" s="31"/>
      <c r="MM231" s="31"/>
      <c r="MN231" s="31"/>
      <c r="MO231" s="31"/>
      <c r="MP231" s="31"/>
      <c r="MQ231" s="31"/>
      <c r="MR231" s="31"/>
      <c r="MS231" s="31"/>
      <c r="MT231" s="31"/>
      <c r="MU231" s="31"/>
      <c r="MV231" s="31"/>
      <c r="MW231" s="31"/>
      <c r="MX231" s="31"/>
      <c r="MY231" s="31"/>
      <c r="MZ231" s="31"/>
      <c r="NA231" s="31"/>
      <c r="NB231" s="31"/>
      <c r="NC231" s="31"/>
      <c r="ND231" s="31"/>
      <c r="NE231" s="31"/>
      <c r="NF231" s="31"/>
      <c r="NG231" s="31"/>
      <c r="NH231" s="31"/>
      <c r="NI231" s="31"/>
      <c r="NJ231" s="31"/>
      <c r="NK231" s="31"/>
      <c r="NL231" s="31"/>
      <c r="NM231" s="31"/>
      <c r="NN231" s="31"/>
      <c r="NO231" s="31"/>
      <c r="NP231" s="31"/>
      <c r="NQ231" s="31"/>
      <c r="NR231" s="31"/>
      <c r="NS231" s="31"/>
      <c r="NT231" s="31"/>
      <c r="NU231" s="31"/>
      <c r="NV231" s="31"/>
      <c r="NW231" s="31"/>
      <c r="NX231" s="31"/>
      <c r="NY231" s="31"/>
      <c r="NZ231" s="31"/>
      <c r="OA231" s="31"/>
      <c r="OB231" s="31"/>
      <c r="OC231" s="31"/>
      <c r="OD231" s="31"/>
      <c r="OE231" s="31"/>
      <c r="OF231" s="31"/>
      <c r="OG231" s="31"/>
      <c r="OH231" s="31"/>
      <c r="OI231" s="31"/>
      <c r="OJ231" s="31"/>
      <c r="OK231" s="31"/>
      <c r="OL231" s="31"/>
      <c r="OM231" s="31"/>
      <c r="ON231" s="31"/>
      <c r="OO231" s="31"/>
      <c r="OP231" s="31"/>
      <c r="OQ231" s="31"/>
      <c r="OR231" s="31"/>
      <c r="OS231" s="31"/>
      <c r="OT231" s="31"/>
      <c r="OU231" s="31"/>
      <c r="OV231" s="31"/>
      <c r="OW231" s="31"/>
      <c r="OX231" s="31"/>
    </row>
    <row r="232" spans="2:414" s="25" customFormat="1" ht="15.6">
      <c r="B232" s="25" t="s">
        <v>283</v>
      </c>
      <c r="C232" s="27" t="s">
        <v>284</v>
      </c>
      <c r="D232" s="30" t="s">
        <v>316</v>
      </c>
      <c r="G232" s="42">
        <v>500</v>
      </c>
      <c r="H232" s="89">
        <v>26.109000000000002</v>
      </c>
      <c r="I232" s="38">
        <f t="shared" si="72"/>
        <v>13054.5</v>
      </c>
      <c r="K232" s="42">
        <v>500</v>
      </c>
      <c r="L232" s="90">
        <v>26.849599999999999</v>
      </c>
      <c r="M232" s="38">
        <f t="shared" si="73"/>
        <v>13424.8</v>
      </c>
      <c r="O232" s="38">
        <v>80</v>
      </c>
      <c r="P232" s="38">
        <v>26.728300000000001</v>
      </c>
      <c r="Q232" s="38">
        <f t="shared" si="74"/>
        <v>2138.2640000000001</v>
      </c>
      <c r="R232" s="43">
        <f t="shared" si="71"/>
        <v>1080</v>
      </c>
      <c r="S232" s="38">
        <f t="shared" si="75"/>
        <v>28617.563999999998</v>
      </c>
      <c r="T232" s="49">
        <v>85</v>
      </c>
      <c r="U232" s="42">
        <v>26.464200000000002</v>
      </c>
      <c r="V232" s="38">
        <f t="shared" si="86"/>
        <v>2249.4570000000003</v>
      </c>
      <c r="W232" s="42">
        <v>105</v>
      </c>
      <c r="X232" s="42">
        <v>26.464200000000002</v>
      </c>
      <c r="Y232" s="42">
        <f t="shared" si="88"/>
        <v>2778.741</v>
      </c>
      <c r="Z232" s="42">
        <v>210</v>
      </c>
      <c r="AA232" s="42">
        <v>26.699300000000001</v>
      </c>
      <c r="AB232" s="42">
        <f t="shared" si="89"/>
        <v>5606.8530000000001</v>
      </c>
      <c r="AD232" s="42"/>
      <c r="AE232" s="42"/>
      <c r="AF232" s="42">
        <f t="shared" si="84"/>
        <v>0</v>
      </c>
      <c r="AG232" s="42"/>
      <c r="AH232" s="42"/>
      <c r="AI232" s="42"/>
      <c r="AJ232" s="42"/>
      <c r="AL232" s="42"/>
      <c r="AM232" s="42"/>
      <c r="AN232" s="42">
        <f t="shared" si="85"/>
        <v>0</v>
      </c>
      <c r="AO232" s="44"/>
      <c r="AP232" s="42"/>
      <c r="AQ232" s="42"/>
      <c r="AR232" s="42"/>
      <c r="AU232" s="98"/>
      <c r="AV232" s="35"/>
      <c r="AW232" s="104"/>
      <c r="AX232" s="42"/>
      <c r="AY232" s="42"/>
      <c r="AZ232" s="42">
        <f t="shared" si="70"/>
        <v>0</v>
      </c>
      <c r="BA232" s="42"/>
      <c r="BB232" s="42"/>
      <c r="BC232" s="42"/>
      <c r="BD232" s="38">
        <f t="shared" si="76"/>
        <v>0</v>
      </c>
      <c r="BE232" s="42"/>
      <c r="BF232" s="42"/>
      <c r="BG232" s="42"/>
      <c r="BH232" s="38">
        <f t="shared" si="77"/>
        <v>0</v>
      </c>
      <c r="BI232" s="42"/>
      <c r="BJ232" s="42"/>
      <c r="BK232" s="42"/>
      <c r="BL232" s="38">
        <f t="shared" si="78"/>
        <v>0</v>
      </c>
      <c r="BM232" s="42"/>
      <c r="BN232" s="42"/>
      <c r="BO232" s="42"/>
      <c r="BP232" s="42"/>
      <c r="BR232" s="42">
        <f t="shared" si="79"/>
        <v>10635.050999999999</v>
      </c>
      <c r="BS232" s="43">
        <f t="shared" si="80"/>
        <v>17982.512999999999</v>
      </c>
      <c r="BT232" s="42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  <c r="IM232" s="31"/>
      <c r="IN232" s="31"/>
      <c r="IO232" s="31"/>
      <c r="IP232" s="31"/>
      <c r="IQ232" s="31"/>
      <c r="IR232" s="31"/>
      <c r="IS232" s="31"/>
      <c r="IT232" s="31"/>
      <c r="IU232" s="31"/>
      <c r="IV232" s="31"/>
      <c r="IW232" s="31"/>
      <c r="IX232" s="31"/>
      <c r="IY232" s="31"/>
      <c r="IZ232" s="31"/>
      <c r="JA232" s="31"/>
      <c r="JB232" s="31"/>
      <c r="JC232" s="31"/>
      <c r="JD232" s="31"/>
      <c r="JE232" s="31"/>
      <c r="JF232" s="31"/>
      <c r="JG232" s="31"/>
      <c r="JH232" s="31"/>
      <c r="JI232" s="31"/>
      <c r="JJ232" s="31"/>
      <c r="JK232" s="31"/>
      <c r="JL232" s="31"/>
      <c r="JM232" s="31"/>
      <c r="JN232" s="31"/>
      <c r="JO232" s="31"/>
      <c r="JP232" s="31"/>
      <c r="JQ232" s="31"/>
      <c r="JR232" s="31"/>
      <c r="JS232" s="31"/>
      <c r="JT232" s="31"/>
      <c r="JU232" s="31"/>
      <c r="JV232" s="31"/>
      <c r="JW232" s="31"/>
      <c r="JX232" s="31"/>
      <c r="JY232" s="31"/>
      <c r="JZ232" s="31"/>
      <c r="KA232" s="31"/>
      <c r="KB232" s="31"/>
      <c r="KC232" s="31"/>
      <c r="KD232" s="31"/>
      <c r="KE232" s="31"/>
      <c r="KF232" s="31"/>
      <c r="KG232" s="31"/>
      <c r="KH232" s="31"/>
      <c r="KI232" s="31"/>
      <c r="KJ232" s="31"/>
      <c r="KK232" s="31"/>
      <c r="KL232" s="31"/>
      <c r="KM232" s="31"/>
      <c r="KN232" s="31"/>
      <c r="KO232" s="31"/>
      <c r="KP232" s="31"/>
      <c r="KQ232" s="31"/>
      <c r="KR232" s="31"/>
      <c r="KS232" s="31"/>
      <c r="KT232" s="31"/>
      <c r="KU232" s="31"/>
      <c r="KV232" s="31"/>
      <c r="KW232" s="31"/>
      <c r="KX232" s="31"/>
      <c r="KY232" s="31"/>
      <c r="KZ232" s="31"/>
      <c r="LA232" s="31"/>
      <c r="LB232" s="31"/>
      <c r="LC232" s="31"/>
      <c r="LD232" s="31"/>
      <c r="LE232" s="31"/>
      <c r="LF232" s="31"/>
      <c r="LG232" s="31"/>
      <c r="LH232" s="31"/>
      <c r="LI232" s="31"/>
      <c r="LJ232" s="31"/>
      <c r="LK232" s="31"/>
      <c r="LL232" s="31"/>
      <c r="LM232" s="31"/>
      <c r="LN232" s="31"/>
      <c r="LO232" s="31"/>
      <c r="LP232" s="31"/>
      <c r="LQ232" s="31"/>
      <c r="LR232" s="31"/>
      <c r="LS232" s="31"/>
      <c r="LT232" s="31"/>
      <c r="LU232" s="31"/>
      <c r="LV232" s="31"/>
      <c r="LW232" s="31"/>
      <c r="LX232" s="31"/>
      <c r="LY232" s="31"/>
      <c r="LZ232" s="31"/>
      <c r="MA232" s="31"/>
      <c r="MB232" s="31"/>
      <c r="MC232" s="31"/>
      <c r="MD232" s="31"/>
      <c r="ME232" s="31"/>
      <c r="MF232" s="31"/>
      <c r="MG232" s="31"/>
      <c r="MH232" s="31"/>
      <c r="MI232" s="31"/>
      <c r="MJ232" s="31"/>
      <c r="MK232" s="31"/>
      <c r="ML232" s="31"/>
      <c r="MM232" s="31"/>
      <c r="MN232" s="31"/>
      <c r="MO232" s="31"/>
      <c r="MP232" s="31"/>
      <c r="MQ232" s="31"/>
      <c r="MR232" s="31"/>
      <c r="MS232" s="31"/>
      <c r="MT232" s="31"/>
      <c r="MU232" s="31"/>
      <c r="MV232" s="31"/>
      <c r="MW232" s="31"/>
      <c r="MX232" s="31"/>
      <c r="MY232" s="31"/>
      <c r="MZ232" s="31"/>
      <c r="NA232" s="31"/>
      <c r="NB232" s="31"/>
      <c r="NC232" s="31"/>
      <c r="ND232" s="31"/>
      <c r="NE232" s="31"/>
      <c r="NF232" s="31"/>
      <c r="NG232" s="31"/>
      <c r="NH232" s="31"/>
      <c r="NI232" s="31"/>
      <c r="NJ232" s="31"/>
      <c r="NK232" s="31"/>
      <c r="NL232" s="31"/>
      <c r="NM232" s="31"/>
      <c r="NN232" s="31"/>
      <c r="NO232" s="31"/>
      <c r="NP232" s="31"/>
      <c r="NQ232" s="31"/>
      <c r="NR232" s="31"/>
      <c r="NS232" s="31"/>
      <c r="NT232" s="31"/>
      <c r="NU232" s="31"/>
      <c r="NV232" s="31"/>
      <c r="NW232" s="31"/>
      <c r="NX232" s="31"/>
      <c r="NY232" s="31"/>
      <c r="NZ232" s="31"/>
      <c r="OA232" s="31"/>
      <c r="OB232" s="31"/>
      <c r="OC232" s="31"/>
      <c r="OD232" s="31"/>
      <c r="OE232" s="31"/>
      <c r="OF232" s="31"/>
      <c r="OG232" s="31"/>
      <c r="OH232" s="31"/>
      <c r="OI232" s="31"/>
      <c r="OJ232" s="31"/>
      <c r="OK232" s="31"/>
      <c r="OL232" s="31"/>
      <c r="OM232" s="31"/>
      <c r="ON232" s="31"/>
      <c r="OO232" s="31"/>
      <c r="OP232" s="31"/>
      <c r="OQ232" s="31"/>
      <c r="OR232" s="31"/>
      <c r="OS232" s="31"/>
      <c r="OT232" s="31"/>
      <c r="OU232" s="31"/>
      <c r="OV232" s="31"/>
      <c r="OW232" s="31"/>
      <c r="OX232" s="31"/>
    </row>
    <row r="233" spans="2:414" s="25" customFormat="1" ht="15.6">
      <c r="B233" s="25" t="s">
        <v>351</v>
      </c>
      <c r="C233" s="27" t="s">
        <v>352</v>
      </c>
      <c r="D233" s="30" t="s">
        <v>316</v>
      </c>
      <c r="G233" s="42">
        <v>500</v>
      </c>
      <c r="H233" s="89">
        <v>26.109000000000002</v>
      </c>
      <c r="I233" s="38">
        <f t="shared" si="72"/>
        <v>13054.5</v>
      </c>
      <c r="K233" s="42">
        <v>500</v>
      </c>
      <c r="L233" s="90">
        <v>26.849599999999999</v>
      </c>
      <c r="M233" s="38">
        <f t="shared" si="73"/>
        <v>13424.8</v>
      </c>
      <c r="O233" s="38">
        <v>80</v>
      </c>
      <c r="P233" s="38">
        <v>26.728300000000001</v>
      </c>
      <c r="Q233" s="38">
        <f t="shared" si="74"/>
        <v>2138.2640000000001</v>
      </c>
      <c r="R233" s="43">
        <f t="shared" si="71"/>
        <v>1080</v>
      </c>
      <c r="S233" s="38">
        <f t="shared" si="75"/>
        <v>28617.563999999998</v>
      </c>
      <c r="T233" s="49">
        <v>415</v>
      </c>
      <c r="U233" s="42">
        <v>26.4879</v>
      </c>
      <c r="V233" s="38">
        <f t="shared" si="86"/>
        <v>10992.478499999999</v>
      </c>
      <c r="W233" s="42">
        <v>85</v>
      </c>
      <c r="X233" s="42">
        <v>26.4879</v>
      </c>
      <c r="Y233" s="42">
        <f t="shared" si="88"/>
        <v>2251.4715000000001</v>
      </c>
      <c r="Z233" s="42">
        <v>350</v>
      </c>
      <c r="AA233" s="42">
        <v>26.817900000000002</v>
      </c>
      <c r="AB233" s="42">
        <f t="shared" si="89"/>
        <v>9386.2650000000012</v>
      </c>
      <c r="AD233" s="42">
        <v>85</v>
      </c>
      <c r="AE233" s="42">
        <v>26.9907</v>
      </c>
      <c r="AF233" s="42">
        <f t="shared" si="84"/>
        <v>2294.2094999999999</v>
      </c>
      <c r="AG233" s="42"/>
      <c r="AH233" s="42">
        <v>65</v>
      </c>
      <c r="AI233" s="42">
        <v>26.8719</v>
      </c>
      <c r="AJ233" s="42">
        <f>AH233*AI233</f>
        <v>1746.6735000000001</v>
      </c>
      <c r="AL233" s="42">
        <v>240</v>
      </c>
      <c r="AM233" s="42"/>
      <c r="AN233" s="42">
        <f t="shared" si="85"/>
        <v>0</v>
      </c>
      <c r="AO233" s="44"/>
      <c r="AP233" s="42"/>
      <c r="AQ233" s="42"/>
      <c r="AR233" s="42"/>
      <c r="AU233" s="98"/>
      <c r="AV233" s="35"/>
      <c r="AW233" s="104"/>
      <c r="AX233" s="42"/>
      <c r="AY233" s="42"/>
      <c r="AZ233" s="42">
        <f t="shared" si="70"/>
        <v>0</v>
      </c>
      <c r="BA233" s="42"/>
      <c r="BB233" s="42"/>
      <c r="BC233" s="42"/>
      <c r="BD233" s="38">
        <f t="shared" si="76"/>
        <v>0</v>
      </c>
      <c r="BE233" s="42"/>
      <c r="BF233" s="42"/>
      <c r="BG233" s="42"/>
      <c r="BH233" s="38">
        <f t="shared" si="77"/>
        <v>0</v>
      </c>
      <c r="BI233" s="42"/>
      <c r="BJ233" s="42"/>
      <c r="BK233" s="42"/>
      <c r="BL233" s="38">
        <f t="shared" si="78"/>
        <v>0</v>
      </c>
      <c r="BM233" s="42"/>
      <c r="BN233" s="42"/>
      <c r="BO233" s="42"/>
      <c r="BP233" s="42"/>
      <c r="BR233" s="42">
        <f t="shared" si="79"/>
        <v>26671.098000000002</v>
      </c>
      <c r="BS233" s="43">
        <f t="shared" si="80"/>
        <v>1946.4659999999967</v>
      </c>
      <c r="BT233" s="42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  <c r="IM233" s="31"/>
      <c r="IN233" s="31"/>
      <c r="IO233" s="31"/>
      <c r="IP233" s="31"/>
      <c r="IQ233" s="31"/>
      <c r="IR233" s="31"/>
      <c r="IS233" s="31"/>
      <c r="IT233" s="31"/>
      <c r="IU233" s="31"/>
      <c r="IV233" s="31"/>
      <c r="IW233" s="31"/>
      <c r="IX233" s="31"/>
      <c r="IY233" s="31"/>
      <c r="IZ233" s="31"/>
      <c r="JA233" s="31"/>
      <c r="JB233" s="31"/>
      <c r="JC233" s="31"/>
      <c r="JD233" s="31"/>
      <c r="JE233" s="31"/>
      <c r="JF233" s="31"/>
      <c r="JG233" s="31"/>
      <c r="JH233" s="31"/>
      <c r="JI233" s="31"/>
      <c r="JJ233" s="31"/>
      <c r="JK233" s="31"/>
      <c r="JL233" s="31"/>
      <c r="JM233" s="31"/>
      <c r="JN233" s="31"/>
      <c r="JO233" s="31"/>
      <c r="JP233" s="31"/>
      <c r="JQ233" s="31"/>
      <c r="JR233" s="31"/>
      <c r="JS233" s="31"/>
      <c r="JT233" s="31"/>
      <c r="JU233" s="31"/>
      <c r="JV233" s="31"/>
      <c r="JW233" s="31"/>
      <c r="JX233" s="31"/>
      <c r="JY233" s="31"/>
      <c r="JZ233" s="31"/>
      <c r="KA233" s="31"/>
      <c r="KB233" s="31"/>
      <c r="KC233" s="31"/>
      <c r="KD233" s="31"/>
      <c r="KE233" s="31"/>
      <c r="KF233" s="31"/>
      <c r="KG233" s="31"/>
      <c r="KH233" s="31"/>
      <c r="KI233" s="31"/>
      <c r="KJ233" s="31"/>
      <c r="KK233" s="31"/>
      <c r="KL233" s="31"/>
      <c r="KM233" s="31"/>
      <c r="KN233" s="31"/>
      <c r="KO233" s="31"/>
      <c r="KP233" s="31"/>
      <c r="KQ233" s="31"/>
      <c r="KR233" s="31"/>
      <c r="KS233" s="31"/>
      <c r="KT233" s="31"/>
      <c r="KU233" s="31"/>
      <c r="KV233" s="31"/>
      <c r="KW233" s="31"/>
      <c r="KX233" s="31"/>
      <c r="KY233" s="31"/>
      <c r="KZ233" s="31"/>
      <c r="LA233" s="31"/>
      <c r="LB233" s="31"/>
      <c r="LC233" s="31"/>
      <c r="LD233" s="31"/>
      <c r="LE233" s="31"/>
      <c r="LF233" s="31"/>
      <c r="LG233" s="31"/>
      <c r="LH233" s="31"/>
      <c r="LI233" s="31"/>
      <c r="LJ233" s="31"/>
      <c r="LK233" s="31"/>
      <c r="LL233" s="31"/>
      <c r="LM233" s="31"/>
      <c r="LN233" s="31"/>
      <c r="LO233" s="31"/>
      <c r="LP233" s="31"/>
      <c r="LQ233" s="31"/>
      <c r="LR233" s="31"/>
      <c r="LS233" s="31"/>
      <c r="LT233" s="31"/>
      <c r="LU233" s="31"/>
      <c r="LV233" s="31"/>
      <c r="LW233" s="31"/>
      <c r="LX233" s="31"/>
      <c r="LY233" s="31"/>
      <c r="LZ233" s="31"/>
      <c r="MA233" s="31"/>
      <c r="MB233" s="31"/>
      <c r="MC233" s="31"/>
      <c r="MD233" s="31"/>
      <c r="ME233" s="31"/>
      <c r="MF233" s="31"/>
      <c r="MG233" s="31"/>
      <c r="MH233" s="31"/>
      <c r="MI233" s="31"/>
      <c r="MJ233" s="31"/>
      <c r="MK233" s="31"/>
      <c r="ML233" s="31"/>
      <c r="MM233" s="31"/>
      <c r="MN233" s="31"/>
      <c r="MO233" s="31"/>
      <c r="MP233" s="31"/>
      <c r="MQ233" s="31"/>
      <c r="MR233" s="31"/>
      <c r="MS233" s="31"/>
      <c r="MT233" s="31"/>
      <c r="MU233" s="31"/>
      <c r="MV233" s="31"/>
      <c r="MW233" s="31"/>
      <c r="MX233" s="31"/>
      <c r="MY233" s="31"/>
      <c r="MZ233" s="31"/>
      <c r="NA233" s="31"/>
      <c r="NB233" s="31"/>
      <c r="NC233" s="31"/>
      <c r="ND233" s="31"/>
      <c r="NE233" s="31"/>
      <c r="NF233" s="31"/>
      <c r="NG233" s="31"/>
      <c r="NH233" s="31"/>
      <c r="NI233" s="31"/>
      <c r="NJ233" s="31"/>
      <c r="NK233" s="31"/>
      <c r="NL233" s="31"/>
      <c r="NM233" s="31"/>
      <c r="NN233" s="31"/>
      <c r="NO233" s="31"/>
      <c r="NP233" s="31"/>
      <c r="NQ233" s="31"/>
      <c r="NR233" s="31"/>
      <c r="NS233" s="31"/>
      <c r="NT233" s="31"/>
      <c r="NU233" s="31"/>
      <c r="NV233" s="31"/>
      <c r="NW233" s="31"/>
      <c r="NX233" s="31"/>
      <c r="NY233" s="31"/>
      <c r="NZ233" s="31"/>
      <c r="OA233" s="31"/>
      <c r="OB233" s="31"/>
      <c r="OC233" s="31"/>
      <c r="OD233" s="31"/>
      <c r="OE233" s="31"/>
      <c r="OF233" s="31"/>
      <c r="OG233" s="31"/>
      <c r="OH233" s="31"/>
      <c r="OI233" s="31"/>
      <c r="OJ233" s="31"/>
      <c r="OK233" s="31"/>
      <c r="OL233" s="31"/>
      <c r="OM233" s="31"/>
      <c r="ON233" s="31"/>
      <c r="OO233" s="31"/>
      <c r="OP233" s="31"/>
      <c r="OQ233" s="31"/>
      <c r="OR233" s="31"/>
      <c r="OS233" s="31"/>
      <c r="OT233" s="31"/>
      <c r="OU233" s="31"/>
      <c r="OV233" s="31"/>
      <c r="OW233" s="31"/>
      <c r="OX233" s="31"/>
    </row>
    <row r="234" spans="2:414" s="25" customFormat="1" ht="15.6">
      <c r="B234" s="25" t="s">
        <v>353</v>
      </c>
      <c r="C234" s="27" t="s">
        <v>354</v>
      </c>
      <c r="D234" s="30" t="s">
        <v>316</v>
      </c>
      <c r="G234" s="42">
        <v>293</v>
      </c>
      <c r="H234" s="89">
        <v>26.109000000000002</v>
      </c>
      <c r="I234" s="38">
        <f t="shared" si="72"/>
        <v>7649.9370000000008</v>
      </c>
      <c r="K234" s="42">
        <v>500</v>
      </c>
      <c r="L234" s="90">
        <v>26.849599999999999</v>
      </c>
      <c r="M234" s="38">
        <f t="shared" si="73"/>
        <v>13424.8</v>
      </c>
      <c r="O234" s="38">
        <v>80</v>
      </c>
      <c r="P234" s="38">
        <v>26.728300000000001</v>
      </c>
      <c r="Q234" s="38">
        <f t="shared" si="74"/>
        <v>2138.2640000000001</v>
      </c>
      <c r="R234" s="43">
        <f t="shared" si="71"/>
        <v>873</v>
      </c>
      <c r="S234" s="38">
        <f t="shared" si="75"/>
        <v>23213.001</v>
      </c>
      <c r="T234" s="49">
        <v>208</v>
      </c>
      <c r="U234" s="42">
        <v>26.976800000000001</v>
      </c>
      <c r="V234" s="38">
        <f t="shared" si="86"/>
        <v>5611.1743999999999</v>
      </c>
      <c r="W234" s="42">
        <v>85</v>
      </c>
      <c r="X234" s="42">
        <v>26.976800000000001</v>
      </c>
      <c r="Y234" s="42">
        <f t="shared" si="88"/>
        <v>2293.0280000000002</v>
      </c>
      <c r="Z234" s="42">
        <v>415</v>
      </c>
      <c r="AA234" s="42">
        <v>26.663399999999999</v>
      </c>
      <c r="AB234" s="42">
        <f t="shared" si="89"/>
        <v>11065.311</v>
      </c>
      <c r="AD234" s="42"/>
      <c r="AE234" s="42"/>
      <c r="AF234" s="42">
        <f t="shared" si="84"/>
        <v>0</v>
      </c>
      <c r="AG234" s="42"/>
      <c r="AH234" s="42"/>
      <c r="AI234" s="42"/>
      <c r="AJ234" s="42"/>
      <c r="AL234" s="42"/>
      <c r="AM234" s="42"/>
      <c r="AN234" s="42">
        <f t="shared" si="85"/>
        <v>0</v>
      </c>
      <c r="AO234" s="44"/>
      <c r="AP234" s="42"/>
      <c r="AQ234" s="42"/>
      <c r="AR234" s="42"/>
      <c r="AU234" s="98"/>
      <c r="AV234" s="35"/>
      <c r="AW234" s="104"/>
      <c r="AX234" s="42"/>
      <c r="AY234" s="42"/>
      <c r="AZ234" s="42">
        <f t="shared" si="70"/>
        <v>0</v>
      </c>
      <c r="BA234" s="42"/>
      <c r="BB234" s="42"/>
      <c r="BC234" s="42"/>
      <c r="BD234" s="38">
        <f t="shared" si="76"/>
        <v>0</v>
      </c>
      <c r="BE234" s="42"/>
      <c r="BF234" s="42"/>
      <c r="BG234" s="42"/>
      <c r="BH234" s="38">
        <f t="shared" si="77"/>
        <v>0</v>
      </c>
      <c r="BI234" s="42"/>
      <c r="BJ234" s="42"/>
      <c r="BK234" s="42"/>
      <c r="BL234" s="38">
        <f t="shared" si="78"/>
        <v>0</v>
      </c>
      <c r="BM234" s="42"/>
      <c r="BN234" s="42"/>
      <c r="BO234" s="42"/>
      <c r="BP234" s="42"/>
      <c r="BR234" s="42">
        <f t="shared" si="79"/>
        <v>18969.5134</v>
      </c>
      <c r="BS234" s="43">
        <f t="shared" si="80"/>
        <v>4243.4876000000004</v>
      </c>
      <c r="BT234" s="42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  <c r="IM234" s="31"/>
      <c r="IN234" s="31"/>
      <c r="IO234" s="31"/>
      <c r="IP234" s="31"/>
      <c r="IQ234" s="31"/>
      <c r="IR234" s="31"/>
      <c r="IS234" s="31"/>
      <c r="IT234" s="31"/>
      <c r="IU234" s="31"/>
      <c r="IV234" s="31"/>
      <c r="IW234" s="31"/>
      <c r="IX234" s="31"/>
      <c r="IY234" s="31"/>
      <c r="IZ234" s="31"/>
      <c r="JA234" s="31"/>
      <c r="JB234" s="31"/>
      <c r="JC234" s="31"/>
      <c r="JD234" s="31"/>
      <c r="JE234" s="31"/>
      <c r="JF234" s="31"/>
      <c r="JG234" s="31"/>
      <c r="JH234" s="31"/>
      <c r="JI234" s="31"/>
      <c r="JJ234" s="31"/>
      <c r="JK234" s="31"/>
      <c r="JL234" s="31"/>
      <c r="JM234" s="31"/>
      <c r="JN234" s="31"/>
      <c r="JO234" s="31"/>
      <c r="JP234" s="31"/>
      <c r="JQ234" s="31"/>
      <c r="JR234" s="31"/>
      <c r="JS234" s="31"/>
      <c r="JT234" s="31"/>
      <c r="JU234" s="31"/>
      <c r="JV234" s="31"/>
      <c r="JW234" s="31"/>
      <c r="JX234" s="31"/>
      <c r="JY234" s="31"/>
      <c r="JZ234" s="31"/>
      <c r="KA234" s="31"/>
      <c r="KB234" s="31"/>
      <c r="KC234" s="31"/>
      <c r="KD234" s="31"/>
      <c r="KE234" s="31"/>
      <c r="KF234" s="31"/>
      <c r="KG234" s="31"/>
      <c r="KH234" s="31"/>
      <c r="KI234" s="31"/>
      <c r="KJ234" s="31"/>
      <c r="KK234" s="31"/>
      <c r="KL234" s="31"/>
      <c r="KM234" s="31"/>
      <c r="KN234" s="31"/>
      <c r="KO234" s="31"/>
      <c r="KP234" s="31"/>
      <c r="KQ234" s="31"/>
      <c r="KR234" s="31"/>
      <c r="KS234" s="31"/>
      <c r="KT234" s="31"/>
      <c r="KU234" s="31"/>
      <c r="KV234" s="31"/>
      <c r="KW234" s="31"/>
      <c r="KX234" s="31"/>
      <c r="KY234" s="31"/>
      <c r="KZ234" s="31"/>
      <c r="LA234" s="31"/>
      <c r="LB234" s="31"/>
      <c r="LC234" s="31"/>
      <c r="LD234" s="31"/>
      <c r="LE234" s="31"/>
      <c r="LF234" s="31"/>
      <c r="LG234" s="31"/>
      <c r="LH234" s="31"/>
      <c r="LI234" s="31"/>
      <c r="LJ234" s="31"/>
      <c r="LK234" s="31"/>
      <c r="LL234" s="31"/>
      <c r="LM234" s="31"/>
      <c r="LN234" s="31"/>
      <c r="LO234" s="31"/>
      <c r="LP234" s="31"/>
      <c r="LQ234" s="31"/>
      <c r="LR234" s="31"/>
      <c r="LS234" s="31"/>
      <c r="LT234" s="31"/>
      <c r="LU234" s="31"/>
      <c r="LV234" s="31"/>
      <c r="LW234" s="31"/>
      <c r="LX234" s="31"/>
      <c r="LY234" s="31"/>
      <c r="LZ234" s="31"/>
      <c r="MA234" s="31"/>
      <c r="MB234" s="31"/>
      <c r="MC234" s="31"/>
      <c r="MD234" s="31"/>
      <c r="ME234" s="31"/>
      <c r="MF234" s="31"/>
      <c r="MG234" s="31"/>
      <c r="MH234" s="31"/>
      <c r="MI234" s="31"/>
      <c r="MJ234" s="31"/>
      <c r="MK234" s="31"/>
      <c r="ML234" s="31"/>
      <c r="MM234" s="31"/>
      <c r="MN234" s="31"/>
      <c r="MO234" s="31"/>
      <c r="MP234" s="31"/>
      <c r="MQ234" s="31"/>
      <c r="MR234" s="31"/>
      <c r="MS234" s="31"/>
      <c r="MT234" s="31"/>
      <c r="MU234" s="31"/>
      <c r="MV234" s="31"/>
      <c r="MW234" s="31"/>
      <c r="MX234" s="31"/>
      <c r="MY234" s="31"/>
      <c r="MZ234" s="31"/>
      <c r="NA234" s="31"/>
      <c r="NB234" s="31"/>
      <c r="NC234" s="31"/>
      <c r="ND234" s="31"/>
      <c r="NE234" s="31"/>
      <c r="NF234" s="31"/>
      <c r="NG234" s="31"/>
      <c r="NH234" s="31"/>
      <c r="NI234" s="31"/>
      <c r="NJ234" s="31"/>
      <c r="NK234" s="31"/>
      <c r="NL234" s="31"/>
      <c r="NM234" s="31"/>
      <c r="NN234" s="31"/>
      <c r="NO234" s="31"/>
      <c r="NP234" s="31"/>
      <c r="NQ234" s="31"/>
      <c r="NR234" s="31"/>
      <c r="NS234" s="31"/>
      <c r="NT234" s="31"/>
      <c r="NU234" s="31"/>
      <c r="NV234" s="31"/>
      <c r="NW234" s="31"/>
      <c r="NX234" s="31"/>
      <c r="NY234" s="31"/>
      <c r="NZ234" s="31"/>
      <c r="OA234" s="31"/>
      <c r="OB234" s="31"/>
      <c r="OC234" s="31"/>
      <c r="OD234" s="31"/>
      <c r="OE234" s="31"/>
      <c r="OF234" s="31"/>
      <c r="OG234" s="31"/>
      <c r="OH234" s="31"/>
      <c r="OI234" s="31"/>
      <c r="OJ234" s="31"/>
      <c r="OK234" s="31"/>
      <c r="OL234" s="31"/>
      <c r="OM234" s="31"/>
      <c r="ON234" s="31"/>
      <c r="OO234" s="31"/>
      <c r="OP234" s="31"/>
      <c r="OQ234" s="31"/>
      <c r="OR234" s="31"/>
      <c r="OS234" s="31"/>
      <c r="OT234" s="31"/>
      <c r="OU234" s="31"/>
      <c r="OV234" s="31"/>
      <c r="OW234" s="31"/>
      <c r="OX234" s="31"/>
    </row>
    <row r="235" spans="2:414" s="25" customFormat="1" ht="15.6">
      <c r="B235" s="25" t="s">
        <v>356</v>
      </c>
      <c r="C235" s="27" t="s">
        <v>16</v>
      </c>
      <c r="D235" s="30" t="s">
        <v>355</v>
      </c>
      <c r="G235" s="42">
        <v>500</v>
      </c>
      <c r="H235" s="89">
        <v>26.109000000000002</v>
      </c>
      <c r="I235" s="38">
        <f t="shared" si="72"/>
        <v>13054.5</v>
      </c>
      <c r="K235" s="42">
        <v>500</v>
      </c>
      <c r="L235" s="90">
        <v>26.849599999999999</v>
      </c>
      <c r="M235" s="38">
        <f t="shared" si="73"/>
        <v>13424.8</v>
      </c>
      <c r="O235" s="38">
        <v>80</v>
      </c>
      <c r="P235" s="38">
        <v>26.728300000000001</v>
      </c>
      <c r="Q235" s="38">
        <f t="shared" si="74"/>
        <v>2138.2640000000001</v>
      </c>
      <c r="R235" s="43">
        <f t="shared" si="71"/>
        <v>1080</v>
      </c>
      <c r="S235" s="38">
        <f t="shared" si="75"/>
        <v>28617.563999999998</v>
      </c>
      <c r="T235" s="49">
        <v>420</v>
      </c>
      <c r="U235" s="42">
        <v>26.921299999999999</v>
      </c>
      <c r="V235" s="38">
        <f t="shared" si="86"/>
        <v>11306.946</v>
      </c>
      <c r="W235" s="42">
        <v>85</v>
      </c>
      <c r="X235" s="42">
        <v>26.921299999999999</v>
      </c>
      <c r="Y235" s="42">
        <f t="shared" si="88"/>
        <v>2288.3105</v>
      </c>
      <c r="Z235" s="42">
        <v>420</v>
      </c>
      <c r="AA235" s="42">
        <v>26.7103</v>
      </c>
      <c r="AB235" s="42">
        <f t="shared" si="89"/>
        <v>11218.326000000001</v>
      </c>
      <c r="AD235" s="42">
        <v>85</v>
      </c>
      <c r="AE235" s="42">
        <v>26.741299999999999</v>
      </c>
      <c r="AF235" s="42">
        <f t="shared" si="84"/>
        <v>2273.0104999999999</v>
      </c>
      <c r="AG235" s="42"/>
      <c r="AH235" s="42"/>
      <c r="AI235" s="42"/>
      <c r="AJ235" s="42"/>
      <c r="AL235" s="42"/>
      <c r="AM235" s="42"/>
      <c r="AN235" s="42">
        <f t="shared" si="85"/>
        <v>0</v>
      </c>
      <c r="AO235" s="44"/>
      <c r="AP235" s="42"/>
      <c r="AQ235" s="42"/>
      <c r="AR235" s="42"/>
      <c r="AU235" s="98"/>
      <c r="AV235" s="35"/>
      <c r="AW235" s="104"/>
      <c r="AX235" s="42"/>
      <c r="AY235" s="42"/>
      <c r="AZ235" s="42">
        <f t="shared" si="70"/>
        <v>0</v>
      </c>
      <c r="BA235" s="42"/>
      <c r="BB235" s="42"/>
      <c r="BC235" s="42"/>
      <c r="BD235" s="38">
        <f t="shared" si="76"/>
        <v>0</v>
      </c>
      <c r="BE235" s="42"/>
      <c r="BF235" s="42"/>
      <c r="BG235" s="42"/>
      <c r="BH235" s="38">
        <f t="shared" si="77"/>
        <v>0</v>
      </c>
      <c r="BI235" s="42"/>
      <c r="BJ235" s="42"/>
      <c r="BK235" s="42"/>
      <c r="BL235" s="38">
        <f t="shared" si="78"/>
        <v>0</v>
      </c>
      <c r="BM235" s="42"/>
      <c r="BN235" s="42"/>
      <c r="BO235" s="42"/>
      <c r="BP235" s="42"/>
      <c r="BR235" s="42">
        <f t="shared" si="79"/>
        <v>27086.593000000001</v>
      </c>
      <c r="BS235" s="43">
        <f t="shared" si="80"/>
        <v>1530.9709999999977</v>
      </c>
      <c r="BT235" s="42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  <c r="IM235" s="31"/>
      <c r="IN235" s="31"/>
      <c r="IO235" s="31"/>
      <c r="IP235" s="31"/>
      <c r="IQ235" s="31"/>
      <c r="IR235" s="31"/>
      <c r="IS235" s="31"/>
      <c r="IT235" s="31"/>
      <c r="IU235" s="31"/>
      <c r="IV235" s="31"/>
      <c r="IW235" s="31"/>
      <c r="IX235" s="31"/>
      <c r="IY235" s="31"/>
      <c r="IZ235" s="31"/>
      <c r="JA235" s="31"/>
      <c r="JB235" s="31"/>
      <c r="JC235" s="31"/>
      <c r="JD235" s="31"/>
      <c r="JE235" s="31"/>
      <c r="JF235" s="31"/>
      <c r="JG235" s="31"/>
      <c r="JH235" s="31"/>
      <c r="JI235" s="31"/>
      <c r="JJ235" s="31"/>
      <c r="JK235" s="31"/>
      <c r="JL235" s="31"/>
      <c r="JM235" s="31"/>
      <c r="JN235" s="31"/>
      <c r="JO235" s="31"/>
      <c r="JP235" s="31"/>
      <c r="JQ235" s="31"/>
      <c r="JR235" s="31"/>
      <c r="JS235" s="31"/>
      <c r="JT235" s="31"/>
      <c r="JU235" s="31"/>
      <c r="JV235" s="31"/>
      <c r="JW235" s="31"/>
      <c r="JX235" s="31"/>
      <c r="JY235" s="31"/>
      <c r="JZ235" s="31"/>
      <c r="KA235" s="31"/>
      <c r="KB235" s="31"/>
      <c r="KC235" s="31"/>
      <c r="KD235" s="31"/>
      <c r="KE235" s="31"/>
      <c r="KF235" s="31"/>
      <c r="KG235" s="31"/>
      <c r="KH235" s="31"/>
      <c r="KI235" s="31"/>
      <c r="KJ235" s="31"/>
      <c r="KK235" s="31"/>
      <c r="KL235" s="31"/>
      <c r="KM235" s="31"/>
      <c r="KN235" s="31"/>
      <c r="KO235" s="31"/>
      <c r="KP235" s="31"/>
      <c r="KQ235" s="31"/>
      <c r="KR235" s="31"/>
      <c r="KS235" s="31"/>
      <c r="KT235" s="31"/>
      <c r="KU235" s="31"/>
      <c r="KV235" s="31"/>
      <c r="KW235" s="31"/>
      <c r="KX235" s="31"/>
      <c r="KY235" s="31"/>
      <c r="KZ235" s="31"/>
      <c r="LA235" s="31"/>
      <c r="LB235" s="31"/>
      <c r="LC235" s="31"/>
      <c r="LD235" s="31"/>
      <c r="LE235" s="31"/>
      <c r="LF235" s="31"/>
      <c r="LG235" s="31"/>
      <c r="LH235" s="31"/>
      <c r="LI235" s="31"/>
      <c r="LJ235" s="31"/>
      <c r="LK235" s="31"/>
      <c r="LL235" s="31"/>
      <c r="LM235" s="31"/>
      <c r="LN235" s="31"/>
      <c r="LO235" s="31"/>
      <c r="LP235" s="31"/>
      <c r="LQ235" s="31"/>
      <c r="LR235" s="31"/>
      <c r="LS235" s="31"/>
      <c r="LT235" s="31"/>
      <c r="LU235" s="31"/>
      <c r="LV235" s="31"/>
      <c r="LW235" s="31"/>
      <c r="LX235" s="31"/>
      <c r="LY235" s="31"/>
      <c r="LZ235" s="31"/>
      <c r="MA235" s="31"/>
      <c r="MB235" s="31"/>
      <c r="MC235" s="31"/>
      <c r="MD235" s="31"/>
      <c r="ME235" s="31"/>
      <c r="MF235" s="31"/>
      <c r="MG235" s="31"/>
      <c r="MH235" s="31"/>
      <c r="MI235" s="31"/>
      <c r="MJ235" s="31"/>
      <c r="MK235" s="31"/>
      <c r="ML235" s="31"/>
      <c r="MM235" s="31"/>
      <c r="MN235" s="31"/>
      <c r="MO235" s="31"/>
      <c r="MP235" s="31"/>
      <c r="MQ235" s="31"/>
      <c r="MR235" s="31"/>
      <c r="MS235" s="31"/>
      <c r="MT235" s="31"/>
      <c r="MU235" s="31"/>
      <c r="MV235" s="31"/>
      <c r="MW235" s="31"/>
      <c r="MX235" s="31"/>
      <c r="MY235" s="31"/>
      <c r="MZ235" s="31"/>
      <c r="NA235" s="31"/>
      <c r="NB235" s="31"/>
      <c r="NC235" s="31"/>
      <c r="ND235" s="31"/>
      <c r="NE235" s="31"/>
      <c r="NF235" s="31"/>
      <c r="NG235" s="31"/>
      <c r="NH235" s="31"/>
      <c r="NI235" s="31"/>
      <c r="NJ235" s="31"/>
      <c r="NK235" s="31"/>
      <c r="NL235" s="31"/>
      <c r="NM235" s="31"/>
      <c r="NN235" s="31"/>
      <c r="NO235" s="31"/>
      <c r="NP235" s="31"/>
      <c r="NQ235" s="31"/>
      <c r="NR235" s="31"/>
      <c r="NS235" s="31"/>
      <c r="NT235" s="31"/>
      <c r="NU235" s="31"/>
      <c r="NV235" s="31"/>
      <c r="NW235" s="31"/>
      <c r="NX235" s="31"/>
      <c r="NY235" s="31"/>
      <c r="NZ235" s="31"/>
      <c r="OA235" s="31"/>
      <c r="OB235" s="31"/>
      <c r="OC235" s="31"/>
      <c r="OD235" s="31"/>
      <c r="OE235" s="31"/>
      <c r="OF235" s="31"/>
      <c r="OG235" s="31"/>
      <c r="OH235" s="31"/>
      <c r="OI235" s="31"/>
      <c r="OJ235" s="31"/>
      <c r="OK235" s="31"/>
      <c r="OL235" s="31"/>
      <c r="OM235" s="31"/>
      <c r="ON235" s="31"/>
      <c r="OO235" s="31"/>
      <c r="OP235" s="31"/>
      <c r="OQ235" s="31"/>
      <c r="OR235" s="31"/>
      <c r="OS235" s="31"/>
      <c r="OT235" s="31"/>
      <c r="OU235" s="31"/>
      <c r="OV235" s="31"/>
      <c r="OW235" s="31"/>
      <c r="OX235" s="31"/>
    </row>
    <row r="236" spans="2:414" s="25" customFormat="1" ht="15.6">
      <c r="B236" s="25" t="s">
        <v>357</v>
      </c>
      <c r="C236" s="27" t="s">
        <v>131</v>
      </c>
      <c r="D236" s="30" t="s">
        <v>355</v>
      </c>
      <c r="G236" s="42">
        <v>500</v>
      </c>
      <c r="H236" s="89">
        <v>26.109000000000002</v>
      </c>
      <c r="I236" s="38">
        <f t="shared" si="72"/>
        <v>13054.5</v>
      </c>
      <c r="K236" s="42">
        <v>500</v>
      </c>
      <c r="L236" s="90">
        <v>26.849599999999999</v>
      </c>
      <c r="M236" s="38">
        <f t="shared" si="73"/>
        <v>13424.8</v>
      </c>
      <c r="O236" s="38">
        <v>80</v>
      </c>
      <c r="P236" s="38">
        <v>26.728300000000001</v>
      </c>
      <c r="Q236" s="38">
        <f t="shared" si="74"/>
        <v>2138.2640000000001</v>
      </c>
      <c r="R236" s="43">
        <f t="shared" si="71"/>
        <v>1080</v>
      </c>
      <c r="S236" s="38">
        <f t="shared" si="75"/>
        <v>28617.563999999998</v>
      </c>
      <c r="T236" s="49">
        <v>415</v>
      </c>
      <c r="U236" s="42">
        <v>26.261399999999998</v>
      </c>
      <c r="V236" s="38">
        <f t="shared" si="86"/>
        <v>10898.481</v>
      </c>
      <c r="W236" s="42">
        <v>85</v>
      </c>
      <c r="X236" s="42"/>
      <c r="Y236" s="42">
        <f t="shared" si="88"/>
        <v>0</v>
      </c>
      <c r="Z236" s="42">
        <v>400</v>
      </c>
      <c r="AA236" s="42">
        <v>26.805099999999999</v>
      </c>
      <c r="AB236" s="42">
        <f t="shared" si="89"/>
        <v>10722.039999999999</v>
      </c>
      <c r="AD236" s="42">
        <v>100</v>
      </c>
      <c r="AE236" s="42">
        <v>26.869499999999999</v>
      </c>
      <c r="AF236" s="42">
        <f t="shared" si="84"/>
        <v>2686.95</v>
      </c>
      <c r="AG236" s="42"/>
      <c r="AH236" s="42"/>
      <c r="AI236" s="42"/>
      <c r="AJ236" s="42"/>
      <c r="AL236" s="42"/>
      <c r="AM236" s="42"/>
      <c r="AN236" s="42">
        <f t="shared" si="85"/>
        <v>0</v>
      </c>
      <c r="AO236" s="44"/>
      <c r="AP236" s="42"/>
      <c r="AQ236" s="42"/>
      <c r="AR236" s="42"/>
      <c r="AU236" s="98"/>
      <c r="AV236" s="35"/>
      <c r="AW236" s="104"/>
      <c r="AX236" s="42"/>
      <c r="AY236" s="42"/>
      <c r="AZ236" s="42">
        <f t="shared" si="70"/>
        <v>0</v>
      </c>
      <c r="BA236" s="42"/>
      <c r="BB236" s="42"/>
      <c r="BC236" s="42"/>
      <c r="BD236" s="38">
        <f t="shared" si="76"/>
        <v>0</v>
      </c>
      <c r="BE236" s="42"/>
      <c r="BF236" s="42"/>
      <c r="BG236" s="42"/>
      <c r="BH236" s="38">
        <f t="shared" si="77"/>
        <v>0</v>
      </c>
      <c r="BI236" s="42"/>
      <c r="BJ236" s="42"/>
      <c r="BK236" s="42"/>
      <c r="BL236" s="38">
        <f t="shared" si="78"/>
        <v>0</v>
      </c>
      <c r="BM236" s="42"/>
      <c r="BN236" s="42"/>
      <c r="BO236" s="42"/>
      <c r="BP236" s="42"/>
      <c r="BR236" s="42">
        <f t="shared" si="79"/>
        <v>24307.471000000001</v>
      </c>
      <c r="BS236" s="43">
        <f t="shared" si="80"/>
        <v>4310.0929999999971</v>
      </c>
      <c r="BT236" s="42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  <c r="IM236" s="31"/>
      <c r="IN236" s="31"/>
      <c r="IO236" s="31"/>
      <c r="IP236" s="31"/>
      <c r="IQ236" s="31"/>
      <c r="IR236" s="31"/>
      <c r="IS236" s="31"/>
      <c r="IT236" s="31"/>
      <c r="IU236" s="31"/>
      <c r="IV236" s="31"/>
      <c r="IW236" s="31"/>
      <c r="IX236" s="31"/>
      <c r="IY236" s="31"/>
      <c r="IZ236" s="31"/>
      <c r="JA236" s="31"/>
      <c r="JB236" s="31"/>
      <c r="JC236" s="31"/>
      <c r="JD236" s="31"/>
      <c r="JE236" s="31"/>
      <c r="JF236" s="31"/>
      <c r="JG236" s="31"/>
      <c r="JH236" s="31"/>
      <c r="JI236" s="31"/>
      <c r="JJ236" s="31"/>
      <c r="JK236" s="31"/>
      <c r="JL236" s="31"/>
      <c r="JM236" s="31"/>
      <c r="JN236" s="31"/>
      <c r="JO236" s="31"/>
      <c r="JP236" s="31"/>
      <c r="JQ236" s="31"/>
      <c r="JR236" s="31"/>
      <c r="JS236" s="31"/>
      <c r="JT236" s="31"/>
      <c r="JU236" s="31"/>
      <c r="JV236" s="31"/>
      <c r="JW236" s="31"/>
      <c r="JX236" s="31"/>
      <c r="JY236" s="31"/>
      <c r="JZ236" s="31"/>
      <c r="KA236" s="31"/>
      <c r="KB236" s="31"/>
      <c r="KC236" s="31"/>
      <c r="KD236" s="31"/>
      <c r="KE236" s="31"/>
      <c r="KF236" s="31"/>
      <c r="KG236" s="31"/>
      <c r="KH236" s="31"/>
      <c r="KI236" s="31"/>
      <c r="KJ236" s="31"/>
      <c r="KK236" s="31"/>
      <c r="KL236" s="31"/>
      <c r="KM236" s="31"/>
      <c r="KN236" s="31"/>
      <c r="KO236" s="31"/>
      <c r="KP236" s="31"/>
      <c r="KQ236" s="31"/>
      <c r="KR236" s="31"/>
      <c r="KS236" s="31"/>
      <c r="KT236" s="31"/>
      <c r="KU236" s="31"/>
      <c r="KV236" s="31"/>
      <c r="KW236" s="31"/>
      <c r="KX236" s="31"/>
      <c r="KY236" s="31"/>
      <c r="KZ236" s="31"/>
      <c r="LA236" s="31"/>
      <c r="LB236" s="31"/>
      <c r="LC236" s="31"/>
      <c r="LD236" s="31"/>
      <c r="LE236" s="31"/>
      <c r="LF236" s="31"/>
      <c r="LG236" s="31"/>
      <c r="LH236" s="31"/>
      <c r="LI236" s="31"/>
      <c r="LJ236" s="31"/>
      <c r="LK236" s="31"/>
      <c r="LL236" s="31"/>
      <c r="LM236" s="31"/>
      <c r="LN236" s="31"/>
      <c r="LO236" s="31"/>
      <c r="LP236" s="31"/>
      <c r="LQ236" s="31"/>
      <c r="LR236" s="31"/>
      <c r="LS236" s="31"/>
      <c r="LT236" s="31"/>
      <c r="LU236" s="31"/>
      <c r="LV236" s="31"/>
      <c r="LW236" s="31"/>
      <c r="LX236" s="31"/>
      <c r="LY236" s="31"/>
      <c r="LZ236" s="31"/>
      <c r="MA236" s="31"/>
      <c r="MB236" s="31"/>
      <c r="MC236" s="31"/>
      <c r="MD236" s="31"/>
      <c r="ME236" s="31"/>
      <c r="MF236" s="31"/>
      <c r="MG236" s="31"/>
      <c r="MH236" s="31"/>
      <c r="MI236" s="31"/>
      <c r="MJ236" s="31"/>
      <c r="MK236" s="31"/>
      <c r="ML236" s="31"/>
      <c r="MM236" s="31"/>
      <c r="MN236" s="31"/>
      <c r="MO236" s="31"/>
      <c r="MP236" s="31"/>
      <c r="MQ236" s="31"/>
      <c r="MR236" s="31"/>
      <c r="MS236" s="31"/>
      <c r="MT236" s="31"/>
      <c r="MU236" s="31"/>
      <c r="MV236" s="31"/>
      <c r="MW236" s="31"/>
      <c r="MX236" s="31"/>
      <c r="MY236" s="31"/>
      <c r="MZ236" s="31"/>
      <c r="NA236" s="31"/>
      <c r="NB236" s="31"/>
      <c r="NC236" s="31"/>
      <c r="ND236" s="31"/>
      <c r="NE236" s="31"/>
      <c r="NF236" s="31"/>
      <c r="NG236" s="31"/>
      <c r="NH236" s="31"/>
      <c r="NI236" s="31"/>
      <c r="NJ236" s="31"/>
      <c r="NK236" s="31"/>
      <c r="NL236" s="31"/>
      <c r="NM236" s="31"/>
      <c r="NN236" s="31"/>
      <c r="NO236" s="31"/>
      <c r="NP236" s="31"/>
      <c r="NQ236" s="31"/>
      <c r="NR236" s="31"/>
      <c r="NS236" s="31"/>
      <c r="NT236" s="31"/>
      <c r="NU236" s="31"/>
      <c r="NV236" s="31"/>
      <c r="NW236" s="31"/>
      <c r="NX236" s="31"/>
      <c r="NY236" s="31"/>
      <c r="NZ236" s="31"/>
      <c r="OA236" s="31"/>
      <c r="OB236" s="31"/>
      <c r="OC236" s="31"/>
      <c r="OD236" s="31"/>
      <c r="OE236" s="31"/>
      <c r="OF236" s="31"/>
      <c r="OG236" s="31"/>
      <c r="OH236" s="31"/>
      <c r="OI236" s="31"/>
      <c r="OJ236" s="31"/>
      <c r="OK236" s="31"/>
      <c r="OL236" s="31"/>
      <c r="OM236" s="31"/>
      <c r="ON236" s="31"/>
      <c r="OO236" s="31"/>
      <c r="OP236" s="31"/>
      <c r="OQ236" s="31"/>
      <c r="OR236" s="31"/>
      <c r="OS236" s="31"/>
      <c r="OT236" s="31"/>
      <c r="OU236" s="31"/>
      <c r="OV236" s="31"/>
      <c r="OW236" s="31"/>
      <c r="OX236" s="31"/>
    </row>
    <row r="237" spans="2:414" s="25" customFormat="1" ht="15.6">
      <c r="B237" s="25" t="s">
        <v>358</v>
      </c>
      <c r="C237" s="27" t="s">
        <v>161</v>
      </c>
      <c r="D237" s="30" t="s">
        <v>355</v>
      </c>
      <c r="G237" s="42">
        <v>500</v>
      </c>
      <c r="H237" s="89">
        <v>26.109000000000002</v>
      </c>
      <c r="I237" s="38">
        <f t="shared" si="72"/>
        <v>13054.5</v>
      </c>
      <c r="K237" s="42">
        <v>500</v>
      </c>
      <c r="L237" s="90">
        <v>26.849599999999999</v>
      </c>
      <c r="M237" s="38">
        <f t="shared" si="73"/>
        <v>13424.8</v>
      </c>
      <c r="O237" s="38">
        <v>80</v>
      </c>
      <c r="P237" s="38">
        <v>26.728300000000001</v>
      </c>
      <c r="Q237" s="38">
        <f t="shared" si="74"/>
        <v>2138.2640000000001</v>
      </c>
      <c r="R237" s="43">
        <f t="shared" si="71"/>
        <v>1080</v>
      </c>
      <c r="S237" s="38">
        <f t="shared" si="75"/>
        <v>28617.563999999998</v>
      </c>
      <c r="T237" s="49">
        <v>85</v>
      </c>
      <c r="U237" s="42">
        <v>26.283100000000001</v>
      </c>
      <c r="V237" s="38">
        <f t="shared" si="86"/>
        <v>2234.0635000000002</v>
      </c>
      <c r="W237" s="42">
        <v>100</v>
      </c>
      <c r="X237" s="42">
        <v>25.862400000000001</v>
      </c>
      <c r="Y237" s="42">
        <f t="shared" si="88"/>
        <v>2586.2400000000002</v>
      </c>
      <c r="Z237" s="42">
        <v>165</v>
      </c>
      <c r="AA237" s="42">
        <v>25.862400000000001</v>
      </c>
      <c r="AB237" s="42">
        <f t="shared" si="89"/>
        <v>4267.2960000000003</v>
      </c>
      <c r="AD237" s="42">
        <v>100</v>
      </c>
      <c r="AE237" s="42">
        <v>25.862400000000001</v>
      </c>
      <c r="AF237" s="42">
        <f t="shared" si="84"/>
        <v>2586.2400000000002</v>
      </c>
      <c r="AG237" s="42"/>
      <c r="AH237" s="42">
        <v>50</v>
      </c>
      <c r="AI237" s="42">
        <v>25.862400000000001</v>
      </c>
      <c r="AJ237" s="42">
        <f>AH237*AI237</f>
        <v>1293.1200000000001</v>
      </c>
      <c r="AL237" s="42">
        <v>150</v>
      </c>
      <c r="AM237" s="42">
        <v>26.856000000000002</v>
      </c>
      <c r="AN237" s="42">
        <f t="shared" si="85"/>
        <v>4028.4</v>
      </c>
      <c r="AO237" s="44"/>
      <c r="AP237" s="42">
        <v>80</v>
      </c>
      <c r="AQ237" s="42">
        <v>26.979600000000001</v>
      </c>
      <c r="AR237" s="42"/>
      <c r="AT237" s="25">
        <v>100</v>
      </c>
      <c r="AU237" s="98">
        <v>26.795400000000001</v>
      </c>
      <c r="AV237" s="35">
        <f>AT237*AU237</f>
        <v>2679.54</v>
      </c>
      <c r="AW237" s="104"/>
      <c r="AX237" s="42">
        <v>100</v>
      </c>
      <c r="AY237" s="42">
        <v>26.768699999999999</v>
      </c>
      <c r="AZ237" s="42">
        <f t="shared" si="70"/>
        <v>2676.87</v>
      </c>
      <c r="BA237" s="42"/>
      <c r="BB237" s="42">
        <v>70</v>
      </c>
      <c r="BC237" s="42">
        <v>26.768699999999999</v>
      </c>
      <c r="BD237" s="38">
        <f t="shared" si="76"/>
        <v>1873.809</v>
      </c>
      <c r="BE237" s="42"/>
      <c r="BF237" s="42"/>
      <c r="BG237" s="42"/>
      <c r="BH237" s="38">
        <f t="shared" si="77"/>
        <v>0</v>
      </c>
      <c r="BI237" s="42"/>
      <c r="BJ237" s="42"/>
      <c r="BK237" s="42"/>
      <c r="BL237" s="38">
        <f t="shared" si="78"/>
        <v>0</v>
      </c>
      <c r="BM237" s="42"/>
      <c r="BN237" s="42"/>
      <c r="BO237" s="42"/>
      <c r="BP237" s="42"/>
      <c r="BR237" s="42">
        <f t="shared" si="79"/>
        <v>24225.578500000003</v>
      </c>
      <c r="BS237" s="43">
        <f t="shared" si="80"/>
        <v>4391.9854999999952</v>
      </c>
      <c r="BT237" s="42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  <c r="IM237" s="31"/>
      <c r="IN237" s="31"/>
      <c r="IO237" s="31"/>
      <c r="IP237" s="31"/>
      <c r="IQ237" s="31"/>
      <c r="IR237" s="31"/>
      <c r="IS237" s="31"/>
      <c r="IT237" s="31"/>
      <c r="IU237" s="31"/>
      <c r="IV237" s="31"/>
      <c r="IW237" s="31"/>
      <c r="IX237" s="31"/>
      <c r="IY237" s="31"/>
      <c r="IZ237" s="31"/>
      <c r="JA237" s="31"/>
      <c r="JB237" s="31"/>
      <c r="JC237" s="31"/>
      <c r="JD237" s="31"/>
      <c r="JE237" s="31"/>
      <c r="JF237" s="31"/>
      <c r="JG237" s="31"/>
      <c r="JH237" s="31"/>
      <c r="JI237" s="31"/>
      <c r="JJ237" s="31"/>
      <c r="JK237" s="31"/>
      <c r="JL237" s="31"/>
      <c r="JM237" s="31"/>
      <c r="JN237" s="31"/>
      <c r="JO237" s="31"/>
      <c r="JP237" s="31"/>
      <c r="JQ237" s="31"/>
      <c r="JR237" s="31"/>
      <c r="JS237" s="31"/>
      <c r="JT237" s="31"/>
      <c r="JU237" s="31"/>
      <c r="JV237" s="31"/>
      <c r="JW237" s="31"/>
      <c r="JX237" s="31"/>
      <c r="JY237" s="31"/>
      <c r="JZ237" s="31"/>
      <c r="KA237" s="31"/>
      <c r="KB237" s="31"/>
      <c r="KC237" s="31"/>
      <c r="KD237" s="31"/>
      <c r="KE237" s="31"/>
      <c r="KF237" s="31"/>
      <c r="KG237" s="31"/>
      <c r="KH237" s="31"/>
      <c r="KI237" s="31"/>
      <c r="KJ237" s="31"/>
      <c r="KK237" s="31"/>
      <c r="KL237" s="31"/>
      <c r="KM237" s="31"/>
      <c r="KN237" s="31"/>
      <c r="KO237" s="31"/>
      <c r="KP237" s="31"/>
      <c r="KQ237" s="31"/>
      <c r="KR237" s="31"/>
      <c r="KS237" s="31"/>
      <c r="KT237" s="31"/>
      <c r="KU237" s="31"/>
      <c r="KV237" s="31"/>
      <c r="KW237" s="31"/>
      <c r="KX237" s="31"/>
      <c r="KY237" s="31"/>
      <c r="KZ237" s="31"/>
      <c r="LA237" s="31"/>
      <c r="LB237" s="31"/>
      <c r="LC237" s="31"/>
      <c r="LD237" s="31"/>
      <c r="LE237" s="31"/>
      <c r="LF237" s="31"/>
      <c r="LG237" s="31"/>
      <c r="LH237" s="31"/>
      <c r="LI237" s="31"/>
      <c r="LJ237" s="31"/>
      <c r="LK237" s="31"/>
      <c r="LL237" s="31"/>
      <c r="LM237" s="31"/>
      <c r="LN237" s="31"/>
      <c r="LO237" s="31"/>
      <c r="LP237" s="31"/>
      <c r="LQ237" s="31"/>
      <c r="LR237" s="31"/>
      <c r="LS237" s="31"/>
      <c r="LT237" s="31"/>
      <c r="LU237" s="31"/>
      <c r="LV237" s="31"/>
      <c r="LW237" s="31"/>
      <c r="LX237" s="31"/>
      <c r="LY237" s="31"/>
      <c r="LZ237" s="31"/>
      <c r="MA237" s="31"/>
      <c r="MB237" s="31"/>
      <c r="MC237" s="31"/>
      <c r="MD237" s="31"/>
      <c r="ME237" s="31"/>
      <c r="MF237" s="31"/>
      <c r="MG237" s="31"/>
      <c r="MH237" s="31"/>
      <c r="MI237" s="31"/>
      <c r="MJ237" s="31"/>
      <c r="MK237" s="31"/>
      <c r="ML237" s="31"/>
      <c r="MM237" s="31"/>
      <c r="MN237" s="31"/>
      <c r="MO237" s="31"/>
      <c r="MP237" s="31"/>
      <c r="MQ237" s="31"/>
      <c r="MR237" s="31"/>
      <c r="MS237" s="31"/>
      <c r="MT237" s="31"/>
      <c r="MU237" s="31"/>
      <c r="MV237" s="31"/>
      <c r="MW237" s="31"/>
      <c r="MX237" s="31"/>
      <c r="MY237" s="31"/>
      <c r="MZ237" s="31"/>
      <c r="NA237" s="31"/>
      <c r="NB237" s="31"/>
      <c r="NC237" s="31"/>
      <c r="ND237" s="31"/>
      <c r="NE237" s="31"/>
      <c r="NF237" s="31"/>
      <c r="NG237" s="31"/>
      <c r="NH237" s="31"/>
      <c r="NI237" s="31"/>
      <c r="NJ237" s="31"/>
      <c r="NK237" s="31"/>
      <c r="NL237" s="31"/>
      <c r="NM237" s="31"/>
      <c r="NN237" s="31"/>
      <c r="NO237" s="31"/>
      <c r="NP237" s="31"/>
      <c r="NQ237" s="31"/>
      <c r="NR237" s="31"/>
      <c r="NS237" s="31"/>
      <c r="NT237" s="31"/>
      <c r="NU237" s="31"/>
      <c r="NV237" s="31"/>
      <c r="NW237" s="31"/>
      <c r="NX237" s="31"/>
      <c r="NY237" s="31"/>
      <c r="NZ237" s="31"/>
      <c r="OA237" s="31"/>
      <c r="OB237" s="31"/>
      <c r="OC237" s="31"/>
      <c r="OD237" s="31"/>
      <c r="OE237" s="31"/>
      <c r="OF237" s="31"/>
      <c r="OG237" s="31"/>
      <c r="OH237" s="31"/>
      <c r="OI237" s="31"/>
      <c r="OJ237" s="31"/>
      <c r="OK237" s="31"/>
      <c r="OL237" s="31"/>
      <c r="OM237" s="31"/>
      <c r="ON237" s="31"/>
      <c r="OO237" s="31"/>
      <c r="OP237" s="31"/>
      <c r="OQ237" s="31"/>
      <c r="OR237" s="31"/>
      <c r="OS237" s="31"/>
      <c r="OT237" s="31"/>
      <c r="OU237" s="31"/>
      <c r="OV237" s="31"/>
      <c r="OW237" s="31"/>
      <c r="OX237" s="31"/>
    </row>
    <row r="238" spans="2:414" s="25" customFormat="1" ht="15.6">
      <c r="B238" s="25" t="s">
        <v>359</v>
      </c>
      <c r="C238" s="27" t="s">
        <v>360</v>
      </c>
      <c r="D238" s="30" t="s">
        <v>355</v>
      </c>
      <c r="G238" s="42">
        <v>500</v>
      </c>
      <c r="H238" s="89">
        <v>26.109000000000002</v>
      </c>
      <c r="I238" s="38">
        <f t="shared" si="72"/>
        <v>13054.5</v>
      </c>
      <c r="K238" s="42">
        <v>500</v>
      </c>
      <c r="L238" s="90">
        <v>26.849599999999999</v>
      </c>
      <c r="M238" s="38">
        <f t="shared" si="73"/>
        <v>13424.8</v>
      </c>
      <c r="O238" s="38">
        <v>80</v>
      </c>
      <c r="P238" s="38">
        <v>26.728300000000001</v>
      </c>
      <c r="Q238" s="38">
        <f t="shared" si="74"/>
        <v>2138.2640000000001</v>
      </c>
      <c r="R238" s="43">
        <f t="shared" si="71"/>
        <v>1080</v>
      </c>
      <c r="S238" s="38">
        <f t="shared" si="75"/>
        <v>28617.563999999998</v>
      </c>
      <c r="T238" s="49">
        <v>415</v>
      </c>
      <c r="U238" s="42">
        <v>26.0579</v>
      </c>
      <c r="V238" s="38">
        <f t="shared" si="86"/>
        <v>10814.0285</v>
      </c>
      <c r="W238" s="42">
        <v>85</v>
      </c>
      <c r="X238" s="42"/>
      <c r="Y238" s="42">
        <f t="shared" si="88"/>
        <v>0</v>
      </c>
      <c r="Z238" s="42">
        <v>400</v>
      </c>
      <c r="AA238" s="42">
        <v>26.869499999999999</v>
      </c>
      <c r="AB238" s="42">
        <f t="shared" si="89"/>
        <v>10747.8</v>
      </c>
      <c r="AD238" s="42">
        <v>100</v>
      </c>
      <c r="AE238" s="42">
        <v>26.958300000000001</v>
      </c>
      <c r="AF238" s="42">
        <f t="shared" si="84"/>
        <v>2695.83</v>
      </c>
      <c r="AG238" s="42"/>
      <c r="AH238" s="42"/>
      <c r="AI238" s="42"/>
      <c r="AJ238" s="42">
        <f t="shared" ref="AJ238:AJ242" si="90">AH238*AI238</f>
        <v>0</v>
      </c>
      <c r="AL238" s="42"/>
      <c r="AM238" s="42"/>
      <c r="AN238" s="42">
        <f t="shared" si="85"/>
        <v>0</v>
      </c>
      <c r="AO238" s="44"/>
      <c r="AP238" s="42"/>
      <c r="AQ238" s="42"/>
      <c r="AR238" s="42"/>
      <c r="AU238" s="98"/>
      <c r="AV238" s="35">
        <f t="shared" ref="AV238:AV301" si="91">AT238*AU238</f>
        <v>0</v>
      </c>
      <c r="AW238" s="104"/>
      <c r="AX238" s="42"/>
      <c r="AY238" s="42"/>
      <c r="AZ238" s="42">
        <f t="shared" si="70"/>
        <v>0</v>
      </c>
      <c r="BA238" s="42"/>
      <c r="BB238" s="42"/>
      <c r="BC238" s="42"/>
      <c r="BD238" s="38">
        <f t="shared" si="76"/>
        <v>0</v>
      </c>
      <c r="BE238" s="42"/>
      <c r="BF238" s="42"/>
      <c r="BG238" s="42"/>
      <c r="BH238" s="38">
        <f t="shared" si="77"/>
        <v>0</v>
      </c>
      <c r="BI238" s="42"/>
      <c r="BJ238" s="42"/>
      <c r="BK238" s="42"/>
      <c r="BL238" s="38">
        <f t="shared" si="78"/>
        <v>0</v>
      </c>
      <c r="BM238" s="42"/>
      <c r="BN238" s="42"/>
      <c r="BO238" s="42"/>
      <c r="BP238" s="42"/>
      <c r="BR238" s="42">
        <f t="shared" si="79"/>
        <v>24257.658499999998</v>
      </c>
      <c r="BS238" s="43">
        <f t="shared" si="80"/>
        <v>4359.9055000000008</v>
      </c>
      <c r="BT238" s="42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  <c r="IM238" s="31"/>
      <c r="IN238" s="31"/>
      <c r="IO238" s="31"/>
      <c r="IP238" s="31"/>
      <c r="IQ238" s="31"/>
      <c r="IR238" s="31"/>
      <c r="IS238" s="31"/>
      <c r="IT238" s="31"/>
      <c r="IU238" s="31"/>
      <c r="IV238" s="31"/>
      <c r="IW238" s="31"/>
      <c r="IX238" s="31"/>
      <c r="IY238" s="31"/>
      <c r="IZ238" s="31"/>
      <c r="JA238" s="31"/>
      <c r="JB238" s="31"/>
      <c r="JC238" s="31"/>
      <c r="JD238" s="31"/>
      <c r="JE238" s="31"/>
      <c r="JF238" s="31"/>
      <c r="JG238" s="31"/>
      <c r="JH238" s="31"/>
      <c r="JI238" s="31"/>
      <c r="JJ238" s="31"/>
      <c r="JK238" s="31"/>
      <c r="JL238" s="31"/>
      <c r="JM238" s="31"/>
      <c r="JN238" s="31"/>
      <c r="JO238" s="31"/>
      <c r="JP238" s="31"/>
      <c r="JQ238" s="31"/>
      <c r="JR238" s="31"/>
      <c r="JS238" s="31"/>
      <c r="JT238" s="31"/>
      <c r="JU238" s="31"/>
      <c r="JV238" s="31"/>
      <c r="JW238" s="31"/>
      <c r="JX238" s="31"/>
      <c r="JY238" s="31"/>
      <c r="JZ238" s="31"/>
      <c r="KA238" s="31"/>
      <c r="KB238" s="31"/>
      <c r="KC238" s="31"/>
      <c r="KD238" s="31"/>
      <c r="KE238" s="31"/>
      <c r="KF238" s="31"/>
      <c r="KG238" s="31"/>
      <c r="KH238" s="31"/>
      <c r="KI238" s="31"/>
      <c r="KJ238" s="31"/>
      <c r="KK238" s="31"/>
      <c r="KL238" s="31"/>
      <c r="KM238" s="31"/>
      <c r="KN238" s="31"/>
      <c r="KO238" s="31"/>
      <c r="KP238" s="31"/>
      <c r="KQ238" s="31"/>
      <c r="KR238" s="31"/>
      <c r="KS238" s="31"/>
      <c r="KT238" s="31"/>
      <c r="KU238" s="31"/>
      <c r="KV238" s="31"/>
      <c r="KW238" s="31"/>
      <c r="KX238" s="31"/>
      <c r="KY238" s="31"/>
      <c r="KZ238" s="31"/>
      <c r="LA238" s="31"/>
      <c r="LB238" s="31"/>
      <c r="LC238" s="31"/>
      <c r="LD238" s="31"/>
      <c r="LE238" s="31"/>
      <c r="LF238" s="31"/>
      <c r="LG238" s="31"/>
      <c r="LH238" s="31"/>
      <c r="LI238" s="31"/>
      <c r="LJ238" s="31"/>
      <c r="LK238" s="31"/>
      <c r="LL238" s="31"/>
      <c r="LM238" s="31"/>
      <c r="LN238" s="31"/>
      <c r="LO238" s="31"/>
      <c r="LP238" s="31"/>
      <c r="LQ238" s="31"/>
      <c r="LR238" s="31"/>
      <c r="LS238" s="31"/>
      <c r="LT238" s="31"/>
      <c r="LU238" s="31"/>
      <c r="LV238" s="31"/>
      <c r="LW238" s="31"/>
      <c r="LX238" s="31"/>
      <c r="LY238" s="31"/>
      <c r="LZ238" s="31"/>
      <c r="MA238" s="31"/>
      <c r="MB238" s="31"/>
      <c r="MC238" s="31"/>
      <c r="MD238" s="31"/>
      <c r="ME238" s="31"/>
      <c r="MF238" s="31"/>
      <c r="MG238" s="31"/>
      <c r="MH238" s="31"/>
      <c r="MI238" s="31"/>
      <c r="MJ238" s="31"/>
      <c r="MK238" s="31"/>
      <c r="ML238" s="31"/>
      <c r="MM238" s="31"/>
      <c r="MN238" s="31"/>
      <c r="MO238" s="31"/>
      <c r="MP238" s="31"/>
      <c r="MQ238" s="31"/>
      <c r="MR238" s="31"/>
      <c r="MS238" s="31"/>
      <c r="MT238" s="31"/>
      <c r="MU238" s="31"/>
      <c r="MV238" s="31"/>
      <c r="MW238" s="31"/>
      <c r="MX238" s="31"/>
      <c r="MY238" s="31"/>
      <c r="MZ238" s="31"/>
      <c r="NA238" s="31"/>
      <c r="NB238" s="31"/>
      <c r="NC238" s="31"/>
      <c r="ND238" s="31"/>
      <c r="NE238" s="31"/>
      <c r="NF238" s="31"/>
      <c r="NG238" s="31"/>
      <c r="NH238" s="31"/>
      <c r="NI238" s="31"/>
      <c r="NJ238" s="31"/>
      <c r="NK238" s="31"/>
      <c r="NL238" s="31"/>
      <c r="NM238" s="31"/>
      <c r="NN238" s="31"/>
      <c r="NO238" s="31"/>
      <c r="NP238" s="31"/>
      <c r="NQ238" s="31"/>
      <c r="NR238" s="31"/>
      <c r="NS238" s="31"/>
      <c r="NT238" s="31"/>
      <c r="NU238" s="31"/>
      <c r="NV238" s="31"/>
      <c r="NW238" s="31"/>
      <c r="NX238" s="31"/>
      <c r="NY238" s="31"/>
      <c r="NZ238" s="31"/>
      <c r="OA238" s="31"/>
      <c r="OB238" s="31"/>
      <c r="OC238" s="31"/>
      <c r="OD238" s="31"/>
      <c r="OE238" s="31"/>
      <c r="OF238" s="31"/>
      <c r="OG238" s="31"/>
      <c r="OH238" s="31"/>
      <c r="OI238" s="31"/>
      <c r="OJ238" s="31"/>
      <c r="OK238" s="31"/>
      <c r="OL238" s="31"/>
      <c r="OM238" s="31"/>
      <c r="ON238" s="31"/>
      <c r="OO238" s="31"/>
      <c r="OP238" s="31"/>
      <c r="OQ238" s="31"/>
      <c r="OR238" s="31"/>
      <c r="OS238" s="31"/>
      <c r="OT238" s="31"/>
      <c r="OU238" s="31"/>
      <c r="OV238" s="31"/>
      <c r="OW238" s="31"/>
      <c r="OX238" s="31"/>
    </row>
    <row r="239" spans="2:414" s="25" customFormat="1" ht="15.6">
      <c r="B239" s="25" t="s">
        <v>361</v>
      </c>
      <c r="C239" s="27" t="s">
        <v>362</v>
      </c>
      <c r="D239" s="30" t="s">
        <v>355</v>
      </c>
      <c r="G239" s="42">
        <v>500</v>
      </c>
      <c r="H239" s="89">
        <v>26.109000000000002</v>
      </c>
      <c r="I239" s="38">
        <f t="shared" si="72"/>
        <v>13054.5</v>
      </c>
      <c r="K239" s="42">
        <v>500</v>
      </c>
      <c r="L239" s="90">
        <v>26.849599999999999</v>
      </c>
      <c r="M239" s="38">
        <f t="shared" si="73"/>
        <v>13424.8</v>
      </c>
      <c r="O239" s="38">
        <v>80</v>
      </c>
      <c r="P239" s="38">
        <v>26.728300000000001</v>
      </c>
      <c r="Q239" s="38">
        <f t="shared" si="74"/>
        <v>2138.2640000000001</v>
      </c>
      <c r="R239" s="43">
        <f t="shared" si="71"/>
        <v>1080</v>
      </c>
      <c r="S239" s="38">
        <f t="shared" si="75"/>
        <v>28617.563999999998</v>
      </c>
      <c r="T239" s="49">
        <v>150</v>
      </c>
      <c r="U239" s="42">
        <v>26.442599999999999</v>
      </c>
      <c r="V239" s="38">
        <f t="shared" si="86"/>
        <v>3966.39</v>
      </c>
      <c r="W239" s="42">
        <v>150</v>
      </c>
      <c r="X239" s="42">
        <v>26.267499999999998</v>
      </c>
      <c r="Y239" s="42">
        <f t="shared" si="88"/>
        <v>3940.1249999999995</v>
      </c>
      <c r="Z239" s="42">
        <v>50</v>
      </c>
      <c r="AA239" s="42">
        <v>26.267499999999998</v>
      </c>
      <c r="AB239" s="42">
        <f t="shared" si="89"/>
        <v>1313.375</v>
      </c>
      <c r="AD239" s="48">
        <v>90</v>
      </c>
      <c r="AE239" s="48">
        <v>26.996500000000001</v>
      </c>
      <c r="AF239" s="42">
        <f t="shared" si="84"/>
        <v>2429.6849999999999</v>
      </c>
      <c r="AH239" s="27">
        <v>100</v>
      </c>
      <c r="AI239" s="27">
        <v>26.789100000000001</v>
      </c>
      <c r="AJ239" s="42">
        <f t="shared" si="90"/>
        <v>2678.9100000000003</v>
      </c>
      <c r="AL239" s="42">
        <v>100</v>
      </c>
      <c r="AM239" s="42">
        <v>26.890999999999998</v>
      </c>
      <c r="AN239" s="42">
        <f t="shared" si="85"/>
        <v>2689.1</v>
      </c>
      <c r="AO239" s="44"/>
      <c r="AP239" s="42"/>
      <c r="AQ239" s="42"/>
      <c r="AR239" s="42"/>
      <c r="AU239" s="98"/>
      <c r="AV239" s="35">
        <f t="shared" si="91"/>
        <v>0</v>
      </c>
      <c r="AW239" s="104"/>
      <c r="AX239" s="42"/>
      <c r="AY239" s="42"/>
      <c r="AZ239" s="42">
        <f t="shared" si="70"/>
        <v>0</v>
      </c>
      <c r="BA239" s="42"/>
      <c r="BB239" s="42"/>
      <c r="BC239" s="42"/>
      <c r="BD239" s="38">
        <f t="shared" si="76"/>
        <v>0</v>
      </c>
      <c r="BE239" s="42"/>
      <c r="BF239" s="42"/>
      <c r="BG239" s="42"/>
      <c r="BH239" s="38">
        <f t="shared" si="77"/>
        <v>0</v>
      </c>
      <c r="BI239" s="42"/>
      <c r="BJ239" s="42"/>
      <c r="BK239" s="42"/>
      <c r="BL239" s="38">
        <f t="shared" si="78"/>
        <v>0</v>
      </c>
      <c r="BM239" s="42"/>
      <c r="BN239" s="42"/>
      <c r="BO239" s="42"/>
      <c r="BP239" s="42"/>
      <c r="BR239" s="42">
        <f t="shared" si="79"/>
        <v>17017.584999999999</v>
      </c>
      <c r="BS239" s="43">
        <f t="shared" si="80"/>
        <v>11599.978999999999</v>
      </c>
      <c r="BT239" s="42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  <c r="IM239" s="31"/>
      <c r="IN239" s="31"/>
      <c r="IO239" s="31"/>
      <c r="IP239" s="31"/>
      <c r="IQ239" s="31"/>
      <c r="IR239" s="31"/>
      <c r="IS239" s="31"/>
      <c r="IT239" s="31"/>
      <c r="IU239" s="31"/>
      <c r="IV239" s="31"/>
      <c r="IW239" s="31"/>
      <c r="IX239" s="31"/>
      <c r="IY239" s="31"/>
      <c r="IZ239" s="31"/>
      <c r="JA239" s="31"/>
      <c r="JB239" s="31"/>
      <c r="JC239" s="31"/>
      <c r="JD239" s="31"/>
      <c r="JE239" s="31"/>
      <c r="JF239" s="31"/>
      <c r="JG239" s="31"/>
      <c r="JH239" s="31"/>
      <c r="JI239" s="31"/>
      <c r="JJ239" s="31"/>
      <c r="JK239" s="31"/>
      <c r="JL239" s="31"/>
      <c r="JM239" s="31"/>
      <c r="JN239" s="31"/>
      <c r="JO239" s="31"/>
      <c r="JP239" s="31"/>
      <c r="JQ239" s="31"/>
      <c r="JR239" s="31"/>
      <c r="JS239" s="31"/>
      <c r="JT239" s="31"/>
      <c r="JU239" s="31"/>
      <c r="JV239" s="31"/>
      <c r="JW239" s="31"/>
      <c r="JX239" s="31"/>
      <c r="JY239" s="31"/>
      <c r="JZ239" s="31"/>
      <c r="KA239" s="31"/>
      <c r="KB239" s="31"/>
      <c r="KC239" s="31"/>
      <c r="KD239" s="31"/>
      <c r="KE239" s="31"/>
      <c r="KF239" s="31"/>
      <c r="KG239" s="31"/>
      <c r="KH239" s="31"/>
      <c r="KI239" s="31"/>
      <c r="KJ239" s="31"/>
      <c r="KK239" s="31"/>
      <c r="KL239" s="31"/>
      <c r="KM239" s="31"/>
      <c r="KN239" s="31"/>
      <c r="KO239" s="31"/>
      <c r="KP239" s="31"/>
      <c r="KQ239" s="31"/>
      <c r="KR239" s="31"/>
      <c r="KS239" s="31"/>
      <c r="KT239" s="31"/>
      <c r="KU239" s="31"/>
      <c r="KV239" s="31"/>
      <c r="KW239" s="31"/>
      <c r="KX239" s="31"/>
      <c r="KY239" s="31"/>
      <c r="KZ239" s="31"/>
      <c r="LA239" s="31"/>
      <c r="LB239" s="31"/>
      <c r="LC239" s="31"/>
      <c r="LD239" s="31"/>
      <c r="LE239" s="31"/>
      <c r="LF239" s="31"/>
      <c r="LG239" s="31"/>
      <c r="LH239" s="31"/>
      <c r="LI239" s="31"/>
      <c r="LJ239" s="31"/>
      <c r="LK239" s="31"/>
      <c r="LL239" s="31"/>
      <c r="LM239" s="31"/>
      <c r="LN239" s="31"/>
      <c r="LO239" s="31"/>
      <c r="LP239" s="31"/>
      <c r="LQ239" s="31"/>
      <c r="LR239" s="31"/>
      <c r="LS239" s="31"/>
      <c r="LT239" s="31"/>
      <c r="LU239" s="31"/>
      <c r="LV239" s="31"/>
      <c r="LW239" s="31"/>
      <c r="LX239" s="31"/>
      <c r="LY239" s="31"/>
      <c r="LZ239" s="31"/>
      <c r="MA239" s="31"/>
      <c r="MB239" s="31"/>
      <c r="MC239" s="31"/>
      <c r="MD239" s="31"/>
      <c r="ME239" s="31"/>
      <c r="MF239" s="31"/>
      <c r="MG239" s="31"/>
      <c r="MH239" s="31"/>
      <c r="MI239" s="31"/>
      <c r="MJ239" s="31"/>
      <c r="MK239" s="31"/>
      <c r="ML239" s="31"/>
      <c r="MM239" s="31"/>
      <c r="MN239" s="31"/>
      <c r="MO239" s="31"/>
      <c r="MP239" s="31"/>
      <c r="MQ239" s="31"/>
      <c r="MR239" s="31"/>
      <c r="MS239" s="31"/>
      <c r="MT239" s="31"/>
      <c r="MU239" s="31"/>
      <c r="MV239" s="31"/>
      <c r="MW239" s="31"/>
      <c r="MX239" s="31"/>
      <c r="MY239" s="31"/>
      <c r="MZ239" s="31"/>
      <c r="NA239" s="31"/>
      <c r="NB239" s="31"/>
      <c r="NC239" s="31"/>
      <c r="ND239" s="31"/>
      <c r="NE239" s="31"/>
      <c r="NF239" s="31"/>
      <c r="NG239" s="31"/>
      <c r="NH239" s="31"/>
      <c r="NI239" s="31"/>
      <c r="NJ239" s="31"/>
      <c r="NK239" s="31"/>
      <c r="NL239" s="31"/>
      <c r="NM239" s="31"/>
      <c r="NN239" s="31"/>
      <c r="NO239" s="31"/>
      <c r="NP239" s="31"/>
      <c r="NQ239" s="31"/>
      <c r="NR239" s="31"/>
      <c r="NS239" s="31"/>
      <c r="NT239" s="31"/>
      <c r="NU239" s="31"/>
      <c r="NV239" s="31"/>
      <c r="NW239" s="31"/>
      <c r="NX239" s="31"/>
      <c r="NY239" s="31"/>
      <c r="NZ239" s="31"/>
      <c r="OA239" s="31"/>
      <c r="OB239" s="31"/>
      <c r="OC239" s="31"/>
      <c r="OD239" s="31"/>
      <c r="OE239" s="31"/>
      <c r="OF239" s="31"/>
      <c r="OG239" s="31"/>
      <c r="OH239" s="31"/>
      <c r="OI239" s="31"/>
      <c r="OJ239" s="31"/>
      <c r="OK239" s="31"/>
      <c r="OL239" s="31"/>
      <c r="OM239" s="31"/>
      <c r="ON239" s="31"/>
      <c r="OO239" s="31"/>
      <c r="OP239" s="31"/>
      <c r="OQ239" s="31"/>
      <c r="OR239" s="31"/>
      <c r="OS239" s="31"/>
      <c r="OT239" s="31"/>
      <c r="OU239" s="31"/>
      <c r="OV239" s="31"/>
      <c r="OW239" s="31"/>
      <c r="OX239" s="31"/>
    </row>
    <row r="240" spans="2:414" s="25" customFormat="1" ht="15.6">
      <c r="B240" s="25" t="s">
        <v>125</v>
      </c>
      <c r="C240" s="27" t="s">
        <v>338</v>
      </c>
      <c r="D240" s="30" t="s">
        <v>355</v>
      </c>
      <c r="G240" s="42">
        <v>500</v>
      </c>
      <c r="H240" s="89">
        <v>26.109000000000002</v>
      </c>
      <c r="I240" s="38">
        <f t="shared" si="72"/>
        <v>13054.5</v>
      </c>
      <c r="K240" s="42">
        <v>500</v>
      </c>
      <c r="L240" s="90">
        <v>26.849599999999999</v>
      </c>
      <c r="M240" s="38">
        <f t="shared" si="73"/>
        <v>13424.8</v>
      </c>
      <c r="O240" s="38">
        <v>80</v>
      </c>
      <c r="P240" s="38">
        <v>26.728300000000001</v>
      </c>
      <c r="Q240" s="38">
        <f t="shared" si="74"/>
        <v>2138.2640000000001</v>
      </c>
      <c r="R240" s="43">
        <f t="shared" si="71"/>
        <v>1080</v>
      </c>
      <c r="S240" s="38">
        <f t="shared" si="75"/>
        <v>28617.563999999998</v>
      </c>
      <c r="T240" s="49">
        <v>200</v>
      </c>
      <c r="U240" s="42">
        <v>26.267499999999998</v>
      </c>
      <c r="V240" s="38">
        <f t="shared" si="86"/>
        <v>5253.5</v>
      </c>
      <c r="W240" s="42">
        <v>105</v>
      </c>
      <c r="X240" s="42">
        <v>26.267499999999998</v>
      </c>
      <c r="Y240" s="42">
        <f t="shared" si="88"/>
        <v>2758.0874999999996</v>
      </c>
      <c r="Z240" s="42">
        <v>85</v>
      </c>
      <c r="AA240" s="42">
        <v>26.261399999999998</v>
      </c>
      <c r="AB240" s="42">
        <f t="shared" si="89"/>
        <v>2232.2190000000001</v>
      </c>
      <c r="AD240" s="42">
        <v>100</v>
      </c>
      <c r="AE240" s="42">
        <v>26.261399999999998</v>
      </c>
      <c r="AF240" s="42">
        <f t="shared" si="84"/>
        <v>2626.14</v>
      </c>
      <c r="AG240" s="42"/>
      <c r="AH240" s="42">
        <v>125</v>
      </c>
      <c r="AI240" s="42">
        <v>26.803799999999999</v>
      </c>
      <c r="AJ240" s="42">
        <f t="shared" si="90"/>
        <v>3350.4749999999999</v>
      </c>
      <c r="AL240" s="42">
        <v>250</v>
      </c>
      <c r="AM240" s="42">
        <v>26.7654</v>
      </c>
      <c r="AN240" s="42">
        <f t="shared" si="85"/>
        <v>6691.35</v>
      </c>
      <c r="AO240" s="44"/>
      <c r="AP240" s="42">
        <v>30</v>
      </c>
      <c r="AQ240" s="42">
        <v>26.791499999999999</v>
      </c>
      <c r="AR240" s="42"/>
      <c r="AT240" s="25">
        <v>105</v>
      </c>
      <c r="AU240" s="98">
        <v>26.789400000000001</v>
      </c>
      <c r="AV240" s="35">
        <f t="shared" si="91"/>
        <v>2812.8870000000002</v>
      </c>
      <c r="AW240" s="104"/>
      <c r="AX240" s="42"/>
      <c r="AY240" s="42"/>
      <c r="AZ240" s="42">
        <f t="shared" si="70"/>
        <v>0</v>
      </c>
      <c r="BA240" s="42"/>
      <c r="BB240" s="42"/>
      <c r="BC240" s="42"/>
      <c r="BD240" s="38">
        <f t="shared" si="76"/>
        <v>0</v>
      </c>
      <c r="BE240" s="42"/>
      <c r="BF240" s="42"/>
      <c r="BG240" s="42"/>
      <c r="BH240" s="38">
        <f t="shared" si="77"/>
        <v>0</v>
      </c>
      <c r="BI240" s="42"/>
      <c r="BJ240" s="42"/>
      <c r="BK240" s="42"/>
      <c r="BL240" s="38">
        <f t="shared" si="78"/>
        <v>0</v>
      </c>
      <c r="BM240" s="42"/>
      <c r="BN240" s="42"/>
      <c r="BO240" s="42"/>
      <c r="BP240" s="42"/>
      <c r="BR240" s="42">
        <f t="shared" si="79"/>
        <v>25724.658499999998</v>
      </c>
      <c r="BS240" s="43">
        <f t="shared" si="80"/>
        <v>2892.9055000000008</v>
      </c>
      <c r="BT240" s="42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  <c r="IM240" s="31"/>
      <c r="IN240" s="31"/>
      <c r="IO240" s="31"/>
      <c r="IP240" s="31"/>
      <c r="IQ240" s="31"/>
      <c r="IR240" s="31"/>
      <c r="IS240" s="31"/>
      <c r="IT240" s="31"/>
      <c r="IU240" s="31"/>
      <c r="IV240" s="31"/>
      <c r="IW240" s="31"/>
      <c r="IX240" s="31"/>
      <c r="IY240" s="31"/>
      <c r="IZ240" s="31"/>
      <c r="JA240" s="31"/>
      <c r="JB240" s="31"/>
      <c r="JC240" s="31"/>
      <c r="JD240" s="31"/>
      <c r="JE240" s="31"/>
      <c r="JF240" s="31"/>
      <c r="JG240" s="31"/>
      <c r="JH240" s="31"/>
      <c r="JI240" s="31"/>
      <c r="JJ240" s="31"/>
      <c r="JK240" s="31"/>
      <c r="JL240" s="31"/>
      <c r="JM240" s="31"/>
      <c r="JN240" s="31"/>
      <c r="JO240" s="31"/>
      <c r="JP240" s="31"/>
      <c r="JQ240" s="31"/>
      <c r="JR240" s="31"/>
      <c r="JS240" s="31"/>
      <c r="JT240" s="31"/>
      <c r="JU240" s="31"/>
      <c r="JV240" s="31"/>
      <c r="JW240" s="31"/>
      <c r="JX240" s="31"/>
      <c r="JY240" s="31"/>
      <c r="JZ240" s="31"/>
      <c r="KA240" s="31"/>
      <c r="KB240" s="31"/>
      <c r="KC240" s="31"/>
      <c r="KD240" s="31"/>
      <c r="KE240" s="31"/>
      <c r="KF240" s="31"/>
      <c r="KG240" s="31"/>
      <c r="KH240" s="31"/>
      <c r="KI240" s="31"/>
      <c r="KJ240" s="31"/>
      <c r="KK240" s="31"/>
      <c r="KL240" s="31"/>
      <c r="KM240" s="31"/>
      <c r="KN240" s="31"/>
      <c r="KO240" s="31"/>
      <c r="KP240" s="31"/>
      <c r="KQ240" s="31"/>
      <c r="KR240" s="31"/>
      <c r="KS240" s="31"/>
      <c r="KT240" s="31"/>
      <c r="KU240" s="31"/>
      <c r="KV240" s="31"/>
      <c r="KW240" s="31"/>
      <c r="KX240" s="31"/>
      <c r="KY240" s="31"/>
      <c r="KZ240" s="31"/>
      <c r="LA240" s="31"/>
      <c r="LB240" s="31"/>
      <c r="LC240" s="31"/>
      <c r="LD240" s="31"/>
      <c r="LE240" s="31"/>
      <c r="LF240" s="31"/>
      <c r="LG240" s="31"/>
      <c r="LH240" s="31"/>
      <c r="LI240" s="31"/>
      <c r="LJ240" s="31"/>
      <c r="LK240" s="31"/>
      <c r="LL240" s="31"/>
      <c r="LM240" s="31"/>
      <c r="LN240" s="31"/>
      <c r="LO240" s="31"/>
      <c r="LP240" s="31"/>
      <c r="LQ240" s="31"/>
      <c r="LR240" s="31"/>
      <c r="LS240" s="31"/>
      <c r="LT240" s="31"/>
      <c r="LU240" s="31"/>
      <c r="LV240" s="31"/>
      <c r="LW240" s="31"/>
      <c r="LX240" s="31"/>
      <c r="LY240" s="31"/>
      <c r="LZ240" s="31"/>
      <c r="MA240" s="31"/>
      <c r="MB240" s="31"/>
      <c r="MC240" s="31"/>
      <c r="MD240" s="31"/>
      <c r="ME240" s="31"/>
      <c r="MF240" s="31"/>
      <c r="MG240" s="31"/>
      <c r="MH240" s="31"/>
      <c r="MI240" s="31"/>
      <c r="MJ240" s="31"/>
      <c r="MK240" s="31"/>
      <c r="ML240" s="31"/>
      <c r="MM240" s="31"/>
      <c r="MN240" s="31"/>
      <c r="MO240" s="31"/>
      <c r="MP240" s="31"/>
      <c r="MQ240" s="31"/>
      <c r="MR240" s="31"/>
      <c r="MS240" s="31"/>
      <c r="MT240" s="31"/>
      <c r="MU240" s="31"/>
      <c r="MV240" s="31"/>
      <c r="MW240" s="31"/>
      <c r="MX240" s="31"/>
      <c r="MY240" s="31"/>
      <c r="MZ240" s="31"/>
      <c r="NA240" s="31"/>
      <c r="NB240" s="31"/>
      <c r="NC240" s="31"/>
      <c r="ND240" s="31"/>
      <c r="NE240" s="31"/>
      <c r="NF240" s="31"/>
      <c r="NG240" s="31"/>
      <c r="NH240" s="31"/>
      <c r="NI240" s="31"/>
      <c r="NJ240" s="31"/>
      <c r="NK240" s="31"/>
      <c r="NL240" s="31"/>
      <c r="NM240" s="31"/>
      <c r="NN240" s="31"/>
      <c r="NO240" s="31"/>
      <c r="NP240" s="31"/>
      <c r="NQ240" s="31"/>
      <c r="NR240" s="31"/>
      <c r="NS240" s="31"/>
      <c r="NT240" s="31"/>
      <c r="NU240" s="31"/>
      <c r="NV240" s="31"/>
      <c r="NW240" s="31"/>
      <c r="NX240" s="31"/>
      <c r="NY240" s="31"/>
      <c r="NZ240" s="31"/>
      <c r="OA240" s="31"/>
      <c r="OB240" s="31"/>
      <c r="OC240" s="31"/>
      <c r="OD240" s="31"/>
      <c r="OE240" s="31"/>
      <c r="OF240" s="31"/>
      <c r="OG240" s="31"/>
      <c r="OH240" s="31"/>
      <c r="OI240" s="31"/>
      <c r="OJ240" s="31"/>
      <c r="OK240" s="31"/>
      <c r="OL240" s="31"/>
      <c r="OM240" s="31"/>
      <c r="ON240" s="31"/>
      <c r="OO240" s="31"/>
      <c r="OP240" s="31"/>
      <c r="OQ240" s="31"/>
      <c r="OR240" s="31"/>
      <c r="OS240" s="31"/>
      <c r="OT240" s="31"/>
      <c r="OU240" s="31"/>
      <c r="OV240" s="31"/>
      <c r="OW240" s="31"/>
      <c r="OX240" s="31"/>
    </row>
    <row r="241" spans="2:414" s="25" customFormat="1" ht="15.6">
      <c r="B241" s="25" t="s">
        <v>363</v>
      </c>
      <c r="C241" s="27" t="s">
        <v>25</v>
      </c>
      <c r="D241" s="30" t="s">
        <v>355</v>
      </c>
      <c r="G241" s="42">
        <v>500</v>
      </c>
      <c r="H241" s="89">
        <v>26.109000000000002</v>
      </c>
      <c r="I241" s="38">
        <f t="shared" si="72"/>
        <v>13054.5</v>
      </c>
      <c r="K241" s="42">
        <v>500</v>
      </c>
      <c r="L241" s="90">
        <v>26.849599999999999</v>
      </c>
      <c r="M241" s="38">
        <f t="shared" si="73"/>
        <v>13424.8</v>
      </c>
      <c r="O241" s="38">
        <v>80</v>
      </c>
      <c r="P241" s="38">
        <v>26.728300000000001</v>
      </c>
      <c r="Q241" s="38">
        <f t="shared" si="74"/>
        <v>2138.2640000000001</v>
      </c>
      <c r="R241" s="43">
        <f t="shared" si="71"/>
        <v>1080</v>
      </c>
      <c r="S241" s="38">
        <f t="shared" si="75"/>
        <v>28617.563999999998</v>
      </c>
      <c r="T241" s="49">
        <v>415</v>
      </c>
      <c r="U241" s="42">
        <v>26.283100000000001</v>
      </c>
      <c r="V241" s="38">
        <f t="shared" si="86"/>
        <v>10907.486500000001</v>
      </c>
      <c r="W241" s="42">
        <v>85</v>
      </c>
      <c r="X241" s="42"/>
      <c r="Y241" s="42">
        <f t="shared" si="88"/>
        <v>0</v>
      </c>
      <c r="Z241" s="42">
        <v>300</v>
      </c>
      <c r="AA241" s="42">
        <v>26.8719</v>
      </c>
      <c r="AB241" s="42">
        <f t="shared" si="89"/>
        <v>8061.57</v>
      </c>
      <c r="AD241" s="42">
        <v>200</v>
      </c>
      <c r="AE241" s="42">
        <v>26.796500000000002</v>
      </c>
      <c r="AF241" s="42">
        <f t="shared" si="84"/>
        <v>5359.3</v>
      </c>
      <c r="AG241" s="42"/>
      <c r="AH241" s="42"/>
      <c r="AI241" s="42"/>
      <c r="AJ241" s="42">
        <f t="shared" si="90"/>
        <v>0</v>
      </c>
      <c r="AL241" s="42"/>
      <c r="AM241" s="42"/>
      <c r="AN241" s="42">
        <f t="shared" si="85"/>
        <v>0</v>
      </c>
      <c r="AO241" s="44"/>
      <c r="AP241" s="42"/>
      <c r="AQ241" s="42"/>
      <c r="AR241" s="42"/>
      <c r="AU241" s="98"/>
      <c r="AV241" s="35">
        <f t="shared" si="91"/>
        <v>0</v>
      </c>
      <c r="AW241" s="104"/>
      <c r="AX241" s="42"/>
      <c r="AY241" s="42"/>
      <c r="AZ241" s="42">
        <f t="shared" si="70"/>
        <v>0</v>
      </c>
      <c r="BA241" s="42"/>
      <c r="BB241" s="42"/>
      <c r="BC241" s="42"/>
      <c r="BD241" s="38">
        <f t="shared" si="76"/>
        <v>0</v>
      </c>
      <c r="BE241" s="42"/>
      <c r="BF241" s="42"/>
      <c r="BG241" s="42"/>
      <c r="BH241" s="38">
        <f t="shared" si="77"/>
        <v>0</v>
      </c>
      <c r="BI241" s="42"/>
      <c r="BJ241" s="42"/>
      <c r="BK241" s="42"/>
      <c r="BL241" s="38">
        <f t="shared" si="78"/>
        <v>0</v>
      </c>
      <c r="BM241" s="42"/>
      <c r="BN241" s="42"/>
      <c r="BO241" s="42"/>
      <c r="BP241" s="42"/>
      <c r="BR241" s="42">
        <f t="shared" si="79"/>
        <v>24328.356499999998</v>
      </c>
      <c r="BS241" s="43">
        <f t="shared" si="80"/>
        <v>4289.2075000000004</v>
      </c>
      <c r="BT241" s="42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  <c r="IM241" s="31"/>
      <c r="IN241" s="31"/>
      <c r="IO241" s="31"/>
      <c r="IP241" s="31"/>
      <c r="IQ241" s="31"/>
      <c r="IR241" s="31"/>
      <c r="IS241" s="31"/>
      <c r="IT241" s="31"/>
      <c r="IU241" s="31"/>
      <c r="IV241" s="31"/>
      <c r="IW241" s="31"/>
      <c r="IX241" s="31"/>
      <c r="IY241" s="31"/>
      <c r="IZ241" s="31"/>
      <c r="JA241" s="31"/>
      <c r="JB241" s="31"/>
      <c r="JC241" s="31"/>
      <c r="JD241" s="31"/>
      <c r="JE241" s="31"/>
      <c r="JF241" s="31"/>
      <c r="JG241" s="31"/>
      <c r="JH241" s="31"/>
      <c r="JI241" s="31"/>
      <c r="JJ241" s="31"/>
      <c r="JK241" s="31"/>
      <c r="JL241" s="31"/>
      <c r="JM241" s="31"/>
      <c r="JN241" s="31"/>
      <c r="JO241" s="31"/>
      <c r="JP241" s="31"/>
      <c r="JQ241" s="31"/>
      <c r="JR241" s="31"/>
      <c r="JS241" s="31"/>
      <c r="JT241" s="31"/>
      <c r="JU241" s="31"/>
      <c r="JV241" s="31"/>
      <c r="JW241" s="31"/>
      <c r="JX241" s="31"/>
      <c r="JY241" s="31"/>
      <c r="JZ241" s="31"/>
      <c r="KA241" s="31"/>
      <c r="KB241" s="31"/>
      <c r="KC241" s="31"/>
      <c r="KD241" s="31"/>
      <c r="KE241" s="31"/>
      <c r="KF241" s="31"/>
      <c r="KG241" s="31"/>
      <c r="KH241" s="31"/>
      <c r="KI241" s="31"/>
      <c r="KJ241" s="31"/>
      <c r="KK241" s="31"/>
      <c r="KL241" s="31"/>
      <c r="KM241" s="31"/>
      <c r="KN241" s="31"/>
      <c r="KO241" s="31"/>
      <c r="KP241" s="31"/>
      <c r="KQ241" s="31"/>
      <c r="KR241" s="31"/>
      <c r="KS241" s="31"/>
      <c r="KT241" s="31"/>
      <c r="KU241" s="31"/>
      <c r="KV241" s="31"/>
      <c r="KW241" s="31"/>
      <c r="KX241" s="31"/>
      <c r="KY241" s="31"/>
      <c r="KZ241" s="31"/>
      <c r="LA241" s="31"/>
      <c r="LB241" s="31"/>
      <c r="LC241" s="31"/>
      <c r="LD241" s="31"/>
      <c r="LE241" s="31"/>
      <c r="LF241" s="31"/>
      <c r="LG241" s="31"/>
      <c r="LH241" s="31"/>
      <c r="LI241" s="31"/>
      <c r="LJ241" s="31"/>
      <c r="LK241" s="31"/>
      <c r="LL241" s="31"/>
      <c r="LM241" s="31"/>
      <c r="LN241" s="31"/>
      <c r="LO241" s="31"/>
      <c r="LP241" s="31"/>
      <c r="LQ241" s="31"/>
      <c r="LR241" s="31"/>
      <c r="LS241" s="31"/>
      <c r="LT241" s="31"/>
      <c r="LU241" s="31"/>
      <c r="LV241" s="31"/>
      <c r="LW241" s="31"/>
      <c r="LX241" s="31"/>
      <c r="LY241" s="31"/>
      <c r="LZ241" s="31"/>
      <c r="MA241" s="31"/>
      <c r="MB241" s="31"/>
      <c r="MC241" s="31"/>
      <c r="MD241" s="31"/>
      <c r="ME241" s="31"/>
      <c r="MF241" s="31"/>
      <c r="MG241" s="31"/>
      <c r="MH241" s="31"/>
      <c r="MI241" s="31"/>
      <c r="MJ241" s="31"/>
      <c r="MK241" s="31"/>
      <c r="ML241" s="31"/>
      <c r="MM241" s="31"/>
      <c r="MN241" s="31"/>
      <c r="MO241" s="31"/>
      <c r="MP241" s="31"/>
      <c r="MQ241" s="31"/>
      <c r="MR241" s="31"/>
      <c r="MS241" s="31"/>
      <c r="MT241" s="31"/>
      <c r="MU241" s="31"/>
      <c r="MV241" s="31"/>
      <c r="MW241" s="31"/>
      <c r="MX241" s="31"/>
      <c r="MY241" s="31"/>
      <c r="MZ241" s="31"/>
      <c r="NA241" s="31"/>
      <c r="NB241" s="31"/>
      <c r="NC241" s="31"/>
      <c r="ND241" s="31"/>
      <c r="NE241" s="31"/>
      <c r="NF241" s="31"/>
      <c r="NG241" s="31"/>
      <c r="NH241" s="31"/>
      <c r="NI241" s="31"/>
      <c r="NJ241" s="31"/>
      <c r="NK241" s="31"/>
      <c r="NL241" s="31"/>
      <c r="NM241" s="31"/>
      <c r="NN241" s="31"/>
      <c r="NO241" s="31"/>
      <c r="NP241" s="31"/>
      <c r="NQ241" s="31"/>
      <c r="NR241" s="31"/>
      <c r="NS241" s="31"/>
      <c r="NT241" s="31"/>
      <c r="NU241" s="31"/>
      <c r="NV241" s="31"/>
      <c r="NW241" s="31"/>
      <c r="NX241" s="31"/>
      <c r="NY241" s="31"/>
      <c r="NZ241" s="31"/>
      <c r="OA241" s="31"/>
      <c r="OB241" s="31"/>
      <c r="OC241" s="31"/>
      <c r="OD241" s="31"/>
      <c r="OE241" s="31"/>
      <c r="OF241" s="31"/>
      <c r="OG241" s="31"/>
      <c r="OH241" s="31"/>
      <c r="OI241" s="31"/>
      <c r="OJ241" s="31"/>
      <c r="OK241" s="31"/>
      <c r="OL241" s="31"/>
      <c r="OM241" s="31"/>
      <c r="ON241" s="31"/>
      <c r="OO241" s="31"/>
      <c r="OP241" s="31"/>
      <c r="OQ241" s="31"/>
      <c r="OR241" s="31"/>
      <c r="OS241" s="31"/>
      <c r="OT241" s="31"/>
      <c r="OU241" s="31"/>
      <c r="OV241" s="31"/>
      <c r="OW241" s="31"/>
      <c r="OX241" s="31"/>
    </row>
    <row r="242" spans="2:414" s="25" customFormat="1" ht="15.6">
      <c r="B242" s="25" t="s">
        <v>364</v>
      </c>
      <c r="C242" s="27" t="s">
        <v>365</v>
      </c>
      <c r="D242" s="30" t="s">
        <v>355</v>
      </c>
      <c r="G242" s="42">
        <v>500</v>
      </c>
      <c r="H242" s="89">
        <v>26.109000000000002</v>
      </c>
      <c r="I242" s="38">
        <f t="shared" si="72"/>
        <v>13054.5</v>
      </c>
      <c r="K242" s="42">
        <v>500</v>
      </c>
      <c r="L242" s="90">
        <v>26.849599999999999</v>
      </c>
      <c r="M242" s="38">
        <f t="shared" si="73"/>
        <v>13424.8</v>
      </c>
      <c r="O242" s="38">
        <v>80</v>
      </c>
      <c r="P242" s="38">
        <v>26.728300000000001</v>
      </c>
      <c r="Q242" s="38">
        <f t="shared" si="74"/>
        <v>2138.2640000000001</v>
      </c>
      <c r="R242" s="43">
        <f t="shared" si="71"/>
        <v>1080</v>
      </c>
      <c r="S242" s="38">
        <f t="shared" si="75"/>
        <v>28617.563999999998</v>
      </c>
      <c r="T242" s="49">
        <v>344</v>
      </c>
      <c r="U242" s="42">
        <v>26.261399999999998</v>
      </c>
      <c r="V242" s="38">
        <f t="shared" si="86"/>
        <v>9033.9215999999997</v>
      </c>
      <c r="W242" s="42">
        <v>60</v>
      </c>
      <c r="X242" s="42">
        <v>26.290299999999998</v>
      </c>
      <c r="Y242" s="42">
        <f t="shared" si="88"/>
        <v>1577.4179999999999</v>
      </c>
      <c r="Z242" s="42">
        <v>85</v>
      </c>
      <c r="AA242" s="42">
        <v>26.3813</v>
      </c>
      <c r="AB242" s="42">
        <f t="shared" si="89"/>
        <v>2242.4105</v>
      </c>
      <c r="AD242" s="42">
        <v>15</v>
      </c>
      <c r="AE242" s="42">
        <v>26.3813</v>
      </c>
      <c r="AF242" s="42">
        <f t="shared" si="84"/>
        <v>395.71949999999998</v>
      </c>
      <c r="AG242" s="42"/>
      <c r="AH242" s="42">
        <v>205</v>
      </c>
      <c r="AI242" s="42">
        <v>26.799399999999999</v>
      </c>
      <c r="AJ242" s="42">
        <f t="shared" si="90"/>
        <v>5493.8769999999995</v>
      </c>
      <c r="AL242" s="42">
        <v>100</v>
      </c>
      <c r="AM242" s="42">
        <v>26.9815</v>
      </c>
      <c r="AN242" s="42">
        <f t="shared" si="85"/>
        <v>2698.15</v>
      </c>
      <c r="AO242" s="44"/>
      <c r="AP242" s="42">
        <v>100</v>
      </c>
      <c r="AQ242" s="42">
        <v>26.8461</v>
      </c>
      <c r="AR242" s="42"/>
      <c r="AT242" s="25">
        <v>94</v>
      </c>
      <c r="AU242" s="98">
        <v>26.789400000000001</v>
      </c>
      <c r="AV242" s="35">
        <f t="shared" si="91"/>
        <v>2518.2035999999998</v>
      </c>
      <c r="AW242" s="104"/>
      <c r="AX242" s="42"/>
      <c r="AY242" s="42"/>
      <c r="AZ242" s="42">
        <f t="shared" si="70"/>
        <v>0</v>
      </c>
      <c r="BA242" s="42"/>
      <c r="BB242" s="42"/>
      <c r="BC242" s="42"/>
      <c r="BD242" s="38">
        <f t="shared" si="76"/>
        <v>0</v>
      </c>
      <c r="BE242" s="42"/>
      <c r="BF242" s="42"/>
      <c r="BG242" s="42"/>
      <c r="BH242" s="38">
        <f t="shared" si="77"/>
        <v>0</v>
      </c>
      <c r="BI242" s="42"/>
      <c r="BJ242" s="42"/>
      <c r="BK242" s="42"/>
      <c r="BL242" s="38">
        <f t="shared" si="78"/>
        <v>0</v>
      </c>
      <c r="BM242" s="42"/>
      <c r="BN242" s="42"/>
      <c r="BO242" s="42"/>
      <c r="BP242" s="42"/>
      <c r="BR242" s="42">
        <f t="shared" si="79"/>
        <v>23959.700199999999</v>
      </c>
      <c r="BS242" s="43">
        <f t="shared" si="80"/>
        <v>4657.8637999999992</v>
      </c>
      <c r="BT242" s="42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  <c r="FM242" s="31"/>
      <c r="FN242" s="31"/>
      <c r="FO242" s="31"/>
      <c r="FP242" s="31"/>
      <c r="FQ242" s="31"/>
      <c r="FR242" s="31"/>
      <c r="FS242" s="31"/>
      <c r="FT242" s="31"/>
      <c r="FU242" s="31"/>
      <c r="FV242" s="31"/>
      <c r="FW242" s="31"/>
      <c r="FX242" s="31"/>
      <c r="FY242" s="31"/>
      <c r="FZ242" s="31"/>
      <c r="GA242" s="31"/>
      <c r="GB242" s="31"/>
      <c r="GC242" s="31"/>
      <c r="GD242" s="31"/>
      <c r="GE242" s="31"/>
      <c r="GF242" s="31"/>
      <c r="GG242" s="31"/>
      <c r="GH242" s="31"/>
      <c r="GI242" s="31"/>
      <c r="GJ242" s="31"/>
      <c r="GK242" s="31"/>
      <c r="GL242" s="31"/>
      <c r="GM242" s="31"/>
      <c r="GN242" s="31"/>
      <c r="GO242" s="31"/>
      <c r="GP242" s="31"/>
      <c r="GQ242" s="31"/>
      <c r="GR242" s="31"/>
      <c r="GS242" s="31"/>
      <c r="GT242" s="31"/>
      <c r="GU242" s="31"/>
      <c r="GV242" s="31"/>
      <c r="GW242" s="31"/>
      <c r="GX242" s="31"/>
      <c r="GY242" s="31"/>
      <c r="GZ242" s="31"/>
      <c r="HA242" s="31"/>
      <c r="HB242" s="31"/>
      <c r="HC242" s="31"/>
      <c r="HD242" s="31"/>
      <c r="HE242" s="31"/>
      <c r="HF242" s="31"/>
      <c r="HG242" s="31"/>
      <c r="HH242" s="31"/>
      <c r="HI242" s="31"/>
      <c r="HJ242" s="31"/>
      <c r="HK242" s="31"/>
      <c r="HL242" s="31"/>
      <c r="HM242" s="31"/>
      <c r="HN242" s="31"/>
      <c r="HO242" s="31"/>
      <c r="HP242" s="31"/>
      <c r="HQ242" s="31"/>
      <c r="HR242" s="31"/>
      <c r="HS242" s="31"/>
      <c r="HT242" s="31"/>
      <c r="HU242" s="31"/>
      <c r="HV242" s="31"/>
      <c r="HW242" s="31"/>
      <c r="HX242" s="31"/>
      <c r="HY242" s="31"/>
      <c r="HZ242" s="31"/>
      <c r="IA242" s="31"/>
      <c r="IB242" s="31"/>
      <c r="IC242" s="31"/>
      <c r="ID242" s="31"/>
      <c r="IE242" s="31"/>
      <c r="IF242" s="31"/>
      <c r="IG242" s="31"/>
      <c r="IH242" s="31"/>
      <c r="II242" s="31"/>
      <c r="IJ242" s="31"/>
      <c r="IK242" s="31"/>
      <c r="IL242" s="31"/>
      <c r="IM242" s="31"/>
      <c r="IN242" s="31"/>
      <c r="IO242" s="31"/>
      <c r="IP242" s="31"/>
      <c r="IQ242" s="31"/>
      <c r="IR242" s="31"/>
      <c r="IS242" s="31"/>
      <c r="IT242" s="31"/>
      <c r="IU242" s="31"/>
      <c r="IV242" s="31"/>
      <c r="IW242" s="31"/>
      <c r="IX242" s="31"/>
      <c r="IY242" s="31"/>
      <c r="IZ242" s="31"/>
      <c r="JA242" s="31"/>
      <c r="JB242" s="31"/>
      <c r="JC242" s="31"/>
      <c r="JD242" s="31"/>
      <c r="JE242" s="31"/>
      <c r="JF242" s="31"/>
      <c r="JG242" s="31"/>
      <c r="JH242" s="31"/>
      <c r="JI242" s="31"/>
      <c r="JJ242" s="31"/>
      <c r="JK242" s="31"/>
      <c r="JL242" s="31"/>
      <c r="JM242" s="31"/>
      <c r="JN242" s="31"/>
      <c r="JO242" s="31"/>
      <c r="JP242" s="31"/>
      <c r="JQ242" s="31"/>
      <c r="JR242" s="31"/>
      <c r="JS242" s="31"/>
      <c r="JT242" s="31"/>
      <c r="JU242" s="31"/>
      <c r="JV242" s="31"/>
      <c r="JW242" s="31"/>
      <c r="JX242" s="31"/>
      <c r="JY242" s="31"/>
      <c r="JZ242" s="31"/>
      <c r="KA242" s="31"/>
      <c r="KB242" s="31"/>
      <c r="KC242" s="31"/>
      <c r="KD242" s="31"/>
      <c r="KE242" s="31"/>
      <c r="KF242" s="31"/>
      <c r="KG242" s="31"/>
      <c r="KH242" s="31"/>
      <c r="KI242" s="31"/>
      <c r="KJ242" s="31"/>
      <c r="KK242" s="31"/>
      <c r="KL242" s="31"/>
      <c r="KM242" s="31"/>
      <c r="KN242" s="31"/>
      <c r="KO242" s="31"/>
      <c r="KP242" s="31"/>
      <c r="KQ242" s="31"/>
      <c r="KR242" s="31"/>
      <c r="KS242" s="31"/>
      <c r="KT242" s="31"/>
      <c r="KU242" s="31"/>
      <c r="KV242" s="31"/>
      <c r="KW242" s="31"/>
      <c r="KX242" s="31"/>
      <c r="KY242" s="31"/>
      <c r="KZ242" s="31"/>
      <c r="LA242" s="31"/>
      <c r="LB242" s="31"/>
      <c r="LC242" s="31"/>
      <c r="LD242" s="31"/>
      <c r="LE242" s="31"/>
      <c r="LF242" s="31"/>
      <c r="LG242" s="31"/>
      <c r="LH242" s="31"/>
      <c r="LI242" s="31"/>
      <c r="LJ242" s="31"/>
      <c r="LK242" s="31"/>
      <c r="LL242" s="31"/>
      <c r="LM242" s="31"/>
      <c r="LN242" s="31"/>
      <c r="LO242" s="31"/>
      <c r="LP242" s="31"/>
      <c r="LQ242" s="31"/>
      <c r="LR242" s="31"/>
      <c r="LS242" s="31"/>
      <c r="LT242" s="31"/>
      <c r="LU242" s="31"/>
      <c r="LV242" s="31"/>
      <c r="LW242" s="31"/>
      <c r="LX242" s="31"/>
      <c r="LY242" s="31"/>
      <c r="LZ242" s="31"/>
      <c r="MA242" s="31"/>
      <c r="MB242" s="31"/>
      <c r="MC242" s="31"/>
      <c r="MD242" s="31"/>
      <c r="ME242" s="31"/>
      <c r="MF242" s="31"/>
      <c r="MG242" s="31"/>
      <c r="MH242" s="31"/>
      <c r="MI242" s="31"/>
      <c r="MJ242" s="31"/>
      <c r="MK242" s="31"/>
      <c r="ML242" s="31"/>
      <c r="MM242" s="31"/>
      <c r="MN242" s="31"/>
      <c r="MO242" s="31"/>
      <c r="MP242" s="31"/>
      <c r="MQ242" s="31"/>
      <c r="MR242" s="31"/>
      <c r="MS242" s="31"/>
      <c r="MT242" s="31"/>
      <c r="MU242" s="31"/>
      <c r="MV242" s="31"/>
      <c r="MW242" s="31"/>
      <c r="MX242" s="31"/>
      <c r="MY242" s="31"/>
      <c r="MZ242" s="31"/>
      <c r="NA242" s="31"/>
      <c r="NB242" s="31"/>
      <c r="NC242" s="31"/>
      <c r="ND242" s="31"/>
      <c r="NE242" s="31"/>
      <c r="NF242" s="31"/>
      <c r="NG242" s="31"/>
      <c r="NH242" s="31"/>
      <c r="NI242" s="31"/>
      <c r="NJ242" s="31"/>
      <c r="NK242" s="31"/>
      <c r="NL242" s="31"/>
      <c r="NM242" s="31"/>
      <c r="NN242" s="31"/>
      <c r="NO242" s="31"/>
      <c r="NP242" s="31"/>
      <c r="NQ242" s="31"/>
      <c r="NR242" s="31"/>
      <c r="NS242" s="31"/>
      <c r="NT242" s="31"/>
      <c r="NU242" s="31"/>
      <c r="NV242" s="31"/>
      <c r="NW242" s="31"/>
      <c r="NX242" s="31"/>
      <c r="NY242" s="31"/>
      <c r="NZ242" s="31"/>
      <c r="OA242" s="31"/>
      <c r="OB242" s="31"/>
      <c r="OC242" s="31"/>
      <c r="OD242" s="31"/>
      <c r="OE242" s="31"/>
      <c r="OF242" s="31"/>
      <c r="OG242" s="31"/>
      <c r="OH242" s="31"/>
      <c r="OI242" s="31"/>
      <c r="OJ242" s="31"/>
      <c r="OK242" s="31"/>
      <c r="OL242" s="31"/>
      <c r="OM242" s="31"/>
      <c r="ON242" s="31"/>
      <c r="OO242" s="31"/>
      <c r="OP242" s="31"/>
      <c r="OQ242" s="31"/>
      <c r="OR242" s="31"/>
      <c r="OS242" s="31"/>
      <c r="OT242" s="31"/>
      <c r="OU242" s="31"/>
      <c r="OV242" s="31"/>
      <c r="OW242" s="31"/>
      <c r="OX242" s="31"/>
    </row>
    <row r="243" spans="2:414" s="25" customFormat="1" ht="15.6">
      <c r="B243" s="25" t="s">
        <v>366</v>
      </c>
      <c r="C243" s="27" t="s">
        <v>367</v>
      </c>
      <c r="D243" s="30" t="s">
        <v>355</v>
      </c>
      <c r="G243" s="42">
        <v>500</v>
      </c>
      <c r="H243" s="89">
        <v>26.109000000000002</v>
      </c>
      <c r="I243" s="38">
        <f t="shared" si="72"/>
        <v>13054.5</v>
      </c>
      <c r="K243" s="42">
        <v>500</v>
      </c>
      <c r="L243" s="90">
        <v>26.849599999999999</v>
      </c>
      <c r="M243" s="38">
        <f t="shared" si="73"/>
        <v>13424.8</v>
      </c>
      <c r="O243" s="38">
        <v>80</v>
      </c>
      <c r="P243" s="38">
        <v>26.728300000000001</v>
      </c>
      <c r="Q243" s="38">
        <f t="shared" si="74"/>
        <v>2138.2640000000001</v>
      </c>
      <c r="R243" s="43">
        <f t="shared" si="71"/>
        <v>1080</v>
      </c>
      <c r="S243" s="38">
        <f t="shared" si="75"/>
        <v>28617.563999999998</v>
      </c>
      <c r="T243" s="49">
        <v>85</v>
      </c>
      <c r="U243" s="42">
        <v>26.261399999999998</v>
      </c>
      <c r="V243" s="38">
        <f t="shared" si="86"/>
        <v>2232.2190000000001</v>
      </c>
      <c r="W243" s="42">
        <v>415</v>
      </c>
      <c r="X243" s="42">
        <v>26.261399999999998</v>
      </c>
      <c r="Y243" s="42">
        <f t="shared" si="88"/>
        <v>10898.481</v>
      </c>
      <c r="Z243" s="42">
        <v>415</v>
      </c>
      <c r="AA243" s="42">
        <v>26.869499999999999</v>
      </c>
      <c r="AB243" s="42">
        <f t="shared" si="89"/>
        <v>11150.842499999999</v>
      </c>
      <c r="AD243" s="42"/>
      <c r="AE243" s="42"/>
      <c r="AF243" s="42">
        <f t="shared" si="84"/>
        <v>0</v>
      </c>
      <c r="AG243" s="42"/>
      <c r="AH243" s="42"/>
      <c r="AI243" s="42"/>
      <c r="AJ243" s="42"/>
      <c r="AL243" s="42"/>
      <c r="AM243" s="42"/>
      <c r="AN243" s="42">
        <f t="shared" si="85"/>
        <v>0</v>
      </c>
      <c r="AO243" s="44"/>
      <c r="AP243" s="42"/>
      <c r="AQ243" s="42"/>
      <c r="AR243" s="42"/>
      <c r="AU243" s="98"/>
      <c r="AV243" s="35">
        <f t="shared" si="91"/>
        <v>0</v>
      </c>
      <c r="AW243" s="104"/>
      <c r="AX243" s="42"/>
      <c r="AY243" s="42"/>
      <c r="AZ243" s="42">
        <f t="shared" si="70"/>
        <v>0</v>
      </c>
      <c r="BA243" s="42"/>
      <c r="BB243" s="42"/>
      <c r="BC243" s="42"/>
      <c r="BD243" s="38">
        <f t="shared" si="76"/>
        <v>0</v>
      </c>
      <c r="BE243" s="42"/>
      <c r="BF243" s="42"/>
      <c r="BG243" s="42"/>
      <c r="BH243" s="38">
        <f t="shared" si="77"/>
        <v>0</v>
      </c>
      <c r="BI243" s="42"/>
      <c r="BJ243" s="42"/>
      <c r="BK243" s="42"/>
      <c r="BL243" s="38">
        <f t="shared" si="78"/>
        <v>0</v>
      </c>
      <c r="BM243" s="42"/>
      <c r="BN243" s="42"/>
      <c r="BO243" s="42"/>
      <c r="BP243" s="42"/>
      <c r="BR243" s="42">
        <f t="shared" si="79"/>
        <v>24281.5425</v>
      </c>
      <c r="BS243" s="43">
        <f t="shared" si="80"/>
        <v>4336.0214999999989</v>
      </c>
      <c r="BT243" s="43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  <c r="FM243" s="31"/>
      <c r="FN243" s="31"/>
      <c r="FO243" s="31"/>
      <c r="FP243" s="31"/>
      <c r="FQ243" s="31"/>
      <c r="FR243" s="31"/>
      <c r="FS243" s="31"/>
      <c r="FT243" s="31"/>
      <c r="FU243" s="31"/>
      <c r="FV243" s="31"/>
      <c r="FW243" s="31"/>
      <c r="FX243" s="31"/>
      <c r="FY243" s="31"/>
      <c r="FZ243" s="31"/>
      <c r="GA243" s="31"/>
      <c r="GB243" s="31"/>
      <c r="GC243" s="31"/>
      <c r="GD243" s="31"/>
      <c r="GE243" s="31"/>
      <c r="GF243" s="31"/>
      <c r="GG243" s="31"/>
      <c r="GH243" s="31"/>
      <c r="GI243" s="31"/>
      <c r="GJ243" s="31"/>
      <c r="GK243" s="31"/>
      <c r="GL243" s="31"/>
      <c r="GM243" s="31"/>
      <c r="GN243" s="31"/>
      <c r="GO243" s="31"/>
      <c r="GP243" s="31"/>
      <c r="GQ243" s="31"/>
      <c r="GR243" s="31"/>
      <c r="GS243" s="31"/>
      <c r="GT243" s="31"/>
      <c r="GU243" s="31"/>
      <c r="GV243" s="31"/>
      <c r="GW243" s="31"/>
      <c r="GX243" s="31"/>
      <c r="GY243" s="31"/>
      <c r="GZ243" s="31"/>
      <c r="HA243" s="31"/>
      <c r="HB243" s="31"/>
      <c r="HC243" s="31"/>
      <c r="HD243" s="31"/>
      <c r="HE243" s="31"/>
      <c r="HF243" s="31"/>
      <c r="HG243" s="31"/>
      <c r="HH243" s="31"/>
      <c r="HI243" s="31"/>
      <c r="HJ243" s="31"/>
      <c r="HK243" s="31"/>
      <c r="HL243" s="31"/>
      <c r="HM243" s="31"/>
      <c r="HN243" s="31"/>
      <c r="HO243" s="31"/>
      <c r="HP243" s="31"/>
      <c r="HQ243" s="31"/>
      <c r="HR243" s="31"/>
      <c r="HS243" s="31"/>
      <c r="HT243" s="31"/>
      <c r="HU243" s="31"/>
      <c r="HV243" s="31"/>
      <c r="HW243" s="31"/>
      <c r="HX243" s="31"/>
      <c r="HY243" s="31"/>
      <c r="HZ243" s="31"/>
      <c r="IA243" s="31"/>
      <c r="IB243" s="31"/>
      <c r="IC243" s="31"/>
      <c r="ID243" s="31"/>
      <c r="IE243" s="31"/>
      <c r="IF243" s="31"/>
      <c r="IG243" s="31"/>
      <c r="IH243" s="31"/>
      <c r="II243" s="31"/>
      <c r="IJ243" s="31"/>
      <c r="IK243" s="31"/>
      <c r="IL243" s="31"/>
      <c r="IM243" s="31"/>
      <c r="IN243" s="31"/>
      <c r="IO243" s="31"/>
      <c r="IP243" s="31"/>
      <c r="IQ243" s="31"/>
      <c r="IR243" s="31"/>
      <c r="IS243" s="31"/>
      <c r="IT243" s="31"/>
      <c r="IU243" s="31"/>
      <c r="IV243" s="31"/>
      <c r="IW243" s="31"/>
      <c r="IX243" s="31"/>
      <c r="IY243" s="31"/>
      <c r="IZ243" s="31"/>
      <c r="JA243" s="31"/>
      <c r="JB243" s="31"/>
      <c r="JC243" s="31"/>
      <c r="JD243" s="31"/>
      <c r="JE243" s="31"/>
      <c r="JF243" s="31"/>
      <c r="JG243" s="31"/>
      <c r="JH243" s="31"/>
      <c r="JI243" s="31"/>
      <c r="JJ243" s="31"/>
      <c r="JK243" s="31"/>
      <c r="JL243" s="31"/>
      <c r="JM243" s="31"/>
      <c r="JN243" s="31"/>
      <c r="JO243" s="31"/>
      <c r="JP243" s="31"/>
      <c r="JQ243" s="31"/>
      <c r="JR243" s="31"/>
      <c r="JS243" s="31"/>
      <c r="JT243" s="31"/>
      <c r="JU243" s="31"/>
      <c r="JV243" s="31"/>
      <c r="JW243" s="31"/>
      <c r="JX243" s="31"/>
      <c r="JY243" s="31"/>
      <c r="JZ243" s="31"/>
      <c r="KA243" s="31"/>
      <c r="KB243" s="31"/>
      <c r="KC243" s="31"/>
      <c r="KD243" s="31"/>
      <c r="KE243" s="31"/>
      <c r="KF243" s="31"/>
      <c r="KG243" s="31"/>
      <c r="KH243" s="31"/>
      <c r="KI243" s="31"/>
      <c r="KJ243" s="31"/>
      <c r="KK243" s="31"/>
      <c r="KL243" s="31"/>
      <c r="KM243" s="31"/>
      <c r="KN243" s="31"/>
      <c r="KO243" s="31"/>
      <c r="KP243" s="31"/>
      <c r="KQ243" s="31"/>
      <c r="KR243" s="31"/>
      <c r="KS243" s="31"/>
      <c r="KT243" s="31"/>
      <c r="KU243" s="31"/>
      <c r="KV243" s="31"/>
      <c r="KW243" s="31"/>
      <c r="KX243" s="31"/>
      <c r="KY243" s="31"/>
      <c r="KZ243" s="31"/>
      <c r="LA243" s="31"/>
      <c r="LB243" s="31"/>
      <c r="LC243" s="31"/>
      <c r="LD243" s="31"/>
      <c r="LE243" s="31"/>
      <c r="LF243" s="31"/>
      <c r="LG243" s="31"/>
      <c r="LH243" s="31"/>
      <c r="LI243" s="31"/>
      <c r="LJ243" s="31"/>
      <c r="LK243" s="31"/>
      <c r="LL243" s="31"/>
      <c r="LM243" s="31"/>
      <c r="LN243" s="31"/>
      <c r="LO243" s="31"/>
      <c r="LP243" s="31"/>
      <c r="LQ243" s="31"/>
      <c r="LR243" s="31"/>
      <c r="LS243" s="31"/>
      <c r="LT243" s="31"/>
      <c r="LU243" s="31"/>
      <c r="LV243" s="31"/>
      <c r="LW243" s="31"/>
      <c r="LX243" s="31"/>
      <c r="LY243" s="31"/>
      <c r="LZ243" s="31"/>
      <c r="MA243" s="31"/>
      <c r="MB243" s="31"/>
      <c r="MC243" s="31"/>
      <c r="MD243" s="31"/>
      <c r="ME243" s="31"/>
      <c r="MF243" s="31"/>
      <c r="MG243" s="31"/>
      <c r="MH243" s="31"/>
      <c r="MI243" s="31"/>
      <c r="MJ243" s="31"/>
      <c r="MK243" s="31"/>
      <c r="ML243" s="31"/>
      <c r="MM243" s="31"/>
      <c r="MN243" s="31"/>
      <c r="MO243" s="31"/>
      <c r="MP243" s="31"/>
      <c r="MQ243" s="31"/>
      <c r="MR243" s="31"/>
      <c r="MS243" s="31"/>
      <c r="MT243" s="31"/>
      <c r="MU243" s="31"/>
      <c r="MV243" s="31"/>
      <c r="MW243" s="31"/>
      <c r="MX243" s="31"/>
      <c r="MY243" s="31"/>
      <c r="MZ243" s="31"/>
      <c r="NA243" s="31"/>
      <c r="NB243" s="31"/>
      <c r="NC243" s="31"/>
      <c r="ND243" s="31"/>
      <c r="NE243" s="31"/>
      <c r="NF243" s="31"/>
      <c r="NG243" s="31"/>
      <c r="NH243" s="31"/>
      <c r="NI243" s="31"/>
      <c r="NJ243" s="31"/>
      <c r="NK243" s="31"/>
      <c r="NL243" s="31"/>
      <c r="NM243" s="31"/>
      <c r="NN243" s="31"/>
      <c r="NO243" s="31"/>
      <c r="NP243" s="31"/>
      <c r="NQ243" s="31"/>
      <c r="NR243" s="31"/>
      <c r="NS243" s="31"/>
      <c r="NT243" s="31"/>
      <c r="NU243" s="31"/>
      <c r="NV243" s="31"/>
      <c r="NW243" s="31"/>
      <c r="NX243" s="31"/>
      <c r="NY243" s="31"/>
      <c r="NZ243" s="31"/>
      <c r="OA243" s="31"/>
      <c r="OB243" s="31"/>
      <c r="OC243" s="31"/>
      <c r="OD243" s="31"/>
      <c r="OE243" s="31"/>
      <c r="OF243" s="31"/>
      <c r="OG243" s="31"/>
      <c r="OH243" s="31"/>
      <c r="OI243" s="31"/>
      <c r="OJ243" s="31"/>
      <c r="OK243" s="31"/>
      <c r="OL243" s="31"/>
      <c r="OM243" s="31"/>
      <c r="ON243" s="31"/>
      <c r="OO243" s="31"/>
      <c r="OP243" s="31"/>
      <c r="OQ243" s="31"/>
      <c r="OR243" s="31"/>
      <c r="OS243" s="31"/>
      <c r="OT243" s="31"/>
      <c r="OU243" s="31"/>
      <c r="OV243" s="31"/>
      <c r="OW243" s="31"/>
      <c r="OX243" s="31"/>
    </row>
    <row r="244" spans="2:414" s="25" customFormat="1" ht="15.6">
      <c r="B244" s="25" t="s">
        <v>368</v>
      </c>
      <c r="C244" s="27" t="s">
        <v>321</v>
      </c>
      <c r="D244" s="30" t="s">
        <v>355</v>
      </c>
      <c r="G244" s="42">
        <v>500</v>
      </c>
      <c r="H244" s="89">
        <v>26.109000000000002</v>
      </c>
      <c r="I244" s="38">
        <f t="shared" si="72"/>
        <v>13054.5</v>
      </c>
      <c r="K244" s="42">
        <v>500</v>
      </c>
      <c r="L244" s="90">
        <v>26.849599999999999</v>
      </c>
      <c r="M244" s="38">
        <f t="shared" si="73"/>
        <v>13424.8</v>
      </c>
      <c r="O244" s="38">
        <v>80</v>
      </c>
      <c r="P244" s="38">
        <v>26.728300000000001</v>
      </c>
      <c r="Q244" s="38">
        <f t="shared" si="74"/>
        <v>2138.2640000000001</v>
      </c>
      <c r="R244" s="43">
        <f t="shared" si="71"/>
        <v>1080</v>
      </c>
      <c r="S244" s="38">
        <f t="shared" si="75"/>
        <v>28617.563999999998</v>
      </c>
      <c r="T244" s="49">
        <v>85</v>
      </c>
      <c r="U244" s="42"/>
      <c r="V244" s="38">
        <f t="shared" si="86"/>
        <v>0</v>
      </c>
      <c r="W244" s="42">
        <v>285</v>
      </c>
      <c r="X244" s="42">
        <v>26.283100000000001</v>
      </c>
      <c r="Y244" s="42">
        <f t="shared" si="88"/>
        <v>7490.6835000000001</v>
      </c>
      <c r="Z244" s="42">
        <v>130</v>
      </c>
      <c r="AA244" s="42"/>
      <c r="AB244" s="42">
        <f t="shared" si="89"/>
        <v>0</v>
      </c>
      <c r="AD244" s="42">
        <v>300</v>
      </c>
      <c r="AE244" s="42">
        <v>26.869499999999999</v>
      </c>
      <c r="AF244" s="42">
        <f t="shared" si="84"/>
        <v>8060.8499999999995</v>
      </c>
      <c r="AG244" s="42"/>
      <c r="AH244" s="42"/>
      <c r="AI244" s="42"/>
      <c r="AJ244" s="42">
        <v>2819</v>
      </c>
      <c r="AL244" s="42"/>
      <c r="AM244" s="42"/>
      <c r="AN244" s="42">
        <f t="shared" si="85"/>
        <v>0</v>
      </c>
      <c r="AO244" s="44"/>
      <c r="AP244" s="42"/>
      <c r="AQ244" s="42"/>
      <c r="AR244" s="42"/>
      <c r="AU244" s="98"/>
      <c r="AV244" s="35">
        <f t="shared" si="91"/>
        <v>0</v>
      </c>
      <c r="AW244" s="104"/>
      <c r="AX244" s="42"/>
      <c r="AY244" s="42"/>
      <c r="AZ244" s="42">
        <f t="shared" si="70"/>
        <v>0</v>
      </c>
      <c r="BA244" s="42"/>
      <c r="BB244" s="42"/>
      <c r="BC244" s="42"/>
      <c r="BD244" s="38">
        <f t="shared" si="76"/>
        <v>0</v>
      </c>
      <c r="BE244" s="42"/>
      <c r="BF244" s="42"/>
      <c r="BG244" s="42"/>
      <c r="BH244" s="38">
        <f t="shared" si="77"/>
        <v>0</v>
      </c>
      <c r="BI244" s="42"/>
      <c r="BJ244" s="42"/>
      <c r="BK244" s="42"/>
      <c r="BL244" s="38">
        <f t="shared" si="78"/>
        <v>0</v>
      </c>
      <c r="BM244" s="42"/>
      <c r="BN244" s="42"/>
      <c r="BO244" s="42"/>
      <c r="BP244" s="42"/>
      <c r="BR244" s="42">
        <f t="shared" si="79"/>
        <v>18370.533499999998</v>
      </c>
      <c r="BS244" s="43">
        <f t="shared" si="80"/>
        <v>10247.030500000001</v>
      </c>
      <c r="BT244" s="42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  <c r="FM244" s="31"/>
      <c r="FN244" s="31"/>
      <c r="FO244" s="31"/>
      <c r="FP244" s="31"/>
      <c r="FQ244" s="31"/>
      <c r="FR244" s="31"/>
      <c r="FS244" s="31"/>
      <c r="FT244" s="31"/>
      <c r="FU244" s="31"/>
      <c r="FV244" s="31"/>
      <c r="FW244" s="31"/>
      <c r="FX244" s="31"/>
      <c r="FY244" s="31"/>
      <c r="FZ244" s="31"/>
      <c r="GA244" s="31"/>
      <c r="GB244" s="31"/>
      <c r="GC244" s="31"/>
      <c r="GD244" s="31"/>
      <c r="GE244" s="31"/>
      <c r="GF244" s="31"/>
      <c r="GG244" s="31"/>
      <c r="GH244" s="31"/>
      <c r="GI244" s="31"/>
      <c r="GJ244" s="31"/>
      <c r="GK244" s="31"/>
      <c r="GL244" s="31"/>
      <c r="GM244" s="31"/>
      <c r="GN244" s="31"/>
      <c r="GO244" s="31"/>
      <c r="GP244" s="31"/>
      <c r="GQ244" s="31"/>
      <c r="GR244" s="31"/>
      <c r="GS244" s="31"/>
      <c r="GT244" s="31"/>
      <c r="GU244" s="31"/>
      <c r="GV244" s="31"/>
      <c r="GW244" s="31"/>
      <c r="GX244" s="31"/>
      <c r="GY244" s="31"/>
      <c r="GZ244" s="31"/>
      <c r="HA244" s="31"/>
      <c r="HB244" s="31"/>
      <c r="HC244" s="31"/>
      <c r="HD244" s="31"/>
      <c r="HE244" s="31"/>
      <c r="HF244" s="31"/>
      <c r="HG244" s="31"/>
      <c r="HH244" s="31"/>
      <c r="HI244" s="31"/>
      <c r="HJ244" s="31"/>
      <c r="HK244" s="31"/>
      <c r="HL244" s="31"/>
      <c r="HM244" s="31"/>
      <c r="HN244" s="31"/>
      <c r="HO244" s="31"/>
      <c r="HP244" s="31"/>
      <c r="HQ244" s="31"/>
      <c r="HR244" s="31"/>
      <c r="HS244" s="31"/>
      <c r="HT244" s="31"/>
      <c r="HU244" s="31"/>
      <c r="HV244" s="31"/>
      <c r="HW244" s="31"/>
      <c r="HX244" s="31"/>
      <c r="HY244" s="31"/>
      <c r="HZ244" s="31"/>
      <c r="IA244" s="31"/>
      <c r="IB244" s="31"/>
      <c r="IC244" s="31"/>
      <c r="ID244" s="31"/>
      <c r="IE244" s="31"/>
      <c r="IF244" s="31"/>
      <c r="IG244" s="31"/>
      <c r="IH244" s="31"/>
      <c r="II244" s="31"/>
      <c r="IJ244" s="31"/>
      <c r="IK244" s="31"/>
      <c r="IL244" s="31"/>
      <c r="IM244" s="31"/>
      <c r="IN244" s="31"/>
      <c r="IO244" s="31"/>
      <c r="IP244" s="31"/>
      <c r="IQ244" s="31"/>
      <c r="IR244" s="31"/>
      <c r="IS244" s="31"/>
      <c r="IT244" s="31"/>
      <c r="IU244" s="31"/>
      <c r="IV244" s="31"/>
      <c r="IW244" s="31"/>
      <c r="IX244" s="31"/>
      <c r="IY244" s="31"/>
      <c r="IZ244" s="31"/>
      <c r="JA244" s="31"/>
      <c r="JB244" s="31"/>
      <c r="JC244" s="31"/>
      <c r="JD244" s="31"/>
      <c r="JE244" s="31"/>
      <c r="JF244" s="31"/>
      <c r="JG244" s="31"/>
      <c r="JH244" s="31"/>
      <c r="JI244" s="31"/>
      <c r="JJ244" s="31"/>
      <c r="JK244" s="31"/>
      <c r="JL244" s="31"/>
      <c r="JM244" s="31"/>
      <c r="JN244" s="31"/>
      <c r="JO244" s="31"/>
      <c r="JP244" s="31"/>
      <c r="JQ244" s="31"/>
      <c r="JR244" s="31"/>
      <c r="JS244" s="31"/>
      <c r="JT244" s="31"/>
      <c r="JU244" s="31"/>
      <c r="JV244" s="31"/>
      <c r="JW244" s="31"/>
      <c r="JX244" s="31"/>
      <c r="JY244" s="31"/>
      <c r="JZ244" s="31"/>
      <c r="KA244" s="31"/>
      <c r="KB244" s="31"/>
      <c r="KC244" s="31"/>
      <c r="KD244" s="31"/>
      <c r="KE244" s="31"/>
      <c r="KF244" s="31"/>
      <c r="KG244" s="31"/>
      <c r="KH244" s="31"/>
      <c r="KI244" s="31"/>
      <c r="KJ244" s="31"/>
      <c r="KK244" s="31"/>
      <c r="KL244" s="31"/>
      <c r="KM244" s="31"/>
      <c r="KN244" s="31"/>
      <c r="KO244" s="31"/>
      <c r="KP244" s="31"/>
      <c r="KQ244" s="31"/>
      <c r="KR244" s="31"/>
      <c r="KS244" s="31"/>
      <c r="KT244" s="31"/>
      <c r="KU244" s="31"/>
      <c r="KV244" s="31"/>
      <c r="KW244" s="31"/>
      <c r="KX244" s="31"/>
      <c r="KY244" s="31"/>
      <c r="KZ244" s="31"/>
      <c r="LA244" s="31"/>
      <c r="LB244" s="31"/>
      <c r="LC244" s="31"/>
      <c r="LD244" s="31"/>
      <c r="LE244" s="31"/>
      <c r="LF244" s="31"/>
      <c r="LG244" s="31"/>
      <c r="LH244" s="31"/>
      <c r="LI244" s="31"/>
      <c r="LJ244" s="31"/>
      <c r="LK244" s="31"/>
      <c r="LL244" s="31"/>
      <c r="LM244" s="31"/>
      <c r="LN244" s="31"/>
      <c r="LO244" s="31"/>
      <c r="LP244" s="31"/>
      <c r="LQ244" s="31"/>
      <c r="LR244" s="31"/>
      <c r="LS244" s="31"/>
      <c r="LT244" s="31"/>
      <c r="LU244" s="31"/>
      <c r="LV244" s="31"/>
      <c r="LW244" s="31"/>
      <c r="LX244" s="31"/>
      <c r="LY244" s="31"/>
      <c r="LZ244" s="31"/>
      <c r="MA244" s="31"/>
      <c r="MB244" s="31"/>
      <c r="MC244" s="31"/>
      <c r="MD244" s="31"/>
      <c r="ME244" s="31"/>
      <c r="MF244" s="31"/>
      <c r="MG244" s="31"/>
      <c r="MH244" s="31"/>
      <c r="MI244" s="31"/>
      <c r="MJ244" s="31"/>
      <c r="MK244" s="31"/>
      <c r="ML244" s="31"/>
      <c r="MM244" s="31"/>
      <c r="MN244" s="31"/>
      <c r="MO244" s="31"/>
      <c r="MP244" s="31"/>
      <c r="MQ244" s="31"/>
      <c r="MR244" s="31"/>
      <c r="MS244" s="31"/>
      <c r="MT244" s="31"/>
      <c r="MU244" s="31"/>
      <c r="MV244" s="31"/>
      <c r="MW244" s="31"/>
      <c r="MX244" s="31"/>
      <c r="MY244" s="31"/>
      <c r="MZ244" s="31"/>
      <c r="NA244" s="31"/>
      <c r="NB244" s="31"/>
      <c r="NC244" s="31"/>
      <c r="ND244" s="31"/>
      <c r="NE244" s="31"/>
      <c r="NF244" s="31"/>
      <c r="NG244" s="31"/>
      <c r="NH244" s="31"/>
      <c r="NI244" s="31"/>
      <c r="NJ244" s="31"/>
      <c r="NK244" s="31"/>
      <c r="NL244" s="31"/>
      <c r="NM244" s="31"/>
      <c r="NN244" s="31"/>
      <c r="NO244" s="31"/>
      <c r="NP244" s="31"/>
      <c r="NQ244" s="31"/>
      <c r="NR244" s="31"/>
      <c r="NS244" s="31"/>
      <c r="NT244" s="31"/>
      <c r="NU244" s="31"/>
      <c r="NV244" s="31"/>
      <c r="NW244" s="31"/>
      <c r="NX244" s="31"/>
      <c r="NY244" s="31"/>
      <c r="NZ244" s="31"/>
      <c r="OA244" s="31"/>
      <c r="OB244" s="31"/>
      <c r="OC244" s="31"/>
      <c r="OD244" s="31"/>
      <c r="OE244" s="31"/>
      <c r="OF244" s="31"/>
      <c r="OG244" s="31"/>
      <c r="OH244" s="31"/>
      <c r="OI244" s="31"/>
      <c r="OJ244" s="31"/>
      <c r="OK244" s="31"/>
      <c r="OL244" s="31"/>
      <c r="OM244" s="31"/>
      <c r="ON244" s="31"/>
      <c r="OO244" s="31"/>
      <c r="OP244" s="31"/>
      <c r="OQ244" s="31"/>
      <c r="OR244" s="31"/>
      <c r="OS244" s="31"/>
      <c r="OT244" s="31"/>
      <c r="OU244" s="31"/>
      <c r="OV244" s="31"/>
      <c r="OW244" s="31"/>
      <c r="OX244" s="31"/>
    </row>
    <row r="245" spans="2:414" s="25" customFormat="1" ht="15.6">
      <c r="B245" s="25" t="s">
        <v>369</v>
      </c>
      <c r="C245" s="27" t="s">
        <v>370</v>
      </c>
      <c r="D245" s="30" t="s">
        <v>355</v>
      </c>
      <c r="G245" s="42">
        <v>500</v>
      </c>
      <c r="H245" s="89">
        <v>26.109000000000002</v>
      </c>
      <c r="I245" s="38">
        <f t="shared" si="72"/>
        <v>13054.5</v>
      </c>
      <c r="K245" s="42">
        <v>500</v>
      </c>
      <c r="L245" s="90">
        <v>26.849599999999999</v>
      </c>
      <c r="M245" s="38">
        <f t="shared" si="73"/>
        <v>13424.8</v>
      </c>
      <c r="O245" s="38">
        <v>80</v>
      </c>
      <c r="P245" s="38">
        <v>26.728300000000001</v>
      </c>
      <c r="Q245" s="38">
        <f t="shared" si="74"/>
        <v>2138.2640000000001</v>
      </c>
      <c r="R245" s="43">
        <f t="shared" si="71"/>
        <v>1080</v>
      </c>
      <c r="S245" s="38">
        <f t="shared" si="75"/>
        <v>28617.563999999998</v>
      </c>
      <c r="T245" s="49">
        <v>85</v>
      </c>
      <c r="U245" s="42"/>
      <c r="V245" s="38">
        <f t="shared" si="86"/>
        <v>0</v>
      </c>
      <c r="W245" s="42">
        <v>350</v>
      </c>
      <c r="X245" s="42">
        <v>26.150300000000001</v>
      </c>
      <c r="Y245" s="42">
        <f t="shared" si="88"/>
        <v>9152.6050000000014</v>
      </c>
      <c r="Z245" s="42">
        <v>65</v>
      </c>
      <c r="AA245" s="42">
        <v>26.150300000000001</v>
      </c>
      <c r="AB245" s="42">
        <f t="shared" si="89"/>
        <v>1699.7695000000001</v>
      </c>
      <c r="AD245" s="42">
        <v>500</v>
      </c>
      <c r="AE245" s="42">
        <v>26.940100000000001</v>
      </c>
      <c r="AF245" s="42">
        <f t="shared" si="84"/>
        <v>13470.050000000001</v>
      </c>
      <c r="AG245" s="42"/>
      <c r="AH245" s="42"/>
      <c r="AI245" s="42"/>
      <c r="AJ245" s="42"/>
      <c r="AL245" s="42"/>
      <c r="AM245" s="42"/>
      <c r="AN245" s="42">
        <f t="shared" si="85"/>
        <v>0</v>
      </c>
      <c r="AO245" s="44"/>
      <c r="AP245" s="42"/>
      <c r="AQ245" s="42"/>
      <c r="AR245" s="42"/>
      <c r="AU245" s="98"/>
      <c r="AV245" s="35">
        <f t="shared" si="91"/>
        <v>0</v>
      </c>
      <c r="AW245" s="104"/>
      <c r="AX245" s="42"/>
      <c r="AY245" s="42"/>
      <c r="AZ245" s="42">
        <f t="shared" si="70"/>
        <v>0</v>
      </c>
      <c r="BA245" s="42"/>
      <c r="BB245" s="42"/>
      <c r="BC245" s="42"/>
      <c r="BD245" s="38">
        <f t="shared" si="76"/>
        <v>0</v>
      </c>
      <c r="BE245" s="42"/>
      <c r="BF245" s="42"/>
      <c r="BG245" s="42"/>
      <c r="BH245" s="38">
        <f t="shared" si="77"/>
        <v>0</v>
      </c>
      <c r="BI245" s="42"/>
      <c r="BJ245" s="42"/>
      <c r="BK245" s="42"/>
      <c r="BL245" s="38">
        <f t="shared" si="78"/>
        <v>0</v>
      </c>
      <c r="BM245" s="42"/>
      <c r="BN245" s="42"/>
      <c r="BO245" s="42"/>
      <c r="BP245" s="42"/>
      <c r="BR245" s="42">
        <f t="shared" si="79"/>
        <v>24322.424500000001</v>
      </c>
      <c r="BS245" s="43">
        <f t="shared" si="80"/>
        <v>4295.1394999999975</v>
      </c>
      <c r="BT245" s="42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  <c r="FM245" s="31"/>
      <c r="FN245" s="31"/>
      <c r="FO245" s="31"/>
      <c r="FP245" s="31"/>
      <c r="FQ245" s="31"/>
      <c r="FR245" s="31"/>
      <c r="FS245" s="31"/>
      <c r="FT245" s="31"/>
      <c r="FU245" s="31"/>
      <c r="FV245" s="31"/>
      <c r="FW245" s="31"/>
      <c r="FX245" s="31"/>
      <c r="FY245" s="31"/>
      <c r="FZ245" s="31"/>
      <c r="GA245" s="31"/>
      <c r="GB245" s="31"/>
      <c r="GC245" s="31"/>
      <c r="GD245" s="31"/>
      <c r="GE245" s="31"/>
      <c r="GF245" s="31"/>
      <c r="GG245" s="31"/>
      <c r="GH245" s="31"/>
      <c r="GI245" s="31"/>
      <c r="GJ245" s="31"/>
      <c r="GK245" s="31"/>
      <c r="GL245" s="31"/>
      <c r="GM245" s="31"/>
      <c r="GN245" s="31"/>
      <c r="GO245" s="31"/>
      <c r="GP245" s="31"/>
      <c r="GQ245" s="31"/>
      <c r="GR245" s="31"/>
      <c r="GS245" s="31"/>
      <c r="GT245" s="31"/>
      <c r="GU245" s="31"/>
      <c r="GV245" s="31"/>
      <c r="GW245" s="31"/>
      <c r="GX245" s="31"/>
      <c r="GY245" s="31"/>
      <c r="GZ245" s="31"/>
      <c r="HA245" s="31"/>
      <c r="HB245" s="31"/>
      <c r="HC245" s="31"/>
      <c r="HD245" s="31"/>
      <c r="HE245" s="31"/>
      <c r="HF245" s="31"/>
      <c r="HG245" s="31"/>
      <c r="HH245" s="31"/>
      <c r="HI245" s="31"/>
      <c r="HJ245" s="31"/>
      <c r="HK245" s="31"/>
      <c r="HL245" s="31"/>
      <c r="HM245" s="31"/>
      <c r="HN245" s="31"/>
      <c r="HO245" s="31"/>
      <c r="HP245" s="31"/>
      <c r="HQ245" s="31"/>
      <c r="HR245" s="31"/>
      <c r="HS245" s="31"/>
      <c r="HT245" s="31"/>
      <c r="HU245" s="31"/>
      <c r="HV245" s="31"/>
      <c r="HW245" s="31"/>
      <c r="HX245" s="31"/>
      <c r="HY245" s="31"/>
      <c r="HZ245" s="31"/>
      <c r="IA245" s="31"/>
      <c r="IB245" s="31"/>
      <c r="IC245" s="31"/>
      <c r="ID245" s="31"/>
      <c r="IE245" s="31"/>
      <c r="IF245" s="31"/>
      <c r="IG245" s="31"/>
      <c r="IH245" s="31"/>
      <c r="II245" s="31"/>
      <c r="IJ245" s="31"/>
      <c r="IK245" s="31"/>
      <c r="IL245" s="31"/>
      <c r="IM245" s="31"/>
      <c r="IN245" s="31"/>
      <c r="IO245" s="31"/>
      <c r="IP245" s="31"/>
      <c r="IQ245" s="31"/>
      <c r="IR245" s="31"/>
      <c r="IS245" s="31"/>
      <c r="IT245" s="31"/>
      <c r="IU245" s="31"/>
      <c r="IV245" s="31"/>
      <c r="IW245" s="31"/>
      <c r="IX245" s="31"/>
      <c r="IY245" s="31"/>
      <c r="IZ245" s="31"/>
      <c r="JA245" s="31"/>
      <c r="JB245" s="31"/>
      <c r="JC245" s="31"/>
      <c r="JD245" s="31"/>
      <c r="JE245" s="31"/>
      <c r="JF245" s="31"/>
      <c r="JG245" s="31"/>
      <c r="JH245" s="31"/>
      <c r="JI245" s="31"/>
      <c r="JJ245" s="31"/>
      <c r="JK245" s="31"/>
      <c r="JL245" s="31"/>
      <c r="JM245" s="31"/>
      <c r="JN245" s="31"/>
      <c r="JO245" s="31"/>
      <c r="JP245" s="31"/>
      <c r="JQ245" s="31"/>
      <c r="JR245" s="31"/>
      <c r="JS245" s="31"/>
      <c r="JT245" s="31"/>
      <c r="JU245" s="31"/>
      <c r="JV245" s="31"/>
      <c r="JW245" s="31"/>
      <c r="JX245" s="31"/>
      <c r="JY245" s="31"/>
      <c r="JZ245" s="31"/>
      <c r="KA245" s="31"/>
      <c r="KB245" s="31"/>
      <c r="KC245" s="31"/>
      <c r="KD245" s="31"/>
      <c r="KE245" s="31"/>
      <c r="KF245" s="31"/>
      <c r="KG245" s="31"/>
      <c r="KH245" s="31"/>
      <c r="KI245" s="31"/>
      <c r="KJ245" s="31"/>
      <c r="KK245" s="31"/>
      <c r="KL245" s="31"/>
      <c r="KM245" s="31"/>
      <c r="KN245" s="31"/>
      <c r="KO245" s="31"/>
      <c r="KP245" s="31"/>
      <c r="KQ245" s="31"/>
      <c r="KR245" s="31"/>
      <c r="KS245" s="31"/>
      <c r="KT245" s="31"/>
      <c r="KU245" s="31"/>
      <c r="KV245" s="31"/>
      <c r="KW245" s="31"/>
      <c r="KX245" s="31"/>
      <c r="KY245" s="31"/>
      <c r="KZ245" s="31"/>
      <c r="LA245" s="31"/>
      <c r="LB245" s="31"/>
      <c r="LC245" s="31"/>
      <c r="LD245" s="31"/>
      <c r="LE245" s="31"/>
      <c r="LF245" s="31"/>
      <c r="LG245" s="31"/>
      <c r="LH245" s="31"/>
      <c r="LI245" s="31"/>
      <c r="LJ245" s="31"/>
      <c r="LK245" s="31"/>
      <c r="LL245" s="31"/>
      <c r="LM245" s="31"/>
      <c r="LN245" s="31"/>
      <c r="LO245" s="31"/>
      <c r="LP245" s="31"/>
      <c r="LQ245" s="31"/>
      <c r="LR245" s="31"/>
      <c r="LS245" s="31"/>
      <c r="LT245" s="31"/>
      <c r="LU245" s="31"/>
      <c r="LV245" s="31"/>
      <c r="LW245" s="31"/>
      <c r="LX245" s="31"/>
      <c r="LY245" s="31"/>
      <c r="LZ245" s="31"/>
      <c r="MA245" s="31"/>
      <c r="MB245" s="31"/>
      <c r="MC245" s="31"/>
      <c r="MD245" s="31"/>
      <c r="ME245" s="31"/>
      <c r="MF245" s="31"/>
      <c r="MG245" s="31"/>
      <c r="MH245" s="31"/>
      <c r="MI245" s="31"/>
      <c r="MJ245" s="31"/>
      <c r="MK245" s="31"/>
      <c r="ML245" s="31"/>
      <c r="MM245" s="31"/>
      <c r="MN245" s="31"/>
      <c r="MO245" s="31"/>
      <c r="MP245" s="31"/>
      <c r="MQ245" s="31"/>
      <c r="MR245" s="31"/>
      <c r="MS245" s="31"/>
      <c r="MT245" s="31"/>
      <c r="MU245" s="31"/>
      <c r="MV245" s="31"/>
      <c r="MW245" s="31"/>
      <c r="MX245" s="31"/>
      <c r="MY245" s="31"/>
      <c r="MZ245" s="31"/>
      <c r="NA245" s="31"/>
      <c r="NB245" s="31"/>
      <c r="NC245" s="31"/>
      <c r="ND245" s="31"/>
      <c r="NE245" s="31"/>
      <c r="NF245" s="31"/>
      <c r="NG245" s="31"/>
      <c r="NH245" s="31"/>
      <c r="NI245" s="31"/>
      <c r="NJ245" s="31"/>
      <c r="NK245" s="31"/>
      <c r="NL245" s="31"/>
      <c r="NM245" s="31"/>
      <c r="NN245" s="31"/>
      <c r="NO245" s="31"/>
      <c r="NP245" s="31"/>
      <c r="NQ245" s="31"/>
      <c r="NR245" s="31"/>
      <c r="NS245" s="31"/>
      <c r="NT245" s="31"/>
      <c r="NU245" s="31"/>
      <c r="NV245" s="31"/>
      <c r="NW245" s="31"/>
      <c r="NX245" s="31"/>
      <c r="NY245" s="31"/>
      <c r="NZ245" s="31"/>
      <c r="OA245" s="31"/>
      <c r="OB245" s="31"/>
      <c r="OC245" s="31"/>
      <c r="OD245" s="31"/>
      <c r="OE245" s="31"/>
      <c r="OF245" s="31"/>
      <c r="OG245" s="31"/>
      <c r="OH245" s="31"/>
      <c r="OI245" s="31"/>
      <c r="OJ245" s="31"/>
      <c r="OK245" s="31"/>
      <c r="OL245" s="31"/>
      <c r="OM245" s="31"/>
      <c r="ON245" s="31"/>
      <c r="OO245" s="31"/>
      <c r="OP245" s="31"/>
      <c r="OQ245" s="31"/>
      <c r="OR245" s="31"/>
      <c r="OS245" s="31"/>
      <c r="OT245" s="31"/>
      <c r="OU245" s="31"/>
      <c r="OV245" s="31"/>
      <c r="OW245" s="31"/>
      <c r="OX245" s="31"/>
    </row>
    <row r="246" spans="2:414" s="25" customFormat="1" ht="15.6">
      <c r="B246" s="25" t="s">
        <v>371</v>
      </c>
      <c r="C246" s="27" t="s">
        <v>197</v>
      </c>
      <c r="D246" s="30" t="s">
        <v>355</v>
      </c>
      <c r="G246" s="42">
        <v>500</v>
      </c>
      <c r="H246" s="89">
        <v>26.109000000000002</v>
      </c>
      <c r="I246" s="38">
        <f t="shared" si="72"/>
        <v>13054.5</v>
      </c>
      <c r="K246" s="42">
        <v>500</v>
      </c>
      <c r="L246" s="90">
        <v>26.849599999999999</v>
      </c>
      <c r="M246" s="38">
        <f t="shared" si="73"/>
        <v>13424.8</v>
      </c>
      <c r="O246" s="38">
        <v>80</v>
      </c>
      <c r="P246" s="38">
        <v>26.728300000000001</v>
      </c>
      <c r="Q246" s="38">
        <f t="shared" si="74"/>
        <v>2138.2640000000001</v>
      </c>
      <c r="R246" s="43">
        <f t="shared" si="71"/>
        <v>1080</v>
      </c>
      <c r="S246" s="38">
        <f t="shared" si="75"/>
        <v>28617.563999999998</v>
      </c>
      <c r="T246" s="49">
        <v>85</v>
      </c>
      <c r="U246" s="42">
        <v>26.150300000000001</v>
      </c>
      <c r="V246" s="38">
        <f t="shared" si="86"/>
        <v>2222.7755000000002</v>
      </c>
      <c r="W246" s="42">
        <v>315</v>
      </c>
      <c r="X246" s="42">
        <v>26.109000000000002</v>
      </c>
      <c r="Y246" s="42">
        <f t="shared" si="88"/>
        <v>8224.3350000000009</v>
      </c>
      <c r="Z246" s="42">
        <v>100</v>
      </c>
      <c r="AA246" s="42">
        <v>26.109000000000002</v>
      </c>
      <c r="AB246" s="42">
        <f t="shared" si="89"/>
        <v>2610.9</v>
      </c>
      <c r="AD246" s="42">
        <v>270</v>
      </c>
      <c r="AE246" s="42">
        <v>26.849599999999999</v>
      </c>
      <c r="AF246" s="42">
        <f t="shared" si="84"/>
        <v>7249.3919999999998</v>
      </c>
      <c r="AG246" s="42"/>
      <c r="AH246" s="42">
        <v>120</v>
      </c>
      <c r="AI246" s="42">
        <v>26.952500000000001</v>
      </c>
      <c r="AJ246" s="42">
        <f>AH246*AI246</f>
        <v>3234.3</v>
      </c>
      <c r="AL246" s="42">
        <v>110</v>
      </c>
      <c r="AM246" s="42">
        <v>26.967199999999998</v>
      </c>
      <c r="AN246" s="42">
        <f t="shared" si="85"/>
        <v>2966.3919999999998</v>
      </c>
      <c r="AO246" s="44"/>
      <c r="AP246" s="42"/>
      <c r="AQ246" s="42"/>
      <c r="AR246" s="42"/>
      <c r="AU246" s="98"/>
      <c r="AV246" s="35">
        <f t="shared" si="91"/>
        <v>0</v>
      </c>
      <c r="AW246" s="104"/>
      <c r="AX246" s="42"/>
      <c r="AY246" s="42"/>
      <c r="AZ246" s="42">
        <f t="shared" si="70"/>
        <v>0</v>
      </c>
      <c r="BA246" s="42"/>
      <c r="BB246" s="42"/>
      <c r="BC246" s="42"/>
      <c r="BD246" s="38">
        <f t="shared" si="76"/>
        <v>0</v>
      </c>
      <c r="BE246" s="42"/>
      <c r="BF246" s="42"/>
      <c r="BG246" s="42"/>
      <c r="BH246" s="38">
        <f t="shared" si="77"/>
        <v>0</v>
      </c>
      <c r="BI246" s="42"/>
      <c r="BJ246" s="42"/>
      <c r="BK246" s="42"/>
      <c r="BL246" s="38">
        <f t="shared" si="78"/>
        <v>0</v>
      </c>
      <c r="BM246" s="42"/>
      <c r="BN246" s="42"/>
      <c r="BO246" s="42"/>
      <c r="BP246" s="42"/>
      <c r="BR246" s="42">
        <f t="shared" si="79"/>
        <v>26508.094499999999</v>
      </c>
      <c r="BS246" s="43">
        <f t="shared" si="80"/>
        <v>2109.4694999999992</v>
      </c>
      <c r="BT246" s="42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  <c r="FM246" s="31"/>
      <c r="FN246" s="31"/>
      <c r="FO246" s="31"/>
      <c r="FP246" s="31"/>
      <c r="FQ246" s="31"/>
      <c r="FR246" s="31"/>
      <c r="FS246" s="31"/>
      <c r="FT246" s="31"/>
      <c r="FU246" s="31"/>
      <c r="FV246" s="31"/>
      <c r="FW246" s="31"/>
      <c r="FX246" s="31"/>
      <c r="FY246" s="31"/>
      <c r="FZ246" s="31"/>
      <c r="GA246" s="31"/>
      <c r="GB246" s="31"/>
      <c r="GC246" s="31"/>
      <c r="GD246" s="31"/>
      <c r="GE246" s="31"/>
      <c r="GF246" s="31"/>
      <c r="GG246" s="31"/>
      <c r="GH246" s="31"/>
      <c r="GI246" s="31"/>
      <c r="GJ246" s="31"/>
      <c r="GK246" s="31"/>
      <c r="GL246" s="31"/>
      <c r="GM246" s="31"/>
      <c r="GN246" s="31"/>
      <c r="GO246" s="31"/>
      <c r="GP246" s="31"/>
      <c r="GQ246" s="31"/>
      <c r="GR246" s="31"/>
      <c r="GS246" s="31"/>
      <c r="GT246" s="31"/>
      <c r="GU246" s="31"/>
      <c r="GV246" s="31"/>
      <c r="GW246" s="31"/>
      <c r="GX246" s="31"/>
      <c r="GY246" s="31"/>
      <c r="GZ246" s="31"/>
      <c r="HA246" s="31"/>
      <c r="HB246" s="31"/>
      <c r="HC246" s="31"/>
      <c r="HD246" s="31"/>
      <c r="HE246" s="31"/>
      <c r="HF246" s="31"/>
      <c r="HG246" s="31"/>
      <c r="HH246" s="31"/>
      <c r="HI246" s="31"/>
      <c r="HJ246" s="31"/>
      <c r="HK246" s="31"/>
      <c r="HL246" s="31"/>
      <c r="HM246" s="31"/>
      <c r="HN246" s="31"/>
      <c r="HO246" s="31"/>
      <c r="HP246" s="31"/>
      <c r="HQ246" s="31"/>
      <c r="HR246" s="31"/>
      <c r="HS246" s="31"/>
      <c r="HT246" s="31"/>
      <c r="HU246" s="31"/>
      <c r="HV246" s="31"/>
      <c r="HW246" s="31"/>
      <c r="HX246" s="31"/>
      <c r="HY246" s="31"/>
      <c r="HZ246" s="31"/>
      <c r="IA246" s="31"/>
      <c r="IB246" s="31"/>
      <c r="IC246" s="31"/>
      <c r="ID246" s="31"/>
      <c r="IE246" s="31"/>
      <c r="IF246" s="31"/>
      <c r="IG246" s="31"/>
      <c r="IH246" s="31"/>
      <c r="II246" s="31"/>
      <c r="IJ246" s="31"/>
      <c r="IK246" s="31"/>
      <c r="IL246" s="31"/>
      <c r="IM246" s="31"/>
      <c r="IN246" s="31"/>
      <c r="IO246" s="31"/>
      <c r="IP246" s="31"/>
      <c r="IQ246" s="31"/>
      <c r="IR246" s="31"/>
      <c r="IS246" s="31"/>
      <c r="IT246" s="31"/>
      <c r="IU246" s="31"/>
      <c r="IV246" s="31"/>
      <c r="IW246" s="31"/>
      <c r="IX246" s="31"/>
      <c r="IY246" s="31"/>
      <c r="IZ246" s="31"/>
      <c r="JA246" s="31"/>
      <c r="JB246" s="31"/>
      <c r="JC246" s="31"/>
      <c r="JD246" s="31"/>
      <c r="JE246" s="31"/>
      <c r="JF246" s="31"/>
      <c r="JG246" s="31"/>
      <c r="JH246" s="31"/>
      <c r="JI246" s="31"/>
      <c r="JJ246" s="31"/>
      <c r="JK246" s="31"/>
      <c r="JL246" s="31"/>
      <c r="JM246" s="31"/>
      <c r="JN246" s="31"/>
      <c r="JO246" s="31"/>
      <c r="JP246" s="31"/>
      <c r="JQ246" s="31"/>
      <c r="JR246" s="31"/>
      <c r="JS246" s="31"/>
      <c r="JT246" s="31"/>
      <c r="JU246" s="31"/>
      <c r="JV246" s="31"/>
      <c r="JW246" s="31"/>
      <c r="JX246" s="31"/>
      <c r="JY246" s="31"/>
      <c r="JZ246" s="31"/>
      <c r="KA246" s="31"/>
      <c r="KB246" s="31"/>
      <c r="KC246" s="31"/>
      <c r="KD246" s="31"/>
      <c r="KE246" s="31"/>
      <c r="KF246" s="31"/>
      <c r="KG246" s="31"/>
      <c r="KH246" s="31"/>
      <c r="KI246" s="31"/>
      <c r="KJ246" s="31"/>
      <c r="KK246" s="31"/>
      <c r="KL246" s="31"/>
      <c r="KM246" s="31"/>
      <c r="KN246" s="31"/>
      <c r="KO246" s="31"/>
      <c r="KP246" s="31"/>
      <c r="KQ246" s="31"/>
      <c r="KR246" s="31"/>
      <c r="KS246" s="31"/>
      <c r="KT246" s="31"/>
      <c r="KU246" s="31"/>
      <c r="KV246" s="31"/>
      <c r="KW246" s="31"/>
      <c r="KX246" s="31"/>
      <c r="KY246" s="31"/>
      <c r="KZ246" s="31"/>
      <c r="LA246" s="31"/>
      <c r="LB246" s="31"/>
      <c r="LC246" s="31"/>
      <c r="LD246" s="31"/>
      <c r="LE246" s="31"/>
      <c r="LF246" s="31"/>
      <c r="LG246" s="31"/>
      <c r="LH246" s="31"/>
      <c r="LI246" s="31"/>
      <c r="LJ246" s="31"/>
      <c r="LK246" s="31"/>
      <c r="LL246" s="31"/>
      <c r="LM246" s="31"/>
      <c r="LN246" s="31"/>
      <c r="LO246" s="31"/>
      <c r="LP246" s="31"/>
      <c r="LQ246" s="31"/>
      <c r="LR246" s="31"/>
      <c r="LS246" s="31"/>
      <c r="LT246" s="31"/>
      <c r="LU246" s="31"/>
      <c r="LV246" s="31"/>
      <c r="LW246" s="31"/>
      <c r="LX246" s="31"/>
      <c r="LY246" s="31"/>
      <c r="LZ246" s="31"/>
      <c r="MA246" s="31"/>
      <c r="MB246" s="31"/>
      <c r="MC246" s="31"/>
      <c r="MD246" s="31"/>
      <c r="ME246" s="31"/>
      <c r="MF246" s="31"/>
      <c r="MG246" s="31"/>
      <c r="MH246" s="31"/>
      <c r="MI246" s="31"/>
      <c r="MJ246" s="31"/>
      <c r="MK246" s="31"/>
      <c r="ML246" s="31"/>
      <c r="MM246" s="31"/>
      <c r="MN246" s="31"/>
      <c r="MO246" s="31"/>
      <c r="MP246" s="31"/>
      <c r="MQ246" s="31"/>
      <c r="MR246" s="31"/>
      <c r="MS246" s="31"/>
      <c r="MT246" s="31"/>
      <c r="MU246" s="31"/>
      <c r="MV246" s="31"/>
      <c r="MW246" s="31"/>
      <c r="MX246" s="31"/>
      <c r="MY246" s="31"/>
      <c r="MZ246" s="31"/>
      <c r="NA246" s="31"/>
      <c r="NB246" s="31"/>
      <c r="NC246" s="31"/>
      <c r="ND246" s="31"/>
      <c r="NE246" s="31"/>
      <c r="NF246" s="31"/>
      <c r="NG246" s="31"/>
      <c r="NH246" s="31"/>
      <c r="NI246" s="31"/>
      <c r="NJ246" s="31"/>
      <c r="NK246" s="31"/>
      <c r="NL246" s="31"/>
      <c r="NM246" s="31"/>
      <c r="NN246" s="31"/>
      <c r="NO246" s="31"/>
      <c r="NP246" s="31"/>
      <c r="NQ246" s="31"/>
      <c r="NR246" s="31"/>
      <c r="NS246" s="31"/>
      <c r="NT246" s="31"/>
      <c r="NU246" s="31"/>
      <c r="NV246" s="31"/>
      <c r="NW246" s="31"/>
      <c r="NX246" s="31"/>
      <c r="NY246" s="31"/>
      <c r="NZ246" s="31"/>
      <c r="OA246" s="31"/>
      <c r="OB246" s="31"/>
      <c r="OC246" s="31"/>
      <c r="OD246" s="31"/>
      <c r="OE246" s="31"/>
      <c r="OF246" s="31"/>
      <c r="OG246" s="31"/>
      <c r="OH246" s="31"/>
      <c r="OI246" s="31"/>
      <c r="OJ246" s="31"/>
      <c r="OK246" s="31"/>
      <c r="OL246" s="31"/>
      <c r="OM246" s="31"/>
      <c r="ON246" s="31"/>
      <c r="OO246" s="31"/>
      <c r="OP246" s="31"/>
      <c r="OQ246" s="31"/>
      <c r="OR246" s="31"/>
      <c r="OS246" s="31"/>
      <c r="OT246" s="31"/>
      <c r="OU246" s="31"/>
      <c r="OV246" s="31"/>
      <c r="OW246" s="31"/>
      <c r="OX246" s="31"/>
    </row>
    <row r="247" spans="2:414" s="25" customFormat="1" ht="15.6">
      <c r="B247" s="25" t="s">
        <v>372</v>
      </c>
      <c r="C247" s="27" t="s">
        <v>373</v>
      </c>
      <c r="D247" s="30" t="s">
        <v>355</v>
      </c>
      <c r="G247" s="42">
        <v>500</v>
      </c>
      <c r="H247" s="89">
        <v>26.109000000000002</v>
      </c>
      <c r="I247" s="38">
        <f t="shared" si="72"/>
        <v>13054.5</v>
      </c>
      <c r="K247" s="42">
        <v>500</v>
      </c>
      <c r="L247" s="90">
        <v>26.849599999999999</v>
      </c>
      <c r="M247" s="38">
        <f t="shared" si="73"/>
        <v>13424.8</v>
      </c>
      <c r="O247" s="38">
        <v>80</v>
      </c>
      <c r="P247" s="38">
        <v>26.728300000000001</v>
      </c>
      <c r="Q247" s="38">
        <f t="shared" si="74"/>
        <v>2138.2640000000001</v>
      </c>
      <c r="R247" s="43">
        <f t="shared" si="71"/>
        <v>1080</v>
      </c>
      <c r="S247" s="38">
        <f t="shared" si="75"/>
        <v>28617.563999999998</v>
      </c>
      <c r="T247" s="49">
        <v>415</v>
      </c>
      <c r="U247" s="42">
        <v>26.0579</v>
      </c>
      <c r="V247" s="38">
        <f t="shared" si="86"/>
        <v>10814.0285</v>
      </c>
      <c r="W247" s="42">
        <v>85</v>
      </c>
      <c r="X247" s="42"/>
      <c r="Y247" s="42">
        <f t="shared" si="88"/>
        <v>0</v>
      </c>
      <c r="Z247" s="42">
        <v>415</v>
      </c>
      <c r="AA247" s="42">
        <v>26.799399999999999</v>
      </c>
      <c r="AB247" s="42">
        <f t="shared" si="89"/>
        <v>11121.751</v>
      </c>
      <c r="AD247" s="42">
        <v>85</v>
      </c>
      <c r="AE247" s="42">
        <v>26.864000000000001</v>
      </c>
      <c r="AF247" s="42">
        <f t="shared" si="84"/>
        <v>2283.44</v>
      </c>
      <c r="AG247" s="42"/>
      <c r="AH247" s="42"/>
      <c r="AI247" s="42"/>
      <c r="AJ247" s="42"/>
      <c r="AL247" s="42"/>
      <c r="AM247" s="42"/>
      <c r="AN247" s="42">
        <f t="shared" si="85"/>
        <v>0</v>
      </c>
      <c r="AO247" s="44"/>
      <c r="AP247" s="42"/>
      <c r="AQ247" s="42"/>
      <c r="AR247" s="42"/>
      <c r="AU247" s="98"/>
      <c r="AV247" s="35">
        <f t="shared" si="91"/>
        <v>0</v>
      </c>
      <c r="AW247" s="104"/>
      <c r="AX247" s="42"/>
      <c r="AY247" s="42"/>
      <c r="AZ247" s="42">
        <f t="shared" si="70"/>
        <v>0</v>
      </c>
      <c r="BA247" s="42"/>
      <c r="BB247" s="42"/>
      <c r="BC247" s="42"/>
      <c r="BD247" s="38">
        <f t="shared" si="76"/>
        <v>0</v>
      </c>
      <c r="BE247" s="42"/>
      <c r="BF247" s="42"/>
      <c r="BG247" s="42"/>
      <c r="BH247" s="38">
        <f t="shared" si="77"/>
        <v>0</v>
      </c>
      <c r="BI247" s="42"/>
      <c r="BJ247" s="42"/>
      <c r="BK247" s="42"/>
      <c r="BL247" s="38">
        <f t="shared" si="78"/>
        <v>0</v>
      </c>
      <c r="BM247" s="42"/>
      <c r="BN247" s="42"/>
      <c r="BO247" s="42"/>
      <c r="BP247" s="42"/>
      <c r="BR247" s="42">
        <f t="shared" si="79"/>
        <v>24219.219499999999</v>
      </c>
      <c r="BS247" s="43">
        <f t="shared" si="80"/>
        <v>4398.3444999999992</v>
      </c>
      <c r="BT247" s="42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  <c r="FM247" s="31"/>
      <c r="FN247" s="31"/>
      <c r="FO247" s="31"/>
      <c r="FP247" s="31"/>
      <c r="FQ247" s="31"/>
      <c r="FR247" s="31"/>
      <c r="FS247" s="31"/>
      <c r="FT247" s="31"/>
      <c r="FU247" s="31"/>
      <c r="FV247" s="31"/>
      <c r="FW247" s="31"/>
      <c r="FX247" s="31"/>
      <c r="FY247" s="31"/>
      <c r="FZ247" s="31"/>
      <c r="GA247" s="31"/>
      <c r="GB247" s="31"/>
      <c r="GC247" s="31"/>
      <c r="GD247" s="31"/>
      <c r="GE247" s="31"/>
      <c r="GF247" s="31"/>
      <c r="GG247" s="31"/>
      <c r="GH247" s="31"/>
      <c r="GI247" s="31"/>
      <c r="GJ247" s="31"/>
      <c r="GK247" s="31"/>
      <c r="GL247" s="31"/>
      <c r="GM247" s="31"/>
      <c r="GN247" s="31"/>
      <c r="GO247" s="31"/>
      <c r="GP247" s="31"/>
      <c r="GQ247" s="31"/>
      <c r="GR247" s="31"/>
      <c r="GS247" s="31"/>
      <c r="GT247" s="31"/>
      <c r="GU247" s="31"/>
      <c r="GV247" s="31"/>
      <c r="GW247" s="31"/>
      <c r="GX247" s="31"/>
      <c r="GY247" s="31"/>
      <c r="GZ247" s="31"/>
      <c r="HA247" s="31"/>
      <c r="HB247" s="31"/>
      <c r="HC247" s="31"/>
      <c r="HD247" s="31"/>
      <c r="HE247" s="31"/>
      <c r="HF247" s="31"/>
      <c r="HG247" s="31"/>
      <c r="HH247" s="31"/>
      <c r="HI247" s="31"/>
      <c r="HJ247" s="31"/>
      <c r="HK247" s="31"/>
      <c r="HL247" s="31"/>
      <c r="HM247" s="31"/>
      <c r="HN247" s="31"/>
      <c r="HO247" s="31"/>
      <c r="HP247" s="31"/>
      <c r="HQ247" s="31"/>
      <c r="HR247" s="31"/>
      <c r="HS247" s="31"/>
      <c r="HT247" s="31"/>
      <c r="HU247" s="31"/>
      <c r="HV247" s="31"/>
      <c r="HW247" s="31"/>
      <c r="HX247" s="31"/>
      <c r="HY247" s="31"/>
      <c r="HZ247" s="31"/>
      <c r="IA247" s="31"/>
      <c r="IB247" s="31"/>
      <c r="IC247" s="31"/>
      <c r="ID247" s="31"/>
      <c r="IE247" s="31"/>
      <c r="IF247" s="31"/>
      <c r="IG247" s="31"/>
      <c r="IH247" s="31"/>
      <c r="II247" s="31"/>
      <c r="IJ247" s="31"/>
      <c r="IK247" s="31"/>
      <c r="IL247" s="31"/>
      <c r="IM247" s="31"/>
      <c r="IN247" s="31"/>
      <c r="IO247" s="31"/>
      <c r="IP247" s="31"/>
      <c r="IQ247" s="31"/>
      <c r="IR247" s="31"/>
      <c r="IS247" s="31"/>
      <c r="IT247" s="31"/>
      <c r="IU247" s="31"/>
      <c r="IV247" s="31"/>
      <c r="IW247" s="31"/>
      <c r="IX247" s="31"/>
      <c r="IY247" s="31"/>
      <c r="IZ247" s="31"/>
      <c r="JA247" s="31"/>
      <c r="JB247" s="31"/>
      <c r="JC247" s="31"/>
      <c r="JD247" s="31"/>
      <c r="JE247" s="31"/>
      <c r="JF247" s="31"/>
      <c r="JG247" s="31"/>
      <c r="JH247" s="31"/>
      <c r="JI247" s="31"/>
      <c r="JJ247" s="31"/>
      <c r="JK247" s="31"/>
      <c r="JL247" s="31"/>
      <c r="JM247" s="31"/>
      <c r="JN247" s="31"/>
      <c r="JO247" s="31"/>
      <c r="JP247" s="31"/>
      <c r="JQ247" s="31"/>
      <c r="JR247" s="31"/>
      <c r="JS247" s="31"/>
      <c r="JT247" s="31"/>
      <c r="JU247" s="31"/>
      <c r="JV247" s="31"/>
      <c r="JW247" s="31"/>
      <c r="JX247" s="31"/>
      <c r="JY247" s="31"/>
      <c r="JZ247" s="31"/>
      <c r="KA247" s="31"/>
      <c r="KB247" s="31"/>
      <c r="KC247" s="31"/>
      <c r="KD247" s="31"/>
      <c r="KE247" s="31"/>
      <c r="KF247" s="31"/>
      <c r="KG247" s="31"/>
      <c r="KH247" s="31"/>
      <c r="KI247" s="31"/>
      <c r="KJ247" s="31"/>
      <c r="KK247" s="31"/>
      <c r="KL247" s="31"/>
      <c r="KM247" s="31"/>
      <c r="KN247" s="31"/>
      <c r="KO247" s="31"/>
      <c r="KP247" s="31"/>
      <c r="KQ247" s="31"/>
      <c r="KR247" s="31"/>
      <c r="KS247" s="31"/>
      <c r="KT247" s="31"/>
      <c r="KU247" s="31"/>
      <c r="KV247" s="31"/>
      <c r="KW247" s="31"/>
      <c r="KX247" s="31"/>
      <c r="KY247" s="31"/>
      <c r="KZ247" s="31"/>
      <c r="LA247" s="31"/>
      <c r="LB247" s="31"/>
      <c r="LC247" s="31"/>
      <c r="LD247" s="31"/>
      <c r="LE247" s="31"/>
      <c r="LF247" s="31"/>
      <c r="LG247" s="31"/>
      <c r="LH247" s="31"/>
      <c r="LI247" s="31"/>
      <c r="LJ247" s="31"/>
      <c r="LK247" s="31"/>
      <c r="LL247" s="31"/>
      <c r="LM247" s="31"/>
      <c r="LN247" s="31"/>
      <c r="LO247" s="31"/>
      <c r="LP247" s="31"/>
      <c r="LQ247" s="31"/>
      <c r="LR247" s="31"/>
      <c r="LS247" s="31"/>
      <c r="LT247" s="31"/>
      <c r="LU247" s="31"/>
      <c r="LV247" s="31"/>
      <c r="LW247" s="31"/>
      <c r="LX247" s="31"/>
      <c r="LY247" s="31"/>
      <c r="LZ247" s="31"/>
      <c r="MA247" s="31"/>
      <c r="MB247" s="31"/>
      <c r="MC247" s="31"/>
      <c r="MD247" s="31"/>
      <c r="ME247" s="31"/>
      <c r="MF247" s="31"/>
      <c r="MG247" s="31"/>
      <c r="MH247" s="31"/>
      <c r="MI247" s="31"/>
      <c r="MJ247" s="31"/>
      <c r="MK247" s="31"/>
      <c r="ML247" s="31"/>
      <c r="MM247" s="31"/>
      <c r="MN247" s="31"/>
      <c r="MO247" s="31"/>
      <c r="MP247" s="31"/>
      <c r="MQ247" s="31"/>
      <c r="MR247" s="31"/>
      <c r="MS247" s="31"/>
      <c r="MT247" s="31"/>
      <c r="MU247" s="31"/>
      <c r="MV247" s="31"/>
      <c r="MW247" s="31"/>
      <c r="MX247" s="31"/>
      <c r="MY247" s="31"/>
      <c r="MZ247" s="31"/>
      <c r="NA247" s="31"/>
      <c r="NB247" s="31"/>
      <c r="NC247" s="31"/>
      <c r="ND247" s="31"/>
      <c r="NE247" s="31"/>
      <c r="NF247" s="31"/>
      <c r="NG247" s="31"/>
      <c r="NH247" s="31"/>
      <c r="NI247" s="31"/>
      <c r="NJ247" s="31"/>
      <c r="NK247" s="31"/>
      <c r="NL247" s="31"/>
      <c r="NM247" s="31"/>
      <c r="NN247" s="31"/>
      <c r="NO247" s="31"/>
      <c r="NP247" s="31"/>
      <c r="NQ247" s="31"/>
      <c r="NR247" s="31"/>
      <c r="NS247" s="31"/>
      <c r="NT247" s="31"/>
      <c r="NU247" s="31"/>
      <c r="NV247" s="31"/>
      <c r="NW247" s="31"/>
      <c r="NX247" s="31"/>
      <c r="NY247" s="31"/>
      <c r="NZ247" s="31"/>
      <c r="OA247" s="31"/>
      <c r="OB247" s="31"/>
      <c r="OC247" s="31"/>
      <c r="OD247" s="31"/>
      <c r="OE247" s="31"/>
      <c r="OF247" s="31"/>
      <c r="OG247" s="31"/>
      <c r="OH247" s="31"/>
      <c r="OI247" s="31"/>
      <c r="OJ247" s="31"/>
      <c r="OK247" s="31"/>
      <c r="OL247" s="31"/>
      <c r="OM247" s="31"/>
      <c r="ON247" s="31"/>
      <c r="OO247" s="31"/>
      <c r="OP247" s="31"/>
      <c r="OQ247" s="31"/>
      <c r="OR247" s="31"/>
      <c r="OS247" s="31"/>
      <c r="OT247" s="31"/>
      <c r="OU247" s="31"/>
      <c r="OV247" s="31"/>
      <c r="OW247" s="31"/>
      <c r="OX247" s="31"/>
    </row>
    <row r="248" spans="2:414" s="25" customFormat="1" ht="15.6">
      <c r="B248" s="25" t="s">
        <v>374</v>
      </c>
      <c r="C248" s="27" t="s">
        <v>375</v>
      </c>
      <c r="D248" s="30" t="s">
        <v>355</v>
      </c>
      <c r="G248" s="42">
        <v>500</v>
      </c>
      <c r="H248" s="89">
        <v>26.109000000000002</v>
      </c>
      <c r="I248" s="38">
        <f t="shared" si="72"/>
        <v>13054.5</v>
      </c>
      <c r="K248" s="42">
        <v>500</v>
      </c>
      <c r="L248" s="90">
        <v>26.849599999999999</v>
      </c>
      <c r="M248" s="38">
        <f t="shared" si="73"/>
        <v>13424.8</v>
      </c>
      <c r="O248" s="38">
        <v>80</v>
      </c>
      <c r="P248" s="38">
        <v>26.728300000000001</v>
      </c>
      <c r="Q248" s="38">
        <f t="shared" si="74"/>
        <v>2138.2640000000001</v>
      </c>
      <c r="R248" s="43">
        <f t="shared" si="71"/>
        <v>1080</v>
      </c>
      <c r="S248" s="38">
        <f t="shared" si="75"/>
        <v>28617.563999999998</v>
      </c>
      <c r="T248" s="49">
        <v>415</v>
      </c>
      <c r="U248" s="42">
        <v>26.261399999999998</v>
      </c>
      <c r="V248" s="38">
        <f t="shared" si="86"/>
        <v>10898.481</v>
      </c>
      <c r="W248" s="42">
        <v>85</v>
      </c>
      <c r="X248" s="42">
        <v>26.261399999999998</v>
      </c>
      <c r="Y248" s="42">
        <f t="shared" si="88"/>
        <v>2232.2190000000001</v>
      </c>
      <c r="Z248" s="42">
        <v>415</v>
      </c>
      <c r="AA248" s="42">
        <v>26.856000000000002</v>
      </c>
      <c r="AB248" s="42">
        <f t="shared" si="89"/>
        <v>11145.24</v>
      </c>
      <c r="AD248" s="42">
        <v>85</v>
      </c>
      <c r="AE248" s="42">
        <v>26.856000000000002</v>
      </c>
      <c r="AF248" s="42">
        <f t="shared" si="84"/>
        <v>2282.7600000000002</v>
      </c>
      <c r="AG248" s="42"/>
      <c r="AH248" s="42"/>
      <c r="AI248" s="42"/>
      <c r="AJ248" s="42"/>
      <c r="AL248" s="42"/>
      <c r="AM248" s="42"/>
      <c r="AN248" s="42">
        <f t="shared" si="85"/>
        <v>0</v>
      </c>
      <c r="AO248" s="44"/>
      <c r="AP248" s="42"/>
      <c r="AQ248" s="42"/>
      <c r="AR248" s="42"/>
      <c r="AU248" s="98"/>
      <c r="AV248" s="35">
        <f t="shared" si="91"/>
        <v>0</v>
      </c>
      <c r="AW248" s="104"/>
      <c r="AX248" s="42"/>
      <c r="AY248" s="42"/>
      <c r="AZ248" s="42">
        <f t="shared" si="70"/>
        <v>0</v>
      </c>
      <c r="BA248" s="42"/>
      <c r="BB248" s="42"/>
      <c r="BC248" s="42"/>
      <c r="BD248" s="38">
        <f t="shared" si="76"/>
        <v>0</v>
      </c>
      <c r="BE248" s="42"/>
      <c r="BF248" s="42"/>
      <c r="BG248" s="42"/>
      <c r="BH248" s="38">
        <f t="shared" si="77"/>
        <v>0</v>
      </c>
      <c r="BI248" s="42"/>
      <c r="BJ248" s="42"/>
      <c r="BK248" s="42"/>
      <c r="BL248" s="38">
        <f t="shared" si="78"/>
        <v>0</v>
      </c>
      <c r="BM248" s="42"/>
      <c r="BN248" s="42"/>
      <c r="BO248" s="42"/>
      <c r="BP248" s="42"/>
      <c r="BR248" s="42">
        <f t="shared" si="79"/>
        <v>26558.700000000004</v>
      </c>
      <c r="BS248" s="43">
        <f t="shared" si="80"/>
        <v>2058.8639999999941</v>
      </c>
      <c r="BT248" s="42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  <c r="FM248" s="31"/>
      <c r="FN248" s="31"/>
      <c r="FO248" s="31"/>
      <c r="FP248" s="31"/>
      <c r="FQ248" s="31"/>
      <c r="FR248" s="31"/>
      <c r="FS248" s="31"/>
      <c r="FT248" s="31"/>
      <c r="FU248" s="31"/>
      <c r="FV248" s="31"/>
      <c r="FW248" s="31"/>
      <c r="FX248" s="31"/>
      <c r="FY248" s="31"/>
      <c r="FZ248" s="31"/>
      <c r="GA248" s="31"/>
      <c r="GB248" s="31"/>
      <c r="GC248" s="31"/>
      <c r="GD248" s="31"/>
      <c r="GE248" s="31"/>
      <c r="GF248" s="31"/>
      <c r="GG248" s="31"/>
      <c r="GH248" s="31"/>
      <c r="GI248" s="31"/>
      <c r="GJ248" s="31"/>
      <c r="GK248" s="31"/>
      <c r="GL248" s="31"/>
      <c r="GM248" s="31"/>
      <c r="GN248" s="31"/>
      <c r="GO248" s="31"/>
      <c r="GP248" s="31"/>
      <c r="GQ248" s="31"/>
      <c r="GR248" s="31"/>
      <c r="GS248" s="31"/>
      <c r="GT248" s="31"/>
      <c r="GU248" s="31"/>
      <c r="GV248" s="31"/>
      <c r="GW248" s="31"/>
      <c r="GX248" s="31"/>
      <c r="GY248" s="31"/>
      <c r="GZ248" s="31"/>
      <c r="HA248" s="31"/>
      <c r="HB248" s="31"/>
      <c r="HC248" s="31"/>
      <c r="HD248" s="31"/>
      <c r="HE248" s="31"/>
      <c r="HF248" s="31"/>
      <c r="HG248" s="31"/>
      <c r="HH248" s="31"/>
      <c r="HI248" s="31"/>
      <c r="HJ248" s="31"/>
      <c r="HK248" s="31"/>
      <c r="HL248" s="31"/>
      <c r="HM248" s="31"/>
      <c r="HN248" s="31"/>
      <c r="HO248" s="31"/>
      <c r="HP248" s="31"/>
      <c r="HQ248" s="31"/>
      <c r="HR248" s="31"/>
      <c r="HS248" s="31"/>
      <c r="HT248" s="31"/>
      <c r="HU248" s="31"/>
      <c r="HV248" s="31"/>
      <c r="HW248" s="31"/>
      <c r="HX248" s="31"/>
      <c r="HY248" s="31"/>
      <c r="HZ248" s="31"/>
      <c r="IA248" s="31"/>
      <c r="IB248" s="31"/>
      <c r="IC248" s="31"/>
      <c r="ID248" s="31"/>
      <c r="IE248" s="31"/>
      <c r="IF248" s="31"/>
      <c r="IG248" s="31"/>
      <c r="IH248" s="31"/>
      <c r="II248" s="31"/>
      <c r="IJ248" s="31"/>
      <c r="IK248" s="31"/>
      <c r="IL248" s="31"/>
      <c r="IM248" s="31"/>
      <c r="IN248" s="31"/>
      <c r="IO248" s="31"/>
      <c r="IP248" s="31"/>
      <c r="IQ248" s="31"/>
      <c r="IR248" s="31"/>
      <c r="IS248" s="31"/>
      <c r="IT248" s="31"/>
      <c r="IU248" s="31"/>
      <c r="IV248" s="31"/>
      <c r="IW248" s="31"/>
      <c r="IX248" s="31"/>
      <c r="IY248" s="31"/>
      <c r="IZ248" s="31"/>
      <c r="JA248" s="31"/>
      <c r="JB248" s="31"/>
      <c r="JC248" s="31"/>
      <c r="JD248" s="31"/>
      <c r="JE248" s="31"/>
      <c r="JF248" s="31"/>
      <c r="JG248" s="31"/>
      <c r="JH248" s="31"/>
      <c r="JI248" s="31"/>
      <c r="JJ248" s="31"/>
      <c r="JK248" s="31"/>
      <c r="JL248" s="31"/>
      <c r="JM248" s="31"/>
      <c r="JN248" s="31"/>
      <c r="JO248" s="31"/>
      <c r="JP248" s="31"/>
      <c r="JQ248" s="31"/>
      <c r="JR248" s="31"/>
      <c r="JS248" s="31"/>
      <c r="JT248" s="31"/>
      <c r="JU248" s="31"/>
      <c r="JV248" s="31"/>
      <c r="JW248" s="31"/>
      <c r="JX248" s="31"/>
      <c r="JY248" s="31"/>
      <c r="JZ248" s="31"/>
      <c r="KA248" s="31"/>
      <c r="KB248" s="31"/>
      <c r="KC248" s="31"/>
      <c r="KD248" s="31"/>
      <c r="KE248" s="31"/>
      <c r="KF248" s="31"/>
      <c r="KG248" s="31"/>
      <c r="KH248" s="31"/>
      <c r="KI248" s="31"/>
      <c r="KJ248" s="31"/>
      <c r="KK248" s="31"/>
      <c r="KL248" s="31"/>
      <c r="KM248" s="31"/>
      <c r="KN248" s="31"/>
      <c r="KO248" s="31"/>
      <c r="KP248" s="31"/>
      <c r="KQ248" s="31"/>
      <c r="KR248" s="31"/>
      <c r="KS248" s="31"/>
      <c r="KT248" s="31"/>
      <c r="KU248" s="31"/>
      <c r="KV248" s="31"/>
      <c r="KW248" s="31"/>
      <c r="KX248" s="31"/>
      <c r="KY248" s="31"/>
      <c r="KZ248" s="31"/>
      <c r="LA248" s="31"/>
      <c r="LB248" s="31"/>
      <c r="LC248" s="31"/>
      <c r="LD248" s="31"/>
      <c r="LE248" s="31"/>
      <c r="LF248" s="31"/>
      <c r="LG248" s="31"/>
      <c r="LH248" s="31"/>
      <c r="LI248" s="31"/>
      <c r="LJ248" s="31"/>
      <c r="LK248" s="31"/>
      <c r="LL248" s="31"/>
      <c r="LM248" s="31"/>
      <c r="LN248" s="31"/>
      <c r="LO248" s="31"/>
      <c r="LP248" s="31"/>
      <c r="LQ248" s="31"/>
      <c r="LR248" s="31"/>
      <c r="LS248" s="31"/>
      <c r="LT248" s="31"/>
      <c r="LU248" s="31"/>
      <c r="LV248" s="31"/>
      <c r="LW248" s="31"/>
      <c r="LX248" s="31"/>
      <c r="LY248" s="31"/>
      <c r="LZ248" s="31"/>
      <c r="MA248" s="31"/>
      <c r="MB248" s="31"/>
      <c r="MC248" s="31"/>
      <c r="MD248" s="31"/>
      <c r="ME248" s="31"/>
      <c r="MF248" s="31"/>
      <c r="MG248" s="31"/>
      <c r="MH248" s="31"/>
      <c r="MI248" s="31"/>
      <c r="MJ248" s="31"/>
      <c r="MK248" s="31"/>
      <c r="ML248" s="31"/>
      <c r="MM248" s="31"/>
      <c r="MN248" s="31"/>
      <c r="MO248" s="31"/>
      <c r="MP248" s="31"/>
      <c r="MQ248" s="31"/>
      <c r="MR248" s="31"/>
      <c r="MS248" s="31"/>
      <c r="MT248" s="31"/>
      <c r="MU248" s="31"/>
      <c r="MV248" s="31"/>
      <c r="MW248" s="31"/>
      <c r="MX248" s="31"/>
      <c r="MY248" s="31"/>
      <c r="MZ248" s="31"/>
      <c r="NA248" s="31"/>
      <c r="NB248" s="31"/>
      <c r="NC248" s="31"/>
      <c r="ND248" s="31"/>
      <c r="NE248" s="31"/>
      <c r="NF248" s="31"/>
      <c r="NG248" s="31"/>
      <c r="NH248" s="31"/>
      <c r="NI248" s="31"/>
      <c r="NJ248" s="31"/>
      <c r="NK248" s="31"/>
      <c r="NL248" s="31"/>
      <c r="NM248" s="31"/>
      <c r="NN248" s="31"/>
      <c r="NO248" s="31"/>
      <c r="NP248" s="31"/>
      <c r="NQ248" s="31"/>
      <c r="NR248" s="31"/>
      <c r="NS248" s="31"/>
      <c r="NT248" s="31"/>
      <c r="NU248" s="31"/>
      <c r="NV248" s="31"/>
      <c r="NW248" s="31"/>
      <c r="NX248" s="31"/>
      <c r="NY248" s="31"/>
      <c r="NZ248" s="31"/>
      <c r="OA248" s="31"/>
      <c r="OB248" s="31"/>
      <c r="OC248" s="31"/>
      <c r="OD248" s="31"/>
      <c r="OE248" s="31"/>
      <c r="OF248" s="31"/>
      <c r="OG248" s="31"/>
      <c r="OH248" s="31"/>
      <c r="OI248" s="31"/>
      <c r="OJ248" s="31"/>
      <c r="OK248" s="31"/>
      <c r="OL248" s="31"/>
      <c r="OM248" s="31"/>
      <c r="ON248" s="31"/>
      <c r="OO248" s="31"/>
      <c r="OP248" s="31"/>
      <c r="OQ248" s="31"/>
      <c r="OR248" s="31"/>
      <c r="OS248" s="31"/>
      <c r="OT248" s="31"/>
      <c r="OU248" s="31"/>
      <c r="OV248" s="31"/>
      <c r="OW248" s="31"/>
      <c r="OX248" s="31"/>
    </row>
    <row r="249" spans="2:414" s="25" customFormat="1" ht="15.6">
      <c r="B249" s="25" t="s">
        <v>376</v>
      </c>
      <c r="C249" s="27" t="s">
        <v>377</v>
      </c>
      <c r="D249" s="30" t="s">
        <v>355</v>
      </c>
      <c r="G249" s="42">
        <v>500</v>
      </c>
      <c r="H249" s="89">
        <v>26.109000000000002</v>
      </c>
      <c r="I249" s="38">
        <f t="shared" si="72"/>
        <v>13054.5</v>
      </c>
      <c r="K249" s="42">
        <v>500</v>
      </c>
      <c r="L249" s="90">
        <v>26.849599999999999</v>
      </c>
      <c r="M249" s="38">
        <f t="shared" si="73"/>
        <v>13424.8</v>
      </c>
      <c r="O249" s="38">
        <v>80</v>
      </c>
      <c r="P249" s="38">
        <v>26.728300000000001</v>
      </c>
      <c r="Q249" s="38">
        <f t="shared" si="74"/>
        <v>2138.2640000000001</v>
      </c>
      <c r="R249" s="43">
        <f t="shared" si="71"/>
        <v>1080</v>
      </c>
      <c r="S249" s="38">
        <f t="shared" si="75"/>
        <v>28617.563999999998</v>
      </c>
      <c r="T249" s="49"/>
      <c r="U249" s="42"/>
      <c r="V249" s="38">
        <f t="shared" si="86"/>
        <v>0</v>
      </c>
      <c r="W249" s="42"/>
      <c r="X249" s="42"/>
      <c r="Y249" s="42">
        <f t="shared" si="88"/>
        <v>0</v>
      </c>
      <c r="Z249" s="42"/>
      <c r="AA249" s="42"/>
      <c r="AB249" s="42">
        <f t="shared" si="89"/>
        <v>0</v>
      </c>
      <c r="AD249" s="42"/>
      <c r="AE249" s="42"/>
      <c r="AF249" s="42">
        <f t="shared" si="84"/>
        <v>0</v>
      </c>
      <c r="AG249" s="42"/>
      <c r="AH249" s="42"/>
      <c r="AI249" s="42"/>
      <c r="AJ249" s="42"/>
      <c r="AL249" s="42"/>
      <c r="AM249" s="42"/>
      <c r="AN249" s="42">
        <f t="shared" si="85"/>
        <v>0</v>
      </c>
      <c r="AO249" s="44"/>
      <c r="AP249" s="42"/>
      <c r="AQ249" s="42"/>
      <c r="AR249" s="42"/>
      <c r="AU249" s="98"/>
      <c r="AV249" s="35">
        <f t="shared" si="91"/>
        <v>0</v>
      </c>
      <c r="AW249" s="104"/>
      <c r="AX249" s="42"/>
      <c r="AY249" s="42"/>
      <c r="AZ249" s="42">
        <f t="shared" si="70"/>
        <v>0</v>
      </c>
      <c r="BA249" s="42"/>
      <c r="BB249" s="42"/>
      <c r="BC249" s="42"/>
      <c r="BD249" s="38">
        <f t="shared" si="76"/>
        <v>0</v>
      </c>
      <c r="BE249" s="42"/>
      <c r="BF249" s="42"/>
      <c r="BG249" s="42"/>
      <c r="BH249" s="38">
        <f t="shared" si="77"/>
        <v>0</v>
      </c>
      <c r="BI249" s="42"/>
      <c r="BJ249" s="42"/>
      <c r="BK249" s="42"/>
      <c r="BL249" s="38">
        <f t="shared" si="78"/>
        <v>0</v>
      </c>
      <c r="BM249" s="42"/>
      <c r="BN249" s="42"/>
      <c r="BO249" s="42"/>
      <c r="BP249" s="42"/>
      <c r="BR249" s="42">
        <f t="shared" si="79"/>
        <v>0</v>
      </c>
      <c r="BS249" s="43">
        <f t="shared" si="80"/>
        <v>28617.563999999998</v>
      </c>
      <c r="BT249" s="42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  <c r="FM249" s="31"/>
      <c r="FN249" s="31"/>
      <c r="FO249" s="31"/>
      <c r="FP249" s="31"/>
      <c r="FQ249" s="31"/>
      <c r="FR249" s="31"/>
      <c r="FS249" s="31"/>
      <c r="FT249" s="31"/>
      <c r="FU249" s="31"/>
      <c r="FV249" s="31"/>
      <c r="FW249" s="31"/>
      <c r="FX249" s="31"/>
      <c r="FY249" s="31"/>
      <c r="FZ249" s="31"/>
      <c r="GA249" s="31"/>
      <c r="GB249" s="31"/>
      <c r="GC249" s="31"/>
      <c r="GD249" s="31"/>
      <c r="GE249" s="31"/>
      <c r="GF249" s="31"/>
      <c r="GG249" s="31"/>
      <c r="GH249" s="31"/>
      <c r="GI249" s="31"/>
      <c r="GJ249" s="31"/>
      <c r="GK249" s="31"/>
      <c r="GL249" s="31"/>
      <c r="GM249" s="31"/>
      <c r="GN249" s="31"/>
      <c r="GO249" s="31"/>
      <c r="GP249" s="31"/>
      <c r="GQ249" s="31"/>
      <c r="GR249" s="31"/>
      <c r="GS249" s="31"/>
      <c r="GT249" s="31"/>
      <c r="GU249" s="31"/>
      <c r="GV249" s="31"/>
      <c r="GW249" s="31"/>
      <c r="GX249" s="31"/>
      <c r="GY249" s="31"/>
      <c r="GZ249" s="31"/>
      <c r="HA249" s="31"/>
      <c r="HB249" s="31"/>
      <c r="HC249" s="31"/>
      <c r="HD249" s="31"/>
      <c r="HE249" s="31"/>
      <c r="HF249" s="31"/>
      <c r="HG249" s="31"/>
      <c r="HH249" s="31"/>
      <c r="HI249" s="31"/>
      <c r="HJ249" s="31"/>
      <c r="HK249" s="31"/>
      <c r="HL249" s="31"/>
      <c r="HM249" s="31"/>
      <c r="HN249" s="31"/>
      <c r="HO249" s="31"/>
      <c r="HP249" s="31"/>
      <c r="HQ249" s="31"/>
      <c r="HR249" s="31"/>
      <c r="HS249" s="31"/>
      <c r="HT249" s="31"/>
      <c r="HU249" s="31"/>
      <c r="HV249" s="31"/>
      <c r="HW249" s="31"/>
      <c r="HX249" s="31"/>
      <c r="HY249" s="31"/>
      <c r="HZ249" s="31"/>
      <c r="IA249" s="31"/>
      <c r="IB249" s="31"/>
      <c r="IC249" s="31"/>
      <c r="ID249" s="31"/>
      <c r="IE249" s="31"/>
      <c r="IF249" s="31"/>
      <c r="IG249" s="31"/>
      <c r="IH249" s="31"/>
      <c r="II249" s="31"/>
      <c r="IJ249" s="31"/>
      <c r="IK249" s="31"/>
      <c r="IL249" s="31"/>
      <c r="IM249" s="31"/>
      <c r="IN249" s="31"/>
      <c r="IO249" s="31"/>
      <c r="IP249" s="31"/>
      <c r="IQ249" s="31"/>
      <c r="IR249" s="31"/>
      <c r="IS249" s="31"/>
      <c r="IT249" s="31"/>
      <c r="IU249" s="31"/>
      <c r="IV249" s="31"/>
      <c r="IW249" s="31"/>
      <c r="IX249" s="31"/>
      <c r="IY249" s="31"/>
      <c r="IZ249" s="31"/>
      <c r="JA249" s="31"/>
      <c r="JB249" s="31"/>
      <c r="JC249" s="31"/>
      <c r="JD249" s="31"/>
      <c r="JE249" s="31"/>
      <c r="JF249" s="31"/>
      <c r="JG249" s="31"/>
      <c r="JH249" s="31"/>
      <c r="JI249" s="31"/>
      <c r="JJ249" s="31"/>
      <c r="JK249" s="31"/>
      <c r="JL249" s="31"/>
      <c r="JM249" s="31"/>
      <c r="JN249" s="31"/>
      <c r="JO249" s="31"/>
      <c r="JP249" s="31"/>
      <c r="JQ249" s="31"/>
      <c r="JR249" s="31"/>
      <c r="JS249" s="31"/>
      <c r="JT249" s="31"/>
      <c r="JU249" s="31"/>
      <c r="JV249" s="31"/>
      <c r="JW249" s="31"/>
      <c r="JX249" s="31"/>
      <c r="JY249" s="31"/>
      <c r="JZ249" s="31"/>
      <c r="KA249" s="31"/>
      <c r="KB249" s="31"/>
      <c r="KC249" s="31"/>
      <c r="KD249" s="31"/>
      <c r="KE249" s="31"/>
      <c r="KF249" s="31"/>
      <c r="KG249" s="31"/>
      <c r="KH249" s="31"/>
      <c r="KI249" s="31"/>
      <c r="KJ249" s="31"/>
      <c r="KK249" s="31"/>
      <c r="KL249" s="31"/>
      <c r="KM249" s="31"/>
      <c r="KN249" s="31"/>
      <c r="KO249" s="31"/>
      <c r="KP249" s="31"/>
      <c r="KQ249" s="31"/>
      <c r="KR249" s="31"/>
      <c r="KS249" s="31"/>
      <c r="KT249" s="31"/>
      <c r="KU249" s="31"/>
      <c r="KV249" s="31"/>
      <c r="KW249" s="31"/>
      <c r="KX249" s="31"/>
      <c r="KY249" s="31"/>
      <c r="KZ249" s="31"/>
      <c r="LA249" s="31"/>
      <c r="LB249" s="31"/>
      <c r="LC249" s="31"/>
      <c r="LD249" s="31"/>
      <c r="LE249" s="31"/>
      <c r="LF249" s="31"/>
      <c r="LG249" s="31"/>
      <c r="LH249" s="31"/>
      <c r="LI249" s="31"/>
      <c r="LJ249" s="31"/>
      <c r="LK249" s="31"/>
      <c r="LL249" s="31"/>
      <c r="LM249" s="31"/>
      <c r="LN249" s="31"/>
      <c r="LO249" s="31"/>
      <c r="LP249" s="31"/>
      <c r="LQ249" s="31"/>
      <c r="LR249" s="31"/>
      <c r="LS249" s="31"/>
      <c r="LT249" s="31"/>
      <c r="LU249" s="31"/>
      <c r="LV249" s="31"/>
      <c r="LW249" s="31"/>
      <c r="LX249" s="31"/>
      <c r="LY249" s="31"/>
      <c r="LZ249" s="31"/>
      <c r="MA249" s="31"/>
      <c r="MB249" s="31"/>
      <c r="MC249" s="31"/>
      <c r="MD249" s="31"/>
      <c r="ME249" s="31"/>
      <c r="MF249" s="31"/>
      <c r="MG249" s="31"/>
      <c r="MH249" s="31"/>
      <c r="MI249" s="31"/>
      <c r="MJ249" s="31"/>
      <c r="MK249" s="31"/>
      <c r="ML249" s="31"/>
      <c r="MM249" s="31"/>
      <c r="MN249" s="31"/>
      <c r="MO249" s="31"/>
      <c r="MP249" s="31"/>
      <c r="MQ249" s="31"/>
      <c r="MR249" s="31"/>
      <c r="MS249" s="31"/>
      <c r="MT249" s="31"/>
      <c r="MU249" s="31"/>
      <c r="MV249" s="31"/>
      <c r="MW249" s="31"/>
      <c r="MX249" s="31"/>
      <c r="MY249" s="31"/>
      <c r="MZ249" s="31"/>
      <c r="NA249" s="31"/>
      <c r="NB249" s="31"/>
      <c r="NC249" s="31"/>
      <c r="ND249" s="31"/>
      <c r="NE249" s="31"/>
      <c r="NF249" s="31"/>
      <c r="NG249" s="31"/>
      <c r="NH249" s="31"/>
      <c r="NI249" s="31"/>
      <c r="NJ249" s="31"/>
      <c r="NK249" s="31"/>
      <c r="NL249" s="31"/>
      <c r="NM249" s="31"/>
      <c r="NN249" s="31"/>
      <c r="NO249" s="31"/>
      <c r="NP249" s="31"/>
      <c r="NQ249" s="31"/>
      <c r="NR249" s="31"/>
      <c r="NS249" s="31"/>
      <c r="NT249" s="31"/>
      <c r="NU249" s="31"/>
      <c r="NV249" s="31"/>
      <c r="NW249" s="31"/>
      <c r="NX249" s="31"/>
      <c r="NY249" s="31"/>
      <c r="NZ249" s="31"/>
      <c r="OA249" s="31"/>
      <c r="OB249" s="31"/>
      <c r="OC249" s="31"/>
      <c r="OD249" s="31"/>
      <c r="OE249" s="31"/>
      <c r="OF249" s="31"/>
      <c r="OG249" s="31"/>
      <c r="OH249" s="31"/>
      <c r="OI249" s="31"/>
      <c r="OJ249" s="31"/>
      <c r="OK249" s="31"/>
      <c r="OL249" s="31"/>
      <c r="OM249" s="31"/>
      <c r="ON249" s="31"/>
      <c r="OO249" s="31"/>
      <c r="OP249" s="31"/>
      <c r="OQ249" s="31"/>
      <c r="OR249" s="31"/>
      <c r="OS249" s="31"/>
      <c r="OT249" s="31"/>
      <c r="OU249" s="31"/>
      <c r="OV249" s="31"/>
      <c r="OW249" s="31"/>
      <c r="OX249" s="31"/>
    </row>
    <row r="250" spans="2:414" s="25" customFormat="1" ht="15.6">
      <c r="B250" s="25" t="s">
        <v>378</v>
      </c>
      <c r="C250" s="27" t="s">
        <v>25</v>
      </c>
      <c r="D250" s="30" t="s">
        <v>355</v>
      </c>
      <c r="G250" s="42">
        <v>500</v>
      </c>
      <c r="H250" s="89">
        <v>26.109000000000002</v>
      </c>
      <c r="I250" s="38">
        <f t="shared" si="72"/>
        <v>13054.5</v>
      </c>
      <c r="K250" s="42">
        <v>500</v>
      </c>
      <c r="L250" s="90">
        <v>26.849599999999999</v>
      </c>
      <c r="M250" s="38">
        <f t="shared" si="73"/>
        <v>13424.8</v>
      </c>
      <c r="O250" s="38">
        <v>80</v>
      </c>
      <c r="P250" s="38">
        <v>26.728300000000001</v>
      </c>
      <c r="Q250" s="38">
        <f t="shared" si="74"/>
        <v>2138.2640000000001</v>
      </c>
      <c r="R250" s="43">
        <f t="shared" si="71"/>
        <v>1080</v>
      </c>
      <c r="S250" s="38">
        <f t="shared" si="75"/>
        <v>28617.563999999998</v>
      </c>
      <c r="T250" s="49"/>
      <c r="U250" s="42"/>
      <c r="V250" s="38">
        <f t="shared" si="86"/>
        <v>0</v>
      </c>
      <c r="W250" s="42"/>
      <c r="X250" s="42"/>
      <c r="Y250" s="42">
        <f t="shared" si="88"/>
        <v>0</v>
      </c>
      <c r="Z250" s="42"/>
      <c r="AA250" s="42"/>
      <c r="AB250" s="42">
        <f t="shared" si="89"/>
        <v>0</v>
      </c>
      <c r="AD250" s="42"/>
      <c r="AE250" s="42"/>
      <c r="AF250" s="42">
        <f t="shared" si="84"/>
        <v>0</v>
      </c>
      <c r="AG250" s="42"/>
      <c r="AH250" s="42"/>
      <c r="AI250" s="42"/>
      <c r="AJ250" s="42"/>
      <c r="AL250" s="42"/>
      <c r="AM250" s="42"/>
      <c r="AN250" s="42">
        <f t="shared" si="85"/>
        <v>0</v>
      </c>
      <c r="AO250" s="44"/>
      <c r="AP250" s="42"/>
      <c r="AQ250" s="42"/>
      <c r="AR250" s="42"/>
      <c r="AU250" s="98"/>
      <c r="AV250" s="35">
        <f t="shared" si="91"/>
        <v>0</v>
      </c>
      <c r="AW250" s="104"/>
      <c r="AX250" s="42"/>
      <c r="AY250" s="42"/>
      <c r="AZ250" s="42">
        <f t="shared" ref="AZ250:AZ313" si="92">AX250*AY250</f>
        <v>0</v>
      </c>
      <c r="BA250" s="42"/>
      <c r="BB250" s="42"/>
      <c r="BC250" s="42"/>
      <c r="BD250" s="38">
        <f t="shared" si="76"/>
        <v>0</v>
      </c>
      <c r="BE250" s="42"/>
      <c r="BF250" s="42"/>
      <c r="BG250" s="42"/>
      <c r="BH250" s="38">
        <f t="shared" si="77"/>
        <v>0</v>
      </c>
      <c r="BI250" s="42"/>
      <c r="BJ250" s="42"/>
      <c r="BK250" s="42"/>
      <c r="BL250" s="38">
        <f t="shared" si="78"/>
        <v>0</v>
      </c>
      <c r="BM250" s="42"/>
      <c r="BN250" s="42"/>
      <c r="BO250" s="42"/>
      <c r="BP250" s="42"/>
      <c r="BR250" s="42">
        <f t="shared" si="79"/>
        <v>0</v>
      </c>
      <c r="BS250" s="43">
        <f t="shared" si="80"/>
        <v>28617.563999999998</v>
      </c>
      <c r="BT250" s="42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  <c r="FM250" s="31"/>
      <c r="FN250" s="31"/>
      <c r="FO250" s="31"/>
      <c r="FP250" s="31"/>
      <c r="FQ250" s="31"/>
      <c r="FR250" s="31"/>
      <c r="FS250" s="31"/>
      <c r="FT250" s="31"/>
      <c r="FU250" s="31"/>
      <c r="FV250" s="31"/>
      <c r="FW250" s="31"/>
      <c r="FX250" s="31"/>
      <c r="FY250" s="31"/>
      <c r="FZ250" s="31"/>
      <c r="GA250" s="31"/>
      <c r="GB250" s="31"/>
      <c r="GC250" s="31"/>
      <c r="GD250" s="31"/>
      <c r="GE250" s="31"/>
      <c r="GF250" s="31"/>
      <c r="GG250" s="31"/>
      <c r="GH250" s="31"/>
      <c r="GI250" s="31"/>
      <c r="GJ250" s="31"/>
      <c r="GK250" s="31"/>
      <c r="GL250" s="31"/>
      <c r="GM250" s="31"/>
      <c r="GN250" s="31"/>
      <c r="GO250" s="31"/>
      <c r="GP250" s="31"/>
      <c r="GQ250" s="31"/>
      <c r="GR250" s="31"/>
      <c r="GS250" s="31"/>
      <c r="GT250" s="31"/>
      <c r="GU250" s="31"/>
      <c r="GV250" s="31"/>
      <c r="GW250" s="31"/>
      <c r="GX250" s="31"/>
      <c r="GY250" s="31"/>
      <c r="GZ250" s="31"/>
      <c r="HA250" s="31"/>
      <c r="HB250" s="31"/>
      <c r="HC250" s="31"/>
      <c r="HD250" s="31"/>
      <c r="HE250" s="31"/>
      <c r="HF250" s="31"/>
      <c r="HG250" s="31"/>
      <c r="HH250" s="31"/>
      <c r="HI250" s="31"/>
      <c r="HJ250" s="31"/>
      <c r="HK250" s="31"/>
      <c r="HL250" s="31"/>
      <c r="HM250" s="31"/>
      <c r="HN250" s="31"/>
      <c r="HO250" s="31"/>
      <c r="HP250" s="31"/>
      <c r="HQ250" s="31"/>
      <c r="HR250" s="31"/>
      <c r="HS250" s="31"/>
      <c r="HT250" s="31"/>
      <c r="HU250" s="31"/>
      <c r="HV250" s="31"/>
      <c r="HW250" s="31"/>
      <c r="HX250" s="31"/>
      <c r="HY250" s="31"/>
      <c r="HZ250" s="31"/>
      <c r="IA250" s="31"/>
      <c r="IB250" s="31"/>
      <c r="IC250" s="31"/>
      <c r="ID250" s="31"/>
      <c r="IE250" s="31"/>
      <c r="IF250" s="31"/>
      <c r="IG250" s="31"/>
      <c r="IH250" s="31"/>
      <c r="II250" s="31"/>
      <c r="IJ250" s="31"/>
      <c r="IK250" s="31"/>
      <c r="IL250" s="31"/>
      <c r="IM250" s="31"/>
      <c r="IN250" s="31"/>
      <c r="IO250" s="31"/>
      <c r="IP250" s="31"/>
      <c r="IQ250" s="31"/>
      <c r="IR250" s="31"/>
      <c r="IS250" s="31"/>
      <c r="IT250" s="31"/>
      <c r="IU250" s="31"/>
      <c r="IV250" s="31"/>
      <c r="IW250" s="31"/>
      <c r="IX250" s="31"/>
      <c r="IY250" s="31"/>
      <c r="IZ250" s="31"/>
      <c r="JA250" s="31"/>
      <c r="JB250" s="31"/>
      <c r="JC250" s="31"/>
      <c r="JD250" s="31"/>
      <c r="JE250" s="31"/>
      <c r="JF250" s="31"/>
      <c r="JG250" s="31"/>
      <c r="JH250" s="31"/>
      <c r="JI250" s="31"/>
      <c r="JJ250" s="31"/>
      <c r="JK250" s="31"/>
      <c r="JL250" s="31"/>
      <c r="JM250" s="31"/>
      <c r="JN250" s="31"/>
      <c r="JO250" s="31"/>
      <c r="JP250" s="31"/>
      <c r="JQ250" s="31"/>
      <c r="JR250" s="31"/>
      <c r="JS250" s="31"/>
      <c r="JT250" s="31"/>
      <c r="JU250" s="31"/>
      <c r="JV250" s="31"/>
      <c r="JW250" s="31"/>
      <c r="JX250" s="31"/>
      <c r="JY250" s="31"/>
      <c r="JZ250" s="31"/>
      <c r="KA250" s="31"/>
      <c r="KB250" s="31"/>
      <c r="KC250" s="31"/>
      <c r="KD250" s="31"/>
      <c r="KE250" s="31"/>
      <c r="KF250" s="31"/>
      <c r="KG250" s="31"/>
      <c r="KH250" s="31"/>
      <c r="KI250" s="31"/>
      <c r="KJ250" s="31"/>
      <c r="KK250" s="31"/>
      <c r="KL250" s="31"/>
      <c r="KM250" s="31"/>
      <c r="KN250" s="31"/>
      <c r="KO250" s="31"/>
      <c r="KP250" s="31"/>
      <c r="KQ250" s="31"/>
      <c r="KR250" s="31"/>
      <c r="KS250" s="31"/>
      <c r="KT250" s="31"/>
      <c r="KU250" s="31"/>
      <c r="KV250" s="31"/>
      <c r="KW250" s="31"/>
      <c r="KX250" s="31"/>
      <c r="KY250" s="31"/>
      <c r="KZ250" s="31"/>
      <c r="LA250" s="31"/>
      <c r="LB250" s="31"/>
      <c r="LC250" s="31"/>
      <c r="LD250" s="31"/>
      <c r="LE250" s="31"/>
      <c r="LF250" s="31"/>
      <c r="LG250" s="31"/>
      <c r="LH250" s="31"/>
      <c r="LI250" s="31"/>
      <c r="LJ250" s="31"/>
      <c r="LK250" s="31"/>
      <c r="LL250" s="31"/>
      <c r="LM250" s="31"/>
      <c r="LN250" s="31"/>
      <c r="LO250" s="31"/>
      <c r="LP250" s="31"/>
      <c r="LQ250" s="31"/>
      <c r="LR250" s="31"/>
      <c r="LS250" s="31"/>
      <c r="LT250" s="31"/>
      <c r="LU250" s="31"/>
      <c r="LV250" s="31"/>
      <c r="LW250" s="31"/>
      <c r="LX250" s="31"/>
      <c r="LY250" s="31"/>
      <c r="LZ250" s="31"/>
      <c r="MA250" s="31"/>
      <c r="MB250" s="31"/>
      <c r="MC250" s="31"/>
      <c r="MD250" s="31"/>
      <c r="ME250" s="31"/>
      <c r="MF250" s="31"/>
      <c r="MG250" s="31"/>
      <c r="MH250" s="31"/>
      <c r="MI250" s="31"/>
      <c r="MJ250" s="31"/>
      <c r="MK250" s="31"/>
      <c r="ML250" s="31"/>
      <c r="MM250" s="31"/>
      <c r="MN250" s="31"/>
      <c r="MO250" s="31"/>
      <c r="MP250" s="31"/>
      <c r="MQ250" s="31"/>
      <c r="MR250" s="31"/>
      <c r="MS250" s="31"/>
      <c r="MT250" s="31"/>
      <c r="MU250" s="31"/>
      <c r="MV250" s="31"/>
      <c r="MW250" s="31"/>
      <c r="MX250" s="31"/>
      <c r="MY250" s="31"/>
      <c r="MZ250" s="31"/>
      <c r="NA250" s="31"/>
      <c r="NB250" s="31"/>
      <c r="NC250" s="31"/>
      <c r="ND250" s="31"/>
      <c r="NE250" s="31"/>
      <c r="NF250" s="31"/>
      <c r="NG250" s="31"/>
      <c r="NH250" s="31"/>
      <c r="NI250" s="31"/>
      <c r="NJ250" s="31"/>
      <c r="NK250" s="31"/>
      <c r="NL250" s="31"/>
      <c r="NM250" s="31"/>
      <c r="NN250" s="31"/>
      <c r="NO250" s="31"/>
      <c r="NP250" s="31"/>
      <c r="NQ250" s="31"/>
      <c r="NR250" s="31"/>
      <c r="NS250" s="31"/>
      <c r="NT250" s="31"/>
      <c r="NU250" s="31"/>
      <c r="NV250" s="31"/>
      <c r="NW250" s="31"/>
      <c r="NX250" s="31"/>
      <c r="NY250" s="31"/>
      <c r="NZ250" s="31"/>
      <c r="OA250" s="31"/>
      <c r="OB250" s="31"/>
      <c r="OC250" s="31"/>
      <c r="OD250" s="31"/>
      <c r="OE250" s="31"/>
      <c r="OF250" s="31"/>
      <c r="OG250" s="31"/>
      <c r="OH250" s="31"/>
      <c r="OI250" s="31"/>
      <c r="OJ250" s="31"/>
      <c r="OK250" s="31"/>
      <c r="OL250" s="31"/>
      <c r="OM250" s="31"/>
      <c r="ON250" s="31"/>
      <c r="OO250" s="31"/>
      <c r="OP250" s="31"/>
      <c r="OQ250" s="31"/>
      <c r="OR250" s="31"/>
      <c r="OS250" s="31"/>
      <c r="OT250" s="31"/>
      <c r="OU250" s="31"/>
      <c r="OV250" s="31"/>
      <c r="OW250" s="31"/>
      <c r="OX250" s="31"/>
    </row>
    <row r="251" spans="2:414" s="25" customFormat="1" ht="15.6">
      <c r="B251" s="25" t="s">
        <v>220</v>
      </c>
      <c r="C251" s="27" t="s">
        <v>229</v>
      </c>
      <c r="D251" s="30" t="s">
        <v>355</v>
      </c>
      <c r="G251" s="42">
        <v>500</v>
      </c>
      <c r="H251" s="89">
        <v>26.109000000000002</v>
      </c>
      <c r="I251" s="38">
        <f t="shared" si="72"/>
        <v>13054.5</v>
      </c>
      <c r="K251" s="42">
        <v>500</v>
      </c>
      <c r="L251" s="90">
        <v>26.849599999999999</v>
      </c>
      <c r="M251" s="38">
        <f t="shared" si="73"/>
        <v>13424.8</v>
      </c>
      <c r="O251" s="38">
        <v>80</v>
      </c>
      <c r="P251" s="38">
        <v>26.728300000000001</v>
      </c>
      <c r="Q251" s="38">
        <f t="shared" si="74"/>
        <v>2138.2640000000001</v>
      </c>
      <c r="R251" s="43">
        <f t="shared" si="71"/>
        <v>1080</v>
      </c>
      <c r="S251" s="38">
        <f t="shared" si="75"/>
        <v>28617.563999999998</v>
      </c>
      <c r="T251" s="49">
        <v>415</v>
      </c>
      <c r="U251" s="42">
        <v>26.298200000000001</v>
      </c>
      <c r="V251" s="38">
        <f t="shared" si="86"/>
        <v>10913.753000000001</v>
      </c>
      <c r="W251" s="42">
        <v>85</v>
      </c>
      <c r="X251" s="42">
        <v>26.298200000000001</v>
      </c>
      <c r="Y251" s="42">
        <f t="shared" si="88"/>
        <v>2235.3470000000002</v>
      </c>
      <c r="Z251" s="42">
        <v>415</v>
      </c>
      <c r="AA251" s="42">
        <v>26.864000000000001</v>
      </c>
      <c r="AB251" s="42">
        <f t="shared" si="89"/>
        <v>11148.56</v>
      </c>
      <c r="AD251" s="42">
        <v>85</v>
      </c>
      <c r="AE251" s="42">
        <v>26.2684</v>
      </c>
      <c r="AF251" s="42">
        <f t="shared" si="84"/>
        <v>2232.8139999999999</v>
      </c>
      <c r="AG251" s="42"/>
      <c r="AH251" s="42"/>
      <c r="AI251" s="42"/>
      <c r="AJ251" s="42"/>
      <c r="AL251" s="42"/>
      <c r="AM251" s="42"/>
      <c r="AN251" s="42">
        <f t="shared" si="85"/>
        <v>0</v>
      </c>
      <c r="AO251" s="44"/>
      <c r="AP251" s="42"/>
      <c r="AQ251" s="42"/>
      <c r="AR251" s="42"/>
      <c r="AU251" s="98"/>
      <c r="AV251" s="35">
        <f t="shared" si="91"/>
        <v>0</v>
      </c>
      <c r="AW251" s="104"/>
      <c r="AX251" s="42"/>
      <c r="AY251" s="42"/>
      <c r="AZ251" s="42">
        <f t="shared" si="92"/>
        <v>0</v>
      </c>
      <c r="BA251" s="42"/>
      <c r="BB251" s="42"/>
      <c r="BC251" s="42"/>
      <c r="BD251" s="38">
        <f t="shared" si="76"/>
        <v>0</v>
      </c>
      <c r="BE251" s="42"/>
      <c r="BF251" s="42"/>
      <c r="BG251" s="42"/>
      <c r="BH251" s="38">
        <f t="shared" si="77"/>
        <v>0</v>
      </c>
      <c r="BI251" s="42"/>
      <c r="BJ251" s="42"/>
      <c r="BK251" s="42"/>
      <c r="BL251" s="38">
        <f t="shared" si="78"/>
        <v>0</v>
      </c>
      <c r="BM251" s="42"/>
      <c r="BN251" s="42"/>
      <c r="BO251" s="42"/>
      <c r="BP251" s="42"/>
      <c r="BR251" s="42">
        <f t="shared" si="79"/>
        <v>26530.473999999998</v>
      </c>
      <c r="BS251" s="43">
        <f t="shared" si="80"/>
        <v>2087.09</v>
      </c>
      <c r="BT251" s="42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  <c r="FM251" s="31"/>
      <c r="FN251" s="31"/>
      <c r="FO251" s="31"/>
      <c r="FP251" s="31"/>
      <c r="FQ251" s="31"/>
      <c r="FR251" s="31"/>
      <c r="FS251" s="31"/>
      <c r="FT251" s="31"/>
      <c r="FU251" s="31"/>
      <c r="FV251" s="31"/>
      <c r="FW251" s="31"/>
      <c r="FX251" s="31"/>
      <c r="FY251" s="31"/>
      <c r="FZ251" s="31"/>
      <c r="GA251" s="31"/>
      <c r="GB251" s="31"/>
      <c r="GC251" s="31"/>
      <c r="GD251" s="31"/>
      <c r="GE251" s="31"/>
      <c r="GF251" s="31"/>
      <c r="GG251" s="31"/>
      <c r="GH251" s="31"/>
      <c r="GI251" s="31"/>
      <c r="GJ251" s="31"/>
      <c r="GK251" s="31"/>
      <c r="GL251" s="31"/>
      <c r="GM251" s="31"/>
      <c r="GN251" s="31"/>
      <c r="GO251" s="31"/>
      <c r="GP251" s="31"/>
      <c r="GQ251" s="31"/>
      <c r="GR251" s="31"/>
      <c r="GS251" s="31"/>
      <c r="GT251" s="31"/>
      <c r="GU251" s="31"/>
      <c r="GV251" s="31"/>
      <c r="GW251" s="31"/>
      <c r="GX251" s="31"/>
      <c r="GY251" s="31"/>
      <c r="GZ251" s="31"/>
      <c r="HA251" s="31"/>
      <c r="HB251" s="31"/>
      <c r="HC251" s="31"/>
      <c r="HD251" s="31"/>
      <c r="HE251" s="31"/>
      <c r="HF251" s="31"/>
      <c r="HG251" s="31"/>
      <c r="HH251" s="31"/>
      <c r="HI251" s="31"/>
      <c r="HJ251" s="31"/>
      <c r="HK251" s="31"/>
      <c r="HL251" s="31"/>
      <c r="HM251" s="31"/>
      <c r="HN251" s="31"/>
      <c r="HO251" s="31"/>
      <c r="HP251" s="31"/>
      <c r="HQ251" s="31"/>
      <c r="HR251" s="31"/>
      <c r="HS251" s="31"/>
      <c r="HT251" s="31"/>
      <c r="HU251" s="31"/>
      <c r="HV251" s="31"/>
      <c r="HW251" s="31"/>
      <c r="HX251" s="31"/>
      <c r="HY251" s="31"/>
      <c r="HZ251" s="31"/>
      <c r="IA251" s="31"/>
      <c r="IB251" s="31"/>
      <c r="IC251" s="31"/>
      <c r="ID251" s="31"/>
      <c r="IE251" s="31"/>
      <c r="IF251" s="31"/>
      <c r="IG251" s="31"/>
      <c r="IH251" s="31"/>
      <c r="II251" s="31"/>
      <c r="IJ251" s="31"/>
      <c r="IK251" s="31"/>
      <c r="IL251" s="31"/>
      <c r="IM251" s="31"/>
      <c r="IN251" s="31"/>
      <c r="IO251" s="31"/>
      <c r="IP251" s="31"/>
      <c r="IQ251" s="31"/>
      <c r="IR251" s="31"/>
      <c r="IS251" s="31"/>
      <c r="IT251" s="31"/>
      <c r="IU251" s="31"/>
      <c r="IV251" s="31"/>
      <c r="IW251" s="31"/>
      <c r="IX251" s="31"/>
      <c r="IY251" s="31"/>
      <c r="IZ251" s="31"/>
      <c r="JA251" s="31"/>
      <c r="JB251" s="31"/>
      <c r="JC251" s="31"/>
      <c r="JD251" s="31"/>
      <c r="JE251" s="31"/>
      <c r="JF251" s="31"/>
      <c r="JG251" s="31"/>
      <c r="JH251" s="31"/>
      <c r="JI251" s="31"/>
      <c r="JJ251" s="31"/>
      <c r="JK251" s="31"/>
      <c r="JL251" s="31"/>
      <c r="JM251" s="31"/>
      <c r="JN251" s="31"/>
      <c r="JO251" s="31"/>
      <c r="JP251" s="31"/>
      <c r="JQ251" s="31"/>
      <c r="JR251" s="31"/>
      <c r="JS251" s="31"/>
      <c r="JT251" s="31"/>
      <c r="JU251" s="31"/>
      <c r="JV251" s="31"/>
      <c r="JW251" s="31"/>
      <c r="JX251" s="31"/>
      <c r="JY251" s="31"/>
      <c r="JZ251" s="31"/>
      <c r="KA251" s="31"/>
      <c r="KB251" s="31"/>
      <c r="KC251" s="31"/>
      <c r="KD251" s="31"/>
      <c r="KE251" s="31"/>
      <c r="KF251" s="31"/>
      <c r="KG251" s="31"/>
      <c r="KH251" s="31"/>
      <c r="KI251" s="31"/>
      <c r="KJ251" s="31"/>
      <c r="KK251" s="31"/>
      <c r="KL251" s="31"/>
      <c r="KM251" s="31"/>
      <c r="KN251" s="31"/>
      <c r="KO251" s="31"/>
      <c r="KP251" s="31"/>
      <c r="KQ251" s="31"/>
      <c r="KR251" s="31"/>
      <c r="KS251" s="31"/>
      <c r="KT251" s="31"/>
      <c r="KU251" s="31"/>
      <c r="KV251" s="31"/>
      <c r="KW251" s="31"/>
      <c r="KX251" s="31"/>
      <c r="KY251" s="31"/>
      <c r="KZ251" s="31"/>
      <c r="LA251" s="31"/>
      <c r="LB251" s="31"/>
      <c r="LC251" s="31"/>
      <c r="LD251" s="31"/>
      <c r="LE251" s="31"/>
      <c r="LF251" s="31"/>
      <c r="LG251" s="31"/>
      <c r="LH251" s="31"/>
      <c r="LI251" s="31"/>
      <c r="LJ251" s="31"/>
      <c r="LK251" s="31"/>
      <c r="LL251" s="31"/>
      <c r="LM251" s="31"/>
      <c r="LN251" s="31"/>
      <c r="LO251" s="31"/>
      <c r="LP251" s="31"/>
      <c r="LQ251" s="31"/>
      <c r="LR251" s="31"/>
      <c r="LS251" s="31"/>
      <c r="LT251" s="31"/>
      <c r="LU251" s="31"/>
      <c r="LV251" s="31"/>
      <c r="LW251" s="31"/>
      <c r="LX251" s="31"/>
      <c r="LY251" s="31"/>
      <c r="LZ251" s="31"/>
      <c r="MA251" s="31"/>
      <c r="MB251" s="31"/>
      <c r="MC251" s="31"/>
      <c r="MD251" s="31"/>
      <c r="ME251" s="31"/>
      <c r="MF251" s="31"/>
      <c r="MG251" s="31"/>
      <c r="MH251" s="31"/>
      <c r="MI251" s="31"/>
      <c r="MJ251" s="31"/>
      <c r="MK251" s="31"/>
      <c r="ML251" s="31"/>
      <c r="MM251" s="31"/>
      <c r="MN251" s="31"/>
      <c r="MO251" s="31"/>
      <c r="MP251" s="31"/>
      <c r="MQ251" s="31"/>
      <c r="MR251" s="31"/>
      <c r="MS251" s="31"/>
      <c r="MT251" s="31"/>
      <c r="MU251" s="31"/>
      <c r="MV251" s="31"/>
      <c r="MW251" s="31"/>
      <c r="MX251" s="31"/>
      <c r="MY251" s="31"/>
      <c r="MZ251" s="31"/>
      <c r="NA251" s="31"/>
      <c r="NB251" s="31"/>
      <c r="NC251" s="31"/>
      <c r="ND251" s="31"/>
      <c r="NE251" s="31"/>
      <c r="NF251" s="31"/>
      <c r="NG251" s="31"/>
      <c r="NH251" s="31"/>
      <c r="NI251" s="31"/>
      <c r="NJ251" s="31"/>
      <c r="NK251" s="31"/>
      <c r="NL251" s="31"/>
      <c r="NM251" s="31"/>
      <c r="NN251" s="31"/>
      <c r="NO251" s="31"/>
      <c r="NP251" s="31"/>
      <c r="NQ251" s="31"/>
      <c r="NR251" s="31"/>
      <c r="NS251" s="31"/>
      <c r="NT251" s="31"/>
      <c r="NU251" s="31"/>
      <c r="NV251" s="31"/>
      <c r="NW251" s="31"/>
      <c r="NX251" s="31"/>
      <c r="NY251" s="31"/>
      <c r="NZ251" s="31"/>
      <c r="OA251" s="31"/>
      <c r="OB251" s="31"/>
      <c r="OC251" s="31"/>
      <c r="OD251" s="31"/>
      <c r="OE251" s="31"/>
      <c r="OF251" s="31"/>
      <c r="OG251" s="31"/>
      <c r="OH251" s="31"/>
      <c r="OI251" s="31"/>
      <c r="OJ251" s="31"/>
      <c r="OK251" s="31"/>
      <c r="OL251" s="31"/>
      <c r="OM251" s="31"/>
      <c r="ON251" s="31"/>
      <c r="OO251" s="31"/>
      <c r="OP251" s="31"/>
      <c r="OQ251" s="31"/>
      <c r="OR251" s="31"/>
      <c r="OS251" s="31"/>
      <c r="OT251" s="31"/>
      <c r="OU251" s="31"/>
      <c r="OV251" s="31"/>
      <c r="OW251" s="31"/>
      <c r="OX251" s="31"/>
    </row>
    <row r="252" spans="2:414" s="25" customFormat="1" ht="15.6">
      <c r="B252" s="25" t="s">
        <v>379</v>
      </c>
      <c r="C252" s="27" t="s">
        <v>380</v>
      </c>
      <c r="D252" s="30" t="s">
        <v>355</v>
      </c>
      <c r="G252" s="42">
        <v>500</v>
      </c>
      <c r="H252" s="89">
        <v>26.109000000000002</v>
      </c>
      <c r="I252" s="38">
        <f t="shared" si="72"/>
        <v>13054.5</v>
      </c>
      <c r="K252" s="42">
        <v>500</v>
      </c>
      <c r="L252" s="90">
        <v>26.849599999999999</v>
      </c>
      <c r="M252" s="38">
        <f t="shared" si="73"/>
        <v>13424.8</v>
      </c>
      <c r="O252" s="38">
        <v>80</v>
      </c>
      <c r="P252" s="38">
        <v>26.728300000000001</v>
      </c>
      <c r="Q252" s="38">
        <f t="shared" si="74"/>
        <v>2138.2640000000001</v>
      </c>
      <c r="R252" s="43">
        <f t="shared" si="71"/>
        <v>1080</v>
      </c>
      <c r="S252" s="38">
        <f t="shared" si="75"/>
        <v>28617.563999999998</v>
      </c>
      <c r="T252" s="49">
        <v>415</v>
      </c>
      <c r="U252" s="42">
        <v>26.109000000000002</v>
      </c>
      <c r="V252" s="38">
        <f t="shared" si="86"/>
        <v>10835.235000000001</v>
      </c>
      <c r="W252" s="42">
        <v>85</v>
      </c>
      <c r="X252" s="42">
        <v>26.261399999999998</v>
      </c>
      <c r="Y252" s="42">
        <f t="shared" si="88"/>
        <v>2232.2190000000001</v>
      </c>
      <c r="Z252" s="42">
        <v>415</v>
      </c>
      <c r="AA252" s="42">
        <v>26.8401</v>
      </c>
      <c r="AB252" s="42">
        <f t="shared" si="89"/>
        <v>11138.6415</v>
      </c>
      <c r="AD252" s="42">
        <v>85</v>
      </c>
      <c r="AE252" s="42">
        <v>26.8401</v>
      </c>
      <c r="AF252" s="42">
        <f t="shared" si="84"/>
        <v>2281.4085</v>
      </c>
      <c r="AG252" s="42"/>
      <c r="AH252" s="42"/>
      <c r="AI252" s="42"/>
      <c r="AJ252" s="42"/>
      <c r="AL252" s="42"/>
      <c r="AM252" s="42"/>
      <c r="AN252" s="42">
        <f t="shared" si="85"/>
        <v>0</v>
      </c>
      <c r="AO252" s="44"/>
      <c r="AP252" s="42"/>
      <c r="AQ252" s="42"/>
      <c r="AR252" s="42"/>
      <c r="AU252" s="98"/>
      <c r="AV252" s="35">
        <f t="shared" si="91"/>
        <v>0</v>
      </c>
      <c r="AW252" s="104"/>
      <c r="AX252" s="42"/>
      <c r="AY252" s="42"/>
      <c r="AZ252" s="42">
        <f t="shared" si="92"/>
        <v>0</v>
      </c>
      <c r="BA252" s="42"/>
      <c r="BB252" s="42"/>
      <c r="BC252" s="42"/>
      <c r="BD252" s="38">
        <f t="shared" si="76"/>
        <v>0</v>
      </c>
      <c r="BE252" s="42"/>
      <c r="BF252" s="42"/>
      <c r="BG252" s="42"/>
      <c r="BH252" s="38">
        <f t="shared" si="77"/>
        <v>0</v>
      </c>
      <c r="BI252" s="42"/>
      <c r="BJ252" s="42"/>
      <c r="BK252" s="42"/>
      <c r="BL252" s="38">
        <f t="shared" si="78"/>
        <v>0</v>
      </c>
      <c r="BM252" s="42"/>
      <c r="BN252" s="42"/>
      <c r="BO252" s="42"/>
      <c r="BP252" s="42"/>
      <c r="BR252" s="42">
        <f t="shared" si="79"/>
        <v>26487.504000000004</v>
      </c>
      <c r="BS252" s="43">
        <f t="shared" si="80"/>
        <v>2130.059999999994</v>
      </c>
      <c r="BT252" s="42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  <c r="FM252" s="31"/>
      <c r="FN252" s="31"/>
      <c r="FO252" s="31"/>
      <c r="FP252" s="31"/>
      <c r="FQ252" s="31"/>
      <c r="FR252" s="31"/>
      <c r="FS252" s="31"/>
      <c r="FT252" s="31"/>
      <c r="FU252" s="31"/>
      <c r="FV252" s="31"/>
      <c r="FW252" s="31"/>
      <c r="FX252" s="31"/>
      <c r="FY252" s="31"/>
      <c r="FZ252" s="31"/>
      <c r="GA252" s="31"/>
      <c r="GB252" s="31"/>
      <c r="GC252" s="31"/>
      <c r="GD252" s="31"/>
      <c r="GE252" s="31"/>
      <c r="GF252" s="31"/>
      <c r="GG252" s="31"/>
      <c r="GH252" s="31"/>
      <c r="GI252" s="31"/>
      <c r="GJ252" s="31"/>
      <c r="GK252" s="31"/>
      <c r="GL252" s="31"/>
      <c r="GM252" s="31"/>
      <c r="GN252" s="31"/>
      <c r="GO252" s="31"/>
      <c r="GP252" s="31"/>
      <c r="GQ252" s="31"/>
      <c r="GR252" s="31"/>
      <c r="GS252" s="31"/>
      <c r="GT252" s="31"/>
      <c r="GU252" s="31"/>
      <c r="GV252" s="31"/>
      <c r="GW252" s="31"/>
      <c r="GX252" s="31"/>
      <c r="GY252" s="31"/>
      <c r="GZ252" s="31"/>
      <c r="HA252" s="31"/>
      <c r="HB252" s="31"/>
      <c r="HC252" s="31"/>
      <c r="HD252" s="31"/>
      <c r="HE252" s="31"/>
      <c r="HF252" s="31"/>
      <c r="HG252" s="31"/>
      <c r="HH252" s="31"/>
      <c r="HI252" s="31"/>
      <c r="HJ252" s="31"/>
      <c r="HK252" s="31"/>
      <c r="HL252" s="31"/>
      <c r="HM252" s="31"/>
      <c r="HN252" s="31"/>
      <c r="HO252" s="31"/>
      <c r="HP252" s="31"/>
      <c r="HQ252" s="31"/>
      <c r="HR252" s="31"/>
      <c r="HS252" s="31"/>
      <c r="HT252" s="31"/>
      <c r="HU252" s="31"/>
      <c r="HV252" s="31"/>
      <c r="HW252" s="31"/>
      <c r="HX252" s="31"/>
      <c r="HY252" s="31"/>
      <c r="HZ252" s="31"/>
      <c r="IA252" s="31"/>
      <c r="IB252" s="31"/>
      <c r="IC252" s="31"/>
      <c r="ID252" s="31"/>
      <c r="IE252" s="31"/>
      <c r="IF252" s="31"/>
      <c r="IG252" s="31"/>
      <c r="IH252" s="31"/>
      <c r="II252" s="31"/>
      <c r="IJ252" s="31"/>
      <c r="IK252" s="31"/>
      <c r="IL252" s="31"/>
      <c r="IM252" s="31"/>
      <c r="IN252" s="31"/>
      <c r="IO252" s="31"/>
      <c r="IP252" s="31"/>
      <c r="IQ252" s="31"/>
      <c r="IR252" s="31"/>
      <c r="IS252" s="31"/>
      <c r="IT252" s="31"/>
      <c r="IU252" s="31"/>
      <c r="IV252" s="31"/>
      <c r="IW252" s="31"/>
      <c r="IX252" s="31"/>
      <c r="IY252" s="31"/>
      <c r="IZ252" s="31"/>
      <c r="JA252" s="31"/>
      <c r="JB252" s="31"/>
      <c r="JC252" s="31"/>
      <c r="JD252" s="31"/>
      <c r="JE252" s="31"/>
      <c r="JF252" s="31"/>
      <c r="JG252" s="31"/>
      <c r="JH252" s="31"/>
      <c r="JI252" s="31"/>
      <c r="JJ252" s="31"/>
      <c r="JK252" s="31"/>
      <c r="JL252" s="31"/>
      <c r="JM252" s="31"/>
      <c r="JN252" s="31"/>
      <c r="JO252" s="31"/>
      <c r="JP252" s="31"/>
      <c r="JQ252" s="31"/>
      <c r="JR252" s="31"/>
      <c r="JS252" s="31"/>
      <c r="JT252" s="31"/>
      <c r="JU252" s="31"/>
      <c r="JV252" s="31"/>
      <c r="JW252" s="31"/>
      <c r="JX252" s="31"/>
      <c r="JY252" s="31"/>
      <c r="JZ252" s="31"/>
      <c r="KA252" s="31"/>
      <c r="KB252" s="31"/>
      <c r="KC252" s="31"/>
      <c r="KD252" s="31"/>
      <c r="KE252" s="31"/>
      <c r="KF252" s="31"/>
      <c r="KG252" s="31"/>
      <c r="KH252" s="31"/>
      <c r="KI252" s="31"/>
      <c r="KJ252" s="31"/>
      <c r="KK252" s="31"/>
      <c r="KL252" s="31"/>
      <c r="KM252" s="31"/>
      <c r="KN252" s="31"/>
      <c r="KO252" s="31"/>
      <c r="KP252" s="31"/>
      <c r="KQ252" s="31"/>
      <c r="KR252" s="31"/>
      <c r="KS252" s="31"/>
      <c r="KT252" s="31"/>
      <c r="KU252" s="31"/>
      <c r="KV252" s="31"/>
      <c r="KW252" s="31"/>
      <c r="KX252" s="31"/>
      <c r="KY252" s="31"/>
      <c r="KZ252" s="31"/>
      <c r="LA252" s="31"/>
      <c r="LB252" s="31"/>
      <c r="LC252" s="31"/>
      <c r="LD252" s="31"/>
      <c r="LE252" s="31"/>
      <c r="LF252" s="31"/>
      <c r="LG252" s="31"/>
      <c r="LH252" s="31"/>
      <c r="LI252" s="31"/>
      <c r="LJ252" s="31"/>
      <c r="LK252" s="31"/>
      <c r="LL252" s="31"/>
      <c r="LM252" s="31"/>
      <c r="LN252" s="31"/>
      <c r="LO252" s="31"/>
      <c r="LP252" s="31"/>
      <c r="LQ252" s="31"/>
      <c r="LR252" s="31"/>
      <c r="LS252" s="31"/>
      <c r="LT252" s="31"/>
      <c r="LU252" s="31"/>
      <c r="LV252" s="31"/>
      <c r="LW252" s="31"/>
      <c r="LX252" s="31"/>
      <c r="LY252" s="31"/>
      <c r="LZ252" s="31"/>
      <c r="MA252" s="31"/>
      <c r="MB252" s="31"/>
      <c r="MC252" s="31"/>
      <c r="MD252" s="31"/>
      <c r="ME252" s="31"/>
      <c r="MF252" s="31"/>
      <c r="MG252" s="31"/>
      <c r="MH252" s="31"/>
      <c r="MI252" s="31"/>
      <c r="MJ252" s="31"/>
      <c r="MK252" s="31"/>
      <c r="ML252" s="31"/>
      <c r="MM252" s="31"/>
      <c r="MN252" s="31"/>
      <c r="MO252" s="31"/>
      <c r="MP252" s="31"/>
      <c r="MQ252" s="31"/>
      <c r="MR252" s="31"/>
      <c r="MS252" s="31"/>
      <c r="MT252" s="31"/>
      <c r="MU252" s="31"/>
      <c r="MV252" s="31"/>
      <c r="MW252" s="31"/>
      <c r="MX252" s="31"/>
      <c r="MY252" s="31"/>
      <c r="MZ252" s="31"/>
      <c r="NA252" s="31"/>
      <c r="NB252" s="31"/>
      <c r="NC252" s="31"/>
      <c r="ND252" s="31"/>
      <c r="NE252" s="31"/>
      <c r="NF252" s="31"/>
      <c r="NG252" s="31"/>
      <c r="NH252" s="31"/>
      <c r="NI252" s="31"/>
      <c r="NJ252" s="31"/>
      <c r="NK252" s="31"/>
      <c r="NL252" s="31"/>
      <c r="NM252" s="31"/>
      <c r="NN252" s="31"/>
      <c r="NO252" s="31"/>
      <c r="NP252" s="31"/>
      <c r="NQ252" s="31"/>
      <c r="NR252" s="31"/>
      <c r="NS252" s="31"/>
      <c r="NT252" s="31"/>
      <c r="NU252" s="31"/>
      <c r="NV252" s="31"/>
      <c r="NW252" s="31"/>
      <c r="NX252" s="31"/>
      <c r="NY252" s="31"/>
      <c r="NZ252" s="31"/>
      <c r="OA252" s="31"/>
      <c r="OB252" s="31"/>
      <c r="OC252" s="31"/>
      <c r="OD252" s="31"/>
      <c r="OE252" s="31"/>
      <c r="OF252" s="31"/>
      <c r="OG252" s="31"/>
      <c r="OH252" s="31"/>
      <c r="OI252" s="31"/>
      <c r="OJ252" s="31"/>
      <c r="OK252" s="31"/>
      <c r="OL252" s="31"/>
      <c r="OM252" s="31"/>
      <c r="ON252" s="31"/>
      <c r="OO252" s="31"/>
      <c r="OP252" s="31"/>
      <c r="OQ252" s="31"/>
      <c r="OR252" s="31"/>
      <c r="OS252" s="31"/>
      <c r="OT252" s="31"/>
      <c r="OU252" s="31"/>
      <c r="OV252" s="31"/>
      <c r="OW252" s="31"/>
      <c r="OX252" s="31"/>
    </row>
    <row r="253" spans="2:414" s="25" customFormat="1" ht="15.6">
      <c r="B253" s="25" t="s">
        <v>558</v>
      </c>
      <c r="C253" s="27" t="s">
        <v>352</v>
      </c>
      <c r="D253" s="30" t="s">
        <v>355</v>
      </c>
      <c r="G253" s="42">
        <v>500</v>
      </c>
      <c r="H253" s="89">
        <v>26.109000000000002</v>
      </c>
      <c r="I253" s="38">
        <f t="shared" si="72"/>
        <v>13054.5</v>
      </c>
      <c r="K253" s="42">
        <v>500</v>
      </c>
      <c r="L253" s="90">
        <v>26.849599999999999</v>
      </c>
      <c r="M253" s="38">
        <f t="shared" si="73"/>
        <v>13424.8</v>
      </c>
      <c r="O253" s="38">
        <v>80</v>
      </c>
      <c r="P253" s="38">
        <v>26.728300000000001</v>
      </c>
      <c r="Q253" s="38">
        <f t="shared" si="74"/>
        <v>2138.2640000000001</v>
      </c>
      <c r="R253" s="43">
        <f t="shared" si="71"/>
        <v>1080</v>
      </c>
      <c r="S253" s="38">
        <f t="shared" si="75"/>
        <v>28617.563999999998</v>
      </c>
      <c r="T253" s="49">
        <v>85</v>
      </c>
      <c r="U253" s="42">
        <v>26.283100000000001</v>
      </c>
      <c r="V253" s="38">
        <f t="shared" si="86"/>
        <v>2234.0635000000002</v>
      </c>
      <c r="W253" s="42">
        <v>200</v>
      </c>
      <c r="X253" s="42">
        <v>26.283100000000001</v>
      </c>
      <c r="Y253" s="42">
        <f t="shared" si="88"/>
        <v>5256.62</v>
      </c>
      <c r="Z253" s="42">
        <v>100</v>
      </c>
      <c r="AA253" s="42">
        <v>26.283100000000001</v>
      </c>
      <c r="AB253" s="42">
        <f t="shared" si="89"/>
        <v>2628.31</v>
      </c>
      <c r="AD253" s="42">
        <v>115</v>
      </c>
      <c r="AE253" s="42">
        <v>26.290299999999998</v>
      </c>
      <c r="AF253" s="42">
        <f t="shared" si="84"/>
        <v>3023.3844999999997</v>
      </c>
      <c r="AG253" s="42"/>
      <c r="AH253" s="42">
        <v>100</v>
      </c>
      <c r="AI253" s="42">
        <v>26.891200000000001</v>
      </c>
      <c r="AJ253" s="42">
        <f>AH253*AI253</f>
        <v>2689.1200000000003</v>
      </c>
      <c r="AL253" s="42">
        <v>115</v>
      </c>
      <c r="AM253" s="42">
        <v>26.603200000000001</v>
      </c>
      <c r="AN253" s="42">
        <f t="shared" si="85"/>
        <v>3059.3679999999999</v>
      </c>
      <c r="AO253" s="44"/>
      <c r="AP253" s="42">
        <v>100</v>
      </c>
      <c r="AQ253" s="42">
        <v>26.745899999999999</v>
      </c>
      <c r="AR253" s="42"/>
      <c r="AT253" s="25">
        <v>150</v>
      </c>
      <c r="AU253" s="98">
        <v>26.796500000000002</v>
      </c>
      <c r="AV253" s="35">
        <f t="shared" si="91"/>
        <v>4019.4750000000004</v>
      </c>
      <c r="AW253" s="104"/>
      <c r="AX253" s="42">
        <v>50</v>
      </c>
      <c r="AY253" s="42">
        <v>26.801400000000001</v>
      </c>
      <c r="AZ253" s="42">
        <f t="shared" si="92"/>
        <v>1340.0700000000002</v>
      </c>
      <c r="BA253" s="42"/>
      <c r="BB253" s="42"/>
      <c r="BC253" s="42"/>
      <c r="BD253" s="38">
        <f t="shared" si="76"/>
        <v>0</v>
      </c>
      <c r="BE253" s="42"/>
      <c r="BF253" s="42"/>
      <c r="BG253" s="42"/>
      <c r="BH253" s="38">
        <f t="shared" si="77"/>
        <v>0</v>
      </c>
      <c r="BI253" s="42"/>
      <c r="BJ253" s="42"/>
      <c r="BK253" s="42"/>
      <c r="BL253" s="38">
        <f t="shared" si="78"/>
        <v>0</v>
      </c>
      <c r="BM253" s="42"/>
      <c r="BN253" s="42"/>
      <c r="BO253" s="42"/>
      <c r="BP253" s="42"/>
      <c r="BR253" s="42">
        <f t="shared" si="79"/>
        <v>24250.411</v>
      </c>
      <c r="BS253" s="43">
        <f t="shared" si="80"/>
        <v>4367.1529999999984</v>
      </c>
      <c r="BT253" s="42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  <c r="FM253" s="31"/>
      <c r="FN253" s="31"/>
      <c r="FO253" s="31"/>
      <c r="FP253" s="31"/>
      <c r="FQ253" s="31"/>
      <c r="FR253" s="31"/>
      <c r="FS253" s="31"/>
      <c r="FT253" s="31"/>
      <c r="FU253" s="31"/>
      <c r="FV253" s="31"/>
      <c r="FW253" s="31"/>
      <c r="FX253" s="31"/>
      <c r="FY253" s="31"/>
      <c r="FZ253" s="31"/>
      <c r="GA253" s="31"/>
      <c r="GB253" s="31"/>
      <c r="GC253" s="31"/>
      <c r="GD253" s="31"/>
      <c r="GE253" s="31"/>
      <c r="GF253" s="31"/>
      <c r="GG253" s="31"/>
      <c r="GH253" s="31"/>
      <c r="GI253" s="31"/>
      <c r="GJ253" s="31"/>
      <c r="GK253" s="31"/>
      <c r="GL253" s="31"/>
      <c r="GM253" s="31"/>
      <c r="GN253" s="31"/>
      <c r="GO253" s="31"/>
      <c r="GP253" s="31"/>
      <c r="GQ253" s="31"/>
      <c r="GR253" s="31"/>
      <c r="GS253" s="31"/>
      <c r="GT253" s="31"/>
      <c r="GU253" s="31"/>
      <c r="GV253" s="31"/>
      <c r="GW253" s="31"/>
      <c r="GX253" s="31"/>
      <c r="GY253" s="31"/>
      <c r="GZ253" s="31"/>
      <c r="HA253" s="31"/>
      <c r="HB253" s="31"/>
      <c r="HC253" s="31"/>
      <c r="HD253" s="31"/>
      <c r="HE253" s="31"/>
      <c r="HF253" s="31"/>
      <c r="HG253" s="31"/>
      <c r="HH253" s="31"/>
      <c r="HI253" s="31"/>
      <c r="HJ253" s="31"/>
      <c r="HK253" s="31"/>
      <c r="HL253" s="31"/>
      <c r="HM253" s="31"/>
      <c r="HN253" s="31"/>
      <c r="HO253" s="31"/>
      <c r="HP253" s="31"/>
      <c r="HQ253" s="31"/>
      <c r="HR253" s="31"/>
      <c r="HS253" s="31"/>
      <c r="HT253" s="31"/>
      <c r="HU253" s="31"/>
      <c r="HV253" s="31"/>
      <c r="HW253" s="31"/>
      <c r="HX253" s="31"/>
      <c r="HY253" s="31"/>
      <c r="HZ253" s="31"/>
      <c r="IA253" s="31"/>
      <c r="IB253" s="31"/>
      <c r="IC253" s="31"/>
      <c r="ID253" s="31"/>
      <c r="IE253" s="31"/>
      <c r="IF253" s="31"/>
      <c r="IG253" s="31"/>
      <c r="IH253" s="31"/>
      <c r="II253" s="31"/>
      <c r="IJ253" s="31"/>
      <c r="IK253" s="31"/>
      <c r="IL253" s="31"/>
      <c r="IM253" s="31"/>
      <c r="IN253" s="31"/>
      <c r="IO253" s="31"/>
      <c r="IP253" s="31"/>
      <c r="IQ253" s="31"/>
      <c r="IR253" s="31"/>
      <c r="IS253" s="31"/>
      <c r="IT253" s="31"/>
      <c r="IU253" s="31"/>
      <c r="IV253" s="31"/>
      <c r="IW253" s="31"/>
      <c r="IX253" s="31"/>
      <c r="IY253" s="31"/>
      <c r="IZ253" s="31"/>
      <c r="JA253" s="31"/>
      <c r="JB253" s="31"/>
      <c r="JC253" s="31"/>
      <c r="JD253" s="31"/>
      <c r="JE253" s="31"/>
      <c r="JF253" s="31"/>
      <c r="JG253" s="31"/>
      <c r="JH253" s="31"/>
      <c r="JI253" s="31"/>
      <c r="JJ253" s="31"/>
      <c r="JK253" s="31"/>
      <c r="JL253" s="31"/>
      <c r="JM253" s="31"/>
      <c r="JN253" s="31"/>
      <c r="JO253" s="31"/>
      <c r="JP253" s="31"/>
      <c r="JQ253" s="31"/>
      <c r="JR253" s="31"/>
      <c r="JS253" s="31"/>
      <c r="JT253" s="31"/>
      <c r="JU253" s="31"/>
      <c r="JV253" s="31"/>
      <c r="JW253" s="31"/>
      <c r="JX253" s="31"/>
      <c r="JY253" s="31"/>
      <c r="JZ253" s="31"/>
      <c r="KA253" s="31"/>
      <c r="KB253" s="31"/>
      <c r="KC253" s="31"/>
      <c r="KD253" s="31"/>
      <c r="KE253" s="31"/>
      <c r="KF253" s="31"/>
      <c r="KG253" s="31"/>
      <c r="KH253" s="31"/>
      <c r="KI253" s="31"/>
      <c r="KJ253" s="31"/>
      <c r="KK253" s="31"/>
      <c r="KL253" s="31"/>
      <c r="KM253" s="31"/>
      <c r="KN253" s="31"/>
      <c r="KO253" s="31"/>
      <c r="KP253" s="31"/>
      <c r="KQ253" s="31"/>
      <c r="KR253" s="31"/>
      <c r="KS253" s="31"/>
      <c r="KT253" s="31"/>
      <c r="KU253" s="31"/>
      <c r="KV253" s="31"/>
      <c r="KW253" s="31"/>
      <c r="KX253" s="31"/>
      <c r="KY253" s="31"/>
      <c r="KZ253" s="31"/>
      <c r="LA253" s="31"/>
      <c r="LB253" s="31"/>
      <c r="LC253" s="31"/>
      <c r="LD253" s="31"/>
      <c r="LE253" s="31"/>
      <c r="LF253" s="31"/>
      <c r="LG253" s="31"/>
      <c r="LH253" s="31"/>
      <c r="LI253" s="31"/>
      <c r="LJ253" s="31"/>
      <c r="LK253" s="31"/>
      <c r="LL253" s="31"/>
      <c r="LM253" s="31"/>
      <c r="LN253" s="31"/>
      <c r="LO253" s="31"/>
      <c r="LP253" s="31"/>
      <c r="LQ253" s="31"/>
      <c r="LR253" s="31"/>
      <c r="LS253" s="31"/>
      <c r="LT253" s="31"/>
      <c r="LU253" s="31"/>
      <c r="LV253" s="31"/>
      <c r="LW253" s="31"/>
      <c r="LX253" s="31"/>
      <c r="LY253" s="31"/>
      <c r="LZ253" s="31"/>
      <c r="MA253" s="31"/>
      <c r="MB253" s="31"/>
      <c r="MC253" s="31"/>
      <c r="MD253" s="31"/>
      <c r="ME253" s="31"/>
      <c r="MF253" s="31"/>
      <c r="MG253" s="31"/>
      <c r="MH253" s="31"/>
      <c r="MI253" s="31"/>
      <c r="MJ253" s="31"/>
      <c r="MK253" s="31"/>
      <c r="ML253" s="31"/>
      <c r="MM253" s="31"/>
      <c r="MN253" s="31"/>
      <c r="MO253" s="31"/>
      <c r="MP253" s="31"/>
      <c r="MQ253" s="31"/>
      <c r="MR253" s="31"/>
      <c r="MS253" s="31"/>
      <c r="MT253" s="31"/>
      <c r="MU253" s="31"/>
      <c r="MV253" s="31"/>
      <c r="MW253" s="31"/>
      <c r="MX253" s="31"/>
      <c r="MY253" s="31"/>
      <c r="MZ253" s="31"/>
      <c r="NA253" s="31"/>
      <c r="NB253" s="31"/>
      <c r="NC253" s="31"/>
      <c r="ND253" s="31"/>
      <c r="NE253" s="31"/>
      <c r="NF253" s="31"/>
      <c r="NG253" s="31"/>
      <c r="NH253" s="31"/>
      <c r="NI253" s="31"/>
      <c r="NJ253" s="31"/>
      <c r="NK253" s="31"/>
      <c r="NL253" s="31"/>
      <c r="NM253" s="31"/>
      <c r="NN253" s="31"/>
      <c r="NO253" s="31"/>
      <c r="NP253" s="31"/>
      <c r="NQ253" s="31"/>
      <c r="NR253" s="31"/>
      <c r="NS253" s="31"/>
      <c r="NT253" s="31"/>
      <c r="NU253" s="31"/>
      <c r="NV253" s="31"/>
      <c r="NW253" s="31"/>
      <c r="NX253" s="31"/>
      <c r="NY253" s="31"/>
      <c r="NZ253" s="31"/>
      <c r="OA253" s="31"/>
      <c r="OB253" s="31"/>
      <c r="OC253" s="31"/>
      <c r="OD253" s="31"/>
      <c r="OE253" s="31"/>
      <c r="OF253" s="31"/>
      <c r="OG253" s="31"/>
      <c r="OH253" s="31"/>
      <c r="OI253" s="31"/>
      <c r="OJ253" s="31"/>
      <c r="OK253" s="31"/>
      <c r="OL253" s="31"/>
      <c r="OM253" s="31"/>
      <c r="ON253" s="31"/>
      <c r="OO253" s="31"/>
      <c r="OP253" s="31"/>
      <c r="OQ253" s="31"/>
      <c r="OR253" s="31"/>
      <c r="OS253" s="31"/>
      <c r="OT253" s="31"/>
      <c r="OU253" s="31"/>
      <c r="OV253" s="31"/>
      <c r="OW253" s="31"/>
      <c r="OX253" s="31"/>
    </row>
    <row r="254" spans="2:414" s="25" customFormat="1" ht="15.6">
      <c r="B254" s="25" t="s">
        <v>381</v>
      </c>
      <c r="C254" s="27" t="s">
        <v>382</v>
      </c>
      <c r="D254" s="30" t="s">
        <v>355</v>
      </c>
      <c r="G254" s="42">
        <v>500</v>
      </c>
      <c r="H254" s="89">
        <v>26.109000000000002</v>
      </c>
      <c r="I254" s="38">
        <f t="shared" si="72"/>
        <v>13054.5</v>
      </c>
      <c r="K254" s="42">
        <v>500</v>
      </c>
      <c r="L254" s="90">
        <v>26.849599999999999</v>
      </c>
      <c r="M254" s="38">
        <f t="shared" si="73"/>
        <v>13424.8</v>
      </c>
      <c r="O254" s="38">
        <v>80</v>
      </c>
      <c r="P254" s="38">
        <v>26.728300000000001</v>
      </c>
      <c r="Q254" s="38">
        <f t="shared" si="74"/>
        <v>2138.2640000000001</v>
      </c>
      <c r="R254" s="43">
        <f t="shared" si="71"/>
        <v>1080</v>
      </c>
      <c r="S254" s="38">
        <f t="shared" si="75"/>
        <v>28617.563999999998</v>
      </c>
      <c r="T254" s="49">
        <v>210</v>
      </c>
      <c r="U254" s="42">
        <v>26.290299999999998</v>
      </c>
      <c r="V254" s="38">
        <f t="shared" si="86"/>
        <v>5520.9629999999997</v>
      </c>
      <c r="W254" s="42">
        <v>290</v>
      </c>
      <c r="X254" s="42">
        <v>26.290299999999998</v>
      </c>
      <c r="Y254" s="42">
        <f t="shared" si="88"/>
        <v>7624.1869999999999</v>
      </c>
      <c r="Z254" s="42">
        <v>140</v>
      </c>
      <c r="AA254" s="42">
        <v>26.864000000000001</v>
      </c>
      <c r="AB254" s="42">
        <f t="shared" si="89"/>
        <v>3760.96</v>
      </c>
      <c r="AD254" s="42">
        <v>360</v>
      </c>
      <c r="AE254" s="42">
        <v>26.9312</v>
      </c>
      <c r="AF254" s="42">
        <f t="shared" si="84"/>
        <v>9695.232</v>
      </c>
      <c r="AG254" s="42"/>
      <c r="AH254" s="42"/>
      <c r="AI254" s="42"/>
      <c r="AJ254" s="42">
        <f t="shared" ref="AJ254:AJ265" si="93">AH254*AI254</f>
        <v>0</v>
      </c>
      <c r="AL254" s="42"/>
      <c r="AM254" s="42"/>
      <c r="AN254" s="42">
        <f t="shared" si="85"/>
        <v>0</v>
      </c>
      <c r="AO254" s="44"/>
      <c r="AP254" s="42"/>
      <c r="AQ254" s="42"/>
      <c r="AR254" s="42"/>
      <c r="AU254" s="98"/>
      <c r="AV254" s="35">
        <f t="shared" si="91"/>
        <v>0</v>
      </c>
      <c r="AW254" s="104"/>
      <c r="AX254" s="42"/>
      <c r="AY254" s="42"/>
      <c r="AZ254" s="42">
        <f t="shared" si="92"/>
        <v>0</v>
      </c>
      <c r="BA254" s="42"/>
      <c r="BB254" s="42"/>
      <c r="BC254" s="42"/>
      <c r="BD254" s="38">
        <f t="shared" si="76"/>
        <v>0</v>
      </c>
      <c r="BE254" s="42"/>
      <c r="BF254" s="42"/>
      <c r="BG254" s="42"/>
      <c r="BH254" s="38">
        <f t="shared" si="77"/>
        <v>0</v>
      </c>
      <c r="BI254" s="42"/>
      <c r="BJ254" s="42"/>
      <c r="BK254" s="42"/>
      <c r="BL254" s="38">
        <f t="shared" si="78"/>
        <v>0</v>
      </c>
      <c r="BM254" s="42"/>
      <c r="BN254" s="42"/>
      <c r="BO254" s="42"/>
      <c r="BP254" s="42"/>
      <c r="BR254" s="42">
        <f t="shared" si="79"/>
        <v>26601.342000000001</v>
      </c>
      <c r="BS254" s="43">
        <f t="shared" si="80"/>
        <v>2016.2219999999979</v>
      </c>
      <c r="BT254" s="42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  <c r="FM254" s="31"/>
      <c r="FN254" s="31"/>
      <c r="FO254" s="31"/>
      <c r="FP254" s="31"/>
      <c r="FQ254" s="31"/>
      <c r="FR254" s="31"/>
      <c r="FS254" s="31"/>
      <c r="FT254" s="31"/>
      <c r="FU254" s="31"/>
      <c r="FV254" s="31"/>
      <c r="FW254" s="31"/>
      <c r="FX254" s="31"/>
      <c r="FY254" s="31"/>
      <c r="FZ254" s="31"/>
      <c r="GA254" s="31"/>
      <c r="GB254" s="31"/>
      <c r="GC254" s="31"/>
      <c r="GD254" s="31"/>
      <c r="GE254" s="31"/>
      <c r="GF254" s="31"/>
      <c r="GG254" s="31"/>
      <c r="GH254" s="31"/>
      <c r="GI254" s="31"/>
      <c r="GJ254" s="31"/>
      <c r="GK254" s="31"/>
      <c r="GL254" s="31"/>
      <c r="GM254" s="31"/>
      <c r="GN254" s="31"/>
      <c r="GO254" s="31"/>
      <c r="GP254" s="31"/>
      <c r="GQ254" s="31"/>
      <c r="GR254" s="31"/>
      <c r="GS254" s="31"/>
      <c r="GT254" s="31"/>
      <c r="GU254" s="31"/>
      <c r="GV254" s="31"/>
      <c r="GW254" s="31"/>
      <c r="GX254" s="31"/>
      <c r="GY254" s="31"/>
      <c r="GZ254" s="31"/>
      <c r="HA254" s="31"/>
      <c r="HB254" s="31"/>
      <c r="HC254" s="31"/>
      <c r="HD254" s="31"/>
      <c r="HE254" s="31"/>
      <c r="HF254" s="31"/>
      <c r="HG254" s="31"/>
      <c r="HH254" s="31"/>
      <c r="HI254" s="31"/>
      <c r="HJ254" s="31"/>
      <c r="HK254" s="31"/>
      <c r="HL254" s="31"/>
      <c r="HM254" s="31"/>
      <c r="HN254" s="31"/>
      <c r="HO254" s="31"/>
      <c r="HP254" s="31"/>
      <c r="HQ254" s="31"/>
      <c r="HR254" s="31"/>
      <c r="HS254" s="31"/>
      <c r="HT254" s="31"/>
      <c r="HU254" s="31"/>
      <c r="HV254" s="31"/>
      <c r="HW254" s="31"/>
      <c r="HX254" s="31"/>
      <c r="HY254" s="31"/>
      <c r="HZ254" s="31"/>
      <c r="IA254" s="31"/>
      <c r="IB254" s="31"/>
      <c r="IC254" s="31"/>
      <c r="ID254" s="31"/>
      <c r="IE254" s="31"/>
      <c r="IF254" s="31"/>
      <c r="IG254" s="31"/>
      <c r="IH254" s="31"/>
      <c r="II254" s="31"/>
      <c r="IJ254" s="31"/>
      <c r="IK254" s="31"/>
      <c r="IL254" s="31"/>
      <c r="IM254" s="31"/>
      <c r="IN254" s="31"/>
      <c r="IO254" s="31"/>
      <c r="IP254" s="31"/>
      <c r="IQ254" s="31"/>
      <c r="IR254" s="31"/>
      <c r="IS254" s="31"/>
      <c r="IT254" s="31"/>
      <c r="IU254" s="31"/>
      <c r="IV254" s="31"/>
      <c r="IW254" s="31"/>
      <c r="IX254" s="31"/>
      <c r="IY254" s="31"/>
      <c r="IZ254" s="31"/>
      <c r="JA254" s="31"/>
      <c r="JB254" s="31"/>
      <c r="JC254" s="31"/>
      <c r="JD254" s="31"/>
      <c r="JE254" s="31"/>
      <c r="JF254" s="31"/>
      <c r="JG254" s="31"/>
      <c r="JH254" s="31"/>
      <c r="JI254" s="31"/>
      <c r="JJ254" s="31"/>
      <c r="JK254" s="31"/>
      <c r="JL254" s="31"/>
      <c r="JM254" s="31"/>
      <c r="JN254" s="31"/>
      <c r="JO254" s="31"/>
      <c r="JP254" s="31"/>
      <c r="JQ254" s="31"/>
      <c r="JR254" s="31"/>
      <c r="JS254" s="31"/>
      <c r="JT254" s="31"/>
      <c r="JU254" s="31"/>
      <c r="JV254" s="31"/>
      <c r="JW254" s="31"/>
      <c r="JX254" s="31"/>
      <c r="JY254" s="31"/>
      <c r="JZ254" s="31"/>
      <c r="KA254" s="31"/>
      <c r="KB254" s="31"/>
      <c r="KC254" s="31"/>
      <c r="KD254" s="31"/>
      <c r="KE254" s="31"/>
      <c r="KF254" s="31"/>
      <c r="KG254" s="31"/>
      <c r="KH254" s="31"/>
      <c r="KI254" s="31"/>
      <c r="KJ254" s="31"/>
      <c r="KK254" s="31"/>
      <c r="KL254" s="31"/>
      <c r="KM254" s="31"/>
      <c r="KN254" s="31"/>
      <c r="KO254" s="31"/>
      <c r="KP254" s="31"/>
      <c r="KQ254" s="31"/>
      <c r="KR254" s="31"/>
      <c r="KS254" s="31"/>
      <c r="KT254" s="31"/>
      <c r="KU254" s="31"/>
      <c r="KV254" s="31"/>
      <c r="KW254" s="31"/>
      <c r="KX254" s="31"/>
      <c r="KY254" s="31"/>
      <c r="KZ254" s="31"/>
      <c r="LA254" s="31"/>
      <c r="LB254" s="31"/>
      <c r="LC254" s="31"/>
      <c r="LD254" s="31"/>
      <c r="LE254" s="31"/>
      <c r="LF254" s="31"/>
      <c r="LG254" s="31"/>
      <c r="LH254" s="31"/>
      <c r="LI254" s="31"/>
      <c r="LJ254" s="31"/>
      <c r="LK254" s="31"/>
      <c r="LL254" s="31"/>
      <c r="LM254" s="31"/>
      <c r="LN254" s="31"/>
      <c r="LO254" s="31"/>
      <c r="LP254" s="31"/>
      <c r="LQ254" s="31"/>
      <c r="LR254" s="31"/>
      <c r="LS254" s="31"/>
      <c r="LT254" s="31"/>
      <c r="LU254" s="31"/>
      <c r="LV254" s="31"/>
      <c r="LW254" s="31"/>
      <c r="LX254" s="31"/>
      <c r="LY254" s="31"/>
      <c r="LZ254" s="31"/>
      <c r="MA254" s="31"/>
      <c r="MB254" s="31"/>
      <c r="MC254" s="31"/>
      <c r="MD254" s="31"/>
      <c r="ME254" s="31"/>
      <c r="MF254" s="31"/>
      <c r="MG254" s="31"/>
      <c r="MH254" s="31"/>
      <c r="MI254" s="31"/>
      <c r="MJ254" s="31"/>
      <c r="MK254" s="31"/>
      <c r="ML254" s="31"/>
      <c r="MM254" s="31"/>
      <c r="MN254" s="31"/>
      <c r="MO254" s="31"/>
      <c r="MP254" s="31"/>
      <c r="MQ254" s="31"/>
      <c r="MR254" s="31"/>
      <c r="MS254" s="31"/>
      <c r="MT254" s="31"/>
      <c r="MU254" s="31"/>
      <c r="MV254" s="31"/>
      <c r="MW254" s="31"/>
      <c r="MX254" s="31"/>
      <c r="MY254" s="31"/>
      <c r="MZ254" s="31"/>
      <c r="NA254" s="31"/>
      <c r="NB254" s="31"/>
      <c r="NC254" s="31"/>
      <c r="ND254" s="31"/>
      <c r="NE254" s="31"/>
      <c r="NF254" s="31"/>
      <c r="NG254" s="31"/>
      <c r="NH254" s="31"/>
      <c r="NI254" s="31"/>
      <c r="NJ254" s="31"/>
      <c r="NK254" s="31"/>
      <c r="NL254" s="31"/>
      <c r="NM254" s="31"/>
      <c r="NN254" s="31"/>
      <c r="NO254" s="31"/>
      <c r="NP254" s="31"/>
      <c r="NQ254" s="31"/>
      <c r="NR254" s="31"/>
      <c r="NS254" s="31"/>
      <c r="NT254" s="31"/>
      <c r="NU254" s="31"/>
      <c r="NV254" s="31"/>
      <c r="NW254" s="31"/>
      <c r="NX254" s="31"/>
      <c r="NY254" s="31"/>
      <c r="NZ254" s="31"/>
      <c r="OA254" s="31"/>
      <c r="OB254" s="31"/>
      <c r="OC254" s="31"/>
      <c r="OD254" s="31"/>
      <c r="OE254" s="31"/>
      <c r="OF254" s="31"/>
      <c r="OG254" s="31"/>
      <c r="OH254" s="31"/>
      <c r="OI254" s="31"/>
      <c r="OJ254" s="31"/>
      <c r="OK254" s="31"/>
      <c r="OL254" s="31"/>
      <c r="OM254" s="31"/>
      <c r="ON254" s="31"/>
      <c r="OO254" s="31"/>
      <c r="OP254" s="31"/>
      <c r="OQ254" s="31"/>
      <c r="OR254" s="31"/>
      <c r="OS254" s="31"/>
      <c r="OT254" s="31"/>
      <c r="OU254" s="31"/>
      <c r="OV254" s="31"/>
      <c r="OW254" s="31"/>
      <c r="OX254" s="31"/>
    </row>
    <row r="255" spans="2:414" s="25" customFormat="1" ht="15.6">
      <c r="B255" s="25" t="s">
        <v>383</v>
      </c>
      <c r="C255" s="27" t="s">
        <v>384</v>
      </c>
      <c r="D255" s="30" t="s">
        <v>355</v>
      </c>
      <c r="G255" s="42">
        <v>500</v>
      </c>
      <c r="H255" s="89">
        <v>26.109000000000002</v>
      </c>
      <c r="I255" s="38">
        <f t="shared" si="72"/>
        <v>13054.5</v>
      </c>
      <c r="K255" s="42">
        <v>500</v>
      </c>
      <c r="L255" s="90">
        <v>26.849599999999999</v>
      </c>
      <c r="M255" s="38">
        <f t="shared" si="73"/>
        <v>13424.8</v>
      </c>
      <c r="O255" s="38">
        <v>80</v>
      </c>
      <c r="P255" s="38">
        <v>26.728300000000001</v>
      </c>
      <c r="Q255" s="38">
        <f t="shared" si="74"/>
        <v>2138.2640000000001</v>
      </c>
      <c r="R255" s="43">
        <f t="shared" si="71"/>
        <v>1080</v>
      </c>
      <c r="S255" s="38">
        <f t="shared" si="75"/>
        <v>28617.563999999998</v>
      </c>
      <c r="T255" s="49">
        <v>415</v>
      </c>
      <c r="U255" s="42">
        <v>26.298200000000001</v>
      </c>
      <c r="V255" s="38">
        <f t="shared" si="86"/>
        <v>10913.753000000001</v>
      </c>
      <c r="W255" s="42">
        <v>85</v>
      </c>
      <c r="X255" s="42">
        <v>26.298200000000001</v>
      </c>
      <c r="Y255" s="42">
        <f t="shared" si="88"/>
        <v>2235.3470000000002</v>
      </c>
      <c r="Z255" s="42">
        <v>380</v>
      </c>
      <c r="AA255" s="42">
        <v>26.856000000000002</v>
      </c>
      <c r="AB255" s="42">
        <f t="shared" si="89"/>
        <v>10205.280000000001</v>
      </c>
      <c r="AD255" s="42">
        <v>10</v>
      </c>
      <c r="AE255" s="42">
        <v>26.861899999999999</v>
      </c>
      <c r="AF255" s="42">
        <f t="shared" si="84"/>
        <v>268.61899999999997</v>
      </c>
      <c r="AG255" s="42"/>
      <c r="AH255" s="42">
        <v>10</v>
      </c>
      <c r="AI255" s="42">
        <v>26.8064</v>
      </c>
      <c r="AJ255" s="42">
        <f t="shared" si="93"/>
        <v>268.06400000000002</v>
      </c>
      <c r="AL255" s="42">
        <v>100</v>
      </c>
      <c r="AM255" s="42">
        <v>26.794699999999999</v>
      </c>
      <c r="AN255" s="42">
        <f t="shared" si="85"/>
        <v>2679.47</v>
      </c>
      <c r="AO255" s="44"/>
      <c r="AP255" s="42"/>
      <c r="AQ255" s="42"/>
      <c r="AR255" s="42"/>
      <c r="AU255" s="98"/>
      <c r="AV255" s="35">
        <f t="shared" si="91"/>
        <v>0</v>
      </c>
      <c r="AW255" s="104"/>
      <c r="AX255" s="42"/>
      <c r="AY255" s="42"/>
      <c r="AZ255" s="42">
        <f t="shared" si="92"/>
        <v>0</v>
      </c>
      <c r="BA255" s="42"/>
      <c r="BB255" s="42"/>
      <c r="BC255" s="42"/>
      <c r="BD255" s="38">
        <f t="shared" si="76"/>
        <v>0</v>
      </c>
      <c r="BE255" s="42"/>
      <c r="BF255" s="42"/>
      <c r="BG255" s="42"/>
      <c r="BH255" s="38">
        <f t="shared" si="77"/>
        <v>0</v>
      </c>
      <c r="BI255" s="42"/>
      <c r="BJ255" s="42"/>
      <c r="BK255" s="42"/>
      <c r="BL255" s="38">
        <f t="shared" si="78"/>
        <v>0</v>
      </c>
      <c r="BM255" s="42"/>
      <c r="BN255" s="42"/>
      <c r="BO255" s="42"/>
      <c r="BP255" s="42"/>
      <c r="BR255" s="42">
        <f t="shared" si="79"/>
        <v>26570.532999999999</v>
      </c>
      <c r="BS255" s="43">
        <f t="shared" si="80"/>
        <v>2047.030999999999</v>
      </c>
      <c r="BT255" s="42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  <c r="FM255" s="31"/>
      <c r="FN255" s="31"/>
      <c r="FO255" s="31"/>
      <c r="FP255" s="31"/>
      <c r="FQ255" s="31"/>
      <c r="FR255" s="31"/>
      <c r="FS255" s="31"/>
      <c r="FT255" s="31"/>
      <c r="FU255" s="31"/>
      <c r="FV255" s="31"/>
      <c r="FW255" s="31"/>
      <c r="FX255" s="31"/>
      <c r="FY255" s="31"/>
      <c r="FZ255" s="31"/>
      <c r="GA255" s="31"/>
      <c r="GB255" s="31"/>
      <c r="GC255" s="31"/>
      <c r="GD255" s="31"/>
      <c r="GE255" s="31"/>
      <c r="GF255" s="31"/>
      <c r="GG255" s="31"/>
      <c r="GH255" s="31"/>
      <c r="GI255" s="31"/>
      <c r="GJ255" s="31"/>
      <c r="GK255" s="31"/>
      <c r="GL255" s="31"/>
      <c r="GM255" s="31"/>
      <c r="GN255" s="31"/>
      <c r="GO255" s="31"/>
      <c r="GP255" s="31"/>
      <c r="GQ255" s="31"/>
      <c r="GR255" s="31"/>
      <c r="GS255" s="31"/>
      <c r="GT255" s="31"/>
      <c r="GU255" s="31"/>
      <c r="GV255" s="31"/>
      <c r="GW255" s="31"/>
      <c r="GX255" s="31"/>
      <c r="GY255" s="31"/>
      <c r="GZ255" s="31"/>
      <c r="HA255" s="31"/>
      <c r="HB255" s="31"/>
      <c r="HC255" s="31"/>
      <c r="HD255" s="31"/>
      <c r="HE255" s="31"/>
      <c r="HF255" s="31"/>
      <c r="HG255" s="31"/>
      <c r="HH255" s="31"/>
      <c r="HI255" s="31"/>
      <c r="HJ255" s="31"/>
      <c r="HK255" s="31"/>
      <c r="HL255" s="31"/>
      <c r="HM255" s="31"/>
      <c r="HN255" s="31"/>
      <c r="HO255" s="31"/>
      <c r="HP255" s="31"/>
      <c r="HQ255" s="31"/>
      <c r="HR255" s="31"/>
      <c r="HS255" s="31"/>
      <c r="HT255" s="31"/>
      <c r="HU255" s="31"/>
      <c r="HV255" s="31"/>
      <c r="HW255" s="31"/>
      <c r="HX255" s="31"/>
      <c r="HY255" s="31"/>
      <c r="HZ255" s="31"/>
      <c r="IA255" s="31"/>
      <c r="IB255" s="31"/>
      <c r="IC255" s="31"/>
      <c r="ID255" s="31"/>
      <c r="IE255" s="31"/>
      <c r="IF255" s="31"/>
      <c r="IG255" s="31"/>
      <c r="IH255" s="31"/>
      <c r="II255" s="31"/>
      <c r="IJ255" s="31"/>
      <c r="IK255" s="31"/>
      <c r="IL255" s="31"/>
      <c r="IM255" s="31"/>
      <c r="IN255" s="31"/>
      <c r="IO255" s="31"/>
      <c r="IP255" s="31"/>
      <c r="IQ255" s="31"/>
      <c r="IR255" s="31"/>
      <c r="IS255" s="31"/>
      <c r="IT255" s="31"/>
      <c r="IU255" s="31"/>
      <c r="IV255" s="31"/>
      <c r="IW255" s="31"/>
      <c r="IX255" s="31"/>
      <c r="IY255" s="31"/>
      <c r="IZ255" s="31"/>
      <c r="JA255" s="31"/>
      <c r="JB255" s="31"/>
      <c r="JC255" s="31"/>
      <c r="JD255" s="31"/>
      <c r="JE255" s="31"/>
      <c r="JF255" s="31"/>
      <c r="JG255" s="31"/>
      <c r="JH255" s="31"/>
      <c r="JI255" s="31"/>
      <c r="JJ255" s="31"/>
      <c r="JK255" s="31"/>
      <c r="JL255" s="31"/>
      <c r="JM255" s="31"/>
      <c r="JN255" s="31"/>
      <c r="JO255" s="31"/>
      <c r="JP255" s="31"/>
      <c r="JQ255" s="31"/>
      <c r="JR255" s="31"/>
      <c r="JS255" s="31"/>
      <c r="JT255" s="31"/>
      <c r="JU255" s="31"/>
      <c r="JV255" s="31"/>
      <c r="JW255" s="31"/>
      <c r="JX255" s="31"/>
      <c r="JY255" s="31"/>
      <c r="JZ255" s="31"/>
      <c r="KA255" s="31"/>
      <c r="KB255" s="31"/>
      <c r="KC255" s="31"/>
      <c r="KD255" s="31"/>
      <c r="KE255" s="31"/>
      <c r="KF255" s="31"/>
      <c r="KG255" s="31"/>
      <c r="KH255" s="31"/>
      <c r="KI255" s="31"/>
      <c r="KJ255" s="31"/>
      <c r="KK255" s="31"/>
      <c r="KL255" s="31"/>
      <c r="KM255" s="31"/>
      <c r="KN255" s="31"/>
      <c r="KO255" s="31"/>
      <c r="KP255" s="31"/>
      <c r="KQ255" s="31"/>
      <c r="KR255" s="31"/>
      <c r="KS255" s="31"/>
      <c r="KT255" s="31"/>
      <c r="KU255" s="31"/>
      <c r="KV255" s="31"/>
      <c r="KW255" s="31"/>
      <c r="KX255" s="31"/>
      <c r="KY255" s="31"/>
      <c r="KZ255" s="31"/>
      <c r="LA255" s="31"/>
      <c r="LB255" s="31"/>
      <c r="LC255" s="31"/>
      <c r="LD255" s="31"/>
      <c r="LE255" s="31"/>
      <c r="LF255" s="31"/>
      <c r="LG255" s="31"/>
      <c r="LH255" s="31"/>
      <c r="LI255" s="31"/>
      <c r="LJ255" s="31"/>
      <c r="LK255" s="31"/>
      <c r="LL255" s="31"/>
      <c r="LM255" s="31"/>
      <c r="LN255" s="31"/>
      <c r="LO255" s="31"/>
      <c r="LP255" s="31"/>
      <c r="LQ255" s="31"/>
      <c r="LR255" s="31"/>
      <c r="LS255" s="31"/>
      <c r="LT255" s="31"/>
      <c r="LU255" s="31"/>
      <c r="LV255" s="31"/>
      <c r="LW255" s="31"/>
      <c r="LX255" s="31"/>
      <c r="LY255" s="31"/>
      <c r="LZ255" s="31"/>
      <c r="MA255" s="31"/>
      <c r="MB255" s="31"/>
      <c r="MC255" s="31"/>
      <c r="MD255" s="31"/>
      <c r="ME255" s="31"/>
      <c r="MF255" s="31"/>
      <c r="MG255" s="31"/>
      <c r="MH255" s="31"/>
      <c r="MI255" s="31"/>
      <c r="MJ255" s="31"/>
      <c r="MK255" s="31"/>
      <c r="ML255" s="31"/>
      <c r="MM255" s="31"/>
      <c r="MN255" s="31"/>
      <c r="MO255" s="31"/>
      <c r="MP255" s="31"/>
      <c r="MQ255" s="31"/>
      <c r="MR255" s="31"/>
      <c r="MS255" s="31"/>
      <c r="MT255" s="31"/>
      <c r="MU255" s="31"/>
      <c r="MV255" s="31"/>
      <c r="MW255" s="31"/>
      <c r="MX255" s="31"/>
      <c r="MY255" s="31"/>
      <c r="MZ255" s="31"/>
      <c r="NA255" s="31"/>
      <c r="NB255" s="31"/>
      <c r="NC255" s="31"/>
      <c r="ND255" s="31"/>
      <c r="NE255" s="31"/>
      <c r="NF255" s="31"/>
      <c r="NG255" s="31"/>
      <c r="NH255" s="31"/>
      <c r="NI255" s="31"/>
      <c r="NJ255" s="31"/>
      <c r="NK255" s="31"/>
      <c r="NL255" s="31"/>
      <c r="NM255" s="31"/>
      <c r="NN255" s="31"/>
      <c r="NO255" s="31"/>
      <c r="NP255" s="31"/>
      <c r="NQ255" s="31"/>
      <c r="NR255" s="31"/>
      <c r="NS255" s="31"/>
      <c r="NT255" s="31"/>
      <c r="NU255" s="31"/>
      <c r="NV255" s="31"/>
      <c r="NW255" s="31"/>
      <c r="NX255" s="31"/>
      <c r="NY255" s="31"/>
      <c r="NZ255" s="31"/>
      <c r="OA255" s="31"/>
      <c r="OB255" s="31"/>
      <c r="OC255" s="31"/>
      <c r="OD255" s="31"/>
      <c r="OE255" s="31"/>
      <c r="OF255" s="31"/>
      <c r="OG255" s="31"/>
      <c r="OH255" s="31"/>
      <c r="OI255" s="31"/>
      <c r="OJ255" s="31"/>
      <c r="OK255" s="31"/>
      <c r="OL255" s="31"/>
      <c r="OM255" s="31"/>
      <c r="ON255" s="31"/>
      <c r="OO255" s="31"/>
      <c r="OP255" s="31"/>
      <c r="OQ255" s="31"/>
      <c r="OR255" s="31"/>
      <c r="OS255" s="31"/>
      <c r="OT255" s="31"/>
      <c r="OU255" s="31"/>
      <c r="OV255" s="31"/>
      <c r="OW255" s="31"/>
      <c r="OX255" s="31"/>
    </row>
    <row r="256" spans="2:414" s="25" customFormat="1" ht="15.6">
      <c r="B256" s="25" t="s">
        <v>385</v>
      </c>
      <c r="C256" s="27" t="s">
        <v>386</v>
      </c>
      <c r="D256" s="30" t="s">
        <v>355</v>
      </c>
      <c r="G256" s="42">
        <v>500</v>
      </c>
      <c r="H256" s="89">
        <v>26.109000000000002</v>
      </c>
      <c r="I256" s="38">
        <f t="shared" si="72"/>
        <v>13054.5</v>
      </c>
      <c r="K256" s="42">
        <v>500</v>
      </c>
      <c r="L256" s="90">
        <v>26.849599999999999</v>
      </c>
      <c r="M256" s="38">
        <f t="shared" si="73"/>
        <v>13424.8</v>
      </c>
      <c r="O256" s="38">
        <v>80</v>
      </c>
      <c r="P256" s="38">
        <v>26.728300000000001</v>
      </c>
      <c r="Q256" s="38">
        <f t="shared" si="74"/>
        <v>2138.2640000000001</v>
      </c>
      <c r="R256" s="43">
        <f t="shared" si="71"/>
        <v>1080</v>
      </c>
      <c r="S256" s="38">
        <f t="shared" si="75"/>
        <v>28617.563999999998</v>
      </c>
      <c r="T256" s="49">
        <v>85</v>
      </c>
      <c r="U256" s="42"/>
      <c r="V256" s="38">
        <f t="shared" si="86"/>
        <v>0</v>
      </c>
      <c r="W256" s="42">
        <v>130</v>
      </c>
      <c r="X256" s="42"/>
      <c r="Y256" s="42">
        <f t="shared" si="88"/>
        <v>0</v>
      </c>
      <c r="Z256" s="42">
        <v>180</v>
      </c>
      <c r="AA256" s="42">
        <v>26.023700000000002</v>
      </c>
      <c r="AB256" s="42">
        <f t="shared" si="89"/>
        <v>4684.2660000000005</v>
      </c>
      <c r="AD256" s="42">
        <v>105</v>
      </c>
      <c r="AE256" s="42">
        <v>26.023700000000002</v>
      </c>
      <c r="AF256" s="42">
        <f t="shared" si="84"/>
        <v>2732.4885000000004</v>
      </c>
      <c r="AG256" s="42"/>
      <c r="AH256" s="42">
        <v>300</v>
      </c>
      <c r="AI256" s="42">
        <v>26.869499999999999</v>
      </c>
      <c r="AJ256" s="42">
        <f t="shared" si="93"/>
        <v>8060.8499999999995</v>
      </c>
      <c r="AL256" s="42">
        <v>100</v>
      </c>
      <c r="AM256" s="42">
        <v>26.856000000000002</v>
      </c>
      <c r="AN256" s="42">
        <f t="shared" si="85"/>
        <v>2685.6000000000004</v>
      </c>
      <c r="AO256" s="44"/>
      <c r="AP256" s="42">
        <v>100</v>
      </c>
      <c r="AQ256" s="42">
        <v>26.8401</v>
      </c>
      <c r="AR256" s="42"/>
      <c r="AU256" s="98"/>
      <c r="AV256" s="35">
        <f t="shared" si="91"/>
        <v>0</v>
      </c>
      <c r="AW256" s="104"/>
      <c r="AX256" s="42"/>
      <c r="AY256" s="42"/>
      <c r="AZ256" s="42">
        <f t="shared" si="92"/>
        <v>0</v>
      </c>
      <c r="BA256" s="42"/>
      <c r="BB256" s="42"/>
      <c r="BC256" s="42"/>
      <c r="BD256" s="38">
        <f t="shared" si="76"/>
        <v>0</v>
      </c>
      <c r="BE256" s="42"/>
      <c r="BF256" s="42"/>
      <c r="BG256" s="42"/>
      <c r="BH256" s="38">
        <f t="shared" si="77"/>
        <v>0</v>
      </c>
      <c r="BI256" s="42"/>
      <c r="BJ256" s="42"/>
      <c r="BK256" s="42"/>
      <c r="BL256" s="38">
        <f t="shared" si="78"/>
        <v>0</v>
      </c>
      <c r="BM256" s="42"/>
      <c r="BN256" s="42"/>
      <c r="BO256" s="42"/>
      <c r="BP256" s="42"/>
      <c r="BR256" s="42">
        <f t="shared" si="79"/>
        <v>18163.2045</v>
      </c>
      <c r="BS256" s="43">
        <f t="shared" si="80"/>
        <v>10454.359499999999</v>
      </c>
      <c r="BT256" s="42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  <c r="FM256" s="31"/>
      <c r="FN256" s="31"/>
      <c r="FO256" s="31"/>
      <c r="FP256" s="31"/>
      <c r="FQ256" s="31"/>
      <c r="FR256" s="31"/>
      <c r="FS256" s="31"/>
      <c r="FT256" s="31"/>
      <c r="FU256" s="31"/>
      <c r="FV256" s="31"/>
      <c r="FW256" s="31"/>
      <c r="FX256" s="31"/>
      <c r="FY256" s="31"/>
      <c r="FZ256" s="31"/>
      <c r="GA256" s="31"/>
      <c r="GB256" s="31"/>
      <c r="GC256" s="31"/>
      <c r="GD256" s="31"/>
      <c r="GE256" s="31"/>
      <c r="GF256" s="31"/>
      <c r="GG256" s="31"/>
      <c r="GH256" s="31"/>
      <c r="GI256" s="31"/>
      <c r="GJ256" s="31"/>
      <c r="GK256" s="31"/>
      <c r="GL256" s="31"/>
      <c r="GM256" s="31"/>
      <c r="GN256" s="31"/>
      <c r="GO256" s="31"/>
      <c r="GP256" s="31"/>
      <c r="GQ256" s="31"/>
      <c r="GR256" s="31"/>
      <c r="GS256" s="31"/>
      <c r="GT256" s="31"/>
      <c r="GU256" s="31"/>
      <c r="GV256" s="31"/>
      <c r="GW256" s="31"/>
      <c r="GX256" s="31"/>
      <c r="GY256" s="31"/>
      <c r="GZ256" s="31"/>
      <c r="HA256" s="31"/>
      <c r="HB256" s="31"/>
      <c r="HC256" s="31"/>
      <c r="HD256" s="31"/>
      <c r="HE256" s="31"/>
      <c r="HF256" s="31"/>
      <c r="HG256" s="31"/>
      <c r="HH256" s="31"/>
      <c r="HI256" s="31"/>
      <c r="HJ256" s="31"/>
      <c r="HK256" s="31"/>
      <c r="HL256" s="31"/>
      <c r="HM256" s="31"/>
      <c r="HN256" s="31"/>
      <c r="HO256" s="31"/>
      <c r="HP256" s="31"/>
      <c r="HQ256" s="31"/>
      <c r="HR256" s="31"/>
      <c r="HS256" s="31"/>
      <c r="HT256" s="31"/>
      <c r="HU256" s="31"/>
      <c r="HV256" s="31"/>
      <c r="HW256" s="31"/>
      <c r="HX256" s="31"/>
      <c r="HY256" s="31"/>
      <c r="HZ256" s="31"/>
      <c r="IA256" s="31"/>
      <c r="IB256" s="31"/>
      <c r="IC256" s="31"/>
      <c r="ID256" s="31"/>
      <c r="IE256" s="31"/>
      <c r="IF256" s="31"/>
      <c r="IG256" s="31"/>
      <c r="IH256" s="31"/>
      <c r="II256" s="31"/>
      <c r="IJ256" s="31"/>
      <c r="IK256" s="31"/>
      <c r="IL256" s="31"/>
      <c r="IM256" s="31"/>
      <c r="IN256" s="31"/>
      <c r="IO256" s="31"/>
      <c r="IP256" s="31"/>
      <c r="IQ256" s="31"/>
      <c r="IR256" s="31"/>
      <c r="IS256" s="31"/>
      <c r="IT256" s="31"/>
      <c r="IU256" s="31"/>
      <c r="IV256" s="31"/>
      <c r="IW256" s="31"/>
      <c r="IX256" s="31"/>
      <c r="IY256" s="31"/>
      <c r="IZ256" s="31"/>
      <c r="JA256" s="31"/>
      <c r="JB256" s="31"/>
      <c r="JC256" s="31"/>
      <c r="JD256" s="31"/>
      <c r="JE256" s="31"/>
      <c r="JF256" s="31"/>
      <c r="JG256" s="31"/>
      <c r="JH256" s="31"/>
      <c r="JI256" s="31"/>
      <c r="JJ256" s="31"/>
      <c r="JK256" s="31"/>
      <c r="JL256" s="31"/>
      <c r="JM256" s="31"/>
      <c r="JN256" s="31"/>
      <c r="JO256" s="31"/>
      <c r="JP256" s="31"/>
      <c r="JQ256" s="31"/>
      <c r="JR256" s="31"/>
      <c r="JS256" s="31"/>
      <c r="JT256" s="31"/>
      <c r="JU256" s="31"/>
      <c r="JV256" s="31"/>
      <c r="JW256" s="31"/>
      <c r="JX256" s="31"/>
      <c r="JY256" s="31"/>
      <c r="JZ256" s="31"/>
      <c r="KA256" s="31"/>
      <c r="KB256" s="31"/>
      <c r="KC256" s="31"/>
      <c r="KD256" s="31"/>
      <c r="KE256" s="31"/>
      <c r="KF256" s="31"/>
      <c r="KG256" s="31"/>
      <c r="KH256" s="31"/>
      <c r="KI256" s="31"/>
      <c r="KJ256" s="31"/>
      <c r="KK256" s="31"/>
      <c r="KL256" s="31"/>
      <c r="KM256" s="31"/>
      <c r="KN256" s="31"/>
      <c r="KO256" s="31"/>
      <c r="KP256" s="31"/>
      <c r="KQ256" s="31"/>
      <c r="KR256" s="31"/>
      <c r="KS256" s="31"/>
      <c r="KT256" s="31"/>
      <c r="KU256" s="31"/>
      <c r="KV256" s="31"/>
      <c r="KW256" s="31"/>
      <c r="KX256" s="31"/>
      <c r="KY256" s="31"/>
      <c r="KZ256" s="31"/>
      <c r="LA256" s="31"/>
      <c r="LB256" s="31"/>
      <c r="LC256" s="31"/>
      <c r="LD256" s="31"/>
      <c r="LE256" s="31"/>
      <c r="LF256" s="31"/>
      <c r="LG256" s="31"/>
      <c r="LH256" s="31"/>
      <c r="LI256" s="31"/>
      <c r="LJ256" s="31"/>
      <c r="LK256" s="31"/>
      <c r="LL256" s="31"/>
      <c r="LM256" s="31"/>
      <c r="LN256" s="31"/>
      <c r="LO256" s="31"/>
      <c r="LP256" s="31"/>
      <c r="LQ256" s="31"/>
      <c r="LR256" s="31"/>
      <c r="LS256" s="31"/>
      <c r="LT256" s="31"/>
      <c r="LU256" s="31"/>
      <c r="LV256" s="31"/>
      <c r="LW256" s="31"/>
      <c r="LX256" s="31"/>
      <c r="LY256" s="31"/>
      <c r="LZ256" s="31"/>
      <c r="MA256" s="31"/>
      <c r="MB256" s="31"/>
      <c r="MC256" s="31"/>
      <c r="MD256" s="31"/>
      <c r="ME256" s="31"/>
      <c r="MF256" s="31"/>
      <c r="MG256" s="31"/>
      <c r="MH256" s="31"/>
      <c r="MI256" s="31"/>
      <c r="MJ256" s="31"/>
      <c r="MK256" s="31"/>
      <c r="ML256" s="31"/>
      <c r="MM256" s="31"/>
      <c r="MN256" s="31"/>
      <c r="MO256" s="31"/>
      <c r="MP256" s="31"/>
      <c r="MQ256" s="31"/>
      <c r="MR256" s="31"/>
      <c r="MS256" s="31"/>
      <c r="MT256" s="31"/>
      <c r="MU256" s="31"/>
      <c r="MV256" s="31"/>
      <c r="MW256" s="31"/>
      <c r="MX256" s="31"/>
      <c r="MY256" s="31"/>
      <c r="MZ256" s="31"/>
      <c r="NA256" s="31"/>
      <c r="NB256" s="31"/>
      <c r="NC256" s="31"/>
      <c r="ND256" s="31"/>
      <c r="NE256" s="31"/>
      <c r="NF256" s="31"/>
      <c r="NG256" s="31"/>
      <c r="NH256" s="31"/>
      <c r="NI256" s="31"/>
      <c r="NJ256" s="31"/>
      <c r="NK256" s="31"/>
      <c r="NL256" s="31"/>
      <c r="NM256" s="31"/>
      <c r="NN256" s="31"/>
      <c r="NO256" s="31"/>
      <c r="NP256" s="31"/>
      <c r="NQ256" s="31"/>
      <c r="NR256" s="31"/>
      <c r="NS256" s="31"/>
      <c r="NT256" s="31"/>
      <c r="NU256" s="31"/>
      <c r="NV256" s="31"/>
      <c r="NW256" s="31"/>
      <c r="NX256" s="31"/>
      <c r="NY256" s="31"/>
      <c r="NZ256" s="31"/>
      <c r="OA256" s="31"/>
      <c r="OB256" s="31"/>
      <c r="OC256" s="31"/>
      <c r="OD256" s="31"/>
      <c r="OE256" s="31"/>
      <c r="OF256" s="31"/>
      <c r="OG256" s="31"/>
      <c r="OH256" s="31"/>
      <c r="OI256" s="31"/>
      <c r="OJ256" s="31"/>
      <c r="OK256" s="31"/>
      <c r="OL256" s="31"/>
      <c r="OM256" s="31"/>
      <c r="ON256" s="31"/>
      <c r="OO256" s="31"/>
      <c r="OP256" s="31"/>
      <c r="OQ256" s="31"/>
      <c r="OR256" s="31"/>
      <c r="OS256" s="31"/>
      <c r="OT256" s="31"/>
      <c r="OU256" s="31"/>
      <c r="OV256" s="31"/>
      <c r="OW256" s="31"/>
      <c r="OX256" s="31"/>
    </row>
    <row r="257" spans="2:414" s="25" customFormat="1" ht="15.6">
      <c r="B257" s="25" t="s">
        <v>387</v>
      </c>
      <c r="C257" s="27" t="s">
        <v>19</v>
      </c>
      <c r="D257" s="30" t="s">
        <v>355</v>
      </c>
      <c r="G257" s="42">
        <v>500</v>
      </c>
      <c r="H257" s="89">
        <v>26.109000000000002</v>
      </c>
      <c r="I257" s="38">
        <f t="shared" si="72"/>
        <v>13054.5</v>
      </c>
      <c r="K257" s="42">
        <v>500</v>
      </c>
      <c r="L257" s="90">
        <v>26.849599999999999</v>
      </c>
      <c r="M257" s="38">
        <f t="shared" si="73"/>
        <v>13424.8</v>
      </c>
      <c r="O257" s="38">
        <v>80</v>
      </c>
      <c r="P257" s="38">
        <v>26.728300000000001</v>
      </c>
      <c r="Q257" s="38">
        <f t="shared" si="74"/>
        <v>2138.2640000000001</v>
      </c>
      <c r="R257" s="43">
        <f t="shared" si="71"/>
        <v>1080</v>
      </c>
      <c r="S257" s="38">
        <f t="shared" si="75"/>
        <v>28617.563999999998</v>
      </c>
      <c r="T257" s="49">
        <v>500</v>
      </c>
      <c r="U257" s="42">
        <v>26.3004</v>
      </c>
      <c r="V257" s="38">
        <f t="shared" si="86"/>
        <v>13150.2</v>
      </c>
      <c r="W257" s="42"/>
      <c r="X257" s="42"/>
      <c r="Y257" s="42">
        <f t="shared" si="88"/>
        <v>0</v>
      </c>
      <c r="Z257" s="42"/>
      <c r="AA257" s="42"/>
      <c r="AB257" s="42">
        <f t="shared" si="89"/>
        <v>0</v>
      </c>
      <c r="AD257" s="42"/>
      <c r="AE257" s="42"/>
      <c r="AF257" s="42">
        <f t="shared" si="84"/>
        <v>0</v>
      </c>
      <c r="AG257" s="42"/>
      <c r="AH257" s="42"/>
      <c r="AI257" s="42"/>
      <c r="AJ257" s="42">
        <f t="shared" si="93"/>
        <v>0</v>
      </c>
      <c r="AL257" s="42"/>
      <c r="AM257" s="42"/>
      <c r="AN257" s="42">
        <f t="shared" si="85"/>
        <v>0</v>
      </c>
      <c r="AO257" s="44"/>
      <c r="AP257" s="42"/>
      <c r="AQ257" s="42"/>
      <c r="AR257" s="42"/>
      <c r="AU257" s="98"/>
      <c r="AV257" s="35">
        <f t="shared" si="91"/>
        <v>0</v>
      </c>
      <c r="AW257" s="104"/>
      <c r="AX257" s="42"/>
      <c r="AY257" s="42"/>
      <c r="AZ257" s="42">
        <f t="shared" si="92"/>
        <v>0</v>
      </c>
      <c r="BA257" s="42"/>
      <c r="BB257" s="42"/>
      <c r="BC257" s="42"/>
      <c r="BD257" s="38">
        <f t="shared" si="76"/>
        <v>0</v>
      </c>
      <c r="BE257" s="42"/>
      <c r="BF257" s="42"/>
      <c r="BG257" s="42"/>
      <c r="BH257" s="38">
        <f t="shared" si="77"/>
        <v>0</v>
      </c>
      <c r="BI257" s="42"/>
      <c r="BJ257" s="42"/>
      <c r="BK257" s="42"/>
      <c r="BL257" s="38">
        <f t="shared" si="78"/>
        <v>0</v>
      </c>
      <c r="BM257" s="42"/>
      <c r="BN257" s="42"/>
      <c r="BO257" s="42"/>
      <c r="BP257" s="42"/>
      <c r="BR257" s="42">
        <f t="shared" si="79"/>
        <v>13150.2</v>
      </c>
      <c r="BS257" s="43">
        <f t="shared" si="80"/>
        <v>15467.363999999998</v>
      </c>
      <c r="BT257" s="42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  <c r="FM257" s="31"/>
      <c r="FN257" s="31"/>
      <c r="FO257" s="31"/>
      <c r="FP257" s="31"/>
      <c r="FQ257" s="31"/>
      <c r="FR257" s="31"/>
      <c r="FS257" s="31"/>
      <c r="FT257" s="31"/>
      <c r="FU257" s="31"/>
      <c r="FV257" s="31"/>
      <c r="FW257" s="31"/>
      <c r="FX257" s="31"/>
      <c r="FY257" s="31"/>
      <c r="FZ257" s="31"/>
      <c r="GA257" s="31"/>
      <c r="GB257" s="31"/>
      <c r="GC257" s="31"/>
      <c r="GD257" s="31"/>
      <c r="GE257" s="31"/>
      <c r="GF257" s="31"/>
      <c r="GG257" s="31"/>
      <c r="GH257" s="31"/>
      <c r="GI257" s="31"/>
      <c r="GJ257" s="31"/>
      <c r="GK257" s="31"/>
      <c r="GL257" s="31"/>
      <c r="GM257" s="31"/>
      <c r="GN257" s="31"/>
      <c r="GO257" s="31"/>
      <c r="GP257" s="31"/>
      <c r="GQ257" s="31"/>
      <c r="GR257" s="31"/>
      <c r="GS257" s="31"/>
      <c r="GT257" s="31"/>
      <c r="GU257" s="31"/>
      <c r="GV257" s="31"/>
      <c r="GW257" s="31"/>
      <c r="GX257" s="31"/>
      <c r="GY257" s="31"/>
      <c r="GZ257" s="31"/>
      <c r="HA257" s="31"/>
      <c r="HB257" s="31"/>
      <c r="HC257" s="31"/>
      <c r="HD257" s="31"/>
      <c r="HE257" s="31"/>
      <c r="HF257" s="31"/>
      <c r="HG257" s="31"/>
      <c r="HH257" s="31"/>
      <c r="HI257" s="31"/>
      <c r="HJ257" s="31"/>
      <c r="HK257" s="31"/>
      <c r="HL257" s="31"/>
      <c r="HM257" s="31"/>
      <c r="HN257" s="31"/>
      <c r="HO257" s="31"/>
      <c r="HP257" s="31"/>
      <c r="HQ257" s="31"/>
      <c r="HR257" s="31"/>
      <c r="HS257" s="31"/>
      <c r="HT257" s="31"/>
      <c r="HU257" s="31"/>
      <c r="HV257" s="31"/>
      <c r="HW257" s="31"/>
      <c r="HX257" s="31"/>
      <c r="HY257" s="31"/>
      <c r="HZ257" s="31"/>
      <c r="IA257" s="31"/>
      <c r="IB257" s="31"/>
      <c r="IC257" s="31"/>
      <c r="ID257" s="31"/>
      <c r="IE257" s="31"/>
      <c r="IF257" s="31"/>
      <c r="IG257" s="31"/>
      <c r="IH257" s="31"/>
      <c r="II257" s="31"/>
      <c r="IJ257" s="31"/>
      <c r="IK257" s="31"/>
      <c r="IL257" s="31"/>
      <c r="IM257" s="31"/>
      <c r="IN257" s="31"/>
      <c r="IO257" s="31"/>
      <c r="IP257" s="31"/>
      <c r="IQ257" s="31"/>
      <c r="IR257" s="31"/>
      <c r="IS257" s="31"/>
      <c r="IT257" s="31"/>
      <c r="IU257" s="31"/>
      <c r="IV257" s="31"/>
      <c r="IW257" s="31"/>
      <c r="IX257" s="31"/>
      <c r="IY257" s="31"/>
      <c r="IZ257" s="31"/>
      <c r="JA257" s="31"/>
      <c r="JB257" s="31"/>
      <c r="JC257" s="31"/>
      <c r="JD257" s="31"/>
      <c r="JE257" s="31"/>
      <c r="JF257" s="31"/>
      <c r="JG257" s="31"/>
      <c r="JH257" s="31"/>
      <c r="JI257" s="31"/>
      <c r="JJ257" s="31"/>
      <c r="JK257" s="31"/>
      <c r="JL257" s="31"/>
      <c r="JM257" s="31"/>
      <c r="JN257" s="31"/>
      <c r="JO257" s="31"/>
      <c r="JP257" s="31"/>
      <c r="JQ257" s="31"/>
      <c r="JR257" s="31"/>
      <c r="JS257" s="31"/>
      <c r="JT257" s="31"/>
      <c r="JU257" s="31"/>
      <c r="JV257" s="31"/>
      <c r="JW257" s="31"/>
      <c r="JX257" s="31"/>
      <c r="JY257" s="31"/>
      <c r="JZ257" s="31"/>
      <c r="KA257" s="31"/>
      <c r="KB257" s="31"/>
      <c r="KC257" s="31"/>
      <c r="KD257" s="31"/>
      <c r="KE257" s="31"/>
      <c r="KF257" s="31"/>
      <c r="KG257" s="31"/>
      <c r="KH257" s="31"/>
      <c r="KI257" s="31"/>
      <c r="KJ257" s="31"/>
      <c r="KK257" s="31"/>
      <c r="KL257" s="31"/>
      <c r="KM257" s="31"/>
      <c r="KN257" s="31"/>
      <c r="KO257" s="31"/>
      <c r="KP257" s="31"/>
      <c r="KQ257" s="31"/>
      <c r="KR257" s="31"/>
      <c r="KS257" s="31"/>
      <c r="KT257" s="31"/>
      <c r="KU257" s="31"/>
      <c r="KV257" s="31"/>
      <c r="KW257" s="31"/>
      <c r="KX257" s="31"/>
      <c r="KY257" s="31"/>
      <c r="KZ257" s="31"/>
      <c r="LA257" s="31"/>
      <c r="LB257" s="31"/>
      <c r="LC257" s="31"/>
      <c r="LD257" s="31"/>
      <c r="LE257" s="31"/>
      <c r="LF257" s="31"/>
      <c r="LG257" s="31"/>
      <c r="LH257" s="31"/>
      <c r="LI257" s="31"/>
      <c r="LJ257" s="31"/>
      <c r="LK257" s="31"/>
      <c r="LL257" s="31"/>
      <c r="LM257" s="31"/>
      <c r="LN257" s="31"/>
      <c r="LO257" s="31"/>
      <c r="LP257" s="31"/>
      <c r="LQ257" s="31"/>
      <c r="LR257" s="31"/>
      <c r="LS257" s="31"/>
      <c r="LT257" s="31"/>
      <c r="LU257" s="31"/>
      <c r="LV257" s="31"/>
      <c r="LW257" s="31"/>
      <c r="LX257" s="31"/>
      <c r="LY257" s="31"/>
      <c r="LZ257" s="31"/>
      <c r="MA257" s="31"/>
      <c r="MB257" s="31"/>
      <c r="MC257" s="31"/>
      <c r="MD257" s="31"/>
      <c r="ME257" s="31"/>
      <c r="MF257" s="31"/>
      <c r="MG257" s="31"/>
      <c r="MH257" s="31"/>
      <c r="MI257" s="31"/>
      <c r="MJ257" s="31"/>
      <c r="MK257" s="31"/>
      <c r="ML257" s="31"/>
      <c r="MM257" s="31"/>
      <c r="MN257" s="31"/>
      <c r="MO257" s="31"/>
      <c r="MP257" s="31"/>
      <c r="MQ257" s="31"/>
      <c r="MR257" s="31"/>
      <c r="MS257" s="31"/>
      <c r="MT257" s="31"/>
      <c r="MU257" s="31"/>
      <c r="MV257" s="31"/>
      <c r="MW257" s="31"/>
      <c r="MX257" s="31"/>
      <c r="MY257" s="31"/>
      <c r="MZ257" s="31"/>
      <c r="NA257" s="31"/>
      <c r="NB257" s="31"/>
      <c r="NC257" s="31"/>
      <c r="ND257" s="31"/>
      <c r="NE257" s="31"/>
      <c r="NF257" s="31"/>
      <c r="NG257" s="31"/>
      <c r="NH257" s="31"/>
      <c r="NI257" s="31"/>
      <c r="NJ257" s="31"/>
      <c r="NK257" s="31"/>
      <c r="NL257" s="31"/>
      <c r="NM257" s="31"/>
      <c r="NN257" s="31"/>
      <c r="NO257" s="31"/>
      <c r="NP257" s="31"/>
      <c r="NQ257" s="31"/>
      <c r="NR257" s="31"/>
      <c r="NS257" s="31"/>
      <c r="NT257" s="31"/>
      <c r="NU257" s="31"/>
      <c r="NV257" s="31"/>
      <c r="NW257" s="31"/>
      <c r="NX257" s="31"/>
      <c r="NY257" s="31"/>
      <c r="NZ257" s="31"/>
      <c r="OA257" s="31"/>
      <c r="OB257" s="31"/>
      <c r="OC257" s="31"/>
      <c r="OD257" s="31"/>
      <c r="OE257" s="31"/>
      <c r="OF257" s="31"/>
      <c r="OG257" s="31"/>
      <c r="OH257" s="31"/>
      <c r="OI257" s="31"/>
      <c r="OJ257" s="31"/>
      <c r="OK257" s="31"/>
      <c r="OL257" s="31"/>
      <c r="OM257" s="31"/>
      <c r="ON257" s="31"/>
      <c r="OO257" s="31"/>
      <c r="OP257" s="31"/>
      <c r="OQ257" s="31"/>
      <c r="OR257" s="31"/>
      <c r="OS257" s="31"/>
      <c r="OT257" s="31"/>
      <c r="OU257" s="31"/>
      <c r="OV257" s="31"/>
      <c r="OW257" s="31"/>
      <c r="OX257" s="31"/>
    </row>
    <row r="258" spans="2:414" s="25" customFormat="1" ht="15.6">
      <c r="B258" s="25" t="s">
        <v>388</v>
      </c>
      <c r="C258" s="27" t="s">
        <v>138</v>
      </c>
      <c r="D258" s="30" t="s">
        <v>355</v>
      </c>
      <c r="G258" s="42">
        <v>500</v>
      </c>
      <c r="H258" s="89">
        <v>26.109000000000002</v>
      </c>
      <c r="I258" s="38">
        <f t="shared" si="72"/>
        <v>13054.5</v>
      </c>
      <c r="K258" s="42"/>
      <c r="L258" s="90">
        <v>26.849599999999999</v>
      </c>
      <c r="M258" s="38">
        <f t="shared" si="73"/>
        <v>0</v>
      </c>
      <c r="O258" s="38">
        <v>80</v>
      </c>
      <c r="P258" s="38">
        <v>26.728300000000001</v>
      </c>
      <c r="Q258" s="38">
        <f t="shared" si="74"/>
        <v>2138.2640000000001</v>
      </c>
      <c r="R258" s="43">
        <f t="shared" si="71"/>
        <v>580</v>
      </c>
      <c r="S258" s="38">
        <f t="shared" si="75"/>
        <v>15192.763999999999</v>
      </c>
      <c r="T258" s="49">
        <v>85</v>
      </c>
      <c r="U258" s="42">
        <v>26.283100000000001</v>
      </c>
      <c r="V258" s="38">
        <f t="shared" si="86"/>
        <v>2234.0635000000002</v>
      </c>
      <c r="W258" s="42">
        <v>100</v>
      </c>
      <c r="X258" s="42">
        <v>26.321200000000001</v>
      </c>
      <c r="Y258" s="42">
        <f t="shared" si="88"/>
        <v>2632.12</v>
      </c>
      <c r="Z258" s="42"/>
      <c r="AA258" s="42"/>
      <c r="AB258" s="42">
        <f t="shared" si="89"/>
        <v>0</v>
      </c>
      <c r="AD258" s="42"/>
      <c r="AE258" s="42"/>
      <c r="AF258" s="42">
        <f t="shared" si="84"/>
        <v>0</v>
      </c>
      <c r="AG258" s="42"/>
      <c r="AH258" s="42"/>
      <c r="AI258" s="42"/>
      <c r="AJ258" s="42">
        <f t="shared" si="93"/>
        <v>0</v>
      </c>
      <c r="AL258" s="42"/>
      <c r="AM258" s="42"/>
      <c r="AN258" s="42">
        <f t="shared" si="85"/>
        <v>0</v>
      </c>
      <c r="AO258" s="44"/>
      <c r="AP258" s="42"/>
      <c r="AQ258" s="42"/>
      <c r="AR258" s="42"/>
      <c r="AU258" s="98"/>
      <c r="AV258" s="35">
        <f t="shared" si="91"/>
        <v>0</v>
      </c>
      <c r="AW258" s="104"/>
      <c r="AX258" s="42"/>
      <c r="AY258" s="42"/>
      <c r="AZ258" s="42">
        <f t="shared" si="92"/>
        <v>0</v>
      </c>
      <c r="BA258" s="42"/>
      <c r="BB258" s="42"/>
      <c r="BC258" s="42"/>
      <c r="BD258" s="38">
        <f t="shared" si="76"/>
        <v>0</v>
      </c>
      <c r="BE258" s="42"/>
      <c r="BF258" s="42"/>
      <c r="BG258" s="42"/>
      <c r="BH258" s="38">
        <f t="shared" si="77"/>
        <v>0</v>
      </c>
      <c r="BI258" s="42"/>
      <c r="BJ258" s="42"/>
      <c r="BK258" s="42"/>
      <c r="BL258" s="38">
        <f t="shared" si="78"/>
        <v>0</v>
      </c>
      <c r="BM258" s="42"/>
      <c r="BN258" s="42"/>
      <c r="BO258" s="42"/>
      <c r="BP258" s="42"/>
      <c r="BR258" s="42">
        <f t="shared" si="79"/>
        <v>4866.1835000000001</v>
      </c>
      <c r="BS258" s="43">
        <f t="shared" si="80"/>
        <v>10326.5805</v>
      </c>
      <c r="BT258" s="42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  <c r="FM258" s="31"/>
      <c r="FN258" s="31"/>
      <c r="FO258" s="31"/>
      <c r="FP258" s="31"/>
      <c r="FQ258" s="31"/>
      <c r="FR258" s="31"/>
      <c r="FS258" s="31"/>
      <c r="FT258" s="31"/>
      <c r="FU258" s="31"/>
      <c r="FV258" s="31"/>
      <c r="FW258" s="31"/>
      <c r="FX258" s="31"/>
      <c r="FY258" s="31"/>
      <c r="FZ258" s="31"/>
      <c r="GA258" s="31"/>
      <c r="GB258" s="31"/>
      <c r="GC258" s="31"/>
      <c r="GD258" s="31"/>
      <c r="GE258" s="31"/>
      <c r="GF258" s="31"/>
      <c r="GG258" s="31"/>
      <c r="GH258" s="31"/>
      <c r="GI258" s="31"/>
      <c r="GJ258" s="31"/>
      <c r="GK258" s="31"/>
      <c r="GL258" s="31"/>
      <c r="GM258" s="31"/>
      <c r="GN258" s="31"/>
      <c r="GO258" s="31"/>
      <c r="GP258" s="31"/>
      <c r="GQ258" s="31"/>
      <c r="GR258" s="31"/>
      <c r="GS258" s="31"/>
      <c r="GT258" s="31"/>
      <c r="GU258" s="31"/>
      <c r="GV258" s="31"/>
      <c r="GW258" s="31"/>
      <c r="GX258" s="31"/>
      <c r="GY258" s="31"/>
      <c r="GZ258" s="31"/>
      <c r="HA258" s="31"/>
      <c r="HB258" s="31"/>
      <c r="HC258" s="31"/>
      <c r="HD258" s="31"/>
      <c r="HE258" s="31"/>
      <c r="HF258" s="31"/>
      <c r="HG258" s="31"/>
      <c r="HH258" s="31"/>
      <c r="HI258" s="31"/>
      <c r="HJ258" s="31"/>
      <c r="HK258" s="31"/>
      <c r="HL258" s="31"/>
      <c r="HM258" s="31"/>
      <c r="HN258" s="31"/>
      <c r="HO258" s="31"/>
      <c r="HP258" s="31"/>
      <c r="HQ258" s="31"/>
      <c r="HR258" s="31"/>
      <c r="HS258" s="31"/>
      <c r="HT258" s="31"/>
      <c r="HU258" s="31"/>
      <c r="HV258" s="31"/>
      <c r="HW258" s="31"/>
      <c r="HX258" s="31"/>
      <c r="HY258" s="31"/>
      <c r="HZ258" s="31"/>
      <c r="IA258" s="31"/>
      <c r="IB258" s="31"/>
      <c r="IC258" s="31"/>
      <c r="ID258" s="31"/>
      <c r="IE258" s="31"/>
      <c r="IF258" s="31"/>
      <c r="IG258" s="31"/>
      <c r="IH258" s="31"/>
      <c r="II258" s="31"/>
      <c r="IJ258" s="31"/>
      <c r="IK258" s="31"/>
      <c r="IL258" s="31"/>
      <c r="IM258" s="31"/>
      <c r="IN258" s="31"/>
      <c r="IO258" s="31"/>
      <c r="IP258" s="31"/>
      <c r="IQ258" s="31"/>
      <c r="IR258" s="31"/>
      <c r="IS258" s="31"/>
      <c r="IT258" s="31"/>
      <c r="IU258" s="31"/>
      <c r="IV258" s="31"/>
      <c r="IW258" s="31"/>
      <c r="IX258" s="31"/>
      <c r="IY258" s="31"/>
      <c r="IZ258" s="31"/>
      <c r="JA258" s="31"/>
      <c r="JB258" s="31"/>
      <c r="JC258" s="31"/>
      <c r="JD258" s="31"/>
      <c r="JE258" s="31"/>
      <c r="JF258" s="31"/>
      <c r="JG258" s="31"/>
      <c r="JH258" s="31"/>
      <c r="JI258" s="31"/>
      <c r="JJ258" s="31"/>
      <c r="JK258" s="31"/>
      <c r="JL258" s="31"/>
      <c r="JM258" s="31"/>
      <c r="JN258" s="31"/>
      <c r="JO258" s="31"/>
      <c r="JP258" s="31"/>
      <c r="JQ258" s="31"/>
      <c r="JR258" s="31"/>
      <c r="JS258" s="31"/>
      <c r="JT258" s="31"/>
      <c r="JU258" s="31"/>
      <c r="JV258" s="31"/>
      <c r="JW258" s="31"/>
      <c r="JX258" s="31"/>
      <c r="JY258" s="31"/>
      <c r="JZ258" s="31"/>
      <c r="KA258" s="31"/>
      <c r="KB258" s="31"/>
      <c r="KC258" s="31"/>
      <c r="KD258" s="31"/>
      <c r="KE258" s="31"/>
      <c r="KF258" s="31"/>
      <c r="KG258" s="31"/>
      <c r="KH258" s="31"/>
      <c r="KI258" s="31"/>
      <c r="KJ258" s="31"/>
      <c r="KK258" s="31"/>
      <c r="KL258" s="31"/>
      <c r="KM258" s="31"/>
      <c r="KN258" s="31"/>
      <c r="KO258" s="31"/>
      <c r="KP258" s="31"/>
      <c r="KQ258" s="31"/>
      <c r="KR258" s="31"/>
      <c r="KS258" s="31"/>
      <c r="KT258" s="31"/>
      <c r="KU258" s="31"/>
      <c r="KV258" s="31"/>
      <c r="KW258" s="31"/>
      <c r="KX258" s="31"/>
      <c r="KY258" s="31"/>
      <c r="KZ258" s="31"/>
      <c r="LA258" s="31"/>
      <c r="LB258" s="31"/>
      <c r="LC258" s="31"/>
      <c r="LD258" s="31"/>
      <c r="LE258" s="31"/>
      <c r="LF258" s="31"/>
      <c r="LG258" s="31"/>
      <c r="LH258" s="31"/>
      <c r="LI258" s="31"/>
      <c r="LJ258" s="31"/>
      <c r="LK258" s="31"/>
      <c r="LL258" s="31"/>
      <c r="LM258" s="31"/>
      <c r="LN258" s="31"/>
      <c r="LO258" s="31"/>
      <c r="LP258" s="31"/>
      <c r="LQ258" s="31"/>
      <c r="LR258" s="31"/>
      <c r="LS258" s="31"/>
      <c r="LT258" s="31"/>
      <c r="LU258" s="31"/>
      <c r="LV258" s="31"/>
      <c r="LW258" s="31"/>
      <c r="LX258" s="31"/>
      <c r="LY258" s="31"/>
      <c r="LZ258" s="31"/>
      <c r="MA258" s="31"/>
      <c r="MB258" s="31"/>
      <c r="MC258" s="31"/>
      <c r="MD258" s="31"/>
      <c r="ME258" s="31"/>
      <c r="MF258" s="31"/>
      <c r="MG258" s="31"/>
      <c r="MH258" s="31"/>
      <c r="MI258" s="31"/>
      <c r="MJ258" s="31"/>
      <c r="MK258" s="31"/>
      <c r="ML258" s="31"/>
      <c r="MM258" s="31"/>
      <c r="MN258" s="31"/>
      <c r="MO258" s="31"/>
      <c r="MP258" s="31"/>
      <c r="MQ258" s="31"/>
      <c r="MR258" s="31"/>
      <c r="MS258" s="31"/>
      <c r="MT258" s="31"/>
      <c r="MU258" s="31"/>
      <c r="MV258" s="31"/>
      <c r="MW258" s="31"/>
      <c r="MX258" s="31"/>
      <c r="MY258" s="31"/>
      <c r="MZ258" s="31"/>
      <c r="NA258" s="31"/>
      <c r="NB258" s="31"/>
      <c r="NC258" s="31"/>
      <c r="ND258" s="31"/>
      <c r="NE258" s="31"/>
      <c r="NF258" s="31"/>
      <c r="NG258" s="31"/>
      <c r="NH258" s="31"/>
      <c r="NI258" s="31"/>
      <c r="NJ258" s="31"/>
      <c r="NK258" s="31"/>
      <c r="NL258" s="31"/>
      <c r="NM258" s="31"/>
      <c r="NN258" s="31"/>
      <c r="NO258" s="31"/>
      <c r="NP258" s="31"/>
      <c r="NQ258" s="31"/>
      <c r="NR258" s="31"/>
      <c r="NS258" s="31"/>
      <c r="NT258" s="31"/>
      <c r="NU258" s="31"/>
      <c r="NV258" s="31"/>
      <c r="NW258" s="31"/>
      <c r="NX258" s="31"/>
      <c r="NY258" s="31"/>
      <c r="NZ258" s="31"/>
      <c r="OA258" s="31"/>
      <c r="OB258" s="31"/>
      <c r="OC258" s="31"/>
      <c r="OD258" s="31"/>
      <c r="OE258" s="31"/>
      <c r="OF258" s="31"/>
      <c r="OG258" s="31"/>
      <c r="OH258" s="31"/>
      <c r="OI258" s="31"/>
      <c r="OJ258" s="31"/>
      <c r="OK258" s="31"/>
      <c r="OL258" s="31"/>
      <c r="OM258" s="31"/>
      <c r="ON258" s="31"/>
      <c r="OO258" s="31"/>
      <c r="OP258" s="31"/>
      <c r="OQ258" s="31"/>
      <c r="OR258" s="31"/>
      <c r="OS258" s="31"/>
      <c r="OT258" s="31"/>
      <c r="OU258" s="31"/>
      <c r="OV258" s="31"/>
      <c r="OW258" s="31"/>
      <c r="OX258" s="31"/>
    </row>
    <row r="259" spans="2:414" s="25" customFormat="1" ht="15.6">
      <c r="B259" s="25" t="s">
        <v>389</v>
      </c>
      <c r="C259" s="27" t="s">
        <v>390</v>
      </c>
      <c r="D259" s="30" t="s">
        <v>355</v>
      </c>
      <c r="G259" s="42">
        <v>500</v>
      </c>
      <c r="H259" s="89">
        <v>26.109000000000002</v>
      </c>
      <c r="I259" s="38">
        <f t="shared" si="72"/>
        <v>13054.5</v>
      </c>
      <c r="K259" s="42">
        <v>500</v>
      </c>
      <c r="L259" s="90">
        <v>26.849599999999999</v>
      </c>
      <c r="M259" s="38">
        <f t="shared" si="73"/>
        <v>13424.8</v>
      </c>
      <c r="O259" s="38">
        <v>80</v>
      </c>
      <c r="P259" s="38">
        <v>26.728300000000001</v>
      </c>
      <c r="Q259" s="38">
        <f t="shared" si="74"/>
        <v>2138.2640000000001</v>
      </c>
      <c r="R259" s="43">
        <f t="shared" si="71"/>
        <v>1080</v>
      </c>
      <c r="S259" s="38">
        <f t="shared" si="75"/>
        <v>28617.563999999998</v>
      </c>
      <c r="T259" s="49">
        <v>85</v>
      </c>
      <c r="U259" s="42">
        <v>26.3004</v>
      </c>
      <c r="V259" s="38">
        <f t="shared" si="86"/>
        <v>2235.5340000000001</v>
      </c>
      <c r="W259" s="42">
        <v>132</v>
      </c>
      <c r="X259" s="42">
        <v>26.3004</v>
      </c>
      <c r="Y259" s="42">
        <f t="shared" si="88"/>
        <v>3471.6527999999998</v>
      </c>
      <c r="Z259" s="42">
        <v>200</v>
      </c>
      <c r="AA259" s="42">
        <v>26.390799999999999</v>
      </c>
      <c r="AB259" s="42">
        <f t="shared" si="89"/>
        <v>5278.16</v>
      </c>
      <c r="AD259" s="42"/>
      <c r="AE259" s="42"/>
      <c r="AF259" s="42">
        <v>2241</v>
      </c>
      <c r="AG259" s="42"/>
      <c r="AH259" s="42">
        <v>85</v>
      </c>
      <c r="AI259" s="42">
        <v>26.878599999999999</v>
      </c>
      <c r="AJ259" s="42">
        <f t="shared" si="93"/>
        <v>2284.681</v>
      </c>
      <c r="AL259" s="42">
        <v>415</v>
      </c>
      <c r="AM259" s="42">
        <v>26.8337</v>
      </c>
      <c r="AN259" s="42">
        <f t="shared" si="85"/>
        <v>11135.985500000001</v>
      </c>
      <c r="AO259" s="44"/>
      <c r="AP259" s="42"/>
      <c r="AQ259" s="42"/>
      <c r="AR259" s="42"/>
      <c r="AU259" s="98"/>
      <c r="AV259" s="35">
        <f t="shared" si="91"/>
        <v>0</v>
      </c>
      <c r="AW259" s="104"/>
      <c r="AX259" s="42"/>
      <c r="AY259" s="42"/>
      <c r="AZ259" s="42">
        <f t="shared" si="92"/>
        <v>0</v>
      </c>
      <c r="BA259" s="42"/>
      <c r="BB259" s="42"/>
      <c r="BC259" s="42"/>
      <c r="BD259" s="38">
        <f t="shared" si="76"/>
        <v>0</v>
      </c>
      <c r="BE259" s="42"/>
      <c r="BF259" s="42"/>
      <c r="BG259" s="42"/>
      <c r="BH259" s="38">
        <f t="shared" si="77"/>
        <v>0</v>
      </c>
      <c r="BI259" s="42"/>
      <c r="BJ259" s="42"/>
      <c r="BK259" s="42"/>
      <c r="BL259" s="38">
        <f t="shared" si="78"/>
        <v>0</v>
      </c>
      <c r="BM259" s="42"/>
      <c r="BN259" s="42"/>
      <c r="BO259" s="42"/>
      <c r="BP259" s="42"/>
      <c r="BR259" s="42">
        <f t="shared" si="79"/>
        <v>26647.013299999999</v>
      </c>
      <c r="BS259" s="43">
        <f t="shared" si="80"/>
        <v>1970.5506999999998</v>
      </c>
      <c r="BT259" s="42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  <c r="FM259" s="31"/>
      <c r="FN259" s="31"/>
      <c r="FO259" s="31"/>
      <c r="FP259" s="31"/>
      <c r="FQ259" s="31"/>
      <c r="FR259" s="31"/>
      <c r="FS259" s="31"/>
      <c r="FT259" s="31"/>
      <c r="FU259" s="31"/>
      <c r="FV259" s="31"/>
      <c r="FW259" s="31"/>
      <c r="FX259" s="31"/>
      <c r="FY259" s="31"/>
      <c r="FZ259" s="31"/>
      <c r="GA259" s="31"/>
      <c r="GB259" s="31"/>
      <c r="GC259" s="31"/>
      <c r="GD259" s="31"/>
      <c r="GE259" s="31"/>
      <c r="GF259" s="31"/>
      <c r="GG259" s="31"/>
      <c r="GH259" s="31"/>
      <c r="GI259" s="31"/>
      <c r="GJ259" s="31"/>
      <c r="GK259" s="31"/>
      <c r="GL259" s="31"/>
      <c r="GM259" s="31"/>
      <c r="GN259" s="31"/>
      <c r="GO259" s="31"/>
      <c r="GP259" s="31"/>
      <c r="GQ259" s="31"/>
      <c r="GR259" s="31"/>
      <c r="GS259" s="31"/>
      <c r="GT259" s="31"/>
      <c r="GU259" s="31"/>
      <c r="GV259" s="31"/>
      <c r="GW259" s="31"/>
      <c r="GX259" s="31"/>
      <c r="GY259" s="31"/>
      <c r="GZ259" s="31"/>
      <c r="HA259" s="31"/>
      <c r="HB259" s="31"/>
      <c r="HC259" s="31"/>
      <c r="HD259" s="31"/>
      <c r="HE259" s="31"/>
      <c r="HF259" s="31"/>
      <c r="HG259" s="31"/>
      <c r="HH259" s="31"/>
      <c r="HI259" s="31"/>
      <c r="HJ259" s="31"/>
      <c r="HK259" s="31"/>
      <c r="HL259" s="31"/>
      <c r="HM259" s="31"/>
      <c r="HN259" s="31"/>
      <c r="HO259" s="31"/>
      <c r="HP259" s="31"/>
      <c r="HQ259" s="31"/>
      <c r="HR259" s="31"/>
      <c r="HS259" s="31"/>
      <c r="HT259" s="31"/>
      <c r="HU259" s="31"/>
      <c r="HV259" s="31"/>
      <c r="HW259" s="31"/>
      <c r="HX259" s="31"/>
      <c r="HY259" s="31"/>
      <c r="HZ259" s="31"/>
      <c r="IA259" s="31"/>
      <c r="IB259" s="31"/>
      <c r="IC259" s="31"/>
      <c r="ID259" s="31"/>
      <c r="IE259" s="31"/>
      <c r="IF259" s="31"/>
      <c r="IG259" s="31"/>
      <c r="IH259" s="31"/>
      <c r="II259" s="31"/>
      <c r="IJ259" s="31"/>
      <c r="IK259" s="31"/>
      <c r="IL259" s="31"/>
      <c r="IM259" s="31"/>
      <c r="IN259" s="31"/>
      <c r="IO259" s="31"/>
      <c r="IP259" s="31"/>
      <c r="IQ259" s="31"/>
      <c r="IR259" s="31"/>
      <c r="IS259" s="31"/>
      <c r="IT259" s="31"/>
      <c r="IU259" s="31"/>
      <c r="IV259" s="31"/>
      <c r="IW259" s="31"/>
      <c r="IX259" s="31"/>
      <c r="IY259" s="31"/>
      <c r="IZ259" s="31"/>
      <c r="JA259" s="31"/>
      <c r="JB259" s="31"/>
      <c r="JC259" s="31"/>
      <c r="JD259" s="31"/>
      <c r="JE259" s="31"/>
      <c r="JF259" s="31"/>
      <c r="JG259" s="31"/>
      <c r="JH259" s="31"/>
      <c r="JI259" s="31"/>
      <c r="JJ259" s="31"/>
      <c r="JK259" s="31"/>
      <c r="JL259" s="31"/>
      <c r="JM259" s="31"/>
      <c r="JN259" s="31"/>
      <c r="JO259" s="31"/>
      <c r="JP259" s="31"/>
      <c r="JQ259" s="31"/>
      <c r="JR259" s="31"/>
      <c r="JS259" s="31"/>
      <c r="JT259" s="31"/>
      <c r="JU259" s="31"/>
      <c r="JV259" s="31"/>
      <c r="JW259" s="31"/>
      <c r="JX259" s="31"/>
      <c r="JY259" s="31"/>
      <c r="JZ259" s="31"/>
      <c r="KA259" s="31"/>
      <c r="KB259" s="31"/>
      <c r="KC259" s="31"/>
      <c r="KD259" s="31"/>
      <c r="KE259" s="31"/>
      <c r="KF259" s="31"/>
      <c r="KG259" s="31"/>
      <c r="KH259" s="31"/>
      <c r="KI259" s="31"/>
      <c r="KJ259" s="31"/>
      <c r="KK259" s="31"/>
      <c r="KL259" s="31"/>
      <c r="KM259" s="31"/>
      <c r="KN259" s="31"/>
      <c r="KO259" s="31"/>
      <c r="KP259" s="31"/>
      <c r="KQ259" s="31"/>
      <c r="KR259" s="31"/>
      <c r="KS259" s="31"/>
      <c r="KT259" s="31"/>
      <c r="KU259" s="31"/>
      <c r="KV259" s="31"/>
      <c r="KW259" s="31"/>
      <c r="KX259" s="31"/>
      <c r="KY259" s="31"/>
      <c r="KZ259" s="31"/>
      <c r="LA259" s="31"/>
      <c r="LB259" s="31"/>
      <c r="LC259" s="31"/>
      <c r="LD259" s="31"/>
      <c r="LE259" s="31"/>
      <c r="LF259" s="31"/>
      <c r="LG259" s="31"/>
      <c r="LH259" s="31"/>
      <c r="LI259" s="31"/>
      <c r="LJ259" s="31"/>
      <c r="LK259" s="31"/>
      <c r="LL259" s="31"/>
      <c r="LM259" s="31"/>
      <c r="LN259" s="31"/>
      <c r="LO259" s="31"/>
      <c r="LP259" s="31"/>
      <c r="LQ259" s="31"/>
      <c r="LR259" s="31"/>
      <c r="LS259" s="31"/>
      <c r="LT259" s="31"/>
      <c r="LU259" s="31"/>
      <c r="LV259" s="31"/>
      <c r="LW259" s="31"/>
      <c r="LX259" s="31"/>
      <c r="LY259" s="31"/>
      <c r="LZ259" s="31"/>
      <c r="MA259" s="31"/>
      <c r="MB259" s="31"/>
      <c r="MC259" s="31"/>
      <c r="MD259" s="31"/>
      <c r="ME259" s="31"/>
      <c r="MF259" s="31"/>
      <c r="MG259" s="31"/>
      <c r="MH259" s="31"/>
      <c r="MI259" s="31"/>
      <c r="MJ259" s="31"/>
      <c r="MK259" s="31"/>
      <c r="ML259" s="31"/>
      <c r="MM259" s="31"/>
      <c r="MN259" s="31"/>
      <c r="MO259" s="31"/>
      <c r="MP259" s="31"/>
      <c r="MQ259" s="31"/>
      <c r="MR259" s="31"/>
      <c r="MS259" s="31"/>
      <c r="MT259" s="31"/>
      <c r="MU259" s="31"/>
      <c r="MV259" s="31"/>
      <c r="MW259" s="31"/>
      <c r="MX259" s="31"/>
      <c r="MY259" s="31"/>
      <c r="MZ259" s="31"/>
      <c r="NA259" s="31"/>
      <c r="NB259" s="31"/>
      <c r="NC259" s="31"/>
      <c r="ND259" s="31"/>
      <c r="NE259" s="31"/>
      <c r="NF259" s="31"/>
      <c r="NG259" s="31"/>
      <c r="NH259" s="31"/>
      <c r="NI259" s="31"/>
      <c r="NJ259" s="31"/>
      <c r="NK259" s="31"/>
      <c r="NL259" s="31"/>
      <c r="NM259" s="31"/>
      <c r="NN259" s="31"/>
      <c r="NO259" s="31"/>
      <c r="NP259" s="31"/>
      <c r="NQ259" s="31"/>
      <c r="NR259" s="31"/>
      <c r="NS259" s="31"/>
      <c r="NT259" s="31"/>
      <c r="NU259" s="31"/>
      <c r="NV259" s="31"/>
      <c r="NW259" s="31"/>
      <c r="NX259" s="31"/>
      <c r="NY259" s="31"/>
      <c r="NZ259" s="31"/>
      <c r="OA259" s="31"/>
      <c r="OB259" s="31"/>
      <c r="OC259" s="31"/>
      <c r="OD259" s="31"/>
      <c r="OE259" s="31"/>
      <c r="OF259" s="31"/>
      <c r="OG259" s="31"/>
      <c r="OH259" s="31"/>
      <c r="OI259" s="31"/>
      <c r="OJ259" s="31"/>
      <c r="OK259" s="31"/>
      <c r="OL259" s="31"/>
      <c r="OM259" s="31"/>
      <c r="ON259" s="31"/>
      <c r="OO259" s="31"/>
      <c r="OP259" s="31"/>
      <c r="OQ259" s="31"/>
      <c r="OR259" s="31"/>
      <c r="OS259" s="31"/>
      <c r="OT259" s="31"/>
      <c r="OU259" s="31"/>
      <c r="OV259" s="31"/>
      <c r="OW259" s="31"/>
      <c r="OX259" s="31"/>
    </row>
    <row r="260" spans="2:414" s="25" customFormat="1" ht="15.6">
      <c r="B260" s="25" t="s">
        <v>391</v>
      </c>
      <c r="C260" s="27" t="s">
        <v>392</v>
      </c>
      <c r="D260" s="30" t="s">
        <v>355</v>
      </c>
      <c r="G260" s="42">
        <v>500</v>
      </c>
      <c r="H260" s="89">
        <v>26.109000000000002</v>
      </c>
      <c r="I260" s="38">
        <f t="shared" si="72"/>
        <v>13054.5</v>
      </c>
      <c r="K260" s="42">
        <v>500</v>
      </c>
      <c r="L260" s="90">
        <v>26.849599999999999</v>
      </c>
      <c r="M260" s="38">
        <f t="shared" si="73"/>
        <v>13424.8</v>
      </c>
      <c r="O260" s="38">
        <v>80</v>
      </c>
      <c r="P260" s="38">
        <v>26.728300000000001</v>
      </c>
      <c r="Q260" s="38">
        <f t="shared" si="74"/>
        <v>2138.2640000000001</v>
      </c>
      <c r="R260" s="43">
        <f t="shared" ref="R260:R323" si="94">G260+K260+O260</f>
        <v>1080</v>
      </c>
      <c r="S260" s="38">
        <f t="shared" si="75"/>
        <v>28617.563999999998</v>
      </c>
      <c r="T260" s="49">
        <v>85</v>
      </c>
      <c r="U260" s="42">
        <v>26.0579</v>
      </c>
      <c r="V260" s="38">
        <f t="shared" si="86"/>
        <v>2214.9214999999999</v>
      </c>
      <c r="W260" s="42">
        <v>355</v>
      </c>
      <c r="X260" s="42">
        <v>26.321200000000001</v>
      </c>
      <c r="Y260" s="42">
        <f t="shared" si="88"/>
        <v>9344.0259999999998</v>
      </c>
      <c r="Z260" s="42">
        <v>60</v>
      </c>
      <c r="AA260" s="42">
        <v>26.3386</v>
      </c>
      <c r="AB260" s="42">
        <f t="shared" si="89"/>
        <v>1580.316</v>
      </c>
      <c r="AD260" s="42"/>
      <c r="AE260" s="42"/>
      <c r="AF260" s="42">
        <f>AD260*AE260</f>
        <v>0</v>
      </c>
      <c r="AG260" s="42"/>
      <c r="AH260" s="42"/>
      <c r="AI260" s="42"/>
      <c r="AJ260" s="42">
        <f t="shared" si="93"/>
        <v>0</v>
      </c>
      <c r="AL260" s="42"/>
      <c r="AM260" s="42"/>
      <c r="AN260" s="42">
        <f t="shared" si="85"/>
        <v>0</v>
      </c>
      <c r="AO260" s="44"/>
      <c r="AP260" s="42"/>
      <c r="AQ260" s="42"/>
      <c r="AR260" s="42"/>
      <c r="AU260" s="98"/>
      <c r="AV260" s="35">
        <f t="shared" si="91"/>
        <v>0</v>
      </c>
      <c r="AW260" s="104"/>
      <c r="AX260" s="42"/>
      <c r="AY260" s="42"/>
      <c r="AZ260" s="42">
        <f t="shared" si="92"/>
        <v>0</v>
      </c>
      <c r="BA260" s="42"/>
      <c r="BB260" s="42"/>
      <c r="BC260" s="42"/>
      <c r="BD260" s="38">
        <f t="shared" si="76"/>
        <v>0</v>
      </c>
      <c r="BE260" s="42"/>
      <c r="BF260" s="42"/>
      <c r="BG260" s="42"/>
      <c r="BH260" s="38">
        <f t="shared" si="77"/>
        <v>0</v>
      </c>
      <c r="BI260" s="42"/>
      <c r="BJ260" s="42"/>
      <c r="BK260" s="42"/>
      <c r="BL260" s="38">
        <f t="shared" si="78"/>
        <v>0</v>
      </c>
      <c r="BM260" s="42"/>
      <c r="BN260" s="42"/>
      <c r="BO260" s="42"/>
      <c r="BP260" s="42"/>
      <c r="BR260" s="42">
        <f t="shared" si="79"/>
        <v>13139.263500000001</v>
      </c>
      <c r="BS260" s="43">
        <f t="shared" si="80"/>
        <v>15478.300499999998</v>
      </c>
      <c r="BT260" s="42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  <c r="IM260" s="31"/>
      <c r="IN260" s="31"/>
      <c r="IO260" s="31"/>
      <c r="IP260" s="31"/>
      <c r="IQ260" s="31"/>
      <c r="IR260" s="31"/>
      <c r="IS260" s="31"/>
      <c r="IT260" s="31"/>
      <c r="IU260" s="31"/>
      <c r="IV260" s="31"/>
      <c r="IW260" s="31"/>
      <c r="IX260" s="31"/>
      <c r="IY260" s="31"/>
      <c r="IZ260" s="31"/>
      <c r="JA260" s="31"/>
      <c r="JB260" s="31"/>
      <c r="JC260" s="31"/>
      <c r="JD260" s="31"/>
      <c r="JE260" s="31"/>
      <c r="JF260" s="31"/>
      <c r="JG260" s="31"/>
      <c r="JH260" s="31"/>
      <c r="JI260" s="31"/>
      <c r="JJ260" s="31"/>
      <c r="JK260" s="31"/>
      <c r="JL260" s="31"/>
      <c r="JM260" s="31"/>
      <c r="JN260" s="31"/>
      <c r="JO260" s="31"/>
      <c r="JP260" s="31"/>
      <c r="JQ260" s="31"/>
      <c r="JR260" s="31"/>
      <c r="JS260" s="31"/>
      <c r="JT260" s="31"/>
      <c r="JU260" s="31"/>
      <c r="JV260" s="31"/>
      <c r="JW260" s="31"/>
      <c r="JX260" s="31"/>
      <c r="JY260" s="31"/>
      <c r="JZ260" s="31"/>
      <c r="KA260" s="31"/>
      <c r="KB260" s="31"/>
      <c r="KC260" s="31"/>
      <c r="KD260" s="31"/>
      <c r="KE260" s="31"/>
      <c r="KF260" s="31"/>
      <c r="KG260" s="31"/>
      <c r="KH260" s="31"/>
      <c r="KI260" s="31"/>
      <c r="KJ260" s="31"/>
      <c r="KK260" s="31"/>
      <c r="KL260" s="31"/>
      <c r="KM260" s="31"/>
      <c r="KN260" s="31"/>
      <c r="KO260" s="31"/>
      <c r="KP260" s="31"/>
      <c r="KQ260" s="31"/>
      <c r="KR260" s="31"/>
      <c r="KS260" s="31"/>
      <c r="KT260" s="31"/>
      <c r="KU260" s="31"/>
      <c r="KV260" s="31"/>
      <c r="KW260" s="31"/>
      <c r="KX260" s="31"/>
      <c r="KY260" s="31"/>
      <c r="KZ260" s="31"/>
      <c r="LA260" s="31"/>
      <c r="LB260" s="31"/>
      <c r="LC260" s="31"/>
      <c r="LD260" s="31"/>
      <c r="LE260" s="31"/>
      <c r="LF260" s="31"/>
      <c r="LG260" s="31"/>
      <c r="LH260" s="31"/>
      <c r="LI260" s="31"/>
      <c r="LJ260" s="31"/>
      <c r="LK260" s="31"/>
      <c r="LL260" s="31"/>
      <c r="LM260" s="31"/>
      <c r="LN260" s="31"/>
      <c r="LO260" s="31"/>
      <c r="LP260" s="31"/>
      <c r="LQ260" s="31"/>
      <c r="LR260" s="31"/>
      <c r="LS260" s="31"/>
      <c r="LT260" s="31"/>
      <c r="LU260" s="31"/>
      <c r="LV260" s="31"/>
      <c r="LW260" s="31"/>
      <c r="LX260" s="31"/>
      <c r="LY260" s="31"/>
      <c r="LZ260" s="31"/>
      <c r="MA260" s="31"/>
      <c r="MB260" s="31"/>
      <c r="MC260" s="31"/>
      <c r="MD260" s="31"/>
      <c r="ME260" s="31"/>
      <c r="MF260" s="31"/>
      <c r="MG260" s="31"/>
      <c r="MH260" s="31"/>
      <c r="MI260" s="31"/>
      <c r="MJ260" s="31"/>
      <c r="MK260" s="31"/>
      <c r="ML260" s="31"/>
      <c r="MM260" s="31"/>
      <c r="MN260" s="31"/>
      <c r="MO260" s="31"/>
      <c r="MP260" s="31"/>
      <c r="MQ260" s="31"/>
      <c r="MR260" s="31"/>
      <c r="MS260" s="31"/>
      <c r="MT260" s="31"/>
      <c r="MU260" s="31"/>
      <c r="MV260" s="31"/>
      <c r="MW260" s="31"/>
      <c r="MX260" s="31"/>
      <c r="MY260" s="31"/>
      <c r="MZ260" s="31"/>
      <c r="NA260" s="31"/>
      <c r="NB260" s="31"/>
      <c r="NC260" s="31"/>
      <c r="ND260" s="31"/>
      <c r="NE260" s="31"/>
      <c r="NF260" s="31"/>
      <c r="NG260" s="31"/>
      <c r="NH260" s="31"/>
      <c r="NI260" s="31"/>
      <c r="NJ260" s="31"/>
      <c r="NK260" s="31"/>
      <c r="NL260" s="31"/>
      <c r="NM260" s="31"/>
      <c r="NN260" s="31"/>
      <c r="NO260" s="31"/>
      <c r="NP260" s="31"/>
      <c r="NQ260" s="31"/>
      <c r="NR260" s="31"/>
      <c r="NS260" s="31"/>
      <c r="NT260" s="31"/>
      <c r="NU260" s="31"/>
      <c r="NV260" s="31"/>
      <c r="NW260" s="31"/>
      <c r="NX260" s="31"/>
      <c r="NY260" s="31"/>
      <c r="NZ260" s="31"/>
      <c r="OA260" s="31"/>
      <c r="OB260" s="31"/>
      <c r="OC260" s="31"/>
      <c r="OD260" s="31"/>
      <c r="OE260" s="31"/>
      <c r="OF260" s="31"/>
      <c r="OG260" s="31"/>
      <c r="OH260" s="31"/>
      <c r="OI260" s="31"/>
      <c r="OJ260" s="31"/>
      <c r="OK260" s="31"/>
      <c r="OL260" s="31"/>
      <c r="OM260" s="31"/>
      <c r="ON260" s="31"/>
      <c r="OO260" s="31"/>
      <c r="OP260" s="31"/>
      <c r="OQ260" s="31"/>
      <c r="OR260" s="31"/>
      <c r="OS260" s="31"/>
      <c r="OT260" s="31"/>
      <c r="OU260" s="31"/>
      <c r="OV260" s="31"/>
      <c r="OW260" s="31"/>
      <c r="OX260" s="31"/>
    </row>
    <row r="261" spans="2:414" s="25" customFormat="1" ht="15.6">
      <c r="B261" s="25" t="s">
        <v>393</v>
      </c>
      <c r="C261" s="27" t="s">
        <v>185</v>
      </c>
      <c r="D261" s="30" t="s">
        <v>355</v>
      </c>
      <c r="G261" s="42">
        <v>500</v>
      </c>
      <c r="H261" s="89">
        <v>26.109000000000002</v>
      </c>
      <c r="I261" s="38">
        <f t="shared" si="72"/>
        <v>13054.5</v>
      </c>
      <c r="K261" s="42">
        <v>500</v>
      </c>
      <c r="L261" s="90">
        <v>26.849599999999999</v>
      </c>
      <c r="M261" s="38">
        <f t="shared" si="73"/>
        <v>13424.8</v>
      </c>
      <c r="O261" s="38">
        <v>80</v>
      </c>
      <c r="P261" s="38">
        <v>26.728300000000001</v>
      </c>
      <c r="Q261" s="38">
        <f t="shared" si="74"/>
        <v>2138.2640000000001</v>
      </c>
      <c r="R261" s="43">
        <f t="shared" si="94"/>
        <v>1080</v>
      </c>
      <c r="S261" s="38">
        <f t="shared" si="75"/>
        <v>28617.563999999998</v>
      </c>
      <c r="T261" s="49">
        <v>415</v>
      </c>
      <c r="U261" s="42">
        <v>26.3004</v>
      </c>
      <c r="V261" s="38">
        <f t="shared" si="86"/>
        <v>10914.665999999999</v>
      </c>
      <c r="W261" s="42">
        <v>85</v>
      </c>
      <c r="X261" s="42">
        <v>26.365600000000001</v>
      </c>
      <c r="Y261" s="42">
        <f t="shared" si="88"/>
        <v>2241.076</v>
      </c>
      <c r="Z261" s="42">
        <v>500</v>
      </c>
      <c r="AA261" s="42">
        <v>26.7864</v>
      </c>
      <c r="AB261" s="42">
        <f t="shared" si="89"/>
        <v>13393.2</v>
      </c>
      <c r="AD261" s="42"/>
      <c r="AE261" s="42"/>
      <c r="AF261" s="42">
        <f t="shared" ref="AF261:AF279" si="95">AD261*AE261</f>
        <v>0</v>
      </c>
      <c r="AG261" s="42"/>
      <c r="AH261" s="42"/>
      <c r="AI261" s="42"/>
      <c r="AJ261" s="42">
        <f t="shared" si="93"/>
        <v>0</v>
      </c>
      <c r="AL261" s="42"/>
      <c r="AM261" s="42"/>
      <c r="AN261" s="42">
        <f t="shared" si="85"/>
        <v>0</v>
      </c>
      <c r="AO261" s="44"/>
      <c r="AP261" s="42"/>
      <c r="AQ261" s="42"/>
      <c r="AR261" s="42"/>
      <c r="AU261" s="98"/>
      <c r="AV261" s="35">
        <f t="shared" si="91"/>
        <v>0</v>
      </c>
      <c r="AW261" s="104"/>
      <c r="AX261" s="42"/>
      <c r="AY261" s="42"/>
      <c r="AZ261" s="42">
        <f t="shared" si="92"/>
        <v>0</v>
      </c>
      <c r="BA261" s="42"/>
      <c r="BB261" s="42"/>
      <c r="BC261" s="42"/>
      <c r="BD261" s="38">
        <f t="shared" si="76"/>
        <v>0</v>
      </c>
      <c r="BE261" s="42"/>
      <c r="BF261" s="42"/>
      <c r="BG261" s="42"/>
      <c r="BH261" s="38">
        <f t="shared" si="77"/>
        <v>0</v>
      </c>
      <c r="BI261" s="42"/>
      <c r="BJ261" s="42"/>
      <c r="BK261" s="42"/>
      <c r="BL261" s="38">
        <f t="shared" si="78"/>
        <v>0</v>
      </c>
      <c r="BM261" s="42"/>
      <c r="BN261" s="42"/>
      <c r="BO261" s="42"/>
      <c r="BP261" s="42"/>
      <c r="BR261" s="42">
        <f t="shared" si="79"/>
        <v>26548.941999999999</v>
      </c>
      <c r="BS261" s="43">
        <f t="shared" si="80"/>
        <v>2068.6219999999994</v>
      </c>
      <c r="BT261" s="42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  <c r="IM261" s="31"/>
      <c r="IN261" s="31"/>
      <c r="IO261" s="31"/>
      <c r="IP261" s="31"/>
      <c r="IQ261" s="31"/>
      <c r="IR261" s="31"/>
      <c r="IS261" s="31"/>
      <c r="IT261" s="31"/>
      <c r="IU261" s="31"/>
      <c r="IV261" s="31"/>
      <c r="IW261" s="31"/>
      <c r="IX261" s="31"/>
      <c r="IY261" s="31"/>
      <c r="IZ261" s="31"/>
      <c r="JA261" s="31"/>
      <c r="JB261" s="31"/>
      <c r="JC261" s="31"/>
      <c r="JD261" s="31"/>
      <c r="JE261" s="31"/>
      <c r="JF261" s="31"/>
      <c r="JG261" s="31"/>
      <c r="JH261" s="31"/>
      <c r="JI261" s="31"/>
      <c r="JJ261" s="31"/>
      <c r="JK261" s="31"/>
      <c r="JL261" s="31"/>
      <c r="JM261" s="31"/>
      <c r="JN261" s="31"/>
      <c r="JO261" s="31"/>
      <c r="JP261" s="31"/>
      <c r="JQ261" s="31"/>
      <c r="JR261" s="31"/>
      <c r="JS261" s="31"/>
      <c r="JT261" s="31"/>
      <c r="JU261" s="31"/>
      <c r="JV261" s="31"/>
      <c r="JW261" s="31"/>
      <c r="JX261" s="31"/>
      <c r="JY261" s="31"/>
      <c r="JZ261" s="31"/>
      <c r="KA261" s="31"/>
      <c r="KB261" s="31"/>
      <c r="KC261" s="31"/>
      <c r="KD261" s="31"/>
      <c r="KE261" s="31"/>
      <c r="KF261" s="31"/>
      <c r="KG261" s="31"/>
      <c r="KH261" s="31"/>
      <c r="KI261" s="31"/>
      <c r="KJ261" s="31"/>
      <c r="KK261" s="31"/>
      <c r="KL261" s="31"/>
      <c r="KM261" s="31"/>
      <c r="KN261" s="31"/>
      <c r="KO261" s="31"/>
      <c r="KP261" s="31"/>
      <c r="KQ261" s="31"/>
      <c r="KR261" s="31"/>
      <c r="KS261" s="31"/>
      <c r="KT261" s="31"/>
      <c r="KU261" s="31"/>
      <c r="KV261" s="31"/>
      <c r="KW261" s="31"/>
      <c r="KX261" s="31"/>
      <c r="KY261" s="31"/>
      <c r="KZ261" s="31"/>
      <c r="LA261" s="31"/>
      <c r="LB261" s="31"/>
      <c r="LC261" s="31"/>
      <c r="LD261" s="31"/>
      <c r="LE261" s="31"/>
      <c r="LF261" s="31"/>
      <c r="LG261" s="31"/>
      <c r="LH261" s="31"/>
      <c r="LI261" s="31"/>
      <c r="LJ261" s="31"/>
      <c r="LK261" s="31"/>
      <c r="LL261" s="31"/>
      <c r="LM261" s="31"/>
      <c r="LN261" s="31"/>
      <c r="LO261" s="31"/>
      <c r="LP261" s="31"/>
      <c r="LQ261" s="31"/>
      <c r="LR261" s="31"/>
      <c r="LS261" s="31"/>
      <c r="LT261" s="31"/>
      <c r="LU261" s="31"/>
      <c r="LV261" s="31"/>
      <c r="LW261" s="31"/>
      <c r="LX261" s="31"/>
      <c r="LY261" s="31"/>
      <c r="LZ261" s="31"/>
      <c r="MA261" s="31"/>
      <c r="MB261" s="31"/>
      <c r="MC261" s="31"/>
      <c r="MD261" s="31"/>
      <c r="ME261" s="31"/>
      <c r="MF261" s="31"/>
      <c r="MG261" s="31"/>
      <c r="MH261" s="31"/>
      <c r="MI261" s="31"/>
      <c r="MJ261" s="31"/>
      <c r="MK261" s="31"/>
      <c r="ML261" s="31"/>
      <c r="MM261" s="31"/>
      <c r="MN261" s="31"/>
      <c r="MO261" s="31"/>
      <c r="MP261" s="31"/>
      <c r="MQ261" s="31"/>
      <c r="MR261" s="31"/>
      <c r="MS261" s="31"/>
      <c r="MT261" s="31"/>
      <c r="MU261" s="31"/>
      <c r="MV261" s="31"/>
      <c r="MW261" s="31"/>
      <c r="MX261" s="31"/>
      <c r="MY261" s="31"/>
      <c r="MZ261" s="31"/>
      <c r="NA261" s="31"/>
      <c r="NB261" s="31"/>
      <c r="NC261" s="31"/>
      <c r="ND261" s="31"/>
      <c r="NE261" s="31"/>
      <c r="NF261" s="31"/>
      <c r="NG261" s="31"/>
      <c r="NH261" s="31"/>
      <c r="NI261" s="31"/>
      <c r="NJ261" s="31"/>
      <c r="NK261" s="31"/>
      <c r="NL261" s="31"/>
      <c r="NM261" s="31"/>
      <c r="NN261" s="31"/>
      <c r="NO261" s="31"/>
      <c r="NP261" s="31"/>
      <c r="NQ261" s="31"/>
      <c r="NR261" s="31"/>
      <c r="NS261" s="31"/>
      <c r="NT261" s="31"/>
      <c r="NU261" s="31"/>
      <c r="NV261" s="31"/>
      <c r="NW261" s="31"/>
      <c r="NX261" s="31"/>
      <c r="NY261" s="31"/>
      <c r="NZ261" s="31"/>
      <c r="OA261" s="31"/>
      <c r="OB261" s="31"/>
      <c r="OC261" s="31"/>
      <c r="OD261" s="31"/>
      <c r="OE261" s="31"/>
      <c r="OF261" s="31"/>
      <c r="OG261" s="31"/>
      <c r="OH261" s="31"/>
      <c r="OI261" s="31"/>
      <c r="OJ261" s="31"/>
      <c r="OK261" s="31"/>
      <c r="OL261" s="31"/>
      <c r="OM261" s="31"/>
      <c r="ON261" s="31"/>
      <c r="OO261" s="31"/>
      <c r="OP261" s="31"/>
      <c r="OQ261" s="31"/>
      <c r="OR261" s="31"/>
      <c r="OS261" s="31"/>
      <c r="OT261" s="31"/>
      <c r="OU261" s="31"/>
      <c r="OV261" s="31"/>
      <c r="OW261" s="31"/>
      <c r="OX261" s="31"/>
    </row>
    <row r="262" spans="2:414" s="25" customFormat="1" ht="15.6">
      <c r="B262" s="25" t="s">
        <v>394</v>
      </c>
      <c r="C262" s="27" t="s">
        <v>395</v>
      </c>
      <c r="D262" s="30" t="s">
        <v>355</v>
      </c>
      <c r="G262" s="42">
        <v>500</v>
      </c>
      <c r="H262" s="89">
        <v>26.109000000000002</v>
      </c>
      <c r="I262" s="38">
        <f t="shared" si="72"/>
        <v>13054.5</v>
      </c>
      <c r="K262" s="42">
        <v>500</v>
      </c>
      <c r="L262" s="90">
        <v>26.849599999999999</v>
      </c>
      <c r="M262" s="38">
        <f t="shared" si="73"/>
        <v>13424.8</v>
      </c>
      <c r="O262" s="38">
        <v>80</v>
      </c>
      <c r="P262" s="38">
        <v>26.728300000000001</v>
      </c>
      <c r="Q262" s="38">
        <f t="shared" si="74"/>
        <v>2138.2640000000001</v>
      </c>
      <c r="R262" s="43">
        <f t="shared" si="94"/>
        <v>1080</v>
      </c>
      <c r="S262" s="38">
        <f t="shared" si="75"/>
        <v>28617.563999999998</v>
      </c>
      <c r="T262" s="49">
        <v>315</v>
      </c>
      <c r="U262" s="42">
        <v>26.3004</v>
      </c>
      <c r="V262" s="38">
        <f t="shared" si="86"/>
        <v>8284.6260000000002</v>
      </c>
      <c r="W262" s="42">
        <v>85</v>
      </c>
      <c r="X262" s="42">
        <v>26.3004</v>
      </c>
      <c r="Y262" s="42">
        <f t="shared" si="88"/>
        <v>2235.5340000000001</v>
      </c>
      <c r="Z262" s="42">
        <v>100</v>
      </c>
      <c r="AA262" s="42">
        <v>26.321200000000001</v>
      </c>
      <c r="AB262" s="42">
        <f t="shared" si="89"/>
        <v>2632.12</v>
      </c>
      <c r="AD262" s="42">
        <v>85</v>
      </c>
      <c r="AE262" s="42">
        <v>26.849599999999999</v>
      </c>
      <c r="AF262" s="42">
        <f t="shared" si="95"/>
        <v>2282.2159999999999</v>
      </c>
      <c r="AG262" s="42"/>
      <c r="AH262" s="42">
        <v>315</v>
      </c>
      <c r="AI262" s="42">
        <v>26.856000000000002</v>
      </c>
      <c r="AJ262" s="42">
        <f t="shared" si="93"/>
        <v>8459.6400000000012</v>
      </c>
      <c r="AL262" s="42"/>
      <c r="AM262" s="42"/>
      <c r="AN262" s="42">
        <v>1400</v>
      </c>
      <c r="AO262" s="44"/>
      <c r="AP262" s="42"/>
      <c r="AQ262" s="42"/>
      <c r="AR262" s="42"/>
      <c r="AU262" s="98"/>
      <c r="AV262" s="35">
        <f t="shared" si="91"/>
        <v>0</v>
      </c>
      <c r="AW262" s="104"/>
      <c r="AX262" s="42"/>
      <c r="AY262" s="42"/>
      <c r="AZ262" s="42">
        <f t="shared" si="92"/>
        <v>0</v>
      </c>
      <c r="BA262" s="42"/>
      <c r="BB262" s="42"/>
      <c r="BC262" s="42"/>
      <c r="BD262" s="38">
        <f t="shared" si="76"/>
        <v>0</v>
      </c>
      <c r="BE262" s="42"/>
      <c r="BF262" s="42"/>
      <c r="BG262" s="42"/>
      <c r="BH262" s="38">
        <f t="shared" si="77"/>
        <v>0</v>
      </c>
      <c r="BI262" s="42"/>
      <c r="BJ262" s="42"/>
      <c r="BK262" s="42"/>
      <c r="BL262" s="38">
        <f t="shared" si="78"/>
        <v>0</v>
      </c>
      <c r="BM262" s="42"/>
      <c r="BN262" s="42"/>
      <c r="BO262" s="42"/>
      <c r="BP262" s="42"/>
      <c r="BR262" s="42">
        <f t="shared" si="79"/>
        <v>25294.135999999999</v>
      </c>
      <c r="BS262" s="43">
        <f t="shared" si="80"/>
        <v>3323.4279999999999</v>
      </c>
      <c r="BT262" s="42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  <c r="IM262" s="31"/>
      <c r="IN262" s="31"/>
      <c r="IO262" s="31"/>
      <c r="IP262" s="31"/>
      <c r="IQ262" s="31"/>
      <c r="IR262" s="31"/>
      <c r="IS262" s="31"/>
      <c r="IT262" s="31"/>
      <c r="IU262" s="31"/>
      <c r="IV262" s="31"/>
      <c r="IW262" s="31"/>
      <c r="IX262" s="31"/>
      <c r="IY262" s="31"/>
      <c r="IZ262" s="31"/>
      <c r="JA262" s="31"/>
      <c r="JB262" s="31"/>
      <c r="JC262" s="31"/>
      <c r="JD262" s="31"/>
      <c r="JE262" s="31"/>
      <c r="JF262" s="31"/>
      <c r="JG262" s="31"/>
      <c r="JH262" s="31"/>
      <c r="JI262" s="31"/>
      <c r="JJ262" s="31"/>
      <c r="JK262" s="31"/>
      <c r="JL262" s="31"/>
      <c r="JM262" s="31"/>
      <c r="JN262" s="31"/>
      <c r="JO262" s="31"/>
      <c r="JP262" s="31"/>
      <c r="JQ262" s="31"/>
      <c r="JR262" s="31"/>
      <c r="JS262" s="31"/>
      <c r="JT262" s="31"/>
      <c r="JU262" s="31"/>
      <c r="JV262" s="31"/>
      <c r="JW262" s="31"/>
      <c r="JX262" s="31"/>
      <c r="JY262" s="31"/>
      <c r="JZ262" s="31"/>
      <c r="KA262" s="31"/>
      <c r="KB262" s="31"/>
      <c r="KC262" s="31"/>
      <c r="KD262" s="31"/>
      <c r="KE262" s="31"/>
      <c r="KF262" s="31"/>
      <c r="KG262" s="31"/>
      <c r="KH262" s="31"/>
      <c r="KI262" s="31"/>
      <c r="KJ262" s="31"/>
      <c r="KK262" s="31"/>
      <c r="KL262" s="31"/>
      <c r="KM262" s="31"/>
      <c r="KN262" s="31"/>
      <c r="KO262" s="31"/>
      <c r="KP262" s="31"/>
      <c r="KQ262" s="31"/>
      <c r="KR262" s="31"/>
      <c r="KS262" s="31"/>
      <c r="KT262" s="31"/>
      <c r="KU262" s="31"/>
      <c r="KV262" s="31"/>
      <c r="KW262" s="31"/>
      <c r="KX262" s="31"/>
      <c r="KY262" s="31"/>
      <c r="KZ262" s="31"/>
      <c r="LA262" s="31"/>
      <c r="LB262" s="31"/>
      <c r="LC262" s="31"/>
      <c r="LD262" s="31"/>
      <c r="LE262" s="31"/>
      <c r="LF262" s="31"/>
      <c r="LG262" s="31"/>
      <c r="LH262" s="31"/>
      <c r="LI262" s="31"/>
      <c r="LJ262" s="31"/>
      <c r="LK262" s="31"/>
      <c r="LL262" s="31"/>
      <c r="LM262" s="31"/>
      <c r="LN262" s="31"/>
      <c r="LO262" s="31"/>
      <c r="LP262" s="31"/>
      <c r="LQ262" s="31"/>
      <c r="LR262" s="31"/>
      <c r="LS262" s="31"/>
      <c r="LT262" s="31"/>
      <c r="LU262" s="31"/>
      <c r="LV262" s="31"/>
      <c r="LW262" s="31"/>
      <c r="LX262" s="31"/>
      <c r="LY262" s="31"/>
      <c r="LZ262" s="31"/>
      <c r="MA262" s="31"/>
      <c r="MB262" s="31"/>
      <c r="MC262" s="31"/>
      <c r="MD262" s="31"/>
      <c r="ME262" s="31"/>
      <c r="MF262" s="31"/>
      <c r="MG262" s="31"/>
      <c r="MH262" s="31"/>
      <c r="MI262" s="31"/>
      <c r="MJ262" s="31"/>
      <c r="MK262" s="31"/>
      <c r="ML262" s="31"/>
      <c r="MM262" s="31"/>
      <c r="MN262" s="31"/>
      <c r="MO262" s="31"/>
      <c r="MP262" s="31"/>
      <c r="MQ262" s="31"/>
      <c r="MR262" s="31"/>
      <c r="MS262" s="31"/>
      <c r="MT262" s="31"/>
      <c r="MU262" s="31"/>
      <c r="MV262" s="31"/>
      <c r="MW262" s="31"/>
      <c r="MX262" s="31"/>
      <c r="MY262" s="31"/>
      <c r="MZ262" s="31"/>
      <c r="NA262" s="31"/>
      <c r="NB262" s="31"/>
      <c r="NC262" s="31"/>
      <c r="ND262" s="31"/>
      <c r="NE262" s="31"/>
      <c r="NF262" s="31"/>
      <c r="NG262" s="31"/>
      <c r="NH262" s="31"/>
      <c r="NI262" s="31"/>
      <c r="NJ262" s="31"/>
      <c r="NK262" s="31"/>
      <c r="NL262" s="31"/>
      <c r="NM262" s="31"/>
      <c r="NN262" s="31"/>
      <c r="NO262" s="31"/>
      <c r="NP262" s="31"/>
      <c r="NQ262" s="31"/>
      <c r="NR262" s="31"/>
      <c r="NS262" s="31"/>
      <c r="NT262" s="31"/>
      <c r="NU262" s="31"/>
      <c r="NV262" s="31"/>
      <c r="NW262" s="31"/>
      <c r="NX262" s="31"/>
      <c r="NY262" s="31"/>
      <c r="NZ262" s="31"/>
      <c r="OA262" s="31"/>
      <c r="OB262" s="31"/>
      <c r="OC262" s="31"/>
      <c r="OD262" s="31"/>
      <c r="OE262" s="31"/>
      <c r="OF262" s="31"/>
      <c r="OG262" s="31"/>
      <c r="OH262" s="31"/>
      <c r="OI262" s="31"/>
      <c r="OJ262" s="31"/>
      <c r="OK262" s="31"/>
      <c r="OL262" s="31"/>
      <c r="OM262" s="31"/>
      <c r="ON262" s="31"/>
      <c r="OO262" s="31"/>
      <c r="OP262" s="31"/>
      <c r="OQ262" s="31"/>
      <c r="OR262" s="31"/>
      <c r="OS262" s="31"/>
      <c r="OT262" s="31"/>
      <c r="OU262" s="31"/>
      <c r="OV262" s="31"/>
      <c r="OW262" s="31"/>
      <c r="OX262" s="31"/>
    </row>
    <row r="263" spans="2:414" s="25" customFormat="1" ht="15.6">
      <c r="B263" s="25" t="s">
        <v>559</v>
      </c>
      <c r="C263" s="27" t="s">
        <v>396</v>
      </c>
      <c r="D263" s="30" t="s">
        <v>355</v>
      </c>
      <c r="G263" s="42">
        <v>500</v>
      </c>
      <c r="H263" s="89">
        <v>26.109000000000002</v>
      </c>
      <c r="I263" s="38">
        <f t="shared" si="72"/>
        <v>13054.5</v>
      </c>
      <c r="K263" s="42">
        <v>500</v>
      </c>
      <c r="L263" s="90">
        <v>26.849599999999999</v>
      </c>
      <c r="M263" s="38">
        <f t="shared" si="73"/>
        <v>13424.8</v>
      </c>
      <c r="O263" s="38">
        <v>80</v>
      </c>
      <c r="P263" s="38">
        <v>26.728300000000001</v>
      </c>
      <c r="Q263" s="38">
        <f t="shared" si="74"/>
        <v>2138.2640000000001</v>
      </c>
      <c r="R263" s="43">
        <f t="shared" si="94"/>
        <v>1080</v>
      </c>
      <c r="S263" s="38">
        <f t="shared" si="75"/>
        <v>28617.563999999998</v>
      </c>
      <c r="T263" s="49">
        <v>415</v>
      </c>
      <c r="U263" s="42">
        <v>26.3461</v>
      </c>
      <c r="V263" s="38">
        <f t="shared" si="86"/>
        <v>10933.6315</v>
      </c>
      <c r="W263" s="42">
        <v>85</v>
      </c>
      <c r="X263" s="42">
        <v>26.3461</v>
      </c>
      <c r="Y263" s="42">
        <f t="shared" si="88"/>
        <v>2239.4184999999998</v>
      </c>
      <c r="Z263" s="42">
        <v>85</v>
      </c>
      <c r="AA263" s="42">
        <v>26.9907</v>
      </c>
      <c r="AB263" s="42">
        <f t="shared" si="89"/>
        <v>2294.2094999999999</v>
      </c>
      <c r="AD263" s="42">
        <v>65</v>
      </c>
      <c r="AE263" s="42">
        <v>26.766200000000001</v>
      </c>
      <c r="AF263" s="42">
        <f t="shared" si="95"/>
        <v>1739.8030000000001</v>
      </c>
      <c r="AG263" s="42"/>
      <c r="AH263" s="42">
        <v>200</v>
      </c>
      <c r="AI263" s="42">
        <v>26.766200000000001</v>
      </c>
      <c r="AJ263" s="42">
        <f t="shared" si="93"/>
        <v>5353.2400000000007</v>
      </c>
      <c r="AL263" s="42">
        <v>150</v>
      </c>
      <c r="AM263" s="42">
        <v>26.950700000000001</v>
      </c>
      <c r="AN263" s="42">
        <f>AL263*AM263</f>
        <v>4042.605</v>
      </c>
      <c r="AO263" s="44"/>
      <c r="AP263" s="42"/>
      <c r="AQ263" s="42"/>
      <c r="AR263" s="42"/>
      <c r="AU263" s="98"/>
      <c r="AV263" s="35">
        <f t="shared" si="91"/>
        <v>0</v>
      </c>
      <c r="AW263" s="104"/>
      <c r="AX263" s="42"/>
      <c r="AY263" s="42"/>
      <c r="AZ263" s="42">
        <f t="shared" si="92"/>
        <v>0</v>
      </c>
      <c r="BA263" s="42"/>
      <c r="BB263" s="42"/>
      <c r="BC263" s="42"/>
      <c r="BD263" s="38">
        <f t="shared" si="76"/>
        <v>0</v>
      </c>
      <c r="BE263" s="42"/>
      <c r="BF263" s="42"/>
      <c r="BG263" s="42"/>
      <c r="BH263" s="38">
        <f t="shared" si="77"/>
        <v>0</v>
      </c>
      <c r="BI263" s="42"/>
      <c r="BJ263" s="42"/>
      <c r="BK263" s="42"/>
      <c r="BL263" s="38">
        <f t="shared" si="78"/>
        <v>0</v>
      </c>
      <c r="BM263" s="42"/>
      <c r="BN263" s="42"/>
      <c r="BO263" s="42"/>
      <c r="BP263" s="42"/>
      <c r="BR263" s="42">
        <f t="shared" si="79"/>
        <v>26602.907500000001</v>
      </c>
      <c r="BS263" s="43">
        <f t="shared" si="80"/>
        <v>2014.6564999999973</v>
      </c>
      <c r="BT263" s="42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  <c r="IM263" s="31"/>
      <c r="IN263" s="31"/>
      <c r="IO263" s="31"/>
      <c r="IP263" s="31"/>
      <c r="IQ263" s="31"/>
      <c r="IR263" s="31"/>
      <c r="IS263" s="31"/>
      <c r="IT263" s="31"/>
      <c r="IU263" s="31"/>
      <c r="IV263" s="31"/>
      <c r="IW263" s="31"/>
      <c r="IX263" s="31"/>
      <c r="IY263" s="31"/>
      <c r="IZ263" s="31"/>
      <c r="JA263" s="31"/>
      <c r="JB263" s="31"/>
      <c r="JC263" s="31"/>
      <c r="JD263" s="31"/>
      <c r="JE263" s="31"/>
      <c r="JF263" s="31"/>
      <c r="JG263" s="31"/>
      <c r="JH263" s="31"/>
      <c r="JI263" s="31"/>
      <c r="JJ263" s="31"/>
      <c r="JK263" s="31"/>
      <c r="JL263" s="31"/>
      <c r="JM263" s="31"/>
      <c r="JN263" s="31"/>
      <c r="JO263" s="31"/>
      <c r="JP263" s="31"/>
      <c r="JQ263" s="31"/>
      <c r="JR263" s="31"/>
      <c r="JS263" s="31"/>
      <c r="JT263" s="31"/>
      <c r="JU263" s="31"/>
      <c r="JV263" s="31"/>
      <c r="JW263" s="31"/>
      <c r="JX263" s="31"/>
      <c r="JY263" s="31"/>
      <c r="JZ263" s="31"/>
      <c r="KA263" s="31"/>
      <c r="KB263" s="31"/>
      <c r="KC263" s="31"/>
      <c r="KD263" s="31"/>
      <c r="KE263" s="31"/>
      <c r="KF263" s="31"/>
      <c r="KG263" s="31"/>
      <c r="KH263" s="31"/>
      <c r="KI263" s="31"/>
      <c r="KJ263" s="31"/>
      <c r="KK263" s="31"/>
      <c r="KL263" s="31"/>
      <c r="KM263" s="31"/>
      <c r="KN263" s="31"/>
      <c r="KO263" s="31"/>
      <c r="KP263" s="31"/>
      <c r="KQ263" s="31"/>
      <c r="KR263" s="31"/>
      <c r="KS263" s="31"/>
      <c r="KT263" s="31"/>
      <c r="KU263" s="31"/>
      <c r="KV263" s="31"/>
      <c r="KW263" s="31"/>
      <c r="KX263" s="31"/>
      <c r="KY263" s="31"/>
      <c r="KZ263" s="31"/>
      <c r="LA263" s="31"/>
      <c r="LB263" s="31"/>
      <c r="LC263" s="31"/>
      <c r="LD263" s="31"/>
      <c r="LE263" s="31"/>
      <c r="LF263" s="31"/>
      <c r="LG263" s="31"/>
      <c r="LH263" s="31"/>
      <c r="LI263" s="31"/>
      <c r="LJ263" s="31"/>
      <c r="LK263" s="31"/>
      <c r="LL263" s="31"/>
      <c r="LM263" s="31"/>
      <c r="LN263" s="31"/>
      <c r="LO263" s="31"/>
      <c r="LP263" s="31"/>
      <c r="LQ263" s="31"/>
      <c r="LR263" s="31"/>
      <c r="LS263" s="31"/>
      <c r="LT263" s="31"/>
      <c r="LU263" s="31"/>
      <c r="LV263" s="31"/>
      <c r="LW263" s="31"/>
      <c r="LX263" s="31"/>
      <c r="LY263" s="31"/>
      <c r="LZ263" s="31"/>
      <c r="MA263" s="31"/>
      <c r="MB263" s="31"/>
      <c r="MC263" s="31"/>
      <c r="MD263" s="31"/>
      <c r="ME263" s="31"/>
      <c r="MF263" s="31"/>
      <c r="MG263" s="31"/>
      <c r="MH263" s="31"/>
      <c r="MI263" s="31"/>
      <c r="MJ263" s="31"/>
      <c r="MK263" s="31"/>
      <c r="ML263" s="31"/>
      <c r="MM263" s="31"/>
      <c r="MN263" s="31"/>
      <c r="MO263" s="31"/>
      <c r="MP263" s="31"/>
      <c r="MQ263" s="31"/>
      <c r="MR263" s="31"/>
      <c r="MS263" s="31"/>
      <c r="MT263" s="31"/>
      <c r="MU263" s="31"/>
      <c r="MV263" s="31"/>
      <c r="MW263" s="31"/>
      <c r="MX263" s="31"/>
      <c r="MY263" s="31"/>
      <c r="MZ263" s="31"/>
      <c r="NA263" s="31"/>
      <c r="NB263" s="31"/>
      <c r="NC263" s="31"/>
      <c r="ND263" s="31"/>
      <c r="NE263" s="31"/>
      <c r="NF263" s="31"/>
      <c r="NG263" s="31"/>
      <c r="NH263" s="31"/>
      <c r="NI263" s="31"/>
      <c r="NJ263" s="31"/>
      <c r="NK263" s="31"/>
      <c r="NL263" s="31"/>
      <c r="NM263" s="31"/>
      <c r="NN263" s="31"/>
      <c r="NO263" s="31"/>
      <c r="NP263" s="31"/>
      <c r="NQ263" s="31"/>
      <c r="NR263" s="31"/>
      <c r="NS263" s="31"/>
      <c r="NT263" s="31"/>
      <c r="NU263" s="31"/>
      <c r="NV263" s="31"/>
      <c r="NW263" s="31"/>
      <c r="NX263" s="31"/>
      <c r="NY263" s="31"/>
      <c r="NZ263" s="31"/>
      <c r="OA263" s="31"/>
      <c r="OB263" s="31"/>
      <c r="OC263" s="31"/>
      <c r="OD263" s="31"/>
      <c r="OE263" s="31"/>
      <c r="OF263" s="31"/>
      <c r="OG263" s="31"/>
      <c r="OH263" s="31"/>
      <c r="OI263" s="31"/>
      <c r="OJ263" s="31"/>
      <c r="OK263" s="31"/>
      <c r="OL263" s="31"/>
      <c r="OM263" s="31"/>
      <c r="ON263" s="31"/>
      <c r="OO263" s="31"/>
      <c r="OP263" s="31"/>
      <c r="OQ263" s="31"/>
      <c r="OR263" s="31"/>
      <c r="OS263" s="31"/>
      <c r="OT263" s="31"/>
      <c r="OU263" s="31"/>
      <c r="OV263" s="31"/>
      <c r="OW263" s="31"/>
      <c r="OX263" s="31"/>
    </row>
    <row r="264" spans="2:414" s="25" customFormat="1" ht="15.6">
      <c r="B264" s="25" t="s">
        <v>397</v>
      </c>
      <c r="C264" s="27" t="s">
        <v>398</v>
      </c>
      <c r="D264" s="30" t="s">
        <v>355</v>
      </c>
      <c r="G264" s="42">
        <v>500</v>
      </c>
      <c r="H264" s="89">
        <v>26.109000000000002</v>
      </c>
      <c r="I264" s="38">
        <f t="shared" si="72"/>
        <v>13054.5</v>
      </c>
      <c r="K264" s="42">
        <v>500</v>
      </c>
      <c r="L264" s="90">
        <v>26.849599999999999</v>
      </c>
      <c r="M264" s="38">
        <f t="shared" si="73"/>
        <v>13424.8</v>
      </c>
      <c r="O264" s="38">
        <v>80</v>
      </c>
      <c r="P264" s="38">
        <v>26.728300000000001</v>
      </c>
      <c r="Q264" s="38">
        <f t="shared" si="74"/>
        <v>2138.2640000000001</v>
      </c>
      <c r="R264" s="43">
        <f t="shared" si="94"/>
        <v>1080</v>
      </c>
      <c r="S264" s="38">
        <f t="shared" si="75"/>
        <v>28617.563999999998</v>
      </c>
      <c r="T264" s="49">
        <v>85</v>
      </c>
      <c r="U264" s="42">
        <v>26.350200000000001</v>
      </c>
      <c r="V264" s="38">
        <f t="shared" si="86"/>
        <v>2239.7670000000003</v>
      </c>
      <c r="W264" s="42">
        <v>415</v>
      </c>
      <c r="X264" s="42">
        <v>26.350200000000001</v>
      </c>
      <c r="Y264" s="42">
        <f t="shared" si="88"/>
        <v>10935.333000000001</v>
      </c>
      <c r="Z264" s="42">
        <v>415</v>
      </c>
      <c r="AA264" s="42">
        <v>26.849599999999999</v>
      </c>
      <c r="AB264" s="42">
        <f t="shared" si="89"/>
        <v>11142.583999999999</v>
      </c>
      <c r="AD264" s="42">
        <v>85</v>
      </c>
      <c r="AE264" s="42">
        <v>26.805099999999999</v>
      </c>
      <c r="AF264" s="42">
        <f t="shared" si="95"/>
        <v>2278.4335000000001</v>
      </c>
      <c r="AG264" s="42"/>
      <c r="AH264" s="42"/>
      <c r="AI264" s="42"/>
      <c r="AJ264" s="42">
        <f t="shared" si="93"/>
        <v>0</v>
      </c>
      <c r="AL264" s="42"/>
      <c r="AM264" s="42"/>
      <c r="AN264" s="42"/>
      <c r="AO264" s="44"/>
      <c r="AP264" s="42"/>
      <c r="AQ264" s="42"/>
      <c r="AR264" s="42"/>
      <c r="AU264" s="98"/>
      <c r="AV264" s="35">
        <f t="shared" si="91"/>
        <v>0</v>
      </c>
      <c r="AW264" s="104"/>
      <c r="AX264" s="42"/>
      <c r="AY264" s="42"/>
      <c r="AZ264" s="42">
        <f t="shared" si="92"/>
        <v>0</v>
      </c>
      <c r="BA264" s="42"/>
      <c r="BB264" s="42"/>
      <c r="BC264" s="42"/>
      <c r="BD264" s="38">
        <f t="shared" si="76"/>
        <v>0</v>
      </c>
      <c r="BE264" s="42"/>
      <c r="BF264" s="42"/>
      <c r="BG264" s="42"/>
      <c r="BH264" s="38">
        <f t="shared" si="77"/>
        <v>0</v>
      </c>
      <c r="BI264" s="42"/>
      <c r="BJ264" s="42"/>
      <c r="BK264" s="42"/>
      <c r="BL264" s="38">
        <f t="shared" si="78"/>
        <v>0</v>
      </c>
      <c r="BM264" s="42"/>
      <c r="BN264" s="42"/>
      <c r="BO264" s="42"/>
      <c r="BP264" s="42"/>
      <c r="BR264" s="42">
        <f t="shared" si="79"/>
        <v>26596.1175</v>
      </c>
      <c r="BS264" s="43">
        <f t="shared" si="80"/>
        <v>2021.4464999999982</v>
      </c>
      <c r="BT264" s="42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  <c r="IM264" s="31"/>
      <c r="IN264" s="31"/>
      <c r="IO264" s="31"/>
      <c r="IP264" s="31"/>
      <c r="IQ264" s="31"/>
      <c r="IR264" s="31"/>
      <c r="IS264" s="31"/>
      <c r="IT264" s="31"/>
      <c r="IU264" s="31"/>
      <c r="IV264" s="31"/>
      <c r="IW264" s="31"/>
      <c r="IX264" s="31"/>
      <c r="IY264" s="31"/>
      <c r="IZ264" s="31"/>
      <c r="JA264" s="31"/>
      <c r="JB264" s="31"/>
      <c r="JC264" s="31"/>
      <c r="JD264" s="31"/>
      <c r="JE264" s="31"/>
      <c r="JF264" s="31"/>
      <c r="JG264" s="31"/>
      <c r="JH264" s="31"/>
      <c r="JI264" s="31"/>
      <c r="JJ264" s="31"/>
      <c r="JK264" s="31"/>
      <c r="JL264" s="31"/>
      <c r="JM264" s="31"/>
      <c r="JN264" s="31"/>
      <c r="JO264" s="31"/>
      <c r="JP264" s="31"/>
      <c r="JQ264" s="31"/>
      <c r="JR264" s="31"/>
      <c r="JS264" s="31"/>
      <c r="JT264" s="31"/>
      <c r="JU264" s="31"/>
      <c r="JV264" s="31"/>
      <c r="JW264" s="31"/>
      <c r="JX264" s="31"/>
      <c r="JY264" s="31"/>
      <c r="JZ264" s="31"/>
      <c r="KA264" s="31"/>
      <c r="KB264" s="31"/>
      <c r="KC264" s="31"/>
      <c r="KD264" s="31"/>
      <c r="KE264" s="31"/>
      <c r="KF264" s="31"/>
      <c r="KG264" s="31"/>
      <c r="KH264" s="31"/>
      <c r="KI264" s="31"/>
      <c r="KJ264" s="31"/>
      <c r="KK264" s="31"/>
      <c r="KL264" s="31"/>
      <c r="KM264" s="31"/>
      <c r="KN264" s="31"/>
      <c r="KO264" s="31"/>
      <c r="KP264" s="31"/>
      <c r="KQ264" s="31"/>
      <c r="KR264" s="31"/>
      <c r="KS264" s="31"/>
      <c r="KT264" s="31"/>
      <c r="KU264" s="31"/>
      <c r="KV264" s="31"/>
      <c r="KW264" s="31"/>
      <c r="KX264" s="31"/>
      <c r="KY264" s="31"/>
      <c r="KZ264" s="31"/>
      <c r="LA264" s="31"/>
      <c r="LB264" s="31"/>
      <c r="LC264" s="31"/>
      <c r="LD264" s="31"/>
      <c r="LE264" s="31"/>
      <c r="LF264" s="31"/>
      <c r="LG264" s="31"/>
      <c r="LH264" s="31"/>
      <c r="LI264" s="31"/>
      <c r="LJ264" s="31"/>
      <c r="LK264" s="31"/>
      <c r="LL264" s="31"/>
      <c r="LM264" s="31"/>
      <c r="LN264" s="31"/>
      <c r="LO264" s="31"/>
      <c r="LP264" s="31"/>
      <c r="LQ264" s="31"/>
      <c r="LR264" s="31"/>
      <c r="LS264" s="31"/>
      <c r="LT264" s="31"/>
      <c r="LU264" s="31"/>
      <c r="LV264" s="31"/>
      <c r="LW264" s="31"/>
      <c r="LX264" s="31"/>
      <c r="LY264" s="31"/>
      <c r="LZ264" s="31"/>
      <c r="MA264" s="31"/>
      <c r="MB264" s="31"/>
      <c r="MC264" s="31"/>
      <c r="MD264" s="31"/>
      <c r="ME264" s="31"/>
      <c r="MF264" s="31"/>
      <c r="MG264" s="31"/>
      <c r="MH264" s="31"/>
      <c r="MI264" s="31"/>
      <c r="MJ264" s="31"/>
      <c r="MK264" s="31"/>
      <c r="ML264" s="31"/>
      <c r="MM264" s="31"/>
      <c r="MN264" s="31"/>
      <c r="MO264" s="31"/>
      <c r="MP264" s="31"/>
      <c r="MQ264" s="31"/>
      <c r="MR264" s="31"/>
      <c r="MS264" s="31"/>
      <c r="MT264" s="31"/>
      <c r="MU264" s="31"/>
      <c r="MV264" s="31"/>
      <c r="MW264" s="31"/>
      <c r="MX264" s="31"/>
      <c r="MY264" s="31"/>
      <c r="MZ264" s="31"/>
      <c r="NA264" s="31"/>
      <c r="NB264" s="31"/>
      <c r="NC264" s="31"/>
      <c r="ND264" s="31"/>
      <c r="NE264" s="31"/>
      <c r="NF264" s="31"/>
      <c r="NG264" s="31"/>
      <c r="NH264" s="31"/>
      <c r="NI264" s="31"/>
      <c r="NJ264" s="31"/>
      <c r="NK264" s="31"/>
      <c r="NL264" s="31"/>
      <c r="NM264" s="31"/>
      <c r="NN264" s="31"/>
      <c r="NO264" s="31"/>
      <c r="NP264" s="31"/>
      <c r="NQ264" s="31"/>
      <c r="NR264" s="31"/>
      <c r="NS264" s="31"/>
      <c r="NT264" s="31"/>
      <c r="NU264" s="31"/>
      <c r="NV264" s="31"/>
      <c r="NW264" s="31"/>
      <c r="NX264" s="31"/>
      <c r="NY264" s="31"/>
      <c r="NZ264" s="31"/>
      <c r="OA264" s="31"/>
      <c r="OB264" s="31"/>
      <c r="OC264" s="31"/>
      <c r="OD264" s="31"/>
      <c r="OE264" s="31"/>
      <c r="OF264" s="31"/>
      <c r="OG264" s="31"/>
      <c r="OH264" s="31"/>
      <c r="OI264" s="31"/>
      <c r="OJ264" s="31"/>
      <c r="OK264" s="31"/>
      <c r="OL264" s="31"/>
      <c r="OM264" s="31"/>
      <c r="ON264" s="31"/>
      <c r="OO264" s="31"/>
      <c r="OP264" s="31"/>
      <c r="OQ264" s="31"/>
      <c r="OR264" s="31"/>
      <c r="OS264" s="31"/>
      <c r="OT264" s="31"/>
      <c r="OU264" s="31"/>
      <c r="OV264" s="31"/>
      <c r="OW264" s="31"/>
      <c r="OX264" s="31"/>
    </row>
    <row r="265" spans="2:414" s="25" customFormat="1" ht="15.6">
      <c r="B265" s="25" t="s">
        <v>399</v>
      </c>
      <c r="C265" s="27" t="s">
        <v>400</v>
      </c>
      <c r="D265" s="30" t="s">
        <v>355</v>
      </c>
      <c r="G265" s="42">
        <v>500</v>
      </c>
      <c r="H265" s="89">
        <v>26.109000000000002</v>
      </c>
      <c r="I265" s="38">
        <f t="shared" ref="I265:I328" si="96">G265*H265</f>
        <v>13054.5</v>
      </c>
      <c r="K265" s="42">
        <v>500</v>
      </c>
      <c r="L265" s="90">
        <v>26.849599999999999</v>
      </c>
      <c r="M265" s="38">
        <f t="shared" ref="M265:M328" si="97">K265*L265</f>
        <v>13424.8</v>
      </c>
      <c r="O265" s="38">
        <v>80</v>
      </c>
      <c r="P265" s="38">
        <v>26.728300000000001</v>
      </c>
      <c r="Q265" s="38">
        <f t="shared" ref="Q265:Q328" si="98">O265*P265</f>
        <v>2138.2640000000001</v>
      </c>
      <c r="R265" s="43">
        <f t="shared" si="94"/>
        <v>1080</v>
      </c>
      <c r="S265" s="38">
        <f t="shared" ref="S265:S328" si="99">I265+M265+Q265</f>
        <v>28617.563999999998</v>
      </c>
      <c r="T265" s="49">
        <v>415</v>
      </c>
      <c r="U265" s="42">
        <v>26.365600000000001</v>
      </c>
      <c r="V265" s="38">
        <f t="shared" si="86"/>
        <v>10941.724</v>
      </c>
      <c r="W265" s="42">
        <v>85</v>
      </c>
      <c r="X265" s="42">
        <v>26.365600000000001</v>
      </c>
      <c r="Y265" s="42">
        <f t="shared" si="88"/>
        <v>2241.076</v>
      </c>
      <c r="Z265" s="42">
        <v>280</v>
      </c>
      <c r="AA265" s="42">
        <v>26.799399999999999</v>
      </c>
      <c r="AB265" s="42">
        <f t="shared" si="89"/>
        <v>7503.8319999999994</v>
      </c>
      <c r="AD265" s="42">
        <v>120</v>
      </c>
      <c r="AE265" s="42">
        <v>26.869499999999999</v>
      </c>
      <c r="AF265" s="42">
        <f t="shared" si="95"/>
        <v>3224.3399999999997</v>
      </c>
      <c r="AG265" s="42"/>
      <c r="AH265" s="42">
        <v>100</v>
      </c>
      <c r="AI265" s="42">
        <v>26.7913</v>
      </c>
      <c r="AJ265" s="42">
        <f t="shared" si="93"/>
        <v>2679.13</v>
      </c>
      <c r="AL265" s="42"/>
      <c r="AM265" s="42"/>
      <c r="AN265" s="42"/>
      <c r="AO265" s="44"/>
      <c r="AP265" s="42"/>
      <c r="AQ265" s="42"/>
      <c r="AR265" s="42"/>
      <c r="AU265" s="98"/>
      <c r="AV265" s="35">
        <f t="shared" si="91"/>
        <v>0</v>
      </c>
      <c r="AW265" s="104"/>
      <c r="AX265" s="42"/>
      <c r="AY265" s="42"/>
      <c r="AZ265" s="42">
        <f t="shared" si="92"/>
        <v>0</v>
      </c>
      <c r="BA265" s="42"/>
      <c r="BB265" s="42"/>
      <c r="BC265" s="42"/>
      <c r="BD265" s="38">
        <f t="shared" ref="BD265:BD328" si="100">BB265*BC265</f>
        <v>0</v>
      </c>
      <c r="BE265" s="42"/>
      <c r="BF265" s="42"/>
      <c r="BG265" s="42"/>
      <c r="BH265" s="38">
        <f t="shared" ref="BH265:BH328" si="101">BF265*BG265</f>
        <v>0</v>
      </c>
      <c r="BI265" s="42"/>
      <c r="BJ265" s="42"/>
      <c r="BK265" s="42"/>
      <c r="BL265" s="38">
        <f t="shared" ref="BL265:BL328" si="102">BJ265*BK265</f>
        <v>0</v>
      </c>
      <c r="BM265" s="42"/>
      <c r="BN265" s="42"/>
      <c r="BO265" s="42"/>
      <c r="BP265" s="42"/>
      <c r="BR265" s="42">
        <f t="shared" ref="BR265:BR328" si="103">V265+Y265+AB265+AF265+AJ265+AN265+AR265+AV265+AZ265+BD265+BH265+BL265+BP265</f>
        <v>26590.101999999999</v>
      </c>
      <c r="BS265" s="43">
        <f t="shared" ref="BS265:BS328" si="104">S265-BR265</f>
        <v>2027.4619999999995</v>
      </c>
      <c r="BT265" s="42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  <c r="IM265" s="31"/>
      <c r="IN265" s="31"/>
      <c r="IO265" s="31"/>
      <c r="IP265" s="31"/>
      <c r="IQ265" s="31"/>
      <c r="IR265" s="31"/>
      <c r="IS265" s="31"/>
      <c r="IT265" s="31"/>
      <c r="IU265" s="31"/>
      <c r="IV265" s="31"/>
      <c r="IW265" s="31"/>
      <c r="IX265" s="31"/>
      <c r="IY265" s="31"/>
      <c r="IZ265" s="31"/>
      <c r="JA265" s="31"/>
      <c r="JB265" s="31"/>
      <c r="JC265" s="31"/>
      <c r="JD265" s="31"/>
      <c r="JE265" s="31"/>
      <c r="JF265" s="31"/>
      <c r="JG265" s="31"/>
      <c r="JH265" s="31"/>
      <c r="JI265" s="31"/>
      <c r="JJ265" s="31"/>
      <c r="JK265" s="31"/>
      <c r="JL265" s="31"/>
      <c r="JM265" s="31"/>
      <c r="JN265" s="31"/>
      <c r="JO265" s="31"/>
      <c r="JP265" s="31"/>
      <c r="JQ265" s="31"/>
      <c r="JR265" s="31"/>
      <c r="JS265" s="31"/>
      <c r="JT265" s="31"/>
      <c r="JU265" s="31"/>
      <c r="JV265" s="31"/>
      <c r="JW265" s="31"/>
      <c r="JX265" s="31"/>
      <c r="JY265" s="31"/>
      <c r="JZ265" s="31"/>
      <c r="KA265" s="31"/>
      <c r="KB265" s="31"/>
      <c r="KC265" s="31"/>
      <c r="KD265" s="31"/>
      <c r="KE265" s="31"/>
      <c r="KF265" s="31"/>
      <c r="KG265" s="31"/>
      <c r="KH265" s="31"/>
      <c r="KI265" s="31"/>
      <c r="KJ265" s="31"/>
      <c r="KK265" s="31"/>
      <c r="KL265" s="31"/>
      <c r="KM265" s="31"/>
      <c r="KN265" s="31"/>
      <c r="KO265" s="31"/>
      <c r="KP265" s="31"/>
      <c r="KQ265" s="31"/>
      <c r="KR265" s="31"/>
      <c r="KS265" s="31"/>
      <c r="KT265" s="31"/>
      <c r="KU265" s="31"/>
      <c r="KV265" s="31"/>
      <c r="KW265" s="31"/>
      <c r="KX265" s="31"/>
      <c r="KY265" s="31"/>
      <c r="KZ265" s="31"/>
      <c r="LA265" s="31"/>
      <c r="LB265" s="31"/>
      <c r="LC265" s="31"/>
      <c r="LD265" s="31"/>
      <c r="LE265" s="31"/>
      <c r="LF265" s="31"/>
      <c r="LG265" s="31"/>
      <c r="LH265" s="31"/>
      <c r="LI265" s="31"/>
      <c r="LJ265" s="31"/>
      <c r="LK265" s="31"/>
      <c r="LL265" s="31"/>
      <c r="LM265" s="31"/>
      <c r="LN265" s="31"/>
      <c r="LO265" s="31"/>
      <c r="LP265" s="31"/>
      <c r="LQ265" s="31"/>
      <c r="LR265" s="31"/>
      <c r="LS265" s="31"/>
      <c r="LT265" s="31"/>
      <c r="LU265" s="31"/>
      <c r="LV265" s="31"/>
      <c r="LW265" s="31"/>
      <c r="LX265" s="31"/>
      <c r="LY265" s="31"/>
      <c r="LZ265" s="31"/>
      <c r="MA265" s="31"/>
      <c r="MB265" s="31"/>
      <c r="MC265" s="31"/>
      <c r="MD265" s="31"/>
      <c r="ME265" s="31"/>
      <c r="MF265" s="31"/>
      <c r="MG265" s="31"/>
      <c r="MH265" s="31"/>
      <c r="MI265" s="31"/>
      <c r="MJ265" s="31"/>
      <c r="MK265" s="31"/>
      <c r="ML265" s="31"/>
      <c r="MM265" s="31"/>
      <c r="MN265" s="31"/>
      <c r="MO265" s="31"/>
      <c r="MP265" s="31"/>
      <c r="MQ265" s="31"/>
      <c r="MR265" s="31"/>
      <c r="MS265" s="31"/>
      <c r="MT265" s="31"/>
      <c r="MU265" s="31"/>
      <c r="MV265" s="31"/>
      <c r="MW265" s="31"/>
      <c r="MX265" s="31"/>
      <c r="MY265" s="31"/>
      <c r="MZ265" s="31"/>
      <c r="NA265" s="31"/>
      <c r="NB265" s="31"/>
      <c r="NC265" s="31"/>
      <c r="ND265" s="31"/>
      <c r="NE265" s="31"/>
      <c r="NF265" s="31"/>
      <c r="NG265" s="31"/>
      <c r="NH265" s="31"/>
      <c r="NI265" s="31"/>
      <c r="NJ265" s="31"/>
      <c r="NK265" s="31"/>
      <c r="NL265" s="31"/>
      <c r="NM265" s="31"/>
      <c r="NN265" s="31"/>
      <c r="NO265" s="31"/>
      <c r="NP265" s="31"/>
      <c r="NQ265" s="31"/>
      <c r="NR265" s="31"/>
      <c r="NS265" s="31"/>
      <c r="NT265" s="31"/>
      <c r="NU265" s="31"/>
      <c r="NV265" s="31"/>
      <c r="NW265" s="31"/>
      <c r="NX265" s="31"/>
      <c r="NY265" s="31"/>
      <c r="NZ265" s="31"/>
      <c r="OA265" s="31"/>
      <c r="OB265" s="31"/>
      <c r="OC265" s="31"/>
      <c r="OD265" s="31"/>
      <c r="OE265" s="31"/>
      <c r="OF265" s="31"/>
      <c r="OG265" s="31"/>
      <c r="OH265" s="31"/>
      <c r="OI265" s="31"/>
      <c r="OJ265" s="31"/>
      <c r="OK265" s="31"/>
      <c r="OL265" s="31"/>
      <c r="OM265" s="31"/>
      <c r="ON265" s="31"/>
      <c r="OO265" s="31"/>
      <c r="OP265" s="31"/>
      <c r="OQ265" s="31"/>
      <c r="OR265" s="31"/>
      <c r="OS265" s="31"/>
      <c r="OT265" s="31"/>
      <c r="OU265" s="31"/>
      <c r="OV265" s="31"/>
      <c r="OW265" s="31"/>
      <c r="OX265" s="31"/>
    </row>
    <row r="266" spans="2:414" s="25" customFormat="1" ht="15.6">
      <c r="B266" s="25" t="s">
        <v>393</v>
      </c>
      <c r="C266" s="27" t="s">
        <v>185</v>
      </c>
      <c r="D266" s="30" t="s">
        <v>355</v>
      </c>
      <c r="G266" s="42">
        <v>500</v>
      </c>
      <c r="H266" s="89">
        <v>26.109000000000002</v>
      </c>
      <c r="I266" s="38">
        <f t="shared" si="96"/>
        <v>13054.5</v>
      </c>
      <c r="K266" s="42">
        <v>500</v>
      </c>
      <c r="L266" s="90">
        <v>26.849599999999999</v>
      </c>
      <c r="M266" s="38">
        <f t="shared" si="97"/>
        <v>13424.8</v>
      </c>
      <c r="O266" s="38">
        <v>80</v>
      </c>
      <c r="P266" s="38">
        <v>26.728300000000001</v>
      </c>
      <c r="Q266" s="38">
        <f t="shared" si="98"/>
        <v>2138.2640000000001</v>
      </c>
      <c r="R266" s="43">
        <f t="shared" si="94"/>
        <v>1080</v>
      </c>
      <c r="S266" s="38">
        <f t="shared" si="99"/>
        <v>28617.563999999998</v>
      </c>
      <c r="T266" s="49">
        <v>415</v>
      </c>
      <c r="U266" s="42">
        <v>26.267499999999998</v>
      </c>
      <c r="V266" s="38">
        <f t="shared" si="86"/>
        <v>10901.012499999999</v>
      </c>
      <c r="W266" s="42"/>
      <c r="X266" s="42"/>
      <c r="Y266" s="42">
        <f t="shared" si="88"/>
        <v>0</v>
      </c>
      <c r="Z266" s="42"/>
      <c r="AA266" s="42"/>
      <c r="AB266" s="42">
        <f t="shared" si="89"/>
        <v>0</v>
      </c>
      <c r="AD266" s="42"/>
      <c r="AE266" s="42"/>
      <c r="AF266" s="42">
        <f t="shared" si="95"/>
        <v>0</v>
      </c>
      <c r="AG266" s="42"/>
      <c r="AH266" s="42"/>
      <c r="AI266" s="42"/>
      <c r="AJ266" s="42"/>
      <c r="AL266" s="42"/>
      <c r="AM266" s="42"/>
      <c r="AN266" s="42"/>
      <c r="AO266" s="44"/>
      <c r="AP266" s="42"/>
      <c r="AQ266" s="42"/>
      <c r="AR266" s="42"/>
      <c r="AU266" s="98"/>
      <c r="AV266" s="35">
        <f t="shared" si="91"/>
        <v>0</v>
      </c>
      <c r="AW266" s="104"/>
      <c r="AX266" s="42"/>
      <c r="AY266" s="42"/>
      <c r="AZ266" s="42">
        <f t="shared" si="92"/>
        <v>0</v>
      </c>
      <c r="BA266" s="42"/>
      <c r="BB266" s="42"/>
      <c r="BC266" s="42"/>
      <c r="BD266" s="38">
        <f t="shared" si="100"/>
        <v>0</v>
      </c>
      <c r="BE266" s="42"/>
      <c r="BF266" s="42"/>
      <c r="BG266" s="42"/>
      <c r="BH266" s="38">
        <f t="shared" si="101"/>
        <v>0</v>
      </c>
      <c r="BI266" s="42"/>
      <c r="BJ266" s="42"/>
      <c r="BK266" s="42"/>
      <c r="BL266" s="38">
        <f t="shared" si="102"/>
        <v>0</v>
      </c>
      <c r="BM266" s="42"/>
      <c r="BN266" s="42"/>
      <c r="BO266" s="42"/>
      <c r="BP266" s="42"/>
      <c r="BR266" s="42">
        <f t="shared" si="103"/>
        <v>10901.012499999999</v>
      </c>
      <c r="BS266" s="43">
        <f t="shared" si="104"/>
        <v>17716.551500000001</v>
      </c>
      <c r="BT266" s="42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  <c r="IM266" s="31"/>
      <c r="IN266" s="31"/>
      <c r="IO266" s="31"/>
      <c r="IP266" s="31"/>
      <c r="IQ266" s="31"/>
      <c r="IR266" s="31"/>
      <c r="IS266" s="31"/>
      <c r="IT266" s="31"/>
      <c r="IU266" s="31"/>
      <c r="IV266" s="31"/>
      <c r="IW266" s="31"/>
      <c r="IX266" s="31"/>
      <c r="IY266" s="31"/>
      <c r="IZ266" s="31"/>
      <c r="JA266" s="31"/>
      <c r="JB266" s="31"/>
      <c r="JC266" s="31"/>
      <c r="JD266" s="31"/>
      <c r="JE266" s="31"/>
      <c r="JF266" s="31"/>
      <c r="JG266" s="31"/>
      <c r="JH266" s="31"/>
      <c r="JI266" s="31"/>
      <c r="JJ266" s="31"/>
      <c r="JK266" s="31"/>
      <c r="JL266" s="31"/>
      <c r="JM266" s="31"/>
      <c r="JN266" s="31"/>
      <c r="JO266" s="31"/>
      <c r="JP266" s="31"/>
      <c r="JQ266" s="31"/>
      <c r="JR266" s="31"/>
      <c r="JS266" s="31"/>
      <c r="JT266" s="31"/>
      <c r="JU266" s="31"/>
      <c r="JV266" s="31"/>
      <c r="JW266" s="31"/>
      <c r="JX266" s="31"/>
      <c r="JY266" s="31"/>
      <c r="JZ266" s="31"/>
      <c r="KA266" s="31"/>
      <c r="KB266" s="31"/>
      <c r="KC266" s="31"/>
      <c r="KD266" s="31"/>
      <c r="KE266" s="31"/>
      <c r="KF266" s="31"/>
      <c r="KG266" s="31"/>
      <c r="KH266" s="31"/>
      <c r="KI266" s="31"/>
      <c r="KJ266" s="31"/>
      <c r="KK266" s="31"/>
      <c r="KL266" s="31"/>
      <c r="KM266" s="31"/>
      <c r="KN266" s="31"/>
      <c r="KO266" s="31"/>
      <c r="KP266" s="31"/>
      <c r="KQ266" s="31"/>
      <c r="KR266" s="31"/>
      <c r="KS266" s="31"/>
      <c r="KT266" s="31"/>
      <c r="KU266" s="31"/>
      <c r="KV266" s="31"/>
      <c r="KW266" s="31"/>
      <c r="KX266" s="31"/>
      <c r="KY266" s="31"/>
      <c r="KZ266" s="31"/>
      <c r="LA266" s="31"/>
      <c r="LB266" s="31"/>
      <c r="LC266" s="31"/>
      <c r="LD266" s="31"/>
      <c r="LE266" s="31"/>
      <c r="LF266" s="31"/>
      <c r="LG266" s="31"/>
      <c r="LH266" s="31"/>
      <c r="LI266" s="31"/>
      <c r="LJ266" s="31"/>
      <c r="LK266" s="31"/>
      <c r="LL266" s="31"/>
      <c r="LM266" s="31"/>
      <c r="LN266" s="31"/>
      <c r="LO266" s="31"/>
      <c r="LP266" s="31"/>
      <c r="LQ266" s="31"/>
      <c r="LR266" s="31"/>
      <c r="LS266" s="31"/>
      <c r="LT266" s="31"/>
      <c r="LU266" s="31"/>
      <c r="LV266" s="31"/>
      <c r="LW266" s="31"/>
      <c r="LX266" s="31"/>
      <c r="LY266" s="31"/>
      <c r="LZ266" s="31"/>
      <c r="MA266" s="31"/>
      <c r="MB266" s="31"/>
      <c r="MC266" s="31"/>
      <c r="MD266" s="31"/>
      <c r="ME266" s="31"/>
      <c r="MF266" s="31"/>
      <c r="MG266" s="31"/>
      <c r="MH266" s="31"/>
      <c r="MI266" s="31"/>
      <c r="MJ266" s="31"/>
      <c r="MK266" s="31"/>
      <c r="ML266" s="31"/>
      <c r="MM266" s="31"/>
      <c r="MN266" s="31"/>
      <c r="MO266" s="31"/>
      <c r="MP266" s="31"/>
      <c r="MQ266" s="31"/>
      <c r="MR266" s="31"/>
      <c r="MS266" s="31"/>
      <c r="MT266" s="31"/>
      <c r="MU266" s="31"/>
      <c r="MV266" s="31"/>
      <c r="MW266" s="31"/>
      <c r="MX266" s="31"/>
      <c r="MY266" s="31"/>
      <c r="MZ266" s="31"/>
      <c r="NA266" s="31"/>
      <c r="NB266" s="31"/>
      <c r="NC266" s="31"/>
      <c r="ND266" s="31"/>
      <c r="NE266" s="31"/>
      <c r="NF266" s="31"/>
      <c r="NG266" s="31"/>
      <c r="NH266" s="31"/>
      <c r="NI266" s="31"/>
      <c r="NJ266" s="31"/>
      <c r="NK266" s="31"/>
      <c r="NL266" s="31"/>
      <c r="NM266" s="31"/>
      <c r="NN266" s="31"/>
      <c r="NO266" s="31"/>
      <c r="NP266" s="31"/>
      <c r="NQ266" s="31"/>
      <c r="NR266" s="31"/>
      <c r="NS266" s="31"/>
      <c r="NT266" s="31"/>
      <c r="NU266" s="31"/>
      <c r="NV266" s="31"/>
      <c r="NW266" s="31"/>
      <c r="NX266" s="31"/>
      <c r="NY266" s="31"/>
      <c r="NZ266" s="31"/>
      <c r="OA266" s="31"/>
      <c r="OB266" s="31"/>
      <c r="OC266" s="31"/>
      <c r="OD266" s="31"/>
      <c r="OE266" s="31"/>
      <c r="OF266" s="31"/>
      <c r="OG266" s="31"/>
      <c r="OH266" s="31"/>
      <c r="OI266" s="31"/>
      <c r="OJ266" s="31"/>
      <c r="OK266" s="31"/>
      <c r="OL266" s="31"/>
      <c r="OM266" s="31"/>
      <c r="ON266" s="31"/>
      <c r="OO266" s="31"/>
      <c r="OP266" s="31"/>
      <c r="OQ266" s="31"/>
      <c r="OR266" s="31"/>
      <c r="OS266" s="31"/>
      <c r="OT266" s="31"/>
      <c r="OU266" s="31"/>
      <c r="OV266" s="31"/>
      <c r="OW266" s="31"/>
      <c r="OX266" s="31"/>
    </row>
    <row r="267" spans="2:414" s="25" customFormat="1" ht="15.6">
      <c r="B267" s="25" t="s">
        <v>73</v>
      </c>
      <c r="C267" s="27" t="s">
        <v>401</v>
      </c>
      <c r="D267" s="30" t="s">
        <v>355</v>
      </c>
      <c r="G267" s="42">
        <v>500</v>
      </c>
      <c r="H267" s="89">
        <v>26.109000000000002</v>
      </c>
      <c r="I267" s="38">
        <f t="shared" si="96"/>
        <v>13054.5</v>
      </c>
      <c r="K267" s="42">
        <v>500</v>
      </c>
      <c r="L267" s="90">
        <v>26.849599999999999</v>
      </c>
      <c r="M267" s="38">
        <f t="shared" si="97"/>
        <v>13424.8</v>
      </c>
      <c r="O267" s="38">
        <v>80</v>
      </c>
      <c r="P267" s="38">
        <v>26.728300000000001</v>
      </c>
      <c r="Q267" s="38">
        <f t="shared" si="98"/>
        <v>2138.2640000000001</v>
      </c>
      <c r="R267" s="43">
        <f t="shared" si="94"/>
        <v>1080</v>
      </c>
      <c r="S267" s="38">
        <f t="shared" si="99"/>
        <v>28617.563999999998</v>
      </c>
      <c r="T267" s="49">
        <v>415</v>
      </c>
      <c r="U267" s="42">
        <v>26.3813</v>
      </c>
      <c r="V267" s="38">
        <f t="shared" si="86"/>
        <v>10948.2395</v>
      </c>
      <c r="W267" s="42">
        <v>85</v>
      </c>
      <c r="X267" s="42">
        <v>26.3813</v>
      </c>
      <c r="Y267" s="42">
        <f t="shared" si="88"/>
        <v>2242.4105</v>
      </c>
      <c r="Z267" s="42">
        <v>415</v>
      </c>
      <c r="AA267" s="42">
        <v>26.903700000000001</v>
      </c>
      <c r="AB267" s="42">
        <f t="shared" si="89"/>
        <v>11165.0355</v>
      </c>
      <c r="AD267" s="42">
        <v>85</v>
      </c>
      <c r="AE267" s="42">
        <v>26.828900000000001</v>
      </c>
      <c r="AF267" s="42">
        <f t="shared" si="95"/>
        <v>2280.4565000000002</v>
      </c>
      <c r="AG267" s="42"/>
      <c r="AH267" s="42"/>
      <c r="AI267" s="42"/>
      <c r="AJ267" s="42"/>
      <c r="AL267" s="42"/>
      <c r="AM267" s="42"/>
      <c r="AN267" s="42"/>
      <c r="AO267" s="44"/>
      <c r="AP267" s="42"/>
      <c r="AQ267" s="42"/>
      <c r="AR267" s="42"/>
      <c r="AU267" s="98"/>
      <c r="AV267" s="35">
        <f t="shared" si="91"/>
        <v>0</v>
      </c>
      <c r="AW267" s="104"/>
      <c r="AX267" s="42"/>
      <c r="AY267" s="42"/>
      <c r="AZ267" s="42">
        <f t="shared" si="92"/>
        <v>0</v>
      </c>
      <c r="BA267" s="42"/>
      <c r="BB267" s="42"/>
      <c r="BC267" s="42"/>
      <c r="BD267" s="38">
        <f t="shared" si="100"/>
        <v>0</v>
      </c>
      <c r="BE267" s="42"/>
      <c r="BF267" s="42"/>
      <c r="BG267" s="42"/>
      <c r="BH267" s="38">
        <f t="shared" si="101"/>
        <v>0</v>
      </c>
      <c r="BI267" s="42"/>
      <c r="BJ267" s="42"/>
      <c r="BK267" s="42"/>
      <c r="BL267" s="38">
        <f t="shared" si="102"/>
        <v>0</v>
      </c>
      <c r="BM267" s="42"/>
      <c r="BN267" s="42"/>
      <c r="BO267" s="42"/>
      <c r="BP267" s="42"/>
      <c r="BR267" s="42">
        <f t="shared" si="103"/>
        <v>26636.142</v>
      </c>
      <c r="BS267" s="43">
        <f t="shared" si="104"/>
        <v>1981.4219999999987</v>
      </c>
      <c r="BT267" s="42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  <c r="IM267" s="31"/>
      <c r="IN267" s="31"/>
      <c r="IO267" s="31"/>
      <c r="IP267" s="31"/>
      <c r="IQ267" s="31"/>
      <c r="IR267" s="31"/>
      <c r="IS267" s="31"/>
      <c r="IT267" s="31"/>
      <c r="IU267" s="31"/>
      <c r="IV267" s="31"/>
      <c r="IW267" s="31"/>
      <c r="IX267" s="31"/>
      <c r="IY267" s="31"/>
      <c r="IZ267" s="31"/>
      <c r="JA267" s="31"/>
      <c r="JB267" s="31"/>
      <c r="JC267" s="31"/>
      <c r="JD267" s="31"/>
      <c r="JE267" s="31"/>
      <c r="JF267" s="31"/>
      <c r="JG267" s="31"/>
      <c r="JH267" s="31"/>
      <c r="JI267" s="31"/>
      <c r="JJ267" s="31"/>
      <c r="JK267" s="31"/>
      <c r="JL267" s="31"/>
      <c r="JM267" s="31"/>
      <c r="JN267" s="31"/>
      <c r="JO267" s="31"/>
      <c r="JP267" s="31"/>
      <c r="JQ267" s="31"/>
      <c r="JR267" s="31"/>
      <c r="JS267" s="31"/>
      <c r="JT267" s="31"/>
      <c r="JU267" s="31"/>
      <c r="JV267" s="31"/>
      <c r="JW267" s="31"/>
      <c r="JX267" s="31"/>
      <c r="JY267" s="31"/>
      <c r="JZ267" s="31"/>
      <c r="KA267" s="31"/>
      <c r="KB267" s="31"/>
      <c r="KC267" s="31"/>
      <c r="KD267" s="31"/>
      <c r="KE267" s="31"/>
      <c r="KF267" s="31"/>
      <c r="KG267" s="31"/>
      <c r="KH267" s="31"/>
      <c r="KI267" s="31"/>
      <c r="KJ267" s="31"/>
      <c r="KK267" s="31"/>
      <c r="KL267" s="31"/>
      <c r="KM267" s="31"/>
      <c r="KN267" s="31"/>
      <c r="KO267" s="31"/>
      <c r="KP267" s="31"/>
      <c r="KQ267" s="31"/>
      <c r="KR267" s="31"/>
      <c r="KS267" s="31"/>
      <c r="KT267" s="31"/>
      <c r="KU267" s="31"/>
      <c r="KV267" s="31"/>
      <c r="KW267" s="31"/>
      <c r="KX267" s="31"/>
      <c r="KY267" s="31"/>
      <c r="KZ267" s="31"/>
      <c r="LA267" s="31"/>
      <c r="LB267" s="31"/>
      <c r="LC267" s="31"/>
      <c r="LD267" s="31"/>
      <c r="LE267" s="31"/>
      <c r="LF267" s="31"/>
      <c r="LG267" s="31"/>
      <c r="LH267" s="31"/>
      <c r="LI267" s="31"/>
      <c r="LJ267" s="31"/>
      <c r="LK267" s="31"/>
      <c r="LL267" s="31"/>
      <c r="LM267" s="31"/>
      <c r="LN267" s="31"/>
      <c r="LO267" s="31"/>
      <c r="LP267" s="31"/>
      <c r="LQ267" s="31"/>
      <c r="LR267" s="31"/>
      <c r="LS267" s="31"/>
      <c r="LT267" s="31"/>
      <c r="LU267" s="31"/>
      <c r="LV267" s="31"/>
      <c r="LW267" s="31"/>
      <c r="LX267" s="31"/>
      <c r="LY267" s="31"/>
      <c r="LZ267" s="31"/>
      <c r="MA267" s="31"/>
      <c r="MB267" s="31"/>
      <c r="MC267" s="31"/>
      <c r="MD267" s="31"/>
      <c r="ME267" s="31"/>
      <c r="MF267" s="31"/>
      <c r="MG267" s="31"/>
      <c r="MH267" s="31"/>
      <c r="MI267" s="31"/>
      <c r="MJ267" s="31"/>
      <c r="MK267" s="31"/>
      <c r="ML267" s="31"/>
      <c r="MM267" s="31"/>
      <c r="MN267" s="31"/>
      <c r="MO267" s="31"/>
      <c r="MP267" s="31"/>
      <c r="MQ267" s="31"/>
      <c r="MR267" s="31"/>
      <c r="MS267" s="31"/>
      <c r="MT267" s="31"/>
      <c r="MU267" s="31"/>
      <c r="MV267" s="31"/>
      <c r="MW267" s="31"/>
      <c r="MX267" s="31"/>
      <c r="MY267" s="31"/>
      <c r="MZ267" s="31"/>
      <c r="NA267" s="31"/>
      <c r="NB267" s="31"/>
      <c r="NC267" s="31"/>
      <c r="ND267" s="31"/>
      <c r="NE267" s="31"/>
      <c r="NF267" s="31"/>
      <c r="NG267" s="31"/>
      <c r="NH267" s="31"/>
      <c r="NI267" s="31"/>
      <c r="NJ267" s="31"/>
      <c r="NK267" s="31"/>
      <c r="NL267" s="31"/>
      <c r="NM267" s="31"/>
      <c r="NN267" s="31"/>
      <c r="NO267" s="31"/>
      <c r="NP267" s="31"/>
      <c r="NQ267" s="31"/>
      <c r="NR267" s="31"/>
      <c r="NS267" s="31"/>
      <c r="NT267" s="31"/>
      <c r="NU267" s="31"/>
      <c r="NV267" s="31"/>
      <c r="NW267" s="31"/>
      <c r="NX267" s="31"/>
      <c r="NY267" s="31"/>
      <c r="NZ267" s="31"/>
      <c r="OA267" s="31"/>
      <c r="OB267" s="31"/>
      <c r="OC267" s="31"/>
      <c r="OD267" s="31"/>
      <c r="OE267" s="31"/>
      <c r="OF267" s="31"/>
      <c r="OG267" s="31"/>
      <c r="OH267" s="31"/>
      <c r="OI267" s="31"/>
      <c r="OJ267" s="31"/>
      <c r="OK267" s="31"/>
      <c r="OL267" s="31"/>
      <c r="OM267" s="31"/>
      <c r="ON267" s="31"/>
      <c r="OO267" s="31"/>
      <c r="OP267" s="31"/>
      <c r="OQ267" s="31"/>
      <c r="OR267" s="31"/>
      <c r="OS267" s="31"/>
      <c r="OT267" s="31"/>
      <c r="OU267" s="31"/>
      <c r="OV267" s="31"/>
      <c r="OW267" s="31"/>
      <c r="OX267" s="31"/>
    </row>
    <row r="268" spans="2:414" s="25" customFormat="1" ht="15.6">
      <c r="B268" s="25" t="s">
        <v>350</v>
      </c>
      <c r="C268" s="27" t="s">
        <v>402</v>
      </c>
      <c r="D268" s="30" t="s">
        <v>355</v>
      </c>
      <c r="G268" s="42">
        <v>500</v>
      </c>
      <c r="H268" s="89">
        <v>26.109000000000002</v>
      </c>
      <c r="I268" s="38">
        <f t="shared" si="96"/>
        <v>13054.5</v>
      </c>
      <c r="K268" s="42">
        <v>500</v>
      </c>
      <c r="L268" s="90">
        <v>26.849599999999999</v>
      </c>
      <c r="M268" s="38">
        <f t="shared" si="97"/>
        <v>13424.8</v>
      </c>
      <c r="O268" s="38">
        <v>80</v>
      </c>
      <c r="P268" s="38">
        <v>26.728300000000001</v>
      </c>
      <c r="Q268" s="38">
        <f t="shared" si="98"/>
        <v>2138.2640000000001</v>
      </c>
      <c r="R268" s="43">
        <f t="shared" si="94"/>
        <v>1080</v>
      </c>
      <c r="S268" s="38">
        <f t="shared" si="99"/>
        <v>28617.563999999998</v>
      </c>
      <c r="T268" s="49">
        <v>420</v>
      </c>
      <c r="U268" s="42">
        <v>26.365600000000001</v>
      </c>
      <c r="V268" s="38">
        <f t="shared" si="86"/>
        <v>11073.552</v>
      </c>
      <c r="W268" s="42">
        <v>80</v>
      </c>
      <c r="X268" s="42">
        <v>26.389500000000002</v>
      </c>
      <c r="Y268" s="42">
        <f t="shared" si="88"/>
        <v>2111.1600000000003</v>
      </c>
      <c r="Z268" s="42">
        <v>500</v>
      </c>
      <c r="AA268" s="42">
        <v>26.861899999999999</v>
      </c>
      <c r="AB268" s="42">
        <f t="shared" si="89"/>
        <v>13430.949999999999</v>
      </c>
      <c r="AD268" s="42"/>
      <c r="AE268" s="42"/>
      <c r="AF268" s="42">
        <f t="shared" si="95"/>
        <v>0</v>
      </c>
      <c r="AG268" s="42"/>
      <c r="AH268" s="42"/>
      <c r="AI268" s="42"/>
      <c r="AJ268" s="42"/>
      <c r="AL268" s="42"/>
      <c r="AM268" s="42"/>
      <c r="AN268" s="42"/>
      <c r="AO268" s="44"/>
      <c r="AP268" s="42"/>
      <c r="AQ268" s="42"/>
      <c r="AR268" s="42"/>
      <c r="AU268" s="98"/>
      <c r="AV268" s="35">
        <f t="shared" si="91"/>
        <v>0</v>
      </c>
      <c r="AW268" s="104"/>
      <c r="AX268" s="42"/>
      <c r="AY268" s="42"/>
      <c r="AZ268" s="42">
        <f t="shared" si="92"/>
        <v>0</v>
      </c>
      <c r="BA268" s="42"/>
      <c r="BB268" s="42"/>
      <c r="BC268" s="42"/>
      <c r="BD268" s="38">
        <f t="shared" si="100"/>
        <v>0</v>
      </c>
      <c r="BE268" s="42"/>
      <c r="BF268" s="42"/>
      <c r="BG268" s="42"/>
      <c r="BH268" s="38">
        <f t="shared" si="101"/>
        <v>0</v>
      </c>
      <c r="BI268" s="42"/>
      <c r="BJ268" s="42"/>
      <c r="BK268" s="42"/>
      <c r="BL268" s="38">
        <f t="shared" si="102"/>
        <v>0</v>
      </c>
      <c r="BM268" s="42"/>
      <c r="BN268" s="42"/>
      <c r="BO268" s="42"/>
      <c r="BP268" s="42"/>
      <c r="BR268" s="42">
        <f t="shared" si="103"/>
        <v>26615.661999999997</v>
      </c>
      <c r="BS268" s="43">
        <f t="shared" si="104"/>
        <v>2001.9020000000019</v>
      </c>
      <c r="BT268" s="42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  <c r="IM268" s="31"/>
      <c r="IN268" s="31"/>
      <c r="IO268" s="31"/>
      <c r="IP268" s="31"/>
      <c r="IQ268" s="31"/>
      <c r="IR268" s="31"/>
      <c r="IS268" s="31"/>
      <c r="IT268" s="31"/>
      <c r="IU268" s="31"/>
      <c r="IV268" s="31"/>
      <c r="IW268" s="31"/>
      <c r="IX268" s="31"/>
      <c r="IY268" s="31"/>
      <c r="IZ268" s="31"/>
      <c r="JA268" s="31"/>
      <c r="JB268" s="31"/>
      <c r="JC268" s="31"/>
      <c r="JD268" s="31"/>
      <c r="JE268" s="31"/>
      <c r="JF268" s="31"/>
      <c r="JG268" s="31"/>
      <c r="JH268" s="31"/>
      <c r="JI268" s="31"/>
      <c r="JJ268" s="31"/>
      <c r="JK268" s="31"/>
      <c r="JL268" s="31"/>
      <c r="JM268" s="31"/>
      <c r="JN268" s="31"/>
      <c r="JO268" s="31"/>
      <c r="JP268" s="31"/>
      <c r="JQ268" s="31"/>
      <c r="JR268" s="31"/>
      <c r="JS268" s="31"/>
      <c r="JT268" s="31"/>
      <c r="JU268" s="31"/>
      <c r="JV268" s="31"/>
      <c r="JW268" s="31"/>
      <c r="JX268" s="31"/>
      <c r="JY268" s="31"/>
      <c r="JZ268" s="31"/>
      <c r="KA268" s="31"/>
      <c r="KB268" s="31"/>
      <c r="KC268" s="31"/>
      <c r="KD268" s="31"/>
      <c r="KE268" s="31"/>
      <c r="KF268" s="31"/>
      <c r="KG268" s="31"/>
      <c r="KH268" s="31"/>
      <c r="KI268" s="31"/>
      <c r="KJ268" s="31"/>
      <c r="KK268" s="31"/>
      <c r="KL268" s="31"/>
      <c r="KM268" s="31"/>
      <c r="KN268" s="31"/>
      <c r="KO268" s="31"/>
      <c r="KP268" s="31"/>
      <c r="KQ268" s="31"/>
      <c r="KR268" s="31"/>
      <c r="KS268" s="31"/>
      <c r="KT268" s="31"/>
      <c r="KU268" s="31"/>
      <c r="KV268" s="31"/>
      <c r="KW268" s="31"/>
      <c r="KX268" s="31"/>
      <c r="KY268" s="31"/>
      <c r="KZ268" s="31"/>
      <c r="LA268" s="31"/>
      <c r="LB268" s="31"/>
      <c r="LC268" s="31"/>
      <c r="LD268" s="31"/>
      <c r="LE268" s="31"/>
      <c r="LF268" s="31"/>
      <c r="LG268" s="31"/>
      <c r="LH268" s="31"/>
      <c r="LI268" s="31"/>
      <c r="LJ268" s="31"/>
      <c r="LK268" s="31"/>
      <c r="LL268" s="31"/>
      <c r="LM268" s="31"/>
      <c r="LN268" s="31"/>
      <c r="LO268" s="31"/>
      <c r="LP268" s="31"/>
      <c r="LQ268" s="31"/>
      <c r="LR268" s="31"/>
      <c r="LS268" s="31"/>
      <c r="LT268" s="31"/>
      <c r="LU268" s="31"/>
      <c r="LV268" s="31"/>
      <c r="LW268" s="31"/>
      <c r="LX268" s="31"/>
      <c r="LY268" s="31"/>
      <c r="LZ268" s="31"/>
      <c r="MA268" s="31"/>
      <c r="MB268" s="31"/>
      <c r="MC268" s="31"/>
      <c r="MD268" s="31"/>
      <c r="ME268" s="31"/>
      <c r="MF268" s="31"/>
      <c r="MG268" s="31"/>
      <c r="MH268" s="31"/>
      <c r="MI268" s="31"/>
      <c r="MJ268" s="31"/>
      <c r="MK268" s="31"/>
      <c r="ML268" s="31"/>
      <c r="MM268" s="31"/>
      <c r="MN268" s="31"/>
      <c r="MO268" s="31"/>
      <c r="MP268" s="31"/>
      <c r="MQ268" s="31"/>
      <c r="MR268" s="31"/>
      <c r="MS268" s="31"/>
      <c r="MT268" s="31"/>
      <c r="MU268" s="31"/>
      <c r="MV268" s="31"/>
      <c r="MW268" s="31"/>
      <c r="MX268" s="31"/>
      <c r="MY268" s="31"/>
      <c r="MZ268" s="31"/>
      <c r="NA268" s="31"/>
      <c r="NB268" s="31"/>
      <c r="NC268" s="31"/>
      <c r="ND268" s="31"/>
      <c r="NE268" s="31"/>
      <c r="NF268" s="31"/>
      <c r="NG268" s="31"/>
      <c r="NH268" s="31"/>
      <c r="NI268" s="31"/>
      <c r="NJ268" s="31"/>
      <c r="NK268" s="31"/>
      <c r="NL268" s="31"/>
      <c r="NM268" s="31"/>
      <c r="NN268" s="31"/>
      <c r="NO268" s="31"/>
      <c r="NP268" s="31"/>
      <c r="NQ268" s="31"/>
      <c r="NR268" s="31"/>
      <c r="NS268" s="31"/>
      <c r="NT268" s="31"/>
      <c r="NU268" s="31"/>
      <c r="NV268" s="31"/>
      <c r="NW268" s="31"/>
      <c r="NX268" s="31"/>
      <c r="NY268" s="31"/>
      <c r="NZ268" s="31"/>
      <c r="OA268" s="31"/>
      <c r="OB268" s="31"/>
      <c r="OC268" s="31"/>
      <c r="OD268" s="31"/>
      <c r="OE268" s="31"/>
      <c r="OF268" s="31"/>
      <c r="OG268" s="31"/>
      <c r="OH268" s="31"/>
      <c r="OI268" s="31"/>
      <c r="OJ268" s="31"/>
      <c r="OK268" s="31"/>
      <c r="OL268" s="31"/>
      <c r="OM268" s="31"/>
      <c r="ON268" s="31"/>
      <c r="OO268" s="31"/>
      <c r="OP268" s="31"/>
      <c r="OQ268" s="31"/>
      <c r="OR268" s="31"/>
      <c r="OS268" s="31"/>
      <c r="OT268" s="31"/>
      <c r="OU268" s="31"/>
      <c r="OV268" s="31"/>
      <c r="OW268" s="31"/>
      <c r="OX268" s="31"/>
    </row>
    <row r="269" spans="2:414" s="25" customFormat="1" ht="15.6">
      <c r="B269" s="25" t="s">
        <v>403</v>
      </c>
      <c r="C269" s="27" t="s">
        <v>404</v>
      </c>
      <c r="D269" s="30" t="s">
        <v>355</v>
      </c>
      <c r="G269" s="42">
        <v>500</v>
      </c>
      <c r="H269" s="89">
        <v>26.109000000000002</v>
      </c>
      <c r="I269" s="38">
        <f t="shared" si="96"/>
        <v>13054.5</v>
      </c>
      <c r="K269" s="42">
        <v>500</v>
      </c>
      <c r="L269" s="90">
        <v>26.849599999999999</v>
      </c>
      <c r="M269" s="38">
        <f t="shared" si="97"/>
        <v>13424.8</v>
      </c>
      <c r="O269" s="38">
        <v>80</v>
      </c>
      <c r="P269" s="38">
        <v>26.728300000000001</v>
      </c>
      <c r="Q269" s="38">
        <f t="shared" si="98"/>
        <v>2138.2640000000001</v>
      </c>
      <c r="R269" s="43">
        <f t="shared" si="94"/>
        <v>1080</v>
      </c>
      <c r="S269" s="38">
        <f t="shared" si="99"/>
        <v>28617.563999999998</v>
      </c>
      <c r="T269" s="49">
        <v>165</v>
      </c>
      <c r="U269" s="42">
        <v>26.390799999999999</v>
      </c>
      <c r="V269" s="38">
        <f t="shared" si="86"/>
        <v>4354.482</v>
      </c>
      <c r="W269" s="42">
        <v>85</v>
      </c>
      <c r="X269" s="42">
        <v>26.3461</v>
      </c>
      <c r="Y269" s="42">
        <f t="shared" si="88"/>
        <v>2239.4184999999998</v>
      </c>
      <c r="Z269" s="42"/>
      <c r="AA269" s="42"/>
      <c r="AB269" s="42">
        <f t="shared" si="89"/>
        <v>0</v>
      </c>
      <c r="AD269" s="42"/>
      <c r="AE269" s="42"/>
      <c r="AF269" s="42">
        <f t="shared" si="95"/>
        <v>0</v>
      </c>
      <c r="AG269" s="42"/>
      <c r="AH269" s="42"/>
      <c r="AI269" s="42"/>
      <c r="AJ269" s="42"/>
      <c r="AL269" s="42"/>
      <c r="AM269" s="42"/>
      <c r="AN269" s="42"/>
      <c r="AO269" s="44"/>
      <c r="AP269" s="42"/>
      <c r="AQ269" s="42"/>
      <c r="AR269" s="42"/>
      <c r="AU269" s="98"/>
      <c r="AV269" s="35">
        <f t="shared" si="91"/>
        <v>0</v>
      </c>
      <c r="AW269" s="104"/>
      <c r="AX269" s="42"/>
      <c r="AY269" s="42"/>
      <c r="AZ269" s="42">
        <f t="shared" si="92"/>
        <v>0</v>
      </c>
      <c r="BA269" s="42"/>
      <c r="BB269" s="42"/>
      <c r="BC269" s="42"/>
      <c r="BD269" s="38">
        <f t="shared" si="100"/>
        <v>0</v>
      </c>
      <c r="BE269" s="42"/>
      <c r="BF269" s="42"/>
      <c r="BG269" s="42"/>
      <c r="BH269" s="38">
        <f t="shared" si="101"/>
        <v>0</v>
      </c>
      <c r="BI269" s="42"/>
      <c r="BJ269" s="42"/>
      <c r="BK269" s="42"/>
      <c r="BL269" s="38">
        <f t="shared" si="102"/>
        <v>0</v>
      </c>
      <c r="BM269" s="42"/>
      <c r="BN269" s="42"/>
      <c r="BO269" s="42"/>
      <c r="BP269" s="42"/>
      <c r="BR269" s="42">
        <f t="shared" si="103"/>
        <v>6593.9004999999997</v>
      </c>
      <c r="BS269" s="43">
        <f t="shared" si="104"/>
        <v>22023.663499999999</v>
      </c>
      <c r="BT269" s="42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  <c r="IM269" s="31"/>
      <c r="IN269" s="31"/>
      <c r="IO269" s="31"/>
      <c r="IP269" s="31"/>
      <c r="IQ269" s="31"/>
      <c r="IR269" s="31"/>
      <c r="IS269" s="31"/>
      <c r="IT269" s="31"/>
      <c r="IU269" s="31"/>
      <c r="IV269" s="31"/>
      <c r="IW269" s="31"/>
      <c r="IX269" s="31"/>
      <c r="IY269" s="31"/>
      <c r="IZ269" s="31"/>
      <c r="JA269" s="31"/>
      <c r="JB269" s="31"/>
      <c r="JC269" s="31"/>
      <c r="JD269" s="31"/>
      <c r="JE269" s="31"/>
      <c r="JF269" s="31"/>
      <c r="JG269" s="31"/>
      <c r="JH269" s="31"/>
      <c r="JI269" s="31"/>
      <c r="JJ269" s="31"/>
      <c r="JK269" s="31"/>
      <c r="JL269" s="31"/>
      <c r="JM269" s="31"/>
      <c r="JN269" s="31"/>
      <c r="JO269" s="31"/>
      <c r="JP269" s="31"/>
      <c r="JQ269" s="31"/>
      <c r="JR269" s="31"/>
      <c r="JS269" s="31"/>
      <c r="JT269" s="31"/>
      <c r="JU269" s="31"/>
      <c r="JV269" s="31"/>
      <c r="JW269" s="31"/>
      <c r="JX269" s="31"/>
      <c r="JY269" s="31"/>
      <c r="JZ269" s="31"/>
      <c r="KA269" s="31"/>
      <c r="KB269" s="31"/>
      <c r="KC269" s="31"/>
      <c r="KD269" s="31"/>
      <c r="KE269" s="31"/>
      <c r="KF269" s="31"/>
      <c r="KG269" s="31"/>
      <c r="KH269" s="31"/>
      <c r="KI269" s="31"/>
      <c r="KJ269" s="31"/>
      <c r="KK269" s="31"/>
      <c r="KL269" s="31"/>
      <c r="KM269" s="31"/>
      <c r="KN269" s="31"/>
      <c r="KO269" s="31"/>
      <c r="KP269" s="31"/>
      <c r="KQ269" s="31"/>
      <c r="KR269" s="31"/>
      <c r="KS269" s="31"/>
      <c r="KT269" s="31"/>
      <c r="KU269" s="31"/>
      <c r="KV269" s="31"/>
      <c r="KW269" s="31"/>
      <c r="KX269" s="31"/>
      <c r="KY269" s="31"/>
      <c r="KZ269" s="31"/>
      <c r="LA269" s="31"/>
      <c r="LB269" s="31"/>
      <c r="LC269" s="31"/>
      <c r="LD269" s="31"/>
      <c r="LE269" s="31"/>
      <c r="LF269" s="31"/>
      <c r="LG269" s="31"/>
      <c r="LH269" s="31"/>
      <c r="LI269" s="31"/>
      <c r="LJ269" s="31"/>
      <c r="LK269" s="31"/>
      <c r="LL269" s="31"/>
      <c r="LM269" s="31"/>
      <c r="LN269" s="31"/>
      <c r="LO269" s="31"/>
      <c r="LP269" s="31"/>
      <c r="LQ269" s="31"/>
      <c r="LR269" s="31"/>
      <c r="LS269" s="31"/>
      <c r="LT269" s="31"/>
      <c r="LU269" s="31"/>
      <c r="LV269" s="31"/>
      <c r="LW269" s="31"/>
      <c r="LX269" s="31"/>
      <c r="LY269" s="31"/>
      <c r="LZ269" s="31"/>
      <c r="MA269" s="31"/>
      <c r="MB269" s="31"/>
      <c r="MC269" s="31"/>
      <c r="MD269" s="31"/>
      <c r="ME269" s="31"/>
      <c r="MF269" s="31"/>
      <c r="MG269" s="31"/>
      <c r="MH269" s="31"/>
      <c r="MI269" s="31"/>
      <c r="MJ269" s="31"/>
      <c r="MK269" s="31"/>
      <c r="ML269" s="31"/>
      <c r="MM269" s="31"/>
      <c r="MN269" s="31"/>
      <c r="MO269" s="31"/>
      <c r="MP269" s="31"/>
      <c r="MQ269" s="31"/>
      <c r="MR269" s="31"/>
      <c r="MS269" s="31"/>
      <c r="MT269" s="31"/>
      <c r="MU269" s="31"/>
      <c r="MV269" s="31"/>
      <c r="MW269" s="31"/>
      <c r="MX269" s="31"/>
      <c r="MY269" s="31"/>
      <c r="MZ269" s="31"/>
      <c r="NA269" s="31"/>
      <c r="NB269" s="31"/>
      <c r="NC269" s="31"/>
      <c r="ND269" s="31"/>
      <c r="NE269" s="31"/>
      <c r="NF269" s="31"/>
      <c r="NG269" s="31"/>
      <c r="NH269" s="31"/>
      <c r="NI269" s="31"/>
      <c r="NJ269" s="31"/>
      <c r="NK269" s="31"/>
      <c r="NL269" s="31"/>
      <c r="NM269" s="31"/>
      <c r="NN269" s="31"/>
      <c r="NO269" s="31"/>
      <c r="NP269" s="31"/>
      <c r="NQ269" s="31"/>
      <c r="NR269" s="31"/>
      <c r="NS269" s="31"/>
      <c r="NT269" s="31"/>
      <c r="NU269" s="31"/>
      <c r="NV269" s="31"/>
      <c r="NW269" s="31"/>
      <c r="NX269" s="31"/>
      <c r="NY269" s="31"/>
      <c r="NZ269" s="31"/>
      <c r="OA269" s="31"/>
      <c r="OB269" s="31"/>
      <c r="OC269" s="31"/>
      <c r="OD269" s="31"/>
      <c r="OE269" s="31"/>
      <c r="OF269" s="31"/>
      <c r="OG269" s="31"/>
      <c r="OH269" s="31"/>
      <c r="OI269" s="31"/>
      <c r="OJ269" s="31"/>
      <c r="OK269" s="31"/>
      <c r="OL269" s="31"/>
      <c r="OM269" s="31"/>
      <c r="ON269" s="31"/>
      <c r="OO269" s="31"/>
      <c r="OP269" s="31"/>
      <c r="OQ269" s="31"/>
      <c r="OR269" s="31"/>
      <c r="OS269" s="31"/>
      <c r="OT269" s="31"/>
      <c r="OU269" s="31"/>
      <c r="OV269" s="31"/>
      <c r="OW269" s="31"/>
      <c r="OX269" s="31"/>
    </row>
    <row r="270" spans="2:414" s="25" customFormat="1" ht="15.6">
      <c r="B270" s="25" t="s">
        <v>406</v>
      </c>
      <c r="C270" s="27" t="s">
        <v>319</v>
      </c>
      <c r="D270" s="30" t="s">
        <v>405</v>
      </c>
      <c r="G270" s="42">
        <v>500</v>
      </c>
      <c r="H270" s="89">
        <v>26.109000000000002</v>
      </c>
      <c r="I270" s="38">
        <f t="shared" si="96"/>
        <v>13054.5</v>
      </c>
      <c r="K270" s="42">
        <v>500</v>
      </c>
      <c r="L270" s="90">
        <v>26.849599999999999</v>
      </c>
      <c r="M270" s="38">
        <f t="shared" si="97"/>
        <v>13424.8</v>
      </c>
      <c r="O270" s="38">
        <v>80</v>
      </c>
      <c r="P270" s="38">
        <v>26.728300000000001</v>
      </c>
      <c r="Q270" s="38">
        <f t="shared" si="98"/>
        <v>2138.2640000000001</v>
      </c>
      <c r="R270" s="43">
        <f t="shared" si="94"/>
        <v>1080</v>
      </c>
      <c r="S270" s="38">
        <f t="shared" si="99"/>
        <v>28617.563999999998</v>
      </c>
      <c r="T270" s="49">
        <v>415</v>
      </c>
      <c r="U270" s="42">
        <v>26.0579</v>
      </c>
      <c r="V270" s="38">
        <f t="shared" si="86"/>
        <v>10814.0285</v>
      </c>
      <c r="W270" s="42">
        <v>85</v>
      </c>
      <c r="X270" s="42">
        <v>26.023700000000002</v>
      </c>
      <c r="Y270" s="42">
        <f t="shared" si="88"/>
        <v>2212.0145000000002</v>
      </c>
      <c r="Z270" s="42">
        <v>100</v>
      </c>
      <c r="AA270" s="42">
        <v>26.730699999999999</v>
      </c>
      <c r="AB270" s="42">
        <f t="shared" si="89"/>
        <v>2673.0699999999997</v>
      </c>
      <c r="AD270" s="42">
        <v>120</v>
      </c>
      <c r="AE270" s="42">
        <v>26.745899999999999</v>
      </c>
      <c r="AF270" s="42">
        <f t="shared" si="95"/>
        <v>3209.5079999999998</v>
      </c>
      <c r="AG270" s="42"/>
      <c r="AH270" s="42">
        <v>100</v>
      </c>
      <c r="AI270" s="42">
        <v>26.828900000000001</v>
      </c>
      <c r="AJ270" s="42">
        <f>AH270*AI270</f>
        <v>2682.89</v>
      </c>
      <c r="AL270" s="42">
        <v>80</v>
      </c>
      <c r="AM270" s="42">
        <v>26.350200000000001</v>
      </c>
      <c r="AN270" s="42">
        <f>AL270*AM270</f>
        <v>2108.0160000000001</v>
      </c>
      <c r="AO270" s="44"/>
      <c r="AP270" s="42">
        <v>100</v>
      </c>
      <c r="AQ270" s="42"/>
      <c r="AR270" s="42"/>
      <c r="AU270" s="98"/>
      <c r="AV270" s="35">
        <f t="shared" si="91"/>
        <v>0</v>
      </c>
      <c r="AW270" s="104"/>
      <c r="AX270" s="42"/>
      <c r="AY270" s="42"/>
      <c r="AZ270" s="42">
        <f t="shared" si="92"/>
        <v>0</v>
      </c>
      <c r="BA270" s="42"/>
      <c r="BB270" s="42"/>
      <c r="BC270" s="42"/>
      <c r="BD270" s="38">
        <f t="shared" si="100"/>
        <v>0</v>
      </c>
      <c r="BE270" s="42"/>
      <c r="BF270" s="42"/>
      <c r="BG270" s="42"/>
      <c r="BH270" s="38">
        <f t="shared" si="101"/>
        <v>0</v>
      </c>
      <c r="BI270" s="42"/>
      <c r="BJ270" s="42"/>
      <c r="BK270" s="42"/>
      <c r="BL270" s="38">
        <f t="shared" si="102"/>
        <v>0</v>
      </c>
      <c r="BM270" s="42"/>
      <c r="BN270" s="42"/>
      <c r="BO270" s="42"/>
      <c r="BP270" s="42"/>
      <c r="BR270" s="42">
        <f t="shared" si="103"/>
        <v>23699.526999999998</v>
      </c>
      <c r="BS270" s="43">
        <f t="shared" si="104"/>
        <v>4918.0370000000003</v>
      </c>
      <c r="BT270" s="42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  <c r="IM270" s="31"/>
      <c r="IN270" s="31"/>
      <c r="IO270" s="31"/>
      <c r="IP270" s="31"/>
      <c r="IQ270" s="31"/>
      <c r="IR270" s="31"/>
      <c r="IS270" s="31"/>
      <c r="IT270" s="31"/>
      <c r="IU270" s="31"/>
      <c r="IV270" s="31"/>
      <c r="IW270" s="31"/>
      <c r="IX270" s="31"/>
      <c r="IY270" s="31"/>
      <c r="IZ270" s="31"/>
      <c r="JA270" s="31"/>
      <c r="JB270" s="31"/>
      <c r="JC270" s="31"/>
      <c r="JD270" s="31"/>
      <c r="JE270" s="31"/>
      <c r="JF270" s="31"/>
      <c r="JG270" s="31"/>
      <c r="JH270" s="31"/>
      <c r="JI270" s="31"/>
      <c r="JJ270" s="31"/>
      <c r="JK270" s="31"/>
      <c r="JL270" s="31"/>
      <c r="JM270" s="31"/>
      <c r="JN270" s="31"/>
      <c r="JO270" s="31"/>
      <c r="JP270" s="31"/>
      <c r="JQ270" s="31"/>
      <c r="JR270" s="31"/>
      <c r="JS270" s="31"/>
      <c r="JT270" s="31"/>
      <c r="JU270" s="31"/>
      <c r="JV270" s="31"/>
      <c r="JW270" s="31"/>
      <c r="JX270" s="31"/>
      <c r="JY270" s="31"/>
      <c r="JZ270" s="31"/>
      <c r="KA270" s="31"/>
      <c r="KB270" s="31"/>
      <c r="KC270" s="31"/>
      <c r="KD270" s="31"/>
      <c r="KE270" s="31"/>
      <c r="KF270" s="31"/>
      <c r="KG270" s="31"/>
      <c r="KH270" s="31"/>
      <c r="KI270" s="31"/>
      <c r="KJ270" s="31"/>
      <c r="KK270" s="31"/>
      <c r="KL270" s="31"/>
      <c r="KM270" s="31"/>
      <c r="KN270" s="31"/>
      <c r="KO270" s="31"/>
      <c r="KP270" s="31"/>
      <c r="KQ270" s="31"/>
      <c r="KR270" s="31"/>
      <c r="KS270" s="31"/>
      <c r="KT270" s="31"/>
      <c r="KU270" s="31"/>
      <c r="KV270" s="31"/>
      <c r="KW270" s="31"/>
      <c r="KX270" s="31"/>
      <c r="KY270" s="31"/>
      <c r="KZ270" s="31"/>
      <c r="LA270" s="31"/>
      <c r="LB270" s="31"/>
      <c r="LC270" s="31"/>
      <c r="LD270" s="31"/>
      <c r="LE270" s="31"/>
      <c r="LF270" s="31"/>
      <c r="LG270" s="31"/>
      <c r="LH270" s="31"/>
      <c r="LI270" s="31"/>
      <c r="LJ270" s="31"/>
      <c r="LK270" s="31"/>
      <c r="LL270" s="31"/>
      <c r="LM270" s="31"/>
      <c r="LN270" s="31"/>
      <c r="LO270" s="31"/>
      <c r="LP270" s="31"/>
      <c r="LQ270" s="31"/>
      <c r="LR270" s="31"/>
      <c r="LS270" s="31"/>
      <c r="LT270" s="31"/>
      <c r="LU270" s="31"/>
      <c r="LV270" s="31"/>
      <c r="LW270" s="31"/>
      <c r="LX270" s="31"/>
      <c r="LY270" s="31"/>
      <c r="LZ270" s="31"/>
      <c r="MA270" s="31"/>
      <c r="MB270" s="31"/>
      <c r="MC270" s="31"/>
      <c r="MD270" s="31"/>
      <c r="ME270" s="31"/>
      <c r="MF270" s="31"/>
      <c r="MG270" s="31"/>
      <c r="MH270" s="31"/>
      <c r="MI270" s="31"/>
      <c r="MJ270" s="31"/>
      <c r="MK270" s="31"/>
      <c r="ML270" s="31"/>
      <c r="MM270" s="31"/>
      <c r="MN270" s="31"/>
      <c r="MO270" s="31"/>
      <c r="MP270" s="31"/>
      <c r="MQ270" s="31"/>
      <c r="MR270" s="31"/>
      <c r="MS270" s="31"/>
      <c r="MT270" s="31"/>
      <c r="MU270" s="31"/>
      <c r="MV270" s="31"/>
      <c r="MW270" s="31"/>
      <c r="MX270" s="31"/>
      <c r="MY270" s="31"/>
      <c r="MZ270" s="31"/>
      <c r="NA270" s="31"/>
      <c r="NB270" s="31"/>
      <c r="NC270" s="31"/>
      <c r="ND270" s="31"/>
      <c r="NE270" s="31"/>
      <c r="NF270" s="31"/>
      <c r="NG270" s="31"/>
      <c r="NH270" s="31"/>
      <c r="NI270" s="31"/>
      <c r="NJ270" s="31"/>
      <c r="NK270" s="31"/>
      <c r="NL270" s="31"/>
      <c r="NM270" s="31"/>
      <c r="NN270" s="31"/>
      <c r="NO270" s="31"/>
      <c r="NP270" s="31"/>
      <c r="NQ270" s="31"/>
      <c r="NR270" s="31"/>
      <c r="NS270" s="31"/>
      <c r="NT270" s="31"/>
      <c r="NU270" s="31"/>
      <c r="NV270" s="31"/>
      <c r="NW270" s="31"/>
      <c r="NX270" s="31"/>
      <c r="NY270" s="31"/>
      <c r="NZ270" s="31"/>
      <c r="OA270" s="31"/>
      <c r="OB270" s="31"/>
      <c r="OC270" s="31"/>
      <c r="OD270" s="31"/>
      <c r="OE270" s="31"/>
      <c r="OF270" s="31"/>
      <c r="OG270" s="31"/>
      <c r="OH270" s="31"/>
      <c r="OI270" s="31"/>
      <c r="OJ270" s="31"/>
      <c r="OK270" s="31"/>
      <c r="OL270" s="31"/>
      <c r="OM270" s="31"/>
      <c r="ON270" s="31"/>
      <c r="OO270" s="31"/>
      <c r="OP270" s="31"/>
      <c r="OQ270" s="31"/>
      <c r="OR270" s="31"/>
      <c r="OS270" s="31"/>
      <c r="OT270" s="31"/>
      <c r="OU270" s="31"/>
      <c r="OV270" s="31"/>
      <c r="OW270" s="31"/>
      <c r="OX270" s="31"/>
    </row>
    <row r="271" spans="2:414" s="25" customFormat="1" ht="15.6">
      <c r="B271" s="25" t="s">
        <v>407</v>
      </c>
      <c r="C271" s="27" t="s">
        <v>408</v>
      </c>
      <c r="D271" s="30" t="s">
        <v>405</v>
      </c>
      <c r="G271" s="42">
        <v>500</v>
      </c>
      <c r="H271" s="89">
        <v>26.109000000000002</v>
      </c>
      <c r="I271" s="38">
        <f t="shared" si="96"/>
        <v>13054.5</v>
      </c>
      <c r="K271" s="42">
        <v>500</v>
      </c>
      <c r="L271" s="90">
        <v>26.849599999999999</v>
      </c>
      <c r="M271" s="38">
        <f t="shared" si="97"/>
        <v>13424.8</v>
      </c>
      <c r="O271" s="38">
        <v>80</v>
      </c>
      <c r="P271" s="38">
        <v>26.728300000000001</v>
      </c>
      <c r="Q271" s="38">
        <f t="shared" si="98"/>
        <v>2138.2640000000001</v>
      </c>
      <c r="R271" s="43">
        <f t="shared" si="94"/>
        <v>1080</v>
      </c>
      <c r="S271" s="38">
        <f t="shared" si="99"/>
        <v>28617.563999999998</v>
      </c>
      <c r="T271" s="49">
        <v>215</v>
      </c>
      <c r="U271" s="42">
        <v>25.862400000000001</v>
      </c>
      <c r="V271" s="38">
        <f t="shared" si="86"/>
        <v>5560.4160000000002</v>
      </c>
      <c r="W271" s="42">
        <v>85</v>
      </c>
      <c r="X271" s="42">
        <v>25.862400000000001</v>
      </c>
      <c r="Y271" s="42">
        <f t="shared" si="88"/>
        <v>2198.3040000000001</v>
      </c>
      <c r="Z271" s="42">
        <v>200</v>
      </c>
      <c r="AA271" s="42">
        <v>26.390799999999999</v>
      </c>
      <c r="AB271" s="42">
        <f t="shared" si="89"/>
        <v>5278.16</v>
      </c>
      <c r="AD271" s="42">
        <v>400</v>
      </c>
      <c r="AE271" s="42">
        <v>26.805099999999999</v>
      </c>
      <c r="AF271" s="42">
        <f t="shared" si="95"/>
        <v>10722.039999999999</v>
      </c>
      <c r="AG271" s="42"/>
      <c r="AH271" s="42">
        <v>85</v>
      </c>
      <c r="AI271" s="42">
        <v>26.921299999999999</v>
      </c>
      <c r="AJ271" s="42">
        <f>AH271*AI271</f>
        <v>2288.3105</v>
      </c>
      <c r="AL271" s="42">
        <v>15</v>
      </c>
      <c r="AM271" s="42">
        <v>26.35</v>
      </c>
      <c r="AN271" s="42">
        <f t="shared" ref="AN271:AN311" si="105">AL271*AM271</f>
        <v>395.25</v>
      </c>
      <c r="AO271" s="44"/>
      <c r="AP271" s="42"/>
      <c r="AQ271" s="42"/>
      <c r="AR271" s="42"/>
      <c r="AU271" s="98"/>
      <c r="AV271" s="35">
        <f t="shared" si="91"/>
        <v>0</v>
      </c>
      <c r="AW271" s="104"/>
      <c r="AX271" s="42"/>
      <c r="AY271" s="42"/>
      <c r="AZ271" s="42">
        <f t="shared" si="92"/>
        <v>0</v>
      </c>
      <c r="BA271" s="42"/>
      <c r="BB271" s="42"/>
      <c r="BC271" s="42"/>
      <c r="BD271" s="38">
        <f t="shared" si="100"/>
        <v>0</v>
      </c>
      <c r="BE271" s="42"/>
      <c r="BF271" s="42"/>
      <c r="BG271" s="42"/>
      <c r="BH271" s="38">
        <f t="shared" si="101"/>
        <v>0</v>
      </c>
      <c r="BI271" s="42"/>
      <c r="BJ271" s="42"/>
      <c r="BK271" s="42"/>
      <c r="BL271" s="38">
        <f t="shared" si="102"/>
        <v>0</v>
      </c>
      <c r="BM271" s="42"/>
      <c r="BN271" s="42"/>
      <c r="BO271" s="42"/>
      <c r="BP271" s="42"/>
      <c r="BR271" s="42">
        <f t="shared" si="103"/>
        <v>26442.480499999998</v>
      </c>
      <c r="BS271" s="43">
        <f t="shared" si="104"/>
        <v>2175.0835000000006</v>
      </c>
      <c r="BT271" s="42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  <c r="IM271" s="31"/>
      <c r="IN271" s="31"/>
      <c r="IO271" s="31"/>
      <c r="IP271" s="31"/>
      <c r="IQ271" s="31"/>
      <c r="IR271" s="31"/>
      <c r="IS271" s="31"/>
      <c r="IT271" s="31"/>
      <c r="IU271" s="31"/>
      <c r="IV271" s="31"/>
      <c r="IW271" s="31"/>
      <c r="IX271" s="31"/>
      <c r="IY271" s="31"/>
      <c r="IZ271" s="31"/>
      <c r="JA271" s="31"/>
      <c r="JB271" s="31"/>
      <c r="JC271" s="31"/>
      <c r="JD271" s="31"/>
      <c r="JE271" s="31"/>
      <c r="JF271" s="31"/>
      <c r="JG271" s="31"/>
      <c r="JH271" s="31"/>
      <c r="JI271" s="31"/>
      <c r="JJ271" s="31"/>
      <c r="JK271" s="31"/>
      <c r="JL271" s="31"/>
      <c r="JM271" s="31"/>
      <c r="JN271" s="31"/>
      <c r="JO271" s="31"/>
      <c r="JP271" s="31"/>
      <c r="JQ271" s="31"/>
      <c r="JR271" s="31"/>
      <c r="JS271" s="31"/>
      <c r="JT271" s="31"/>
      <c r="JU271" s="31"/>
      <c r="JV271" s="31"/>
      <c r="JW271" s="31"/>
      <c r="JX271" s="31"/>
      <c r="JY271" s="31"/>
      <c r="JZ271" s="31"/>
      <c r="KA271" s="31"/>
      <c r="KB271" s="31"/>
      <c r="KC271" s="31"/>
      <c r="KD271" s="31"/>
      <c r="KE271" s="31"/>
      <c r="KF271" s="31"/>
      <c r="KG271" s="31"/>
      <c r="KH271" s="31"/>
      <c r="KI271" s="31"/>
      <c r="KJ271" s="31"/>
      <c r="KK271" s="31"/>
      <c r="KL271" s="31"/>
      <c r="KM271" s="31"/>
      <c r="KN271" s="31"/>
      <c r="KO271" s="31"/>
      <c r="KP271" s="31"/>
      <c r="KQ271" s="31"/>
      <c r="KR271" s="31"/>
      <c r="KS271" s="31"/>
      <c r="KT271" s="31"/>
      <c r="KU271" s="31"/>
      <c r="KV271" s="31"/>
      <c r="KW271" s="31"/>
      <c r="KX271" s="31"/>
      <c r="KY271" s="31"/>
      <c r="KZ271" s="31"/>
      <c r="LA271" s="31"/>
      <c r="LB271" s="31"/>
      <c r="LC271" s="31"/>
      <c r="LD271" s="31"/>
      <c r="LE271" s="31"/>
      <c r="LF271" s="31"/>
      <c r="LG271" s="31"/>
      <c r="LH271" s="31"/>
      <c r="LI271" s="31"/>
      <c r="LJ271" s="31"/>
      <c r="LK271" s="31"/>
      <c r="LL271" s="31"/>
      <c r="LM271" s="31"/>
      <c r="LN271" s="31"/>
      <c r="LO271" s="31"/>
      <c r="LP271" s="31"/>
      <c r="LQ271" s="31"/>
      <c r="LR271" s="31"/>
      <c r="LS271" s="31"/>
      <c r="LT271" s="31"/>
      <c r="LU271" s="31"/>
      <c r="LV271" s="31"/>
      <c r="LW271" s="31"/>
      <c r="LX271" s="31"/>
      <c r="LY271" s="31"/>
      <c r="LZ271" s="31"/>
      <c r="MA271" s="31"/>
      <c r="MB271" s="31"/>
      <c r="MC271" s="31"/>
      <c r="MD271" s="31"/>
      <c r="ME271" s="31"/>
      <c r="MF271" s="31"/>
      <c r="MG271" s="31"/>
      <c r="MH271" s="31"/>
      <c r="MI271" s="31"/>
      <c r="MJ271" s="31"/>
      <c r="MK271" s="31"/>
      <c r="ML271" s="31"/>
      <c r="MM271" s="31"/>
      <c r="MN271" s="31"/>
      <c r="MO271" s="31"/>
      <c r="MP271" s="31"/>
      <c r="MQ271" s="31"/>
      <c r="MR271" s="31"/>
      <c r="MS271" s="31"/>
      <c r="MT271" s="31"/>
      <c r="MU271" s="31"/>
      <c r="MV271" s="31"/>
      <c r="MW271" s="31"/>
      <c r="MX271" s="31"/>
      <c r="MY271" s="31"/>
      <c r="MZ271" s="31"/>
      <c r="NA271" s="31"/>
      <c r="NB271" s="31"/>
      <c r="NC271" s="31"/>
      <c r="ND271" s="31"/>
      <c r="NE271" s="31"/>
      <c r="NF271" s="31"/>
      <c r="NG271" s="31"/>
      <c r="NH271" s="31"/>
      <c r="NI271" s="31"/>
      <c r="NJ271" s="31"/>
      <c r="NK271" s="31"/>
      <c r="NL271" s="31"/>
      <c r="NM271" s="31"/>
      <c r="NN271" s="31"/>
      <c r="NO271" s="31"/>
      <c r="NP271" s="31"/>
      <c r="NQ271" s="31"/>
      <c r="NR271" s="31"/>
      <c r="NS271" s="31"/>
      <c r="NT271" s="31"/>
      <c r="NU271" s="31"/>
      <c r="NV271" s="31"/>
      <c r="NW271" s="31"/>
      <c r="NX271" s="31"/>
      <c r="NY271" s="31"/>
      <c r="NZ271" s="31"/>
      <c r="OA271" s="31"/>
      <c r="OB271" s="31"/>
      <c r="OC271" s="31"/>
      <c r="OD271" s="31"/>
      <c r="OE271" s="31"/>
      <c r="OF271" s="31"/>
      <c r="OG271" s="31"/>
      <c r="OH271" s="31"/>
      <c r="OI271" s="31"/>
      <c r="OJ271" s="31"/>
      <c r="OK271" s="31"/>
      <c r="OL271" s="31"/>
      <c r="OM271" s="31"/>
      <c r="ON271" s="31"/>
      <c r="OO271" s="31"/>
      <c r="OP271" s="31"/>
      <c r="OQ271" s="31"/>
      <c r="OR271" s="31"/>
      <c r="OS271" s="31"/>
      <c r="OT271" s="31"/>
      <c r="OU271" s="31"/>
      <c r="OV271" s="31"/>
      <c r="OW271" s="31"/>
      <c r="OX271" s="31"/>
    </row>
    <row r="272" spans="2:414" s="25" customFormat="1" ht="15.6">
      <c r="B272" s="25" t="s">
        <v>409</v>
      </c>
      <c r="C272" s="27" t="s">
        <v>321</v>
      </c>
      <c r="D272" s="30" t="s">
        <v>405</v>
      </c>
      <c r="G272" s="42">
        <v>500</v>
      </c>
      <c r="H272" s="89">
        <v>26.109000000000002</v>
      </c>
      <c r="I272" s="38">
        <f t="shared" si="96"/>
        <v>13054.5</v>
      </c>
      <c r="K272" s="42">
        <v>500</v>
      </c>
      <c r="L272" s="90">
        <v>26.849599999999999</v>
      </c>
      <c r="M272" s="38">
        <f t="shared" si="97"/>
        <v>13424.8</v>
      </c>
      <c r="O272" s="38">
        <v>80</v>
      </c>
      <c r="P272" s="38">
        <v>26.728300000000001</v>
      </c>
      <c r="Q272" s="38">
        <f t="shared" si="98"/>
        <v>2138.2640000000001</v>
      </c>
      <c r="R272" s="43">
        <f t="shared" si="94"/>
        <v>1080</v>
      </c>
      <c r="S272" s="38">
        <f t="shared" si="99"/>
        <v>28617.563999999998</v>
      </c>
      <c r="T272" s="49">
        <v>500</v>
      </c>
      <c r="U272" s="42">
        <v>26.261399999999998</v>
      </c>
      <c r="V272" s="38">
        <f t="shared" si="86"/>
        <v>13130.699999999999</v>
      </c>
      <c r="W272" s="42">
        <v>500</v>
      </c>
      <c r="X272" s="42">
        <v>26.856000000000002</v>
      </c>
      <c r="Y272" s="42">
        <f t="shared" si="88"/>
        <v>13428</v>
      </c>
      <c r="Z272" s="42"/>
      <c r="AA272" s="42"/>
      <c r="AB272" s="42">
        <f t="shared" si="89"/>
        <v>0</v>
      </c>
      <c r="AD272" s="42"/>
      <c r="AE272" s="42"/>
      <c r="AF272" s="42">
        <f t="shared" si="95"/>
        <v>0</v>
      </c>
      <c r="AG272" s="42"/>
      <c r="AH272" s="42"/>
      <c r="AI272" s="42"/>
      <c r="AJ272" s="42"/>
      <c r="AL272" s="42"/>
      <c r="AM272" s="42"/>
      <c r="AN272" s="42">
        <f t="shared" si="105"/>
        <v>0</v>
      </c>
      <c r="AO272" s="44"/>
      <c r="AP272" s="42"/>
      <c r="AQ272" s="42"/>
      <c r="AR272" s="42"/>
      <c r="AU272" s="98"/>
      <c r="AV272" s="35">
        <f t="shared" si="91"/>
        <v>0</v>
      </c>
      <c r="AW272" s="104"/>
      <c r="AX272" s="42"/>
      <c r="AY272" s="42"/>
      <c r="AZ272" s="42">
        <f t="shared" si="92"/>
        <v>0</v>
      </c>
      <c r="BA272" s="42"/>
      <c r="BB272" s="42"/>
      <c r="BC272" s="42"/>
      <c r="BD272" s="38">
        <f t="shared" si="100"/>
        <v>0</v>
      </c>
      <c r="BE272" s="42"/>
      <c r="BF272" s="42"/>
      <c r="BG272" s="42"/>
      <c r="BH272" s="38">
        <f t="shared" si="101"/>
        <v>0</v>
      </c>
      <c r="BI272" s="42"/>
      <c r="BJ272" s="42"/>
      <c r="BK272" s="42"/>
      <c r="BL272" s="38">
        <f t="shared" si="102"/>
        <v>0</v>
      </c>
      <c r="BM272" s="42"/>
      <c r="BN272" s="42"/>
      <c r="BO272" s="42"/>
      <c r="BP272" s="42"/>
      <c r="BR272" s="42">
        <f t="shared" si="103"/>
        <v>26558.699999999997</v>
      </c>
      <c r="BS272" s="43">
        <f t="shared" si="104"/>
        <v>2058.8640000000014</v>
      </c>
      <c r="BT272" s="42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  <c r="JH272" s="31"/>
      <c r="JI272" s="31"/>
      <c r="JJ272" s="31"/>
      <c r="JK272" s="31"/>
      <c r="JL272" s="31"/>
      <c r="JM272" s="31"/>
      <c r="JN272" s="31"/>
      <c r="JO272" s="31"/>
      <c r="JP272" s="31"/>
      <c r="JQ272" s="31"/>
      <c r="JR272" s="31"/>
      <c r="JS272" s="31"/>
      <c r="JT272" s="31"/>
      <c r="JU272" s="31"/>
      <c r="JV272" s="31"/>
      <c r="JW272" s="31"/>
      <c r="JX272" s="31"/>
      <c r="JY272" s="31"/>
      <c r="JZ272" s="31"/>
      <c r="KA272" s="31"/>
      <c r="KB272" s="31"/>
      <c r="KC272" s="31"/>
      <c r="KD272" s="31"/>
      <c r="KE272" s="31"/>
      <c r="KF272" s="31"/>
      <c r="KG272" s="31"/>
      <c r="KH272" s="31"/>
      <c r="KI272" s="31"/>
      <c r="KJ272" s="31"/>
      <c r="KK272" s="31"/>
      <c r="KL272" s="31"/>
      <c r="KM272" s="31"/>
      <c r="KN272" s="31"/>
      <c r="KO272" s="31"/>
      <c r="KP272" s="31"/>
      <c r="KQ272" s="31"/>
      <c r="KR272" s="31"/>
      <c r="KS272" s="31"/>
      <c r="KT272" s="31"/>
      <c r="KU272" s="31"/>
      <c r="KV272" s="31"/>
      <c r="KW272" s="31"/>
      <c r="KX272" s="31"/>
      <c r="KY272" s="31"/>
      <c r="KZ272" s="31"/>
      <c r="LA272" s="31"/>
      <c r="LB272" s="31"/>
      <c r="LC272" s="31"/>
      <c r="LD272" s="31"/>
      <c r="LE272" s="31"/>
      <c r="LF272" s="31"/>
      <c r="LG272" s="31"/>
      <c r="LH272" s="31"/>
      <c r="LI272" s="31"/>
      <c r="LJ272" s="31"/>
      <c r="LK272" s="31"/>
      <c r="LL272" s="31"/>
      <c r="LM272" s="31"/>
      <c r="LN272" s="31"/>
      <c r="LO272" s="31"/>
      <c r="LP272" s="31"/>
      <c r="LQ272" s="31"/>
      <c r="LR272" s="31"/>
      <c r="LS272" s="31"/>
      <c r="LT272" s="31"/>
      <c r="LU272" s="31"/>
      <c r="LV272" s="31"/>
      <c r="LW272" s="31"/>
      <c r="LX272" s="31"/>
      <c r="LY272" s="31"/>
      <c r="LZ272" s="31"/>
      <c r="MA272" s="31"/>
      <c r="MB272" s="31"/>
      <c r="MC272" s="31"/>
      <c r="MD272" s="31"/>
      <c r="ME272" s="31"/>
      <c r="MF272" s="31"/>
      <c r="MG272" s="31"/>
      <c r="MH272" s="31"/>
      <c r="MI272" s="31"/>
      <c r="MJ272" s="31"/>
      <c r="MK272" s="31"/>
      <c r="ML272" s="31"/>
      <c r="MM272" s="31"/>
      <c r="MN272" s="31"/>
      <c r="MO272" s="31"/>
      <c r="MP272" s="31"/>
      <c r="MQ272" s="31"/>
      <c r="MR272" s="31"/>
      <c r="MS272" s="31"/>
      <c r="MT272" s="31"/>
      <c r="MU272" s="31"/>
      <c r="MV272" s="31"/>
      <c r="MW272" s="31"/>
      <c r="MX272" s="31"/>
      <c r="MY272" s="31"/>
      <c r="MZ272" s="31"/>
      <c r="NA272" s="31"/>
      <c r="NB272" s="31"/>
      <c r="NC272" s="31"/>
      <c r="ND272" s="31"/>
      <c r="NE272" s="31"/>
      <c r="NF272" s="31"/>
      <c r="NG272" s="31"/>
      <c r="NH272" s="31"/>
      <c r="NI272" s="31"/>
      <c r="NJ272" s="31"/>
      <c r="NK272" s="31"/>
      <c r="NL272" s="31"/>
      <c r="NM272" s="31"/>
      <c r="NN272" s="31"/>
      <c r="NO272" s="31"/>
      <c r="NP272" s="31"/>
      <c r="NQ272" s="31"/>
      <c r="NR272" s="31"/>
      <c r="NS272" s="31"/>
      <c r="NT272" s="31"/>
      <c r="NU272" s="31"/>
      <c r="NV272" s="31"/>
      <c r="NW272" s="31"/>
      <c r="NX272" s="31"/>
      <c r="NY272" s="31"/>
      <c r="NZ272" s="31"/>
      <c r="OA272" s="31"/>
      <c r="OB272" s="31"/>
      <c r="OC272" s="31"/>
      <c r="OD272" s="31"/>
      <c r="OE272" s="31"/>
      <c r="OF272" s="31"/>
      <c r="OG272" s="31"/>
      <c r="OH272" s="31"/>
      <c r="OI272" s="31"/>
      <c r="OJ272" s="31"/>
      <c r="OK272" s="31"/>
      <c r="OL272" s="31"/>
      <c r="OM272" s="31"/>
      <c r="ON272" s="31"/>
      <c r="OO272" s="31"/>
      <c r="OP272" s="31"/>
      <c r="OQ272" s="31"/>
      <c r="OR272" s="31"/>
      <c r="OS272" s="31"/>
      <c r="OT272" s="31"/>
      <c r="OU272" s="31"/>
      <c r="OV272" s="31"/>
      <c r="OW272" s="31"/>
      <c r="OX272" s="31"/>
    </row>
    <row r="273" spans="1:414" s="25" customFormat="1" ht="15.6">
      <c r="B273" s="25" t="s">
        <v>410</v>
      </c>
      <c r="C273" s="27" t="s">
        <v>411</v>
      </c>
      <c r="D273" s="30" t="s">
        <v>405</v>
      </c>
      <c r="G273" s="42">
        <v>500</v>
      </c>
      <c r="H273" s="89">
        <v>26.109000000000002</v>
      </c>
      <c r="I273" s="38">
        <f t="shared" si="96"/>
        <v>13054.5</v>
      </c>
      <c r="K273" s="42">
        <v>500</v>
      </c>
      <c r="L273" s="90">
        <v>26.849599999999999</v>
      </c>
      <c r="M273" s="38">
        <f t="shared" si="97"/>
        <v>13424.8</v>
      </c>
      <c r="O273" s="38">
        <v>80</v>
      </c>
      <c r="P273" s="38">
        <v>26.728300000000001</v>
      </c>
      <c r="Q273" s="38">
        <f t="shared" si="98"/>
        <v>2138.2640000000001</v>
      </c>
      <c r="R273" s="43">
        <f t="shared" si="94"/>
        <v>1080</v>
      </c>
      <c r="S273" s="38">
        <f t="shared" si="99"/>
        <v>28617.563999999998</v>
      </c>
      <c r="T273" s="49">
        <v>300</v>
      </c>
      <c r="U273" s="42"/>
      <c r="V273" s="38">
        <f t="shared" si="86"/>
        <v>0</v>
      </c>
      <c r="W273" s="42">
        <v>85</v>
      </c>
      <c r="X273" s="42">
        <v>26.194800000000001</v>
      </c>
      <c r="Y273" s="42">
        <f t="shared" si="88"/>
        <v>2226.558</v>
      </c>
      <c r="Z273" s="42">
        <v>115</v>
      </c>
      <c r="AA273" s="42">
        <v>26.261399999999998</v>
      </c>
      <c r="AB273" s="42">
        <f t="shared" si="89"/>
        <v>3020.0609999999997</v>
      </c>
      <c r="AD273" s="42">
        <v>250</v>
      </c>
      <c r="AE273" s="42">
        <v>26.811499999999999</v>
      </c>
      <c r="AF273" s="42">
        <f t="shared" si="95"/>
        <v>6702.875</v>
      </c>
      <c r="AG273" s="42"/>
      <c r="AH273" s="42">
        <v>250</v>
      </c>
      <c r="AI273" s="42">
        <v>26.967199999999998</v>
      </c>
      <c r="AJ273" s="42">
        <f>AH273*AI273</f>
        <v>6741.7999999999993</v>
      </c>
      <c r="AL273" s="42"/>
      <c r="AM273" s="42"/>
      <c r="AN273" s="42">
        <f t="shared" si="105"/>
        <v>0</v>
      </c>
      <c r="AO273" s="44"/>
      <c r="AP273" s="42"/>
      <c r="AQ273" s="42"/>
      <c r="AR273" s="42"/>
      <c r="AU273" s="98"/>
      <c r="AV273" s="35">
        <f t="shared" si="91"/>
        <v>0</v>
      </c>
      <c r="AW273" s="104"/>
      <c r="AX273" s="42"/>
      <c r="AY273" s="42"/>
      <c r="AZ273" s="42">
        <f t="shared" si="92"/>
        <v>0</v>
      </c>
      <c r="BA273" s="42"/>
      <c r="BB273" s="42"/>
      <c r="BC273" s="42"/>
      <c r="BD273" s="38">
        <f t="shared" si="100"/>
        <v>0</v>
      </c>
      <c r="BE273" s="42"/>
      <c r="BF273" s="42"/>
      <c r="BG273" s="42"/>
      <c r="BH273" s="38">
        <f t="shared" si="101"/>
        <v>0</v>
      </c>
      <c r="BI273" s="42"/>
      <c r="BJ273" s="42"/>
      <c r="BK273" s="42"/>
      <c r="BL273" s="38">
        <f t="shared" si="102"/>
        <v>0</v>
      </c>
      <c r="BM273" s="42"/>
      <c r="BN273" s="42"/>
      <c r="BO273" s="42"/>
      <c r="BP273" s="42"/>
      <c r="BR273" s="42">
        <f t="shared" si="103"/>
        <v>18691.293999999998</v>
      </c>
      <c r="BS273" s="43">
        <f t="shared" si="104"/>
        <v>9926.27</v>
      </c>
      <c r="BT273" s="42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  <c r="IM273" s="31"/>
      <c r="IN273" s="31"/>
      <c r="IO273" s="31"/>
      <c r="IP273" s="31"/>
      <c r="IQ273" s="31"/>
      <c r="IR273" s="31"/>
      <c r="IS273" s="31"/>
      <c r="IT273" s="31"/>
      <c r="IU273" s="31"/>
      <c r="IV273" s="31"/>
      <c r="IW273" s="31"/>
      <c r="IX273" s="31"/>
      <c r="IY273" s="31"/>
      <c r="IZ273" s="31"/>
      <c r="JA273" s="31"/>
      <c r="JB273" s="31"/>
      <c r="JC273" s="31"/>
      <c r="JD273" s="31"/>
      <c r="JE273" s="31"/>
      <c r="JF273" s="31"/>
      <c r="JG273" s="31"/>
      <c r="JH273" s="31"/>
      <c r="JI273" s="31"/>
      <c r="JJ273" s="31"/>
      <c r="JK273" s="31"/>
      <c r="JL273" s="31"/>
      <c r="JM273" s="31"/>
      <c r="JN273" s="31"/>
      <c r="JO273" s="31"/>
      <c r="JP273" s="31"/>
      <c r="JQ273" s="31"/>
      <c r="JR273" s="31"/>
      <c r="JS273" s="31"/>
      <c r="JT273" s="31"/>
      <c r="JU273" s="31"/>
      <c r="JV273" s="31"/>
      <c r="JW273" s="31"/>
      <c r="JX273" s="31"/>
      <c r="JY273" s="31"/>
      <c r="JZ273" s="31"/>
      <c r="KA273" s="31"/>
      <c r="KB273" s="31"/>
      <c r="KC273" s="31"/>
      <c r="KD273" s="31"/>
      <c r="KE273" s="31"/>
      <c r="KF273" s="31"/>
      <c r="KG273" s="31"/>
      <c r="KH273" s="31"/>
      <c r="KI273" s="31"/>
      <c r="KJ273" s="31"/>
      <c r="KK273" s="31"/>
      <c r="KL273" s="31"/>
      <c r="KM273" s="31"/>
      <c r="KN273" s="31"/>
      <c r="KO273" s="31"/>
      <c r="KP273" s="31"/>
      <c r="KQ273" s="31"/>
      <c r="KR273" s="31"/>
      <c r="KS273" s="31"/>
      <c r="KT273" s="31"/>
      <c r="KU273" s="31"/>
      <c r="KV273" s="31"/>
      <c r="KW273" s="31"/>
      <c r="KX273" s="31"/>
      <c r="KY273" s="31"/>
      <c r="KZ273" s="31"/>
      <c r="LA273" s="31"/>
      <c r="LB273" s="31"/>
      <c r="LC273" s="31"/>
      <c r="LD273" s="31"/>
      <c r="LE273" s="31"/>
      <c r="LF273" s="31"/>
      <c r="LG273" s="31"/>
      <c r="LH273" s="31"/>
      <c r="LI273" s="31"/>
      <c r="LJ273" s="31"/>
      <c r="LK273" s="31"/>
      <c r="LL273" s="31"/>
      <c r="LM273" s="31"/>
      <c r="LN273" s="31"/>
      <c r="LO273" s="31"/>
      <c r="LP273" s="31"/>
      <c r="LQ273" s="31"/>
      <c r="LR273" s="31"/>
      <c r="LS273" s="31"/>
      <c r="LT273" s="31"/>
      <c r="LU273" s="31"/>
      <c r="LV273" s="31"/>
      <c r="LW273" s="31"/>
      <c r="LX273" s="31"/>
      <c r="LY273" s="31"/>
      <c r="LZ273" s="31"/>
      <c r="MA273" s="31"/>
      <c r="MB273" s="31"/>
      <c r="MC273" s="31"/>
      <c r="MD273" s="31"/>
      <c r="ME273" s="31"/>
      <c r="MF273" s="31"/>
      <c r="MG273" s="31"/>
      <c r="MH273" s="31"/>
      <c r="MI273" s="31"/>
      <c r="MJ273" s="31"/>
      <c r="MK273" s="31"/>
      <c r="ML273" s="31"/>
      <c r="MM273" s="31"/>
      <c r="MN273" s="31"/>
      <c r="MO273" s="31"/>
      <c r="MP273" s="31"/>
      <c r="MQ273" s="31"/>
      <c r="MR273" s="31"/>
      <c r="MS273" s="31"/>
      <c r="MT273" s="31"/>
      <c r="MU273" s="31"/>
      <c r="MV273" s="31"/>
      <c r="MW273" s="31"/>
      <c r="MX273" s="31"/>
      <c r="MY273" s="31"/>
      <c r="MZ273" s="31"/>
      <c r="NA273" s="31"/>
      <c r="NB273" s="31"/>
      <c r="NC273" s="31"/>
      <c r="ND273" s="31"/>
      <c r="NE273" s="31"/>
      <c r="NF273" s="31"/>
      <c r="NG273" s="31"/>
      <c r="NH273" s="31"/>
      <c r="NI273" s="31"/>
      <c r="NJ273" s="31"/>
      <c r="NK273" s="31"/>
      <c r="NL273" s="31"/>
      <c r="NM273" s="31"/>
      <c r="NN273" s="31"/>
      <c r="NO273" s="31"/>
      <c r="NP273" s="31"/>
      <c r="NQ273" s="31"/>
      <c r="NR273" s="31"/>
      <c r="NS273" s="31"/>
      <c r="NT273" s="31"/>
      <c r="NU273" s="31"/>
      <c r="NV273" s="31"/>
      <c r="NW273" s="31"/>
      <c r="NX273" s="31"/>
      <c r="NY273" s="31"/>
      <c r="NZ273" s="31"/>
      <c r="OA273" s="31"/>
      <c r="OB273" s="31"/>
      <c r="OC273" s="31"/>
      <c r="OD273" s="31"/>
      <c r="OE273" s="31"/>
      <c r="OF273" s="31"/>
      <c r="OG273" s="31"/>
      <c r="OH273" s="31"/>
      <c r="OI273" s="31"/>
      <c r="OJ273" s="31"/>
      <c r="OK273" s="31"/>
      <c r="OL273" s="31"/>
      <c r="OM273" s="31"/>
      <c r="ON273" s="31"/>
      <c r="OO273" s="31"/>
      <c r="OP273" s="31"/>
      <c r="OQ273" s="31"/>
      <c r="OR273" s="31"/>
      <c r="OS273" s="31"/>
      <c r="OT273" s="31"/>
      <c r="OU273" s="31"/>
      <c r="OV273" s="31"/>
      <c r="OW273" s="31"/>
      <c r="OX273" s="31"/>
    </row>
    <row r="274" spans="1:414" s="25" customFormat="1" ht="15.6">
      <c r="B274" s="25" t="s">
        <v>412</v>
      </c>
      <c r="C274" s="27" t="s">
        <v>146</v>
      </c>
      <c r="D274" s="30" t="s">
        <v>405</v>
      </c>
      <c r="G274" s="42">
        <v>500</v>
      </c>
      <c r="H274" s="89">
        <v>26.109000000000002</v>
      </c>
      <c r="I274" s="38">
        <f t="shared" si="96"/>
        <v>13054.5</v>
      </c>
      <c r="K274" s="42">
        <v>500</v>
      </c>
      <c r="L274" s="90">
        <v>26.849599999999999</v>
      </c>
      <c r="M274" s="38">
        <f t="shared" si="97"/>
        <v>13424.8</v>
      </c>
      <c r="O274" s="38">
        <v>80</v>
      </c>
      <c r="P274" s="38">
        <v>26.728300000000001</v>
      </c>
      <c r="Q274" s="38">
        <f t="shared" si="98"/>
        <v>2138.2640000000001</v>
      </c>
      <c r="R274" s="43">
        <f t="shared" si="94"/>
        <v>1080</v>
      </c>
      <c r="S274" s="38">
        <f t="shared" si="99"/>
        <v>28617.563999999998</v>
      </c>
      <c r="T274" s="49">
        <v>415</v>
      </c>
      <c r="U274" s="42">
        <v>26.194800000000001</v>
      </c>
      <c r="V274" s="38">
        <f t="shared" si="86"/>
        <v>10870.842000000001</v>
      </c>
      <c r="W274" s="42">
        <v>85</v>
      </c>
      <c r="X274" s="42">
        <v>26.194800000000001</v>
      </c>
      <c r="Y274" s="42">
        <f t="shared" si="88"/>
        <v>2226.558</v>
      </c>
      <c r="Z274" s="42">
        <v>415</v>
      </c>
      <c r="AA274" s="42">
        <v>26.976800000000001</v>
      </c>
      <c r="AB274" s="42">
        <f t="shared" si="89"/>
        <v>11195.372000000001</v>
      </c>
      <c r="AD274" s="42">
        <v>85</v>
      </c>
      <c r="AE274" s="42">
        <v>26.976800000000001</v>
      </c>
      <c r="AF274" s="42">
        <f t="shared" si="95"/>
        <v>2293.0280000000002</v>
      </c>
      <c r="AG274" s="42"/>
      <c r="AH274" s="42"/>
      <c r="AI274" s="42"/>
      <c r="AJ274" s="42"/>
      <c r="AL274" s="42"/>
      <c r="AM274" s="42"/>
      <c r="AN274" s="42">
        <f t="shared" si="105"/>
        <v>0</v>
      </c>
      <c r="AO274" s="44"/>
      <c r="AP274" s="42"/>
      <c r="AQ274" s="42"/>
      <c r="AR274" s="42"/>
      <c r="AU274" s="98"/>
      <c r="AV274" s="35">
        <f t="shared" si="91"/>
        <v>0</v>
      </c>
      <c r="AW274" s="104"/>
      <c r="AX274" s="42"/>
      <c r="AY274" s="42"/>
      <c r="AZ274" s="42">
        <f t="shared" si="92"/>
        <v>0</v>
      </c>
      <c r="BA274" s="42"/>
      <c r="BB274" s="42"/>
      <c r="BC274" s="42"/>
      <c r="BD274" s="38">
        <f t="shared" si="100"/>
        <v>0</v>
      </c>
      <c r="BE274" s="42"/>
      <c r="BF274" s="42"/>
      <c r="BG274" s="42"/>
      <c r="BH274" s="38">
        <f t="shared" si="101"/>
        <v>0</v>
      </c>
      <c r="BI274" s="42"/>
      <c r="BJ274" s="42"/>
      <c r="BK274" s="42"/>
      <c r="BL274" s="38">
        <f t="shared" si="102"/>
        <v>0</v>
      </c>
      <c r="BM274" s="42"/>
      <c r="BN274" s="42"/>
      <c r="BO274" s="42"/>
      <c r="BP274" s="42"/>
      <c r="BR274" s="42">
        <f t="shared" si="103"/>
        <v>26585.800000000003</v>
      </c>
      <c r="BS274" s="43">
        <f t="shared" si="104"/>
        <v>2031.7639999999956</v>
      </c>
      <c r="BT274" s="42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  <c r="JH274" s="31"/>
      <c r="JI274" s="31"/>
      <c r="JJ274" s="31"/>
      <c r="JK274" s="31"/>
      <c r="JL274" s="31"/>
      <c r="JM274" s="31"/>
      <c r="JN274" s="31"/>
      <c r="JO274" s="31"/>
      <c r="JP274" s="31"/>
      <c r="JQ274" s="31"/>
      <c r="JR274" s="31"/>
      <c r="JS274" s="31"/>
      <c r="JT274" s="31"/>
      <c r="JU274" s="31"/>
      <c r="JV274" s="31"/>
      <c r="JW274" s="31"/>
      <c r="JX274" s="31"/>
      <c r="JY274" s="31"/>
      <c r="JZ274" s="31"/>
      <c r="KA274" s="31"/>
      <c r="KB274" s="31"/>
      <c r="KC274" s="31"/>
      <c r="KD274" s="31"/>
      <c r="KE274" s="31"/>
      <c r="KF274" s="31"/>
      <c r="KG274" s="31"/>
      <c r="KH274" s="31"/>
      <c r="KI274" s="31"/>
      <c r="KJ274" s="31"/>
      <c r="KK274" s="31"/>
      <c r="KL274" s="31"/>
      <c r="KM274" s="31"/>
      <c r="KN274" s="31"/>
      <c r="KO274" s="31"/>
      <c r="KP274" s="31"/>
      <c r="KQ274" s="31"/>
      <c r="KR274" s="31"/>
      <c r="KS274" s="31"/>
      <c r="KT274" s="31"/>
      <c r="KU274" s="31"/>
      <c r="KV274" s="31"/>
      <c r="KW274" s="31"/>
      <c r="KX274" s="31"/>
      <c r="KY274" s="31"/>
      <c r="KZ274" s="31"/>
      <c r="LA274" s="31"/>
      <c r="LB274" s="31"/>
      <c r="LC274" s="31"/>
      <c r="LD274" s="31"/>
      <c r="LE274" s="31"/>
      <c r="LF274" s="31"/>
      <c r="LG274" s="31"/>
      <c r="LH274" s="31"/>
      <c r="LI274" s="31"/>
      <c r="LJ274" s="31"/>
      <c r="LK274" s="31"/>
      <c r="LL274" s="31"/>
      <c r="LM274" s="31"/>
      <c r="LN274" s="31"/>
      <c r="LO274" s="31"/>
      <c r="LP274" s="31"/>
      <c r="LQ274" s="31"/>
      <c r="LR274" s="31"/>
      <c r="LS274" s="31"/>
      <c r="LT274" s="31"/>
      <c r="LU274" s="31"/>
      <c r="LV274" s="31"/>
      <c r="LW274" s="31"/>
      <c r="LX274" s="31"/>
      <c r="LY274" s="31"/>
      <c r="LZ274" s="31"/>
      <c r="MA274" s="31"/>
      <c r="MB274" s="31"/>
      <c r="MC274" s="31"/>
      <c r="MD274" s="31"/>
      <c r="ME274" s="31"/>
      <c r="MF274" s="31"/>
      <c r="MG274" s="31"/>
      <c r="MH274" s="31"/>
      <c r="MI274" s="31"/>
      <c r="MJ274" s="31"/>
      <c r="MK274" s="31"/>
      <c r="ML274" s="31"/>
      <c r="MM274" s="31"/>
      <c r="MN274" s="31"/>
      <c r="MO274" s="31"/>
      <c r="MP274" s="31"/>
      <c r="MQ274" s="31"/>
      <c r="MR274" s="31"/>
      <c r="MS274" s="31"/>
      <c r="MT274" s="31"/>
      <c r="MU274" s="31"/>
      <c r="MV274" s="31"/>
      <c r="MW274" s="31"/>
      <c r="MX274" s="31"/>
      <c r="MY274" s="31"/>
      <c r="MZ274" s="31"/>
      <c r="NA274" s="31"/>
      <c r="NB274" s="31"/>
      <c r="NC274" s="31"/>
      <c r="ND274" s="31"/>
      <c r="NE274" s="31"/>
      <c r="NF274" s="31"/>
      <c r="NG274" s="31"/>
      <c r="NH274" s="31"/>
      <c r="NI274" s="31"/>
      <c r="NJ274" s="31"/>
      <c r="NK274" s="31"/>
      <c r="NL274" s="31"/>
      <c r="NM274" s="31"/>
      <c r="NN274" s="31"/>
      <c r="NO274" s="31"/>
      <c r="NP274" s="31"/>
      <c r="NQ274" s="31"/>
      <c r="NR274" s="31"/>
      <c r="NS274" s="31"/>
      <c r="NT274" s="31"/>
      <c r="NU274" s="31"/>
      <c r="NV274" s="31"/>
      <c r="NW274" s="31"/>
      <c r="NX274" s="31"/>
      <c r="NY274" s="31"/>
      <c r="NZ274" s="31"/>
      <c r="OA274" s="31"/>
      <c r="OB274" s="31"/>
      <c r="OC274" s="31"/>
      <c r="OD274" s="31"/>
      <c r="OE274" s="31"/>
      <c r="OF274" s="31"/>
      <c r="OG274" s="31"/>
      <c r="OH274" s="31"/>
      <c r="OI274" s="31"/>
      <c r="OJ274" s="31"/>
      <c r="OK274" s="31"/>
      <c r="OL274" s="31"/>
      <c r="OM274" s="31"/>
      <c r="ON274" s="31"/>
      <c r="OO274" s="31"/>
      <c r="OP274" s="31"/>
      <c r="OQ274" s="31"/>
      <c r="OR274" s="31"/>
      <c r="OS274" s="31"/>
      <c r="OT274" s="31"/>
      <c r="OU274" s="31"/>
      <c r="OV274" s="31"/>
      <c r="OW274" s="31"/>
      <c r="OX274" s="31"/>
    </row>
    <row r="275" spans="1:414" s="25" customFormat="1" ht="15.6">
      <c r="B275" s="25" t="s">
        <v>413</v>
      </c>
      <c r="C275" s="27" t="s">
        <v>414</v>
      </c>
      <c r="D275" s="30" t="s">
        <v>405</v>
      </c>
      <c r="G275" s="42">
        <v>500</v>
      </c>
      <c r="H275" s="89">
        <v>26.109000000000002</v>
      </c>
      <c r="I275" s="38">
        <f t="shared" si="96"/>
        <v>13054.5</v>
      </c>
      <c r="K275" s="42">
        <v>500</v>
      </c>
      <c r="L275" s="90">
        <v>26.849599999999999</v>
      </c>
      <c r="M275" s="38">
        <f t="shared" si="97"/>
        <v>13424.8</v>
      </c>
      <c r="O275" s="38">
        <v>80</v>
      </c>
      <c r="P275" s="38">
        <v>26.728300000000001</v>
      </c>
      <c r="Q275" s="38">
        <f t="shared" si="98"/>
        <v>2138.2640000000001</v>
      </c>
      <c r="R275" s="43">
        <f t="shared" si="94"/>
        <v>1080</v>
      </c>
      <c r="S275" s="38">
        <f t="shared" si="99"/>
        <v>28617.563999999998</v>
      </c>
      <c r="T275" s="49">
        <v>415</v>
      </c>
      <c r="U275" s="42">
        <v>26.283100000000001</v>
      </c>
      <c r="V275" s="38">
        <f t="shared" si="86"/>
        <v>10907.486500000001</v>
      </c>
      <c r="W275" s="42">
        <v>85</v>
      </c>
      <c r="X275" s="42">
        <v>26.109000000000002</v>
      </c>
      <c r="Y275" s="42">
        <f t="shared" si="88"/>
        <v>2219.2650000000003</v>
      </c>
      <c r="Z275" s="42">
        <v>415</v>
      </c>
      <c r="AA275" s="42">
        <v>26.861899999999999</v>
      </c>
      <c r="AB275" s="42">
        <f t="shared" si="89"/>
        <v>11147.6885</v>
      </c>
      <c r="AD275" s="42">
        <v>85</v>
      </c>
      <c r="AE275" s="42">
        <v>26.861899999999999</v>
      </c>
      <c r="AF275" s="42">
        <f t="shared" si="95"/>
        <v>2283.2615000000001</v>
      </c>
      <c r="AG275" s="42"/>
      <c r="AH275" s="42"/>
      <c r="AI275" s="42"/>
      <c r="AJ275" s="42"/>
      <c r="AL275" s="42"/>
      <c r="AM275" s="42"/>
      <c r="AN275" s="42">
        <f t="shared" si="105"/>
        <v>0</v>
      </c>
      <c r="AO275" s="44"/>
      <c r="AP275" s="42"/>
      <c r="AQ275" s="42"/>
      <c r="AR275" s="42"/>
      <c r="AU275" s="98"/>
      <c r="AV275" s="35">
        <f t="shared" si="91"/>
        <v>0</v>
      </c>
      <c r="AW275" s="104"/>
      <c r="AX275" s="42"/>
      <c r="AY275" s="42"/>
      <c r="AZ275" s="42">
        <f t="shared" si="92"/>
        <v>0</v>
      </c>
      <c r="BA275" s="42"/>
      <c r="BB275" s="42"/>
      <c r="BC275" s="42"/>
      <c r="BD275" s="38">
        <f t="shared" si="100"/>
        <v>0</v>
      </c>
      <c r="BE275" s="42"/>
      <c r="BF275" s="42"/>
      <c r="BG275" s="42"/>
      <c r="BH275" s="38">
        <f t="shared" si="101"/>
        <v>0</v>
      </c>
      <c r="BI275" s="42"/>
      <c r="BJ275" s="42"/>
      <c r="BK275" s="42"/>
      <c r="BL275" s="38">
        <f t="shared" si="102"/>
        <v>0</v>
      </c>
      <c r="BM275" s="42"/>
      <c r="BN275" s="42"/>
      <c r="BO275" s="42"/>
      <c r="BP275" s="42"/>
      <c r="BR275" s="42">
        <f t="shared" si="103"/>
        <v>26557.701500000003</v>
      </c>
      <c r="BS275" s="43">
        <f t="shared" si="104"/>
        <v>2059.8624999999956</v>
      </c>
      <c r="BT275" s="42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  <c r="IM275" s="31"/>
      <c r="IN275" s="31"/>
      <c r="IO275" s="31"/>
      <c r="IP275" s="31"/>
      <c r="IQ275" s="31"/>
      <c r="IR275" s="31"/>
      <c r="IS275" s="31"/>
      <c r="IT275" s="31"/>
      <c r="IU275" s="31"/>
      <c r="IV275" s="31"/>
      <c r="IW275" s="31"/>
      <c r="IX275" s="31"/>
      <c r="IY275" s="31"/>
      <c r="IZ275" s="31"/>
      <c r="JA275" s="31"/>
      <c r="JB275" s="31"/>
      <c r="JC275" s="31"/>
      <c r="JD275" s="31"/>
      <c r="JE275" s="31"/>
      <c r="JF275" s="31"/>
      <c r="JG275" s="31"/>
      <c r="JH275" s="31"/>
      <c r="JI275" s="31"/>
      <c r="JJ275" s="31"/>
      <c r="JK275" s="31"/>
      <c r="JL275" s="31"/>
      <c r="JM275" s="31"/>
      <c r="JN275" s="31"/>
      <c r="JO275" s="31"/>
      <c r="JP275" s="31"/>
      <c r="JQ275" s="31"/>
      <c r="JR275" s="31"/>
      <c r="JS275" s="31"/>
      <c r="JT275" s="31"/>
      <c r="JU275" s="31"/>
      <c r="JV275" s="31"/>
      <c r="JW275" s="31"/>
      <c r="JX275" s="31"/>
      <c r="JY275" s="31"/>
      <c r="JZ275" s="31"/>
      <c r="KA275" s="31"/>
      <c r="KB275" s="31"/>
      <c r="KC275" s="31"/>
      <c r="KD275" s="31"/>
      <c r="KE275" s="31"/>
      <c r="KF275" s="31"/>
      <c r="KG275" s="31"/>
      <c r="KH275" s="31"/>
      <c r="KI275" s="31"/>
      <c r="KJ275" s="31"/>
      <c r="KK275" s="31"/>
      <c r="KL275" s="31"/>
      <c r="KM275" s="31"/>
      <c r="KN275" s="31"/>
      <c r="KO275" s="31"/>
      <c r="KP275" s="31"/>
      <c r="KQ275" s="31"/>
      <c r="KR275" s="31"/>
      <c r="KS275" s="31"/>
      <c r="KT275" s="31"/>
      <c r="KU275" s="31"/>
      <c r="KV275" s="31"/>
      <c r="KW275" s="31"/>
      <c r="KX275" s="31"/>
      <c r="KY275" s="31"/>
      <c r="KZ275" s="31"/>
      <c r="LA275" s="31"/>
      <c r="LB275" s="31"/>
      <c r="LC275" s="31"/>
      <c r="LD275" s="31"/>
      <c r="LE275" s="31"/>
      <c r="LF275" s="31"/>
      <c r="LG275" s="31"/>
      <c r="LH275" s="31"/>
      <c r="LI275" s="31"/>
      <c r="LJ275" s="31"/>
      <c r="LK275" s="31"/>
      <c r="LL275" s="31"/>
      <c r="LM275" s="31"/>
      <c r="LN275" s="31"/>
      <c r="LO275" s="31"/>
      <c r="LP275" s="31"/>
      <c r="LQ275" s="31"/>
      <c r="LR275" s="31"/>
      <c r="LS275" s="31"/>
      <c r="LT275" s="31"/>
      <c r="LU275" s="31"/>
      <c r="LV275" s="31"/>
      <c r="LW275" s="31"/>
      <c r="LX275" s="31"/>
      <c r="LY275" s="31"/>
      <c r="LZ275" s="31"/>
      <c r="MA275" s="31"/>
      <c r="MB275" s="31"/>
      <c r="MC275" s="31"/>
      <c r="MD275" s="31"/>
      <c r="ME275" s="31"/>
      <c r="MF275" s="31"/>
      <c r="MG275" s="31"/>
      <c r="MH275" s="31"/>
      <c r="MI275" s="31"/>
      <c r="MJ275" s="31"/>
      <c r="MK275" s="31"/>
      <c r="ML275" s="31"/>
      <c r="MM275" s="31"/>
      <c r="MN275" s="31"/>
      <c r="MO275" s="31"/>
      <c r="MP275" s="31"/>
      <c r="MQ275" s="31"/>
      <c r="MR275" s="31"/>
      <c r="MS275" s="31"/>
      <c r="MT275" s="31"/>
      <c r="MU275" s="31"/>
      <c r="MV275" s="31"/>
      <c r="MW275" s="31"/>
      <c r="MX275" s="31"/>
      <c r="MY275" s="31"/>
      <c r="MZ275" s="31"/>
      <c r="NA275" s="31"/>
      <c r="NB275" s="31"/>
      <c r="NC275" s="31"/>
      <c r="ND275" s="31"/>
      <c r="NE275" s="31"/>
      <c r="NF275" s="31"/>
      <c r="NG275" s="31"/>
      <c r="NH275" s="31"/>
      <c r="NI275" s="31"/>
      <c r="NJ275" s="31"/>
      <c r="NK275" s="31"/>
      <c r="NL275" s="31"/>
      <c r="NM275" s="31"/>
      <c r="NN275" s="31"/>
      <c r="NO275" s="31"/>
      <c r="NP275" s="31"/>
      <c r="NQ275" s="31"/>
      <c r="NR275" s="31"/>
      <c r="NS275" s="31"/>
      <c r="NT275" s="31"/>
      <c r="NU275" s="31"/>
      <c r="NV275" s="31"/>
      <c r="NW275" s="31"/>
      <c r="NX275" s="31"/>
      <c r="NY275" s="31"/>
      <c r="NZ275" s="31"/>
      <c r="OA275" s="31"/>
      <c r="OB275" s="31"/>
      <c r="OC275" s="31"/>
      <c r="OD275" s="31"/>
      <c r="OE275" s="31"/>
      <c r="OF275" s="31"/>
      <c r="OG275" s="31"/>
      <c r="OH275" s="31"/>
      <c r="OI275" s="31"/>
      <c r="OJ275" s="31"/>
      <c r="OK275" s="31"/>
      <c r="OL275" s="31"/>
      <c r="OM275" s="31"/>
      <c r="ON275" s="31"/>
      <c r="OO275" s="31"/>
      <c r="OP275" s="31"/>
      <c r="OQ275" s="31"/>
      <c r="OR275" s="31"/>
      <c r="OS275" s="31"/>
      <c r="OT275" s="31"/>
      <c r="OU275" s="31"/>
      <c r="OV275" s="31"/>
      <c r="OW275" s="31"/>
      <c r="OX275" s="31"/>
    </row>
    <row r="276" spans="1:414" s="25" customFormat="1" ht="15.6">
      <c r="B276" s="25" t="s">
        <v>416</v>
      </c>
      <c r="C276" s="27" t="s">
        <v>415</v>
      </c>
      <c r="D276" s="30" t="s">
        <v>405</v>
      </c>
      <c r="G276" s="42">
        <v>500</v>
      </c>
      <c r="H276" s="89">
        <v>26.109000000000002</v>
      </c>
      <c r="I276" s="38">
        <f t="shared" si="96"/>
        <v>13054.5</v>
      </c>
      <c r="K276" s="42">
        <v>500</v>
      </c>
      <c r="L276" s="90">
        <v>26.849599999999999</v>
      </c>
      <c r="M276" s="38">
        <f t="shared" si="97"/>
        <v>13424.8</v>
      </c>
      <c r="O276" s="38">
        <v>80</v>
      </c>
      <c r="P276" s="38">
        <v>26.728300000000001</v>
      </c>
      <c r="Q276" s="38">
        <f t="shared" si="98"/>
        <v>2138.2640000000001</v>
      </c>
      <c r="R276" s="43">
        <f t="shared" si="94"/>
        <v>1080</v>
      </c>
      <c r="S276" s="38">
        <f t="shared" si="99"/>
        <v>28617.563999999998</v>
      </c>
      <c r="T276" s="49">
        <v>415</v>
      </c>
      <c r="U276" s="42">
        <v>26.283100000000001</v>
      </c>
      <c r="V276" s="38">
        <f t="shared" si="86"/>
        <v>10907.486500000001</v>
      </c>
      <c r="W276" s="42">
        <v>85</v>
      </c>
      <c r="X276" s="42">
        <v>26.109000000000002</v>
      </c>
      <c r="Y276" s="42">
        <f t="shared" si="88"/>
        <v>2219.2650000000003</v>
      </c>
      <c r="Z276" s="42">
        <v>250</v>
      </c>
      <c r="AA276" s="42">
        <v>26.8719</v>
      </c>
      <c r="AB276" s="42">
        <f t="shared" si="89"/>
        <v>6717.9750000000004</v>
      </c>
      <c r="AD276" s="42">
        <v>165</v>
      </c>
      <c r="AE276" s="42">
        <v>26.9239</v>
      </c>
      <c r="AF276" s="42">
        <f t="shared" si="95"/>
        <v>4442.4435000000003</v>
      </c>
      <c r="AG276" s="42"/>
      <c r="AH276" s="42">
        <v>85</v>
      </c>
      <c r="AI276" s="42">
        <v>26.9239</v>
      </c>
      <c r="AJ276" s="42">
        <f>AH276*AI276</f>
        <v>2288.5315000000001</v>
      </c>
      <c r="AL276" s="42"/>
      <c r="AM276" s="42"/>
      <c r="AN276" s="42">
        <f t="shared" si="105"/>
        <v>0</v>
      </c>
      <c r="AO276" s="44"/>
      <c r="AP276" s="42"/>
      <c r="AQ276" s="42"/>
      <c r="AR276" s="42"/>
      <c r="AU276" s="98"/>
      <c r="AV276" s="35">
        <f t="shared" si="91"/>
        <v>0</v>
      </c>
      <c r="AW276" s="104"/>
      <c r="AX276" s="42"/>
      <c r="AY276" s="42"/>
      <c r="AZ276" s="42">
        <f t="shared" si="92"/>
        <v>0</v>
      </c>
      <c r="BA276" s="42"/>
      <c r="BB276" s="42"/>
      <c r="BC276" s="42"/>
      <c r="BD276" s="38">
        <f t="shared" si="100"/>
        <v>0</v>
      </c>
      <c r="BE276" s="42"/>
      <c r="BF276" s="42"/>
      <c r="BG276" s="42"/>
      <c r="BH276" s="38">
        <f t="shared" si="101"/>
        <v>0</v>
      </c>
      <c r="BI276" s="42"/>
      <c r="BJ276" s="42"/>
      <c r="BK276" s="42"/>
      <c r="BL276" s="38">
        <f t="shared" si="102"/>
        <v>0</v>
      </c>
      <c r="BM276" s="42"/>
      <c r="BN276" s="42"/>
      <c r="BO276" s="42"/>
      <c r="BP276" s="42"/>
      <c r="BR276" s="42">
        <f t="shared" si="103"/>
        <v>26575.701500000006</v>
      </c>
      <c r="BS276" s="43">
        <f t="shared" si="104"/>
        <v>2041.862499999992</v>
      </c>
      <c r="BT276" s="42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  <c r="JH276" s="31"/>
      <c r="JI276" s="31"/>
      <c r="JJ276" s="31"/>
      <c r="JK276" s="31"/>
      <c r="JL276" s="31"/>
      <c r="JM276" s="31"/>
      <c r="JN276" s="31"/>
      <c r="JO276" s="31"/>
      <c r="JP276" s="31"/>
      <c r="JQ276" s="31"/>
      <c r="JR276" s="31"/>
      <c r="JS276" s="31"/>
      <c r="JT276" s="31"/>
      <c r="JU276" s="31"/>
      <c r="JV276" s="31"/>
      <c r="JW276" s="31"/>
      <c r="JX276" s="31"/>
      <c r="JY276" s="31"/>
      <c r="JZ276" s="31"/>
      <c r="KA276" s="31"/>
      <c r="KB276" s="31"/>
      <c r="KC276" s="31"/>
      <c r="KD276" s="31"/>
      <c r="KE276" s="31"/>
      <c r="KF276" s="31"/>
      <c r="KG276" s="31"/>
      <c r="KH276" s="31"/>
      <c r="KI276" s="31"/>
      <c r="KJ276" s="31"/>
      <c r="KK276" s="31"/>
      <c r="KL276" s="31"/>
      <c r="KM276" s="31"/>
      <c r="KN276" s="31"/>
      <c r="KO276" s="31"/>
      <c r="KP276" s="31"/>
      <c r="KQ276" s="31"/>
      <c r="KR276" s="31"/>
      <c r="KS276" s="31"/>
      <c r="KT276" s="31"/>
      <c r="KU276" s="31"/>
      <c r="KV276" s="31"/>
      <c r="KW276" s="31"/>
      <c r="KX276" s="31"/>
      <c r="KY276" s="31"/>
      <c r="KZ276" s="31"/>
      <c r="LA276" s="31"/>
      <c r="LB276" s="31"/>
      <c r="LC276" s="31"/>
      <c r="LD276" s="31"/>
      <c r="LE276" s="31"/>
      <c r="LF276" s="31"/>
      <c r="LG276" s="31"/>
      <c r="LH276" s="31"/>
      <c r="LI276" s="31"/>
      <c r="LJ276" s="31"/>
      <c r="LK276" s="31"/>
      <c r="LL276" s="31"/>
      <c r="LM276" s="31"/>
      <c r="LN276" s="31"/>
      <c r="LO276" s="31"/>
      <c r="LP276" s="31"/>
      <c r="LQ276" s="31"/>
      <c r="LR276" s="31"/>
      <c r="LS276" s="31"/>
      <c r="LT276" s="31"/>
      <c r="LU276" s="31"/>
      <c r="LV276" s="31"/>
      <c r="LW276" s="31"/>
      <c r="LX276" s="31"/>
      <c r="LY276" s="31"/>
      <c r="LZ276" s="31"/>
      <c r="MA276" s="31"/>
      <c r="MB276" s="31"/>
      <c r="MC276" s="31"/>
      <c r="MD276" s="31"/>
      <c r="ME276" s="31"/>
      <c r="MF276" s="31"/>
      <c r="MG276" s="31"/>
      <c r="MH276" s="31"/>
      <c r="MI276" s="31"/>
      <c r="MJ276" s="31"/>
      <c r="MK276" s="31"/>
      <c r="ML276" s="31"/>
      <c r="MM276" s="31"/>
      <c r="MN276" s="31"/>
      <c r="MO276" s="31"/>
      <c r="MP276" s="31"/>
      <c r="MQ276" s="31"/>
      <c r="MR276" s="31"/>
      <c r="MS276" s="31"/>
      <c r="MT276" s="31"/>
      <c r="MU276" s="31"/>
      <c r="MV276" s="31"/>
      <c r="MW276" s="31"/>
      <c r="MX276" s="31"/>
      <c r="MY276" s="31"/>
      <c r="MZ276" s="31"/>
      <c r="NA276" s="31"/>
      <c r="NB276" s="31"/>
      <c r="NC276" s="31"/>
      <c r="ND276" s="31"/>
      <c r="NE276" s="31"/>
      <c r="NF276" s="31"/>
      <c r="NG276" s="31"/>
      <c r="NH276" s="31"/>
      <c r="NI276" s="31"/>
      <c r="NJ276" s="31"/>
      <c r="NK276" s="31"/>
      <c r="NL276" s="31"/>
      <c r="NM276" s="31"/>
      <c r="NN276" s="31"/>
      <c r="NO276" s="31"/>
      <c r="NP276" s="31"/>
      <c r="NQ276" s="31"/>
      <c r="NR276" s="31"/>
      <c r="NS276" s="31"/>
      <c r="NT276" s="31"/>
      <c r="NU276" s="31"/>
      <c r="NV276" s="31"/>
      <c r="NW276" s="31"/>
      <c r="NX276" s="31"/>
      <c r="NY276" s="31"/>
      <c r="NZ276" s="31"/>
      <c r="OA276" s="31"/>
      <c r="OB276" s="31"/>
      <c r="OC276" s="31"/>
      <c r="OD276" s="31"/>
      <c r="OE276" s="31"/>
      <c r="OF276" s="31"/>
      <c r="OG276" s="31"/>
      <c r="OH276" s="31"/>
      <c r="OI276" s="31"/>
      <c r="OJ276" s="31"/>
      <c r="OK276" s="31"/>
      <c r="OL276" s="31"/>
      <c r="OM276" s="31"/>
      <c r="ON276" s="31"/>
      <c r="OO276" s="31"/>
      <c r="OP276" s="31"/>
      <c r="OQ276" s="31"/>
      <c r="OR276" s="31"/>
      <c r="OS276" s="31"/>
      <c r="OT276" s="31"/>
      <c r="OU276" s="31"/>
      <c r="OV276" s="31"/>
      <c r="OW276" s="31"/>
      <c r="OX276" s="31"/>
    </row>
    <row r="277" spans="1:414" s="25" customFormat="1" ht="15.6">
      <c r="B277" s="25" t="s">
        <v>417</v>
      </c>
      <c r="C277" s="27" t="s">
        <v>142</v>
      </c>
      <c r="D277" s="30" t="s">
        <v>405</v>
      </c>
      <c r="G277" s="42">
        <v>500</v>
      </c>
      <c r="H277" s="89">
        <v>26.109000000000002</v>
      </c>
      <c r="I277" s="38">
        <f t="shared" si="96"/>
        <v>13054.5</v>
      </c>
      <c r="K277" s="42">
        <v>500</v>
      </c>
      <c r="L277" s="90">
        <v>26.849599999999999</v>
      </c>
      <c r="M277" s="38">
        <f t="shared" si="97"/>
        <v>13424.8</v>
      </c>
      <c r="O277" s="38">
        <v>80</v>
      </c>
      <c r="P277" s="38">
        <v>26.728300000000001</v>
      </c>
      <c r="Q277" s="38">
        <f t="shared" si="98"/>
        <v>2138.2640000000001</v>
      </c>
      <c r="R277" s="43">
        <f t="shared" si="94"/>
        <v>1080</v>
      </c>
      <c r="S277" s="38">
        <f t="shared" si="99"/>
        <v>28617.563999999998</v>
      </c>
      <c r="T277" s="49">
        <v>415</v>
      </c>
      <c r="U277" s="42">
        <v>26.023700000000002</v>
      </c>
      <c r="V277" s="38">
        <f t="shared" si="86"/>
        <v>10799.835500000001</v>
      </c>
      <c r="W277" s="42">
        <v>85</v>
      </c>
      <c r="X277" s="42">
        <v>26.283100000000001</v>
      </c>
      <c r="Y277" s="42">
        <f t="shared" si="88"/>
        <v>2234.0635000000002</v>
      </c>
      <c r="Z277" s="42">
        <v>320</v>
      </c>
      <c r="AA277" s="42">
        <v>26.861899999999999</v>
      </c>
      <c r="AB277" s="42">
        <f t="shared" si="89"/>
        <v>8595.8079999999991</v>
      </c>
      <c r="AD277" s="42">
        <v>85</v>
      </c>
      <c r="AE277" s="42">
        <v>26.861899999999999</v>
      </c>
      <c r="AF277" s="42">
        <f t="shared" si="95"/>
        <v>2283.2615000000001</v>
      </c>
      <c r="AG277" s="42"/>
      <c r="AH277" s="42">
        <v>85</v>
      </c>
      <c r="AI277" s="42">
        <v>26.861899999999999</v>
      </c>
      <c r="AJ277" s="42">
        <f t="shared" ref="AJ277:AJ325" si="106">AH277*AI277</f>
        <v>2283.2615000000001</v>
      </c>
      <c r="AL277" s="42">
        <v>10</v>
      </c>
      <c r="AM277" s="42">
        <v>26.976800000000001</v>
      </c>
      <c r="AN277" s="42">
        <f t="shared" si="105"/>
        <v>269.76800000000003</v>
      </c>
      <c r="AO277" s="44"/>
      <c r="AP277" s="42"/>
      <c r="AQ277" s="42"/>
      <c r="AR277" s="42"/>
      <c r="AU277" s="98"/>
      <c r="AV277" s="35">
        <f t="shared" si="91"/>
        <v>0</v>
      </c>
      <c r="AW277" s="104"/>
      <c r="AX277" s="42"/>
      <c r="AY277" s="42"/>
      <c r="AZ277" s="42">
        <f t="shared" si="92"/>
        <v>0</v>
      </c>
      <c r="BA277" s="42"/>
      <c r="BB277" s="42"/>
      <c r="BC277" s="42"/>
      <c r="BD277" s="38">
        <f t="shared" si="100"/>
        <v>0</v>
      </c>
      <c r="BE277" s="42"/>
      <c r="BF277" s="42"/>
      <c r="BG277" s="42"/>
      <c r="BH277" s="38">
        <f t="shared" si="101"/>
        <v>0</v>
      </c>
      <c r="BI277" s="42"/>
      <c r="BJ277" s="42"/>
      <c r="BK277" s="42"/>
      <c r="BL277" s="38">
        <f t="shared" si="102"/>
        <v>0</v>
      </c>
      <c r="BM277" s="42"/>
      <c r="BN277" s="42"/>
      <c r="BO277" s="42"/>
      <c r="BP277" s="42"/>
      <c r="BR277" s="42">
        <f t="shared" si="103"/>
        <v>26465.998000000003</v>
      </c>
      <c r="BS277" s="43">
        <f t="shared" si="104"/>
        <v>2151.5659999999953</v>
      </c>
      <c r="BT277" s="42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  <c r="IM277" s="31"/>
      <c r="IN277" s="31"/>
      <c r="IO277" s="31"/>
      <c r="IP277" s="31"/>
      <c r="IQ277" s="31"/>
      <c r="IR277" s="31"/>
      <c r="IS277" s="31"/>
      <c r="IT277" s="31"/>
      <c r="IU277" s="31"/>
      <c r="IV277" s="31"/>
      <c r="IW277" s="31"/>
      <c r="IX277" s="31"/>
      <c r="IY277" s="31"/>
      <c r="IZ277" s="31"/>
      <c r="JA277" s="31"/>
      <c r="JB277" s="31"/>
      <c r="JC277" s="31"/>
      <c r="JD277" s="31"/>
      <c r="JE277" s="31"/>
      <c r="JF277" s="31"/>
      <c r="JG277" s="31"/>
      <c r="JH277" s="31"/>
      <c r="JI277" s="31"/>
      <c r="JJ277" s="31"/>
      <c r="JK277" s="31"/>
      <c r="JL277" s="31"/>
      <c r="JM277" s="31"/>
      <c r="JN277" s="31"/>
      <c r="JO277" s="31"/>
      <c r="JP277" s="31"/>
      <c r="JQ277" s="31"/>
      <c r="JR277" s="31"/>
      <c r="JS277" s="31"/>
      <c r="JT277" s="31"/>
      <c r="JU277" s="31"/>
      <c r="JV277" s="31"/>
      <c r="JW277" s="31"/>
      <c r="JX277" s="31"/>
      <c r="JY277" s="31"/>
      <c r="JZ277" s="31"/>
      <c r="KA277" s="31"/>
      <c r="KB277" s="31"/>
      <c r="KC277" s="31"/>
      <c r="KD277" s="31"/>
      <c r="KE277" s="31"/>
      <c r="KF277" s="31"/>
      <c r="KG277" s="31"/>
      <c r="KH277" s="31"/>
      <c r="KI277" s="31"/>
      <c r="KJ277" s="31"/>
      <c r="KK277" s="31"/>
      <c r="KL277" s="31"/>
      <c r="KM277" s="31"/>
      <c r="KN277" s="31"/>
      <c r="KO277" s="31"/>
      <c r="KP277" s="31"/>
      <c r="KQ277" s="31"/>
      <c r="KR277" s="31"/>
      <c r="KS277" s="31"/>
      <c r="KT277" s="31"/>
      <c r="KU277" s="31"/>
      <c r="KV277" s="31"/>
      <c r="KW277" s="31"/>
      <c r="KX277" s="31"/>
      <c r="KY277" s="31"/>
      <c r="KZ277" s="31"/>
      <c r="LA277" s="31"/>
      <c r="LB277" s="31"/>
      <c r="LC277" s="31"/>
      <c r="LD277" s="31"/>
      <c r="LE277" s="31"/>
      <c r="LF277" s="31"/>
      <c r="LG277" s="31"/>
      <c r="LH277" s="31"/>
      <c r="LI277" s="31"/>
      <c r="LJ277" s="31"/>
      <c r="LK277" s="31"/>
      <c r="LL277" s="31"/>
      <c r="LM277" s="31"/>
      <c r="LN277" s="31"/>
      <c r="LO277" s="31"/>
      <c r="LP277" s="31"/>
      <c r="LQ277" s="31"/>
      <c r="LR277" s="31"/>
      <c r="LS277" s="31"/>
      <c r="LT277" s="31"/>
      <c r="LU277" s="31"/>
      <c r="LV277" s="31"/>
      <c r="LW277" s="31"/>
      <c r="LX277" s="31"/>
      <c r="LY277" s="31"/>
      <c r="LZ277" s="31"/>
      <c r="MA277" s="31"/>
      <c r="MB277" s="31"/>
      <c r="MC277" s="31"/>
      <c r="MD277" s="31"/>
      <c r="ME277" s="31"/>
      <c r="MF277" s="31"/>
      <c r="MG277" s="31"/>
      <c r="MH277" s="31"/>
      <c r="MI277" s="31"/>
      <c r="MJ277" s="31"/>
      <c r="MK277" s="31"/>
      <c r="ML277" s="31"/>
      <c r="MM277" s="31"/>
      <c r="MN277" s="31"/>
      <c r="MO277" s="31"/>
      <c r="MP277" s="31"/>
      <c r="MQ277" s="31"/>
      <c r="MR277" s="31"/>
      <c r="MS277" s="31"/>
      <c r="MT277" s="31"/>
      <c r="MU277" s="31"/>
      <c r="MV277" s="31"/>
      <c r="MW277" s="31"/>
      <c r="MX277" s="31"/>
      <c r="MY277" s="31"/>
      <c r="MZ277" s="31"/>
      <c r="NA277" s="31"/>
      <c r="NB277" s="31"/>
      <c r="NC277" s="31"/>
      <c r="ND277" s="31"/>
      <c r="NE277" s="31"/>
      <c r="NF277" s="31"/>
      <c r="NG277" s="31"/>
      <c r="NH277" s="31"/>
      <c r="NI277" s="31"/>
      <c r="NJ277" s="31"/>
      <c r="NK277" s="31"/>
      <c r="NL277" s="31"/>
      <c r="NM277" s="31"/>
      <c r="NN277" s="31"/>
      <c r="NO277" s="31"/>
      <c r="NP277" s="31"/>
      <c r="NQ277" s="31"/>
      <c r="NR277" s="31"/>
      <c r="NS277" s="31"/>
      <c r="NT277" s="31"/>
      <c r="NU277" s="31"/>
      <c r="NV277" s="31"/>
      <c r="NW277" s="31"/>
      <c r="NX277" s="31"/>
      <c r="NY277" s="31"/>
      <c r="NZ277" s="31"/>
      <c r="OA277" s="31"/>
      <c r="OB277" s="31"/>
      <c r="OC277" s="31"/>
      <c r="OD277" s="31"/>
      <c r="OE277" s="31"/>
      <c r="OF277" s="31"/>
      <c r="OG277" s="31"/>
      <c r="OH277" s="31"/>
      <c r="OI277" s="31"/>
      <c r="OJ277" s="31"/>
      <c r="OK277" s="31"/>
      <c r="OL277" s="31"/>
      <c r="OM277" s="31"/>
      <c r="ON277" s="31"/>
      <c r="OO277" s="31"/>
      <c r="OP277" s="31"/>
      <c r="OQ277" s="31"/>
      <c r="OR277" s="31"/>
      <c r="OS277" s="31"/>
      <c r="OT277" s="31"/>
      <c r="OU277" s="31"/>
      <c r="OV277" s="31"/>
      <c r="OW277" s="31"/>
      <c r="OX277" s="31"/>
    </row>
    <row r="278" spans="1:414" s="25" customFormat="1" ht="15.6">
      <c r="B278" s="25" t="s">
        <v>418</v>
      </c>
      <c r="C278" s="27" t="s">
        <v>419</v>
      </c>
      <c r="D278" s="30" t="s">
        <v>405</v>
      </c>
      <c r="G278" s="42">
        <v>500</v>
      </c>
      <c r="H278" s="89">
        <v>26.109000000000002</v>
      </c>
      <c r="I278" s="38">
        <f t="shared" si="96"/>
        <v>13054.5</v>
      </c>
      <c r="K278" s="42">
        <v>500</v>
      </c>
      <c r="L278" s="90">
        <v>26.849599999999999</v>
      </c>
      <c r="M278" s="38">
        <f t="shared" si="97"/>
        <v>13424.8</v>
      </c>
      <c r="O278" s="38">
        <v>80</v>
      </c>
      <c r="P278" s="38">
        <v>26.728300000000001</v>
      </c>
      <c r="Q278" s="38">
        <f t="shared" si="98"/>
        <v>2138.2640000000001</v>
      </c>
      <c r="R278" s="43">
        <f t="shared" si="94"/>
        <v>1080</v>
      </c>
      <c r="S278" s="38">
        <f t="shared" si="99"/>
        <v>28617.563999999998</v>
      </c>
      <c r="T278" s="49"/>
      <c r="U278" s="42"/>
      <c r="V278" s="38">
        <f t="shared" si="86"/>
        <v>0</v>
      </c>
      <c r="W278" s="42"/>
      <c r="X278" s="42"/>
      <c r="Y278" s="42">
        <f t="shared" si="88"/>
        <v>0</v>
      </c>
      <c r="Z278" s="42"/>
      <c r="AA278" s="42"/>
      <c r="AB278" s="42">
        <f t="shared" si="89"/>
        <v>0</v>
      </c>
      <c r="AD278" s="42"/>
      <c r="AE278" s="42"/>
      <c r="AF278" s="42">
        <f t="shared" si="95"/>
        <v>0</v>
      </c>
      <c r="AG278" s="42"/>
      <c r="AH278" s="42"/>
      <c r="AI278" s="42"/>
      <c r="AJ278" s="42">
        <f t="shared" si="106"/>
        <v>0</v>
      </c>
      <c r="AL278" s="42"/>
      <c r="AM278" s="42"/>
      <c r="AN278" s="42">
        <f t="shared" si="105"/>
        <v>0</v>
      </c>
      <c r="AO278" s="44"/>
      <c r="AP278" s="42"/>
      <c r="AQ278" s="42"/>
      <c r="AR278" s="42"/>
      <c r="AU278" s="98"/>
      <c r="AV278" s="35">
        <f t="shared" si="91"/>
        <v>0</v>
      </c>
      <c r="AW278" s="104"/>
      <c r="AX278" s="42"/>
      <c r="AY278" s="42"/>
      <c r="AZ278" s="42">
        <f t="shared" si="92"/>
        <v>0</v>
      </c>
      <c r="BA278" s="42"/>
      <c r="BB278" s="42"/>
      <c r="BC278" s="42"/>
      <c r="BD278" s="38">
        <f t="shared" si="100"/>
        <v>0</v>
      </c>
      <c r="BE278" s="42"/>
      <c r="BF278" s="42"/>
      <c r="BG278" s="42"/>
      <c r="BH278" s="38">
        <f t="shared" si="101"/>
        <v>0</v>
      </c>
      <c r="BI278" s="42"/>
      <c r="BJ278" s="42"/>
      <c r="BK278" s="42"/>
      <c r="BL278" s="38">
        <f t="shared" si="102"/>
        <v>0</v>
      </c>
      <c r="BM278" s="42"/>
      <c r="BN278" s="42"/>
      <c r="BO278" s="42"/>
      <c r="BP278" s="42"/>
      <c r="BR278" s="42">
        <f t="shared" si="103"/>
        <v>0</v>
      </c>
      <c r="BS278" s="43">
        <f t="shared" si="104"/>
        <v>28617.563999999998</v>
      </c>
      <c r="BT278" s="42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  <c r="IM278" s="31"/>
      <c r="IN278" s="31"/>
      <c r="IO278" s="31"/>
      <c r="IP278" s="31"/>
      <c r="IQ278" s="31"/>
      <c r="IR278" s="31"/>
      <c r="IS278" s="31"/>
      <c r="IT278" s="31"/>
      <c r="IU278" s="31"/>
      <c r="IV278" s="31"/>
      <c r="IW278" s="31"/>
      <c r="IX278" s="31"/>
      <c r="IY278" s="31"/>
      <c r="IZ278" s="31"/>
      <c r="JA278" s="31"/>
      <c r="JB278" s="31"/>
      <c r="JC278" s="31"/>
      <c r="JD278" s="31"/>
      <c r="JE278" s="31"/>
      <c r="JF278" s="31"/>
      <c r="JG278" s="31"/>
      <c r="JH278" s="31"/>
      <c r="JI278" s="31"/>
      <c r="JJ278" s="31"/>
      <c r="JK278" s="31"/>
      <c r="JL278" s="31"/>
      <c r="JM278" s="31"/>
      <c r="JN278" s="31"/>
      <c r="JO278" s="31"/>
      <c r="JP278" s="31"/>
      <c r="JQ278" s="31"/>
      <c r="JR278" s="31"/>
      <c r="JS278" s="31"/>
      <c r="JT278" s="31"/>
      <c r="JU278" s="31"/>
      <c r="JV278" s="31"/>
      <c r="JW278" s="31"/>
      <c r="JX278" s="31"/>
      <c r="JY278" s="31"/>
      <c r="JZ278" s="31"/>
      <c r="KA278" s="31"/>
      <c r="KB278" s="31"/>
      <c r="KC278" s="31"/>
      <c r="KD278" s="31"/>
      <c r="KE278" s="31"/>
      <c r="KF278" s="31"/>
      <c r="KG278" s="31"/>
      <c r="KH278" s="31"/>
      <c r="KI278" s="31"/>
      <c r="KJ278" s="31"/>
      <c r="KK278" s="31"/>
      <c r="KL278" s="31"/>
      <c r="KM278" s="31"/>
      <c r="KN278" s="31"/>
      <c r="KO278" s="31"/>
      <c r="KP278" s="31"/>
      <c r="KQ278" s="31"/>
      <c r="KR278" s="31"/>
      <c r="KS278" s="31"/>
      <c r="KT278" s="31"/>
      <c r="KU278" s="31"/>
      <c r="KV278" s="31"/>
      <c r="KW278" s="31"/>
      <c r="KX278" s="31"/>
      <c r="KY278" s="31"/>
      <c r="KZ278" s="31"/>
      <c r="LA278" s="31"/>
      <c r="LB278" s="31"/>
      <c r="LC278" s="31"/>
      <c r="LD278" s="31"/>
      <c r="LE278" s="31"/>
      <c r="LF278" s="31"/>
      <c r="LG278" s="31"/>
      <c r="LH278" s="31"/>
      <c r="LI278" s="31"/>
      <c r="LJ278" s="31"/>
      <c r="LK278" s="31"/>
      <c r="LL278" s="31"/>
      <c r="LM278" s="31"/>
      <c r="LN278" s="31"/>
      <c r="LO278" s="31"/>
      <c r="LP278" s="31"/>
      <c r="LQ278" s="31"/>
      <c r="LR278" s="31"/>
      <c r="LS278" s="31"/>
      <c r="LT278" s="31"/>
      <c r="LU278" s="31"/>
      <c r="LV278" s="31"/>
      <c r="LW278" s="31"/>
      <c r="LX278" s="31"/>
      <c r="LY278" s="31"/>
      <c r="LZ278" s="31"/>
      <c r="MA278" s="31"/>
      <c r="MB278" s="31"/>
      <c r="MC278" s="31"/>
      <c r="MD278" s="31"/>
      <c r="ME278" s="31"/>
      <c r="MF278" s="31"/>
      <c r="MG278" s="31"/>
      <c r="MH278" s="31"/>
      <c r="MI278" s="31"/>
      <c r="MJ278" s="31"/>
      <c r="MK278" s="31"/>
      <c r="ML278" s="31"/>
      <c r="MM278" s="31"/>
      <c r="MN278" s="31"/>
      <c r="MO278" s="31"/>
      <c r="MP278" s="31"/>
      <c r="MQ278" s="31"/>
      <c r="MR278" s="31"/>
      <c r="MS278" s="31"/>
      <c r="MT278" s="31"/>
      <c r="MU278" s="31"/>
      <c r="MV278" s="31"/>
      <c r="MW278" s="31"/>
      <c r="MX278" s="31"/>
      <c r="MY278" s="31"/>
      <c r="MZ278" s="31"/>
      <c r="NA278" s="31"/>
      <c r="NB278" s="31"/>
      <c r="NC278" s="31"/>
      <c r="ND278" s="31"/>
      <c r="NE278" s="31"/>
      <c r="NF278" s="31"/>
      <c r="NG278" s="31"/>
      <c r="NH278" s="31"/>
      <c r="NI278" s="31"/>
      <c r="NJ278" s="31"/>
      <c r="NK278" s="31"/>
      <c r="NL278" s="31"/>
      <c r="NM278" s="31"/>
      <c r="NN278" s="31"/>
      <c r="NO278" s="31"/>
      <c r="NP278" s="31"/>
      <c r="NQ278" s="31"/>
      <c r="NR278" s="31"/>
      <c r="NS278" s="31"/>
      <c r="NT278" s="31"/>
      <c r="NU278" s="31"/>
      <c r="NV278" s="31"/>
      <c r="NW278" s="31"/>
      <c r="NX278" s="31"/>
      <c r="NY278" s="31"/>
      <c r="NZ278" s="31"/>
      <c r="OA278" s="31"/>
      <c r="OB278" s="31"/>
      <c r="OC278" s="31"/>
      <c r="OD278" s="31"/>
      <c r="OE278" s="31"/>
      <c r="OF278" s="31"/>
      <c r="OG278" s="31"/>
      <c r="OH278" s="31"/>
      <c r="OI278" s="31"/>
      <c r="OJ278" s="31"/>
      <c r="OK278" s="31"/>
      <c r="OL278" s="31"/>
      <c r="OM278" s="31"/>
      <c r="ON278" s="31"/>
      <c r="OO278" s="31"/>
      <c r="OP278" s="31"/>
      <c r="OQ278" s="31"/>
      <c r="OR278" s="31"/>
      <c r="OS278" s="31"/>
      <c r="OT278" s="31"/>
      <c r="OU278" s="31"/>
      <c r="OV278" s="31"/>
      <c r="OW278" s="31"/>
      <c r="OX278" s="31"/>
    </row>
    <row r="279" spans="1:414" s="25" customFormat="1" ht="15.6">
      <c r="B279" s="25" t="s">
        <v>420</v>
      </c>
      <c r="C279" s="27" t="s">
        <v>421</v>
      </c>
      <c r="D279" s="30" t="s">
        <v>405</v>
      </c>
      <c r="G279" s="42">
        <v>500</v>
      </c>
      <c r="H279" s="89">
        <v>26.109000000000002</v>
      </c>
      <c r="I279" s="38">
        <f t="shared" si="96"/>
        <v>13054.5</v>
      </c>
      <c r="K279" s="42">
        <v>500</v>
      </c>
      <c r="L279" s="90">
        <v>26.849599999999999</v>
      </c>
      <c r="M279" s="38">
        <f t="shared" si="97"/>
        <v>13424.8</v>
      </c>
      <c r="O279" s="38">
        <v>80</v>
      </c>
      <c r="P279" s="38">
        <v>26.728300000000001</v>
      </c>
      <c r="Q279" s="38">
        <f t="shared" si="98"/>
        <v>2138.2640000000001</v>
      </c>
      <c r="R279" s="43">
        <f t="shared" si="94"/>
        <v>1080</v>
      </c>
      <c r="S279" s="38">
        <f t="shared" si="99"/>
        <v>28617.563999999998</v>
      </c>
      <c r="T279" s="49">
        <v>415</v>
      </c>
      <c r="U279" s="42">
        <v>26.3461</v>
      </c>
      <c r="V279" s="38">
        <f t="shared" si="86"/>
        <v>10933.6315</v>
      </c>
      <c r="W279" s="42">
        <v>85</v>
      </c>
      <c r="X279" s="42">
        <v>26.3386</v>
      </c>
      <c r="Y279" s="42">
        <f t="shared" si="88"/>
        <v>2238.7809999999999</v>
      </c>
      <c r="Z279" s="42">
        <v>415</v>
      </c>
      <c r="AA279" s="42">
        <v>26.820799999999998</v>
      </c>
      <c r="AB279" s="42">
        <f t="shared" si="89"/>
        <v>11130.632</v>
      </c>
      <c r="AD279" s="42"/>
      <c r="AE279" s="42"/>
      <c r="AF279" s="42">
        <f t="shared" si="95"/>
        <v>0</v>
      </c>
      <c r="AG279" s="42"/>
      <c r="AH279" s="42"/>
      <c r="AI279" s="42"/>
      <c r="AJ279" s="42">
        <f t="shared" si="106"/>
        <v>0</v>
      </c>
      <c r="AL279" s="42"/>
      <c r="AM279" s="42"/>
      <c r="AN279" s="42">
        <f t="shared" si="105"/>
        <v>0</v>
      </c>
      <c r="AO279" s="44"/>
      <c r="AP279" s="42"/>
      <c r="AQ279" s="42"/>
      <c r="AR279" s="42"/>
      <c r="AU279" s="98"/>
      <c r="AV279" s="35">
        <f t="shared" si="91"/>
        <v>0</v>
      </c>
      <c r="AW279" s="104"/>
      <c r="AX279" s="42"/>
      <c r="AY279" s="42"/>
      <c r="AZ279" s="42">
        <f t="shared" si="92"/>
        <v>0</v>
      </c>
      <c r="BA279" s="42"/>
      <c r="BB279" s="42"/>
      <c r="BC279" s="42"/>
      <c r="BD279" s="38">
        <f t="shared" si="100"/>
        <v>0</v>
      </c>
      <c r="BE279" s="42"/>
      <c r="BF279" s="42"/>
      <c r="BG279" s="42"/>
      <c r="BH279" s="38">
        <f t="shared" si="101"/>
        <v>0</v>
      </c>
      <c r="BI279" s="42"/>
      <c r="BJ279" s="42"/>
      <c r="BK279" s="42"/>
      <c r="BL279" s="38">
        <f t="shared" si="102"/>
        <v>0</v>
      </c>
      <c r="BM279" s="42"/>
      <c r="BN279" s="42"/>
      <c r="BO279" s="42"/>
      <c r="BP279" s="42"/>
      <c r="BR279" s="42">
        <f t="shared" si="103"/>
        <v>24303.044499999996</v>
      </c>
      <c r="BS279" s="43">
        <f t="shared" si="104"/>
        <v>4314.5195000000022</v>
      </c>
      <c r="BT279" s="42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  <c r="IM279" s="31"/>
      <c r="IN279" s="31"/>
      <c r="IO279" s="31"/>
      <c r="IP279" s="31"/>
      <c r="IQ279" s="31"/>
      <c r="IR279" s="31"/>
      <c r="IS279" s="31"/>
      <c r="IT279" s="31"/>
      <c r="IU279" s="31"/>
      <c r="IV279" s="31"/>
      <c r="IW279" s="31"/>
      <c r="IX279" s="31"/>
      <c r="IY279" s="31"/>
      <c r="IZ279" s="31"/>
      <c r="JA279" s="31"/>
      <c r="JB279" s="31"/>
      <c r="JC279" s="31"/>
      <c r="JD279" s="31"/>
      <c r="JE279" s="31"/>
      <c r="JF279" s="31"/>
      <c r="JG279" s="31"/>
      <c r="JH279" s="31"/>
      <c r="JI279" s="31"/>
      <c r="JJ279" s="31"/>
      <c r="JK279" s="31"/>
      <c r="JL279" s="31"/>
      <c r="JM279" s="31"/>
      <c r="JN279" s="31"/>
      <c r="JO279" s="31"/>
      <c r="JP279" s="31"/>
      <c r="JQ279" s="31"/>
      <c r="JR279" s="31"/>
      <c r="JS279" s="31"/>
      <c r="JT279" s="31"/>
      <c r="JU279" s="31"/>
      <c r="JV279" s="31"/>
      <c r="JW279" s="31"/>
      <c r="JX279" s="31"/>
      <c r="JY279" s="31"/>
      <c r="JZ279" s="31"/>
      <c r="KA279" s="31"/>
      <c r="KB279" s="31"/>
      <c r="KC279" s="31"/>
      <c r="KD279" s="31"/>
      <c r="KE279" s="31"/>
      <c r="KF279" s="31"/>
      <c r="KG279" s="31"/>
      <c r="KH279" s="31"/>
      <c r="KI279" s="31"/>
      <c r="KJ279" s="31"/>
      <c r="KK279" s="31"/>
      <c r="KL279" s="31"/>
      <c r="KM279" s="31"/>
      <c r="KN279" s="31"/>
      <c r="KO279" s="31"/>
      <c r="KP279" s="31"/>
      <c r="KQ279" s="31"/>
      <c r="KR279" s="31"/>
      <c r="KS279" s="31"/>
      <c r="KT279" s="31"/>
      <c r="KU279" s="31"/>
      <c r="KV279" s="31"/>
      <c r="KW279" s="31"/>
      <c r="KX279" s="31"/>
      <c r="KY279" s="31"/>
      <c r="KZ279" s="31"/>
      <c r="LA279" s="31"/>
      <c r="LB279" s="31"/>
      <c r="LC279" s="31"/>
      <c r="LD279" s="31"/>
      <c r="LE279" s="31"/>
      <c r="LF279" s="31"/>
      <c r="LG279" s="31"/>
      <c r="LH279" s="31"/>
      <c r="LI279" s="31"/>
      <c r="LJ279" s="31"/>
      <c r="LK279" s="31"/>
      <c r="LL279" s="31"/>
      <c r="LM279" s="31"/>
      <c r="LN279" s="31"/>
      <c r="LO279" s="31"/>
      <c r="LP279" s="31"/>
      <c r="LQ279" s="31"/>
      <c r="LR279" s="31"/>
      <c r="LS279" s="31"/>
      <c r="LT279" s="31"/>
      <c r="LU279" s="31"/>
      <c r="LV279" s="31"/>
      <c r="LW279" s="31"/>
      <c r="LX279" s="31"/>
      <c r="LY279" s="31"/>
      <c r="LZ279" s="31"/>
      <c r="MA279" s="31"/>
      <c r="MB279" s="31"/>
      <c r="MC279" s="31"/>
      <c r="MD279" s="31"/>
      <c r="ME279" s="31"/>
      <c r="MF279" s="31"/>
      <c r="MG279" s="31"/>
      <c r="MH279" s="31"/>
      <c r="MI279" s="31"/>
      <c r="MJ279" s="31"/>
      <c r="MK279" s="31"/>
      <c r="ML279" s="31"/>
      <c r="MM279" s="31"/>
      <c r="MN279" s="31"/>
      <c r="MO279" s="31"/>
      <c r="MP279" s="31"/>
      <c r="MQ279" s="31"/>
      <c r="MR279" s="31"/>
      <c r="MS279" s="31"/>
      <c r="MT279" s="31"/>
      <c r="MU279" s="31"/>
      <c r="MV279" s="31"/>
      <c r="MW279" s="31"/>
      <c r="MX279" s="31"/>
      <c r="MY279" s="31"/>
      <c r="MZ279" s="31"/>
      <c r="NA279" s="31"/>
      <c r="NB279" s="31"/>
      <c r="NC279" s="31"/>
      <c r="ND279" s="31"/>
      <c r="NE279" s="31"/>
      <c r="NF279" s="31"/>
      <c r="NG279" s="31"/>
      <c r="NH279" s="31"/>
      <c r="NI279" s="31"/>
      <c r="NJ279" s="31"/>
      <c r="NK279" s="31"/>
      <c r="NL279" s="31"/>
      <c r="NM279" s="31"/>
      <c r="NN279" s="31"/>
      <c r="NO279" s="31"/>
      <c r="NP279" s="31"/>
      <c r="NQ279" s="31"/>
      <c r="NR279" s="31"/>
      <c r="NS279" s="31"/>
      <c r="NT279" s="31"/>
      <c r="NU279" s="31"/>
      <c r="NV279" s="31"/>
      <c r="NW279" s="31"/>
      <c r="NX279" s="31"/>
      <c r="NY279" s="31"/>
      <c r="NZ279" s="31"/>
      <c r="OA279" s="31"/>
      <c r="OB279" s="31"/>
      <c r="OC279" s="31"/>
      <c r="OD279" s="31"/>
      <c r="OE279" s="31"/>
      <c r="OF279" s="31"/>
      <c r="OG279" s="31"/>
      <c r="OH279" s="31"/>
      <c r="OI279" s="31"/>
      <c r="OJ279" s="31"/>
      <c r="OK279" s="31"/>
      <c r="OL279" s="31"/>
      <c r="OM279" s="31"/>
      <c r="ON279" s="31"/>
      <c r="OO279" s="31"/>
      <c r="OP279" s="31"/>
      <c r="OQ279" s="31"/>
      <c r="OR279" s="31"/>
      <c r="OS279" s="31"/>
      <c r="OT279" s="31"/>
      <c r="OU279" s="31"/>
      <c r="OV279" s="31"/>
      <c r="OW279" s="31"/>
      <c r="OX279" s="31"/>
    </row>
    <row r="280" spans="1:414" s="25" customFormat="1" ht="15.6">
      <c r="B280" s="25" t="s">
        <v>422</v>
      </c>
      <c r="C280" s="27" t="s">
        <v>148</v>
      </c>
      <c r="D280" s="30" t="s">
        <v>405</v>
      </c>
      <c r="G280" s="42">
        <v>500</v>
      </c>
      <c r="H280" s="89">
        <v>26.109000000000002</v>
      </c>
      <c r="I280" s="38">
        <f t="shared" si="96"/>
        <v>13054.5</v>
      </c>
      <c r="K280" s="42">
        <v>500</v>
      </c>
      <c r="L280" s="90">
        <v>26.849599999999999</v>
      </c>
      <c r="M280" s="38">
        <f t="shared" si="97"/>
        <v>13424.8</v>
      </c>
      <c r="O280" s="38">
        <v>80</v>
      </c>
      <c r="P280" s="38">
        <v>26.728300000000001</v>
      </c>
      <c r="Q280" s="38">
        <f t="shared" si="98"/>
        <v>2138.2640000000001</v>
      </c>
      <c r="R280" s="43">
        <f t="shared" si="94"/>
        <v>1080</v>
      </c>
      <c r="S280" s="38">
        <f t="shared" si="99"/>
        <v>28617.563999999998</v>
      </c>
      <c r="T280" s="49">
        <v>290</v>
      </c>
      <c r="U280" s="42">
        <v>26.401700000000002</v>
      </c>
      <c r="V280" s="38">
        <f t="shared" si="86"/>
        <v>7656.4930000000004</v>
      </c>
      <c r="W280" s="42">
        <v>85</v>
      </c>
      <c r="X280" s="42">
        <v>26.401700000000002</v>
      </c>
      <c r="Y280" s="42">
        <f t="shared" si="88"/>
        <v>2244.1445000000003</v>
      </c>
      <c r="Z280" s="42"/>
      <c r="AA280" s="42"/>
      <c r="AB280" s="42">
        <v>2100</v>
      </c>
      <c r="AD280" s="42"/>
      <c r="AE280" s="42"/>
      <c r="AF280" s="42">
        <v>1540</v>
      </c>
      <c r="AG280" s="42"/>
      <c r="AH280" s="42">
        <v>140</v>
      </c>
      <c r="AI280" s="42"/>
      <c r="AJ280" s="42">
        <f t="shared" si="106"/>
        <v>0</v>
      </c>
      <c r="AL280" s="42">
        <v>65</v>
      </c>
      <c r="AM280" s="42"/>
      <c r="AN280" s="42">
        <f t="shared" si="105"/>
        <v>0</v>
      </c>
      <c r="AO280" s="44"/>
      <c r="AP280" s="42">
        <v>54.47</v>
      </c>
      <c r="AQ280" s="42"/>
      <c r="AR280" s="42"/>
      <c r="AT280" s="25">
        <v>160</v>
      </c>
      <c r="AU280" s="98"/>
      <c r="AV280" s="35">
        <f t="shared" si="91"/>
        <v>0</v>
      </c>
      <c r="AW280" s="104"/>
      <c r="AX280" s="42"/>
      <c r="AY280" s="42"/>
      <c r="AZ280" s="42">
        <f t="shared" si="92"/>
        <v>0</v>
      </c>
      <c r="BA280" s="42"/>
      <c r="BB280" s="42"/>
      <c r="BC280" s="42"/>
      <c r="BD280" s="38">
        <f t="shared" si="100"/>
        <v>0</v>
      </c>
      <c r="BE280" s="42"/>
      <c r="BF280" s="42"/>
      <c r="BG280" s="42"/>
      <c r="BH280" s="38">
        <f t="shared" si="101"/>
        <v>0</v>
      </c>
      <c r="BI280" s="42"/>
      <c r="BJ280" s="42"/>
      <c r="BK280" s="42"/>
      <c r="BL280" s="38">
        <f t="shared" si="102"/>
        <v>0</v>
      </c>
      <c r="BM280" s="42"/>
      <c r="BN280" s="42"/>
      <c r="BO280" s="42"/>
      <c r="BP280" s="42"/>
      <c r="BR280" s="42">
        <f t="shared" si="103"/>
        <v>13540.637500000001</v>
      </c>
      <c r="BS280" s="43">
        <f t="shared" si="104"/>
        <v>15076.926499999998</v>
      </c>
      <c r="BT280" s="42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  <c r="FM280" s="31"/>
      <c r="FN280" s="31"/>
      <c r="FO280" s="31"/>
      <c r="FP280" s="31"/>
      <c r="FQ280" s="31"/>
      <c r="FR280" s="31"/>
      <c r="FS280" s="31"/>
      <c r="FT280" s="31"/>
      <c r="FU280" s="31"/>
      <c r="FV280" s="31"/>
      <c r="FW280" s="31"/>
      <c r="FX280" s="31"/>
      <c r="FY280" s="31"/>
      <c r="FZ280" s="31"/>
      <c r="GA280" s="31"/>
      <c r="GB280" s="31"/>
      <c r="GC280" s="31"/>
      <c r="GD280" s="31"/>
      <c r="GE280" s="31"/>
      <c r="GF280" s="31"/>
      <c r="GG280" s="31"/>
      <c r="GH280" s="31"/>
      <c r="GI280" s="31"/>
      <c r="GJ280" s="31"/>
      <c r="GK280" s="31"/>
      <c r="GL280" s="31"/>
      <c r="GM280" s="31"/>
      <c r="GN280" s="31"/>
      <c r="GO280" s="31"/>
      <c r="GP280" s="31"/>
      <c r="GQ280" s="31"/>
      <c r="GR280" s="31"/>
      <c r="GS280" s="31"/>
      <c r="GT280" s="31"/>
      <c r="GU280" s="31"/>
      <c r="GV280" s="31"/>
      <c r="GW280" s="31"/>
      <c r="GX280" s="31"/>
      <c r="GY280" s="31"/>
      <c r="GZ280" s="31"/>
      <c r="HA280" s="31"/>
      <c r="HB280" s="31"/>
      <c r="HC280" s="31"/>
      <c r="HD280" s="31"/>
      <c r="HE280" s="31"/>
      <c r="HF280" s="31"/>
      <c r="HG280" s="31"/>
      <c r="HH280" s="31"/>
      <c r="HI280" s="31"/>
      <c r="HJ280" s="31"/>
      <c r="HK280" s="31"/>
      <c r="HL280" s="31"/>
      <c r="HM280" s="31"/>
      <c r="HN280" s="31"/>
      <c r="HO280" s="31"/>
      <c r="HP280" s="31"/>
      <c r="HQ280" s="31"/>
      <c r="HR280" s="31"/>
      <c r="HS280" s="31"/>
      <c r="HT280" s="31"/>
      <c r="HU280" s="31"/>
      <c r="HV280" s="31"/>
      <c r="HW280" s="31"/>
      <c r="HX280" s="31"/>
      <c r="HY280" s="31"/>
      <c r="HZ280" s="31"/>
      <c r="IA280" s="31"/>
      <c r="IB280" s="31"/>
      <c r="IC280" s="31"/>
      <c r="ID280" s="31"/>
      <c r="IE280" s="31"/>
      <c r="IF280" s="31"/>
      <c r="IG280" s="31"/>
      <c r="IH280" s="31"/>
      <c r="II280" s="31"/>
      <c r="IJ280" s="31"/>
      <c r="IK280" s="31"/>
      <c r="IL280" s="31"/>
      <c r="IM280" s="31"/>
      <c r="IN280" s="31"/>
      <c r="IO280" s="31"/>
      <c r="IP280" s="31"/>
      <c r="IQ280" s="31"/>
      <c r="IR280" s="31"/>
      <c r="IS280" s="31"/>
      <c r="IT280" s="31"/>
      <c r="IU280" s="31"/>
      <c r="IV280" s="31"/>
      <c r="IW280" s="31"/>
      <c r="IX280" s="31"/>
      <c r="IY280" s="31"/>
      <c r="IZ280" s="31"/>
      <c r="JA280" s="31"/>
      <c r="JB280" s="31"/>
      <c r="JC280" s="31"/>
      <c r="JD280" s="31"/>
      <c r="JE280" s="31"/>
      <c r="JF280" s="31"/>
      <c r="JG280" s="31"/>
      <c r="JH280" s="31"/>
      <c r="JI280" s="31"/>
      <c r="JJ280" s="31"/>
      <c r="JK280" s="31"/>
      <c r="JL280" s="31"/>
      <c r="JM280" s="31"/>
      <c r="JN280" s="31"/>
      <c r="JO280" s="31"/>
      <c r="JP280" s="31"/>
      <c r="JQ280" s="31"/>
      <c r="JR280" s="31"/>
      <c r="JS280" s="31"/>
      <c r="JT280" s="31"/>
      <c r="JU280" s="31"/>
      <c r="JV280" s="31"/>
      <c r="JW280" s="31"/>
      <c r="JX280" s="31"/>
      <c r="JY280" s="31"/>
      <c r="JZ280" s="31"/>
      <c r="KA280" s="31"/>
      <c r="KB280" s="31"/>
      <c r="KC280" s="31"/>
      <c r="KD280" s="31"/>
      <c r="KE280" s="31"/>
      <c r="KF280" s="31"/>
      <c r="KG280" s="31"/>
      <c r="KH280" s="31"/>
      <c r="KI280" s="31"/>
      <c r="KJ280" s="31"/>
      <c r="KK280" s="31"/>
      <c r="KL280" s="31"/>
      <c r="KM280" s="31"/>
      <c r="KN280" s="31"/>
      <c r="KO280" s="31"/>
      <c r="KP280" s="31"/>
      <c r="KQ280" s="31"/>
      <c r="KR280" s="31"/>
      <c r="KS280" s="31"/>
      <c r="KT280" s="31"/>
      <c r="KU280" s="31"/>
      <c r="KV280" s="31"/>
      <c r="KW280" s="31"/>
      <c r="KX280" s="31"/>
      <c r="KY280" s="31"/>
      <c r="KZ280" s="31"/>
      <c r="LA280" s="31"/>
      <c r="LB280" s="31"/>
      <c r="LC280" s="31"/>
      <c r="LD280" s="31"/>
      <c r="LE280" s="31"/>
      <c r="LF280" s="31"/>
      <c r="LG280" s="31"/>
      <c r="LH280" s="31"/>
      <c r="LI280" s="31"/>
      <c r="LJ280" s="31"/>
      <c r="LK280" s="31"/>
      <c r="LL280" s="31"/>
      <c r="LM280" s="31"/>
      <c r="LN280" s="31"/>
      <c r="LO280" s="31"/>
      <c r="LP280" s="31"/>
      <c r="LQ280" s="31"/>
      <c r="LR280" s="31"/>
      <c r="LS280" s="31"/>
      <c r="LT280" s="31"/>
      <c r="LU280" s="31"/>
      <c r="LV280" s="31"/>
      <c r="LW280" s="31"/>
      <c r="LX280" s="31"/>
      <c r="LY280" s="31"/>
      <c r="LZ280" s="31"/>
      <c r="MA280" s="31"/>
      <c r="MB280" s="31"/>
      <c r="MC280" s="31"/>
      <c r="MD280" s="31"/>
      <c r="ME280" s="31"/>
      <c r="MF280" s="31"/>
      <c r="MG280" s="31"/>
      <c r="MH280" s="31"/>
      <c r="MI280" s="31"/>
      <c r="MJ280" s="31"/>
      <c r="MK280" s="31"/>
      <c r="ML280" s="31"/>
      <c r="MM280" s="31"/>
      <c r="MN280" s="31"/>
      <c r="MO280" s="31"/>
      <c r="MP280" s="31"/>
      <c r="MQ280" s="31"/>
      <c r="MR280" s="31"/>
      <c r="MS280" s="31"/>
      <c r="MT280" s="31"/>
      <c r="MU280" s="31"/>
      <c r="MV280" s="31"/>
      <c r="MW280" s="31"/>
      <c r="MX280" s="31"/>
      <c r="MY280" s="31"/>
      <c r="MZ280" s="31"/>
      <c r="NA280" s="31"/>
      <c r="NB280" s="31"/>
      <c r="NC280" s="31"/>
      <c r="ND280" s="31"/>
      <c r="NE280" s="31"/>
      <c r="NF280" s="31"/>
      <c r="NG280" s="31"/>
      <c r="NH280" s="31"/>
      <c r="NI280" s="31"/>
      <c r="NJ280" s="31"/>
      <c r="NK280" s="31"/>
      <c r="NL280" s="31"/>
      <c r="NM280" s="31"/>
      <c r="NN280" s="31"/>
      <c r="NO280" s="31"/>
      <c r="NP280" s="31"/>
      <c r="NQ280" s="31"/>
      <c r="NR280" s="31"/>
      <c r="NS280" s="31"/>
      <c r="NT280" s="31"/>
      <c r="NU280" s="31"/>
      <c r="NV280" s="31"/>
      <c r="NW280" s="31"/>
      <c r="NX280" s="31"/>
      <c r="NY280" s="31"/>
      <c r="NZ280" s="31"/>
      <c r="OA280" s="31"/>
      <c r="OB280" s="31"/>
      <c r="OC280" s="31"/>
      <c r="OD280" s="31"/>
      <c r="OE280" s="31"/>
      <c r="OF280" s="31"/>
      <c r="OG280" s="31"/>
      <c r="OH280" s="31"/>
      <c r="OI280" s="31"/>
      <c r="OJ280" s="31"/>
      <c r="OK280" s="31"/>
      <c r="OL280" s="31"/>
      <c r="OM280" s="31"/>
      <c r="ON280" s="31"/>
      <c r="OO280" s="31"/>
      <c r="OP280" s="31"/>
      <c r="OQ280" s="31"/>
      <c r="OR280" s="31"/>
      <c r="OS280" s="31"/>
      <c r="OT280" s="31"/>
      <c r="OU280" s="31"/>
      <c r="OV280" s="31"/>
      <c r="OW280" s="31"/>
      <c r="OX280" s="31"/>
    </row>
    <row r="281" spans="1:414" s="25" customFormat="1" ht="15.6">
      <c r="B281" s="25" t="s">
        <v>64</v>
      </c>
      <c r="C281" s="27" t="s">
        <v>423</v>
      </c>
      <c r="D281" s="30" t="s">
        <v>405</v>
      </c>
      <c r="G281" s="42">
        <v>500</v>
      </c>
      <c r="H281" s="89">
        <v>26.109000000000002</v>
      </c>
      <c r="I281" s="38">
        <f t="shared" si="96"/>
        <v>13054.5</v>
      </c>
      <c r="K281" s="42">
        <v>500</v>
      </c>
      <c r="L281" s="90">
        <v>26.849599999999999</v>
      </c>
      <c r="M281" s="38">
        <f t="shared" si="97"/>
        <v>13424.8</v>
      </c>
      <c r="O281" s="38">
        <v>80</v>
      </c>
      <c r="P281" s="38">
        <v>26.728300000000001</v>
      </c>
      <c r="Q281" s="38">
        <f t="shared" si="98"/>
        <v>2138.2640000000001</v>
      </c>
      <c r="R281" s="43">
        <f t="shared" si="94"/>
        <v>1080</v>
      </c>
      <c r="S281" s="38">
        <f t="shared" si="99"/>
        <v>28617.563999999998</v>
      </c>
      <c r="T281" s="49">
        <v>312</v>
      </c>
      <c r="U281" s="42">
        <v>26.150300000000001</v>
      </c>
      <c r="V281" s="38">
        <f t="shared" ref="V281:V344" si="107">T281*U281</f>
        <v>8158.8936000000003</v>
      </c>
      <c r="W281" s="42">
        <v>82</v>
      </c>
      <c r="X281" s="42">
        <v>26.150300000000001</v>
      </c>
      <c r="Y281" s="42">
        <f t="shared" si="88"/>
        <v>2144.3245999999999</v>
      </c>
      <c r="Z281" s="42">
        <v>85</v>
      </c>
      <c r="AA281" s="42">
        <v>26.730699999999999</v>
      </c>
      <c r="AB281" s="42">
        <f>Z281*AA281</f>
        <v>2272.1095</v>
      </c>
      <c r="AD281" s="42">
        <v>332</v>
      </c>
      <c r="AE281" s="42">
        <v>26.815799999999999</v>
      </c>
      <c r="AF281" s="42">
        <f>AD281*AE281</f>
        <v>8902.8456000000006</v>
      </c>
      <c r="AG281" s="42"/>
      <c r="AH281" s="42">
        <v>82</v>
      </c>
      <c r="AI281" s="42">
        <v>26.727900000000002</v>
      </c>
      <c r="AJ281" s="42">
        <f t="shared" si="106"/>
        <v>2191.6878000000002</v>
      </c>
      <c r="AL281" s="42">
        <v>28</v>
      </c>
      <c r="AM281" s="42">
        <v>26.727900000000002</v>
      </c>
      <c r="AN281" s="42">
        <f t="shared" si="105"/>
        <v>748.38120000000004</v>
      </c>
      <c r="AO281" s="44"/>
      <c r="AP281" s="42">
        <v>84</v>
      </c>
      <c r="AQ281" s="42">
        <v>26.799399999999999</v>
      </c>
      <c r="AR281" s="42"/>
      <c r="AU281" s="98"/>
      <c r="AV281" s="35">
        <f t="shared" si="91"/>
        <v>0</v>
      </c>
      <c r="AW281" s="104"/>
      <c r="AX281" s="42"/>
      <c r="AY281" s="42"/>
      <c r="AZ281" s="42">
        <f t="shared" si="92"/>
        <v>0</v>
      </c>
      <c r="BA281" s="42"/>
      <c r="BB281" s="42"/>
      <c r="BC281" s="42"/>
      <c r="BD281" s="38">
        <f t="shared" si="100"/>
        <v>0</v>
      </c>
      <c r="BE281" s="42"/>
      <c r="BF281" s="42"/>
      <c r="BG281" s="42"/>
      <c r="BH281" s="38">
        <f t="shared" si="101"/>
        <v>0</v>
      </c>
      <c r="BI281" s="42"/>
      <c r="BJ281" s="42"/>
      <c r="BK281" s="42"/>
      <c r="BL281" s="38">
        <f t="shared" si="102"/>
        <v>0</v>
      </c>
      <c r="BM281" s="42"/>
      <c r="BN281" s="42"/>
      <c r="BO281" s="42"/>
      <c r="BP281" s="42"/>
      <c r="BR281" s="42">
        <f t="shared" si="103"/>
        <v>24418.242300000002</v>
      </c>
      <c r="BS281" s="43">
        <f t="shared" si="104"/>
        <v>4199.3216999999968</v>
      </c>
      <c r="BT281" s="42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  <c r="FM281" s="31"/>
      <c r="FN281" s="31"/>
      <c r="FO281" s="31"/>
      <c r="FP281" s="31"/>
      <c r="FQ281" s="31"/>
      <c r="FR281" s="31"/>
      <c r="FS281" s="31"/>
      <c r="FT281" s="31"/>
      <c r="FU281" s="31"/>
      <c r="FV281" s="31"/>
      <c r="FW281" s="31"/>
      <c r="FX281" s="31"/>
      <c r="FY281" s="31"/>
      <c r="FZ281" s="31"/>
      <c r="GA281" s="31"/>
      <c r="GB281" s="31"/>
      <c r="GC281" s="31"/>
      <c r="GD281" s="31"/>
      <c r="GE281" s="31"/>
      <c r="GF281" s="31"/>
      <c r="GG281" s="31"/>
      <c r="GH281" s="31"/>
      <c r="GI281" s="31"/>
      <c r="GJ281" s="31"/>
      <c r="GK281" s="31"/>
      <c r="GL281" s="31"/>
      <c r="GM281" s="31"/>
      <c r="GN281" s="31"/>
      <c r="GO281" s="31"/>
      <c r="GP281" s="31"/>
      <c r="GQ281" s="31"/>
      <c r="GR281" s="31"/>
      <c r="GS281" s="31"/>
      <c r="GT281" s="31"/>
      <c r="GU281" s="31"/>
      <c r="GV281" s="31"/>
      <c r="GW281" s="31"/>
      <c r="GX281" s="31"/>
      <c r="GY281" s="31"/>
      <c r="GZ281" s="31"/>
      <c r="HA281" s="31"/>
      <c r="HB281" s="31"/>
      <c r="HC281" s="31"/>
      <c r="HD281" s="31"/>
      <c r="HE281" s="31"/>
      <c r="HF281" s="31"/>
      <c r="HG281" s="31"/>
      <c r="HH281" s="31"/>
      <c r="HI281" s="31"/>
      <c r="HJ281" s="31"/>
      <c r="HK281" s="31"/>
      <c r="HL281" s="31"/>
      <c r="HM281" s="31"/>
      <c r="HN281" s="31"/>
      <c r="HO281" s="31"/>
      <c r="HP281" s="31"/>
      <c r="HQ281" s="31"/>
      <c r="HR281" s="31"/>
      <c r="HS281" s="31"/>
      <c r="HT281" s="31"/>
      <c r="HU281" s="31"/>
      <c r="HV281" s="31"/>
      <c r="HW281" s="31"/>
      <c r="HX281" s="31"/>
      <c r="HY281" s="31"/>
      <c r="HZ281" s="31"/>
      <c r="IA281" s="31"/>
      <c r="IB281" s="31"/>
      <c r="IC281" s="31"/>
      <c r="ID281" s="31"/>
      <c r="IE281" s="31"/>
      <c r="IF281" s="31"/>
      <c r="IG281" s="31"/>
      <c r="IH281" s="31"/>
      <c r="II281" s="31"/>
      <c r="IJ281" s="31"/>
      <c r="IK281" s="31"/>
      <c r="IL281" s="31"/>
      <c r="IM281" s="31"/>
      <c r="IN281" s="31"/>
      <c r="IO281" s="31"/>
      <c r="IP281" s="31"/>
      <c r="IQ281" s="31"/>
      <c r="IR281" s="31"/>
      <c r="IS281" s="31"/>
      <c r="IT281" s="31"/>
      <c r="IU281" s="31"/>
      <c r="IV281" s="31"/>
      <c r="IW281" s="31"/>
      <c r="IX281" s="31"/>
      <c r="IY281" s="31"/>
      <c r="IZ281" s="31"/>
      <c r="JA281" s="31"/>
      <c r="JB281" s="31"/>
      <c r="JC281" s="31"/>
      <c r="JD281" s="31"/>
      <c r="JE281" s="31"/>
      <c r="JF281" s="31"/>
      <c r="JG281" s="31"/>
      <c r="JH281" s="31"/>
      <c r="JI281" s="31"/>
      <c r="JJ281" s="31"/>
      <c r="JK281" s="31"/>
      <c r="JL281" s="31"/>
      <c r="JM281" s="31"/>
      <c r="JN281" s="31"/>
      <c r="JO281" s="31"/>
      <c r="JP281" s="31"/>
      <c r="JQ281" s="31"/>
      <c r="JR281" s="31"/>
      <c r="JS281" s="31"/>
      <c r="JT281" s="31"/>
      <c r="JU281" s="31"/>
      <c r="JV281" s="31"/>
      <c r="JW281" s="31"/>
      <c r="JX281" s="31"/>
      <c r="JY281" s="31"/>
      <c r="JZ281" s="31"/>
      <c r="KA281" s="31"/>
      <c r="KB281" s="31"/>
      <c r="KC281" s="31"/>
      <c r="KD281" s="31"/>
      <c r="KE281" s="31"/>
      <c r="KF281" s="31"/>
      <c r="KG281" s="31"/>
      <c r="KH281" s="31"/>
      <c r="KI281" s="31"/>
      <c r="KJ281" s="31"/>
      <c r="KK281" s="31"/>
      <c r="KL281" s="31"/>
      <c r="KM281" s="31"/>
      <c r="KN281" s="31"/>
      <c r="KO281" s="31"/>
      <c r="KP281" s="31"/>
      <c r="KQ281" s="31"/>
      <c r="KR281" s="31"/>
      <c r="KS281" s="31"/>
      <c r="KT281" s="31"/>
      <c r="KU281" s="31"/>
      <c r="KV281" s="31"/>
      <c r="KW281" s="31"/>
      <c r="KX281" s="31"/>
      <c r="KY281" s="31"/>
      <c r="KZ281" s="31"/>
      <c r="LA281" s="31"/>
      <c r="LB281" s="31"/>
      <c r="LC281" s="31"/>
      <c r="LD281" s="31"/>
      <c r="LE281" s="31"/>
      <c r="LF281" s="31"/>
      <c r="LG281" s="31"/>
      <c r="LH281" s="31"/>
      <c r="LI281" s="31"/>
      <c r="LJ281" s="31"/>
      <c r="LK281" s="31"/>
      <c r="LL281" s="31"/>
      <c r="LM281" s="31"/>
      <c r="LN281" s="31"/>
      <c r="LO281" s="31"/>
      <c r="LP281" s="31"/>
      <c r="LQ281" s="31"/>
      <c r="LR281" s="31"/>
      <c r="LS281" s="31"/>
      <c r="LT281" s="31"/>
      <c r="LU281" s="31"/>
      <c r="LV281" s="31"/>
      <c r="LW281" s="31"/>
      <c r="LX281" s="31"/>
      <c r="LY281" s="31"/>
      <c r="LZ281" s="31"/>
      <c r="MA281" s="31"/>
      <c r="MB281" s="31"/>
      <c r="MC281" s="31"/>
      <c r="MD281" s="31"/>
      <c r="ME281" s="31"/>
      <c r="MF281" s="31"/>
      <c r="MG281" s="31"/>
      <c r="MH281" s="31"/>
      <c r="MI281" s="31"/>
      <c r="MJ281" s="31"/>
      <c r="MK281" s="31"/>
      <c r="ML281" s="31"/>
      <c r="MM281" s="31"/>
      <c r="MN281" s="31"/>
      <c r="MO281" s="31"/>
      <c r="MP281" s="31"/>
      <c r="MQ281" s="31"/>
      <c r="MR281" s="31"/>
      <c r="MS281" s="31"/>
      <c r="MT281" s="31"/>
      <c r="MU281" s="31"/>
      <c r="MV281" s="31"/>
      <c r="MW281" s="31"/>
      <c r="MX281" s="31"/>
      <c r="MY281" s="31"/>
      <c r="MZ281" s="31"/>
      <c r="NA281" s="31"/>
      <c r="NB281" s="31"/>
      <c r="NC281" s="31"/>
      <c r="ND281" s="31"/>
      <c r="NE281" s="31"/>
      <c r="NF281" s="31"/>
      <c r="NG281" s="31"/>
      <c r="NH281" s="31"/>
      <c r="NI281" s="31"/>
      <c r="NJ281" s="31"/>
      <c r="NK281" s="31"/>
      <c r="NL281" s="31"/>
      <c r="NM281" s="31"/>
      <c r="NN281" s="31"/>
      <c r="NO281" s="31"/>
      <c r="NP281" s="31"/>
      <c r="NQ281" s="31"/>
      <c r="NR281" s="31"/>
      <c r="NS281" s="31"/>
      <c r="NT281" s="31"/>
      <c r="NU281" s="31"/>
      <c r="NV281" s="31"/>
      <c r="NW281" s="31"/>
      <c r="NX281" s="31"/>
      <c r="NY281" s="31"/>
      <c r="NZ281" s="31"/>
      <c r="OA281" s="31"/>
      <c r="OB281" s="31"/>
      <c r="OC281" s="31"/>
      <c r="OD281" s="31"/>
      <c r="OE281" s="31"/>
      <c r="OF281" s="31"/>
      <c r="OG281" s="31"/>
      <c r="OH281" s="31"/>
      <c r="OI281" s="31"/>
      <c r="OJ281" s="31"/>
      <c r="OK281" s="31"/>
      <c r="OL281" s="31"/>
      <c r="OM281" s="31"/>
      <c r="ON281" s="31"/>
      <c r="OO281" s="31"/>
      <c r="OP281" s="31"/>
      <c r="OQ281" s="31"/>
      <c r="OR281" s="31"/>
      <c r="OS281" s="31"/>
      <c r="OT281" s="31"/>
      <c r="OU281" s="31"/>
      <c r="OV281" s="31"/>
      <c r="OW281" s="31"/>
      <c r="OX281" s="31"/>
    </row>
    <row r="282" spans="1:414" s="25" customFormat="1" ht="15.6">
      <c r="B282" s="25" t="s">
        <v>424</v>
      </c>
      <c r="C282" s="27" t="s">
        <v>19</v>
      </c>
      <c r="D282" s="30" t="s">
        <v>405</v>
      </c>
      <c r="G282" s="42">
        <v>500</v>
      </c>
      <c r="H282" s="89">
        <v>26.109000000000002</v>
      </c>
      <c r="I282" s="38">
        <f t="shared" si="96"/>
        <v>13054.5</v>
      </c>
      <c r="K282" s="42">
        <v>500</v>
      </c>
      <c r="L282" s="90">
        <v>26.849599999999999</v>
      </c>
      <c r="M282" s="38">
        <f t="shared" si="97"/>
        <v>13424.8</v>
      </c>
      <c r="O282" s="38">
        <v>80</v>
      </c>
      <c r="P282" s="38">
        <v>26.728300000000001</v>
      </c>
      <c r="Q282" s="38">
        <f t="shared" si="98"/>
        <v>2138.2640000000001</v>
      </c>
      <c r="R282" s="43">
        <f t="shared" si="94"/>
        <v>1080</v>
      </c>
      <c r="S282" s="38">
        <f t="shared" si="99"/>
        <v>28617.563999999998</v>
      </c>
      <c r="T282" s="49">
        <v>85</v>
      </c>
      <c r="U282" s="42">
        <v>26.456099999999999</v>
      </c>
      <c r="V282" s="38">
        <f t="shared" si="107"/>
        <v>2248.7685000000001</v>
      </c>
      <c r="W282" s="42"/>
      <c r="X282" s="42"/>
      <c r="Y282" s="42">
        <f t="shared" si="88"/>
        <v>0</v>
      </c>
      <c r="Z282" s="42"/>
      <c r="AA282" s="42"/>
      <c r="AB282" s="42">
        <f t="shared" ref="AB282:AB327" si="108">Z282*AA282</f>
        <v>0</v>
      </c>
      <c r="AD282" s="42"/>
      <c r="AE282" s="42"/>
      <c r="AF282" s="42">
        <f>AD282*AE282</f>
        <v>0</v>
      </c>
      <c r="AG282" s="42"/>
      <c r="AH282" s="42"/>
      <c r="AI282" s="42"/>
      <c r="AJ282" s="42">
        <f t="shared" si="106"/>
        <v>0</v>
      </c>
      <c r="AL282" s="42"/>
      <c r="AM282" s="42"/>
      <c r="AN282" s="42">
        <f t="shared" si="105"/>
        <v>0</v>
      </c>
      <c r="AO282" s="44"/>
      <c r="AP282" s="42"/>
      <c r="AQ282" s="42"/>
      <c r="AR282" s="42"/>
      <c r="AU282" s="98"/>
      <c r="AV282" s="35">
        <f t="shared" si="91"/>
        <v>0</v>
      </c>
      <c r="AW282" s="104"/>
      <c r="AX282" s="42"/>
      <c r="AY282" s="42"/>
      <c r="AZ282" s="42">
        <f t="shared" si="92"/>
        <v>0</v>
      </c>
      <c r="BA282" s="42"/>
      <c r="BB282" s="42"/>
      <c r="BC282" s="42"/>
      <c r="BD282" s="38">
        <f t="shared" si="100"/>
        <v>0</v>
      </c>
      <c r="BE282" s="42"/>
      <c r="BF282" s="42"/>
      <c r="BG282" s="42"/>
      <c r="BH282" s="38">
        <f t="shared" si="101"/>
        <v>0</v>
      </c>
      <c r="BI282" s="42"/>
      <c r="BJ282" s="42"/>
      <c r="BK282" s="42"/>
      <c r="BL282" s="38">
        <f t="shared" si="102"/>
        <v>0</v>
      </c>
      <c r="BM282" s="42"/>
      <c r="BN282" s="42"/>
      <c r="BO282" s="42"/>
      <c r="BP282" s="42"/>
      <c r="BR282" s="42">
        <f t="shared" si="103"/>
        <v>2248.7685000000001</v>
      </c>
      <c r="BS282" s="43">
        <f t="shared" si="104"/>
        <v>26368.7955</v>
      </c>
      <c r="BT282" s="42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  <c r="FM282" s="31"/>
      <c r="FN282" s="31"/>
      <c r="FO282" s="31"/>
      <c r="FP282" s="31"/>
      <c r="FQ282" s="31"/>
      <c r="FR282" s="31"/>
      <c r="FS282" s="31"/>
      <c r="FT282" s="31"/>
      <c r="FU282" s="31"/>
      <c r="FV282" s="31"/>
      <c r="FW282" s="31"/>
      <c r="FX282" s="31"/>
      <c r="FY282" s="31"/>
      <c r="FZ282" s="31"/>
      <c r="GA282" s="31"/>
      <c r="GB282" s="31"/>
      <c r="GC282" s="31"/>
      <c r="GD282" s="31"/>
      <c r="GE282" s="31"/>
      <c r="GF282" s="31"/>
      <c r="GG282" s="31"/>
      <c r="GH282" s="31"/>
      <c r="GI282" s="31"/>
      <c r="GJ282" s="31"/>
      <c r="GK282" s="31"/>
      <c r="GL282" s="31"/>
      <c r="GM282" s="31"/>
      <c r="GN282" s="31"/>
      <c r="GO282" s="31"/>
      <c r="GP282" s="31"/>
      <c r="GQ282" s="31"/>
      <c r="GR282" s="31"/>
      <c r="GS282" s="31"/>
      <c r="GT282" s="31"/>
      <c r="GU282" s="31"/>
      <c r="GV282" s="31"/>
      <c r="GW282" s="31"/>
      <c r="GX282" s="31"/>
      <c r="GY282" s="31"/>
      <c r="GZ282" s="31"/>
      <c r="HA282" s="31"/>
      <c r="HB282" s="31"/>
      <c r="HC282" s="31"/>
      <c r="HD282" s="31"/>
      <c r="HE282" s="31"/>
      <c r="HF282" s="31"/>
      <c r="HG282" s="31"/>
      <c r="HH282" s="31"/>
      <c r="HI282" s="31"/>
      <c r="HJ282" s="31"/>
      <c r="HK282" s="31"/>
      <c r="HL282" s="31"/>
      <c r="HM282" s="31"/>
      <c r="HN282" s="31"/>
      <c r="HO282" s="31"/>
      <c r="HP282" s="31"/>
      <c r="HQ282" s="31"/>
      <c r="HR282" s="31"/>
      <c r="HS282" s="31"/>
      <c r="HT282" s="31"/>
      <c r="HU282" s="31"/>
      <c r="HV282" s="31"/>
      <c r="HW282" s="31"/>
      <c r="HX282" s="31"/>
      <c r="HY282" s="31"/>
      <c r="HZ282" s="31"/>
      <c r="IA282" s="31"/>
      <c r="IB282" s="31"/>
      <c r="IC282" s="31"/>
      <c r="ID282" s="31"/>
      <c r="IE282" s="31"/>
      <c r="IF282" s="31"/>
      <c r="IG282" s="31"/>
      <c r="IH282" s="31"/>
      <c r="II282" s="31"/>
      <c r="IJ282" s="31"/>
      <c r="IK282" s="31"/>
      <c r="IL282" s="31"/>
      <c r="IM282" s="31"/>
      <c r="IN282" s="31"/>
      <c r="IO282" s="31"/>
      <c r="IP282" s="31"/>
      <c r="IQ282" s="31"/>
      <c r="IR282" s="31"/>
      <c r="IS282" s="31"/>
      <c r="IT282" s="31"/>
      <c r="IU282" s="31"/>
      <c r="IV282" s="31"/>
      <c r="IW282" s="31"/>
      <c r="IX282" s="31"/>
      <c r="IY282" s="31"/>
      <c r="IZ282" s="31"/>
      <c r="JA282" s="31"/>
      <c r="JB282" s="31"/>
      <c r="JC282" s="31"/>
      <c r="JD282" s="31"/>
      <c r="JE282" s="31"/>
      <c r="JF282" s="31"/>
      <c r="JG282" s="31"/>
      <c r="JH282" s="31"/>
      <c r="JI282" s="31"/>
      <c r="JJ282" s="31"/>
      <c r="JK282" s="31"/>
      <c r="JL282" s="31"/>
      <c r="JM282" s="31"/>
      <c r="JN282" s="31"/>
      <c r="JO282" s="31"/>
      <c r="JP282" s="31"/>
      <c r="JQ282" s="31"/>
      <c r="JR282" s="31"/>
      <c r="JS282" s="31"/>
      <c r="JT282" s="31"/>
      <c r="JU282" s="31"/>
      <c r="JV282" s="31"/>
      <c r="JW282" s="31"/>
      <c r="JX282" s="31"/>
      <c r="JY282" s="31"/>
      <c r="JZ282" s="31"/>
      <c r="KA282" s="31"/>
      <c r="KB282" s="31"/>
      <c r="KC282" s="31"/>
      <c r="KD282" s="31"/>
      <c r="KE282" s="31"/>
      <c r="KF282" s="31"/>
      <c r="KG282" s="31"/>
      <c r="KH282" s="31"/>
      <c r="KI282" s="31"/>
      <c r="KJ282" s="31"/>
      <c r="KK282" s="31"/>
      <c r="KL282" s="31"/>
      <c r="KM282" s="31"/>
      <c r="KN282" s="31"/>
      <c r="KO282" s="31"/>
      <c r="KP282" s="31"/>
      <c r="KQ282" s="31"/>
      <c r="KR282" s="31"/>
      <c r="KS282" s="31"/>
      <c r="KT282" s="31"/>
      <c r="KU282" s="31"/>
      <c r="KV282" s="31"/>
      <c r="KW282" s="31"/>
      <c r="KX282" s="31"/>
      <c r="KY282" s="31"/>
      <c r="KZ282" s="31"/>
      <c r="LA282" s="31"/>
      <c r="LB282" s="31"/>
      <c r="LC282" s="31"/>
      <c r="LD282" s="31"/>
      <c r="LE282" s="31"/>
      <c r="LF282" s="31"/>
      <c r="LG282" s="31"/>
      <c r="LH282" s="31"/>
      <c r="LI282" s="31"/>
      <c r="LJ282" s="31"/>
      <c r="LK282" s="31"/>
      <c r="LL282" s="31"/>
      <c r="LM282" s="31"/>
      <c r="LN282" s="31"/>
      <c r="LO282" s="31"/>
      <c r="LP282" s="31"/>
      <c r="LQ282" s="31"/>
      <c r="LR282" s="31"/>
      <c r="LS282" s="31"/>
      <c r="LT282" s="31"/>
      <c r="LU282" s="31"/>
      <c r="LV282" s="31"/>
      <c r="LW282" s="31"/>
      <c r="LX282" s="31"/>
      <c r="LY282" s="31"/>
      <c r="LZ282" s="31"/>
      <c r="MA282" s="31"/>
      <c r="MB282" s="31"/>
      <c r="MC282" s="31"/>
      <c r="MD282" s="31"/>
      <c r="ME282" s="31"/>
      <c r="MF282" s="31"/>
      <c r="MG282" s="31"/>
      <c r="MH282" s="31"/>
      <c r="MI282" s="31"/>
      <c r="MJ282" s="31"/>
      <c r="MK282" s="31"/>
      <c r="ML282" s="31"/>
      <c r="MM282" s="31"/>
      <c r="MN282" s="31"/>
      <c r="MO282" s="31"/>
      <c r="MP282" s="31"/>
      <c r="MQ282" s="31"/>
      <c r="MR282" s="31"/>
      <c r="MS282" s="31"/>
      <c r="MT282" s="31"/>
      <c r="MU282" s="31"/>
      <c r="MV282" s="31"/>
      <c r="MW282" s="31"/>
      <c r="MX282" s="31"/>
      <c r="MY282" s="31"/>
      <c r="MZ282" s="31"/>
      <c r="NA282" s="31"/>
      <c r="NB282" s="31"/>
      <c r="NC282" s="31"/>
      <c r="ND282" s="31"/>
      <c r="NE282" s="31"/>
      <c r="NF282" s="31"/>
      <c r="NG282" s="31"/>
      <c r="NH282" s="31"/>
      <c r="NI282" s="31"/>
      <c r="NJ282" s="31"/>
      <c r="NK282" s="31"/>
      <c r="NL282" s="31"/>
      <c r="NM282" s="31"/>
      <c r="NN282" s="31"/>
      <c r="NO282" s="31"/>
      <c r="NP282" s="31"/>
      <c r="NQ282" s="31"/>
      <c r="NR282" s="31"/>
      <c r="NS282" s="31"/>
      <c r="NT282" s="31"/>
      <c r="NU282" s="31"/>
      <c r="NV282" s="31"/>
      <c r="NW282" s="31"/>
      <c r="NX282" s="31"/>
      <c r="NY282" s="31"/>
      <c r="NZ282" s="31"/>
      <c r="OA282" s="31"/>
      <c r="OB282" s="31"/>
      <c r="OC282" s="31"/>
      <c r="OD282" s="31"/>
      <c r="OE282" s="31"/>
      <c r="OF282" s="31"/>
      <c r="OG282" s="31"/>
      <c r="OH282" s="31"/>
      <c r="OI282" s="31"/>
      <c r="OJ282" s="31"/>
      <c r="OK282" s="31"/>
      <c r="OL282" s="31"/>
      <c r="OM282" s="31"/>
      <c r="ON282" s="31"/>
      <c r="OO282" s="31"/>
      <c r="OP282" s="31"/>
      <c r="OQ282" s="31"/>
      <c r="OR282" s="31"/>
      <c r="OS282" s="31"/>
      <c r="OT282" s="31"/>
      <c r="OU282" s="31"/>
      <c r="OV282" s="31"/>
      <c r="OW282" s="31"/>
      <c r="OX282" s="31"/>
    </row>
    <row r="283" spans="1:414" s="25" customFormat="1" ht="15.6">
      <c r="B283" s="25" t="s">
        <v>425</v>
      </c>
      <c r="C283" s="27" t="s">
        <v>426</v>
      </c>
      <c r="D283" s="30" t="s">
        <v>405</v>
      </c>
      <c r="G283" s="42">
        <v>500</v>
      </c>
      <c r="H283" s="89">
        <v>26.109000000000002</v>
      </c>
      <c r="I283" s="38">
        <f t="shared" si="96"/>
        <v>13054.5</v>
      </c>
      <c r="K283" s="42">
        <v>500</v>
      </c>
      <c r="L283" s="90">
        <v>26.849599999999999</v>
      </c>
      <c r="M283" s="38">
        <f t="shared" si="97"/>
        <v>13424.8</v>
      </c>
      <c r="O283" s="38">
        <v>80</v>
      </c>
      <c r="P283" s="38">
        <v>26.728300000000001</v>
      </c>
      <c r="Q283" s="38">
        <f t="shared" si="98"/>
        <v>2138.2640000000001</v>
      </c>
      <c r="R283" s="43">
        <f t="shared" si="94"/>
        <v>1080</v>
      </c>
      <c r="S283" s="38">
        <f t="shared" si="99"/>
        <v>28617.563999999998</v>
      </c>
      <c r="T283" s="49">
        <v>400</v>
      </c>
      <c r="U283" s="42">
        <v>26.773800000000001</v>
      </c>
      <c r="V283" s="38">
        <f t="shared" si="107"/>
        <v>10709.52</v>
      </c>
      <c r="W283" s="42">
        <v>100</v>
      </c>
      <c r="X283" s="42">
        <v>26.773800000000001</v>
      </c>
      <c r="Y283" s="42">
        <f t="shared" si="88"/>
        <v>2677.38</v>
      </c>
      <c r="Z283" s="42">
        <v>415</v>
      </c>
      <c r="AA283" s="42">
        <v>26.501200000000001</v>
      </c>
      <c r="AB283" s="42">
        <f t="shared" si="108"/>
        <v>10997.998</v>
      </c>
      <c r="AD283" s="42">
        <v>85</v>
      </c>
      <c r="AE283" s="42">
        <v>26.9239</v>
      </c>
      <c r="AF283" s="42">
        <f t="shared" ref="AF283:AF346" si="109">AD283*AE283</f>
        <v>2288.5315000000001</v>
      </c>
      <c r="AG283" s="42"/>
      <c r="AH283" s="42">
        <v>415</v>
      </c>
      <c r="AI283" s="42">
        <v>26.9239</v>
      </c>
      <c r="AJ283" s="42">
        <f t="shared" si="106"/>
        <v>11173.4185</v>
      </c>
      <c r="AL283" s="42"/>
      <c r="AM283" s="42"/>
      <c r="AN283" s="42">
        <f t="shared" si="105"/>
        <v>0</v>
      </c>
      <c r="AO283" s="44"/>
      <c r="AP283" s="42"/>
      <c r="AQ283" s="42"/>
      <c r="AR283" s="42"/>
      <c r="AU283" s="98"/>
      <c r="AV283" s="35">
        <f t="shared" si="91"/>
        <v>0</v>
      </c>
      <c r="AW283" s="104"/>
      <c r="AX283" s="42"/>
      <c r="AY283" s="42"/>
      <c r="AZ283" s="42">
        <f t="shared" si="92"/>
        <v>0</v>
      </c>
      <c r="BA283" s="42"/>
      <c r="BB283" s="42"/>
      <c r="BC283" s="42"/>
      <c r="BD283" s="38">
        <f t="shared" si="100"/>
        <v>0</v>
      </c>
      <c r="BE283" s="42"/>
      <c r="BF283" s="42"/>
      <c r="BG283" s="42"/>
      <c r="BH283" s="38">
        <f t="shared" si="101"/>
        <v>0</v>
      </c>
      <c r="BI283" s="42"/>
      <c r="BJ283" s="42"/>
      <c r="BK283" s="42"/>
      <c r="BL283" s="38">
        <f t="shared" si="102"/>
        <v>0</v>
      </c>
      <c r="BM283" s="42"/>
      <c r="BN283" s="42"/>
      <c r="BO283" s="42"/>
      <c r="BP283" s="42"/>
      <c r="BR283" s="42">
        <f t="shared" si="103"/>
        <v>37846.847999999998</v>
      </c>
      <c r="BS283" s="43"/>
      <c r="BT283" s="42">
        <v>4952.76</v>
      </c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  <c r="FM283" s="31"/>
      <c r="FN283" s="31"/>
      <c r="FO283" s="31"/>
      <c r="FP283" s="31"/>
      <c r="FQ283" s="31"/>
      <c r="FR283" s="31"/>
      <c r="FS283" s="31"/>
      <c r="FT283" s="31"/>
      <c r="FU283" s="31"/>
      <c r="FV283" s="31"/>
      <c r="FW283" s="31"/>
      <c r="FX283" s="31"/>
      <c r="FY283" s="31"/>
      <c r="FZ283" s="31"/>
      <c r="GA283" s="31"/>
      <c r="GB283" s="31"/>
      <c r="GC283" s="31"/>
      <c r="GD283" s="31"/>
      <c r="GE283" s="31"/>
      <c r="GF283" s="31"/>
      <c r="GG283" s="31"/>
      <c r="GH283" s="31"/>
      <c r="GI283" s="31"/>
      <c r="GJ283" s="31"/>
      <c r="GK283" s="31"/>
      <c r="GL283" s="31"/>
      <c r="GM283" s="31"/>
      <c r="GN283" s="31"/>
      <c r="GO283" s="31"/>
      <c r="GP283" s="31"/>
      <c r="GQ283" s="31"/>
      <c r="GR283" s="31"/>
      <c r="GS283" s="31"/>
      <c r="GT283" s="31"/>
      <c r="GU283" s="31"/>
      <c r="GV283" s="31"/>
      <c r="GW283" s="31"/>
      <c r="GX283" s="31"/>
      <c r="GY283" s="31"/>
      <c r="GZ283" s="31"/>
      <c r="HA283" s="31"/>
      <c r="HB283" s="31"/>
      <c r="HC283" s="31"/>
      <c r="HD283" s="31"/>
      <c r="HE283" s="31"/>
      <c r="HF283" s="31"/>
      <c r="HG283" s="31"/>
      <c r="HH283" s="31"/>
      <c r="HI283" s="31"/>
      <c r="HJ283" s="31"/>
      <c r="HK283" s="31"/>
      <c r="HL283" s="31"/>
      <c r="HM283" s="31"/>
      <c r="HN283" s="31"/>
      <c r="HO283" s="31"/>
      <c r="HP283" s="31"/>
      <c r="HQ283" s="31"/>
      <c r="HR283" s="31"/>
      <c r="HS283" s="31"/>
      <c r="HT283" s="31"/>
      <c r="HU283" s="31"/>
      <c r="HV283" s="31"/>
      <c r="HW283" s="31"/>
      <c r="HX283" s="31"/>
      <c r="HY283" s="31"/>
      <c r="HZ283" s="31"/>
      <c r="IA283" s="31"/>
      <c r="IB283" s="31"/>
      <c r="IC283" s="31"/>
      <c r="ID283" s="31"/>
      <c r="IE283" s="31"/>
      <c r="IF283" s="31"/>
      <c r="IG283" s="31"/>
      <c r="IH283" s="31"/>
      <c r="II283" s="31"/>
      <c r="IJ283" s="31"/>
      <c r="IK283" s="31"/>
      <c r="IL283" s="31"/>
      <c r="IM283" s="31"/>
      <c r="IN283" s="31"/>
      <c r="IO283" s="31"/>
      <c r="IP283" s="31"/>
      <c r="IQ283" s="31"/>
      <c r="IR283" s="31"/>
      <c r="IS283" s="31"/>
      <c r="IT283" s="31"/>
      <c r="IU283" s="31"/>
      <c r="IV283" s="31"/>
      <c r="IW283" s="31"/>
      <c r="IX283" s="31"/>
      <c r="IY283" s="31"/>
      <c r="IZ283" s="31"/>
      <c r="JA283" s="31"/>
      <c r="JB283" s="31"/>
      <c r="JC283" s="31"/>
      <c r="JD283" s="31"/>
      <c r="JE283" s="31"/>
      <c r="JF283" s="31"/>
      <c r="JG283" s="31"/>
      <c r="JH283" s="31"/>
      <c r="JI283" s="31"/>
      <c r="JJ283" s="31"/>
      <c r="JK283" s="31"/>
      <c r="JL283" s="31"/>
      <c r="JM283" s="31"/>
      <c r="JN283" s="31"/>
      <c r="JO283" s="31"/>
      <c r="JP283" s="31"/>
      <c r="JQ283" s="31"/>
      <c r="JR283" s="31"/>
      <c r="JS283" s="31"/>
      <c r="JT283" s="31"/>
      <c r="JU283" s="31"/>
      <c r="JV283" s="31"/>
      <c r="JW283" s="31"/>
      <c r="JX283" s="31"/>
      <c r="JY283" s="31"/>
      <c r="JZ283" s="31"/>
      <c r="KA283" s="31"/>
      <c r="KB283" s="31"/>
      <c r="KC283" s="31"/>
      <c r="KD283" s="31"/>
      <c r="KE283" s="31"/>
      <c r="KF283" s="31"/>
      <c r="KG283" s="31"/>
      <c r="KH283" s="31"/>
      <c r="KI283" s="31"/>
      <c r="KJ283" s="31"/>
      <c r="KK283" s="31"/>
      <c r="KL283" s="31"/>
      <c r="KM283" s="31"/>
      <c r="KN283" s="31"/>
      <c r="KO283" s="31"/>
      <c r="KP283" s="31"/>
      <c r="KQ283" s="31"/>
      <c r="KR283" s="31"/>
      <c r="KS283" s="31"/>
      <c r="KT283" s="31"/>
      <c r="KU283" s="31"/>
      <c r="KV283" s="31"/>
      <c r="KW283" s="31"/>
      <c r="KX283" s="31"/>
      <c r="KY283" s="31"/>
      <c r="KZ283" s="31"/>
      <c r="LA283" s="31"/>
      <c r="LB283" s="31"/>
      <c r="LC283" s="31"/>
      <c r="LD283" s="31"/>
      <c r="LE283" s="31"/>
      <c r="LF283" s="31"/>
      <c r="LG283" s="31"/>
      <c r="LH283" s="31"/>
      <c r="LI283" s="31"/>
      <c r="LJ283" s="31"/>
      <c r="LK283" s="31"/>
      <c r="LL283" s="31"/>
      <c r="LM283" s="31"/>
      <c r="LN283" s="31"/>
      <c r="LO283" s="31"/>
      <c r="LP283" s="31"/>
      <c r="LQ283" s="31"/>
      <c r="LR283" s="31"/>
      <c r="LS283" s="31"/>
      <c r="LT283" s="31"/>
      <c r="LU283" s="31"/>
      <c r="LV283" s="31"/>
      <c r="LW283" s="31"/>
      <c r="LX283" s="31"/>
      <c r="LY283" s="31"/>
      <c r="LZ283" s="31"/>
      <c r="MA283" s="31"/>
      <c r="MB283" s="31"/>
      <c r="MC283" s="31"/>
      <c r="MD283" s="31"/>
      <c r="ME283" s="31"/>
      <c r="MF283" s="31"/>
      <c r="MG283" s="31"/>
      <c r="MH283" s="31"/>
      <c r="MI283" s="31"/>
      <c r="MJ283" s="31"/>
      <c r="MK283" s="31"/>
      <c r="ML283" s="31"/>
      <c r="MM283" s="31"/>
      <c r="MN283" s="31"/>
      <c r="MO283" s="31"/>
      <c r="MP283" s="31"/>
      <c r="MQ283" s="31"/>
      <c r="MR283" s="31"/>
      <c r="MS283" s="31"/>
      <c r="MT283" s="31"/>
      <c r="MU283" s="31"/>
      <c r="MV283" s="31"/>
      <c r="MW283" s="31"/>
      <c r="MX283" s="31"/>
      <c r="MY283" s="31"/>
      <c r="MZ283" s="31"/>
      <c r="NA283" s="31"/>
      <c r="NB283" s="31"/>
      <c r="NC283" s="31"/>
      <c r="ND283" s="31"/>
      <c r="NE283" s="31"/>
      <c r="NF283" s="31"/>
      <c r="NG283" s="31"/>
      <c r="NH283" s="31"/>
      <c r="NI283" s="31"/>
      <c r="NJ283" s="31"/>
      <c r="NK283" s="31"/>
      <c r="NL283" s="31"/>
      <c r="NM283" s="31"/>
      <c r="NN283" s="31"/>
      <c r="NO283" s="31"/>
      <c r="NP283" s="31"/>
      <c r="NQ283" s="31"/>
      <c r="NR283" s="31"/>
      <c r="NS283" s="31"/>
      <c r="NT283" s="31"/>
      <c r="NU283" s="31"/>
      <c r="NV283" s="31"/>
      <c r="NW283" s="31"/>
      <c r="NX283" s="31"/>
      <c r="NY283" s="31"/>
      <c r="NZ283" s="31"/>
      <c r="OA283" s="31"/>
      <c r="OB283" s="31"/>
      <c r="OC283" s="31"/>
      <c r="OD283" s="31"/>
      <c r="OE283" s="31"/>
      <c r="OF283" s="31"/>
      <c r="OG283" s="31"/>
      <c r="OH283" s="31"/>
      <c r="OI283" s="31"/>
      <c r="OJ283" s="31"/>
      <c r="OK283" s="31"/>
      <c r="OL283" s="31"/>
      <c r="OM283" s="31"/>
      <c r="ON283" s="31"/>
      <c r="OO283" s="31"/>
      <c r="OP283" s="31"/>
      <c r="OQ283" s="31"/>
      <c r="OR283" s="31"/>
      <c r="OS283" s="31"/>
      <c r="OT283" s="31"/>
      <c r="OU283" s="31"/>
      <c r="OV283" s="31"/>
      <c r="OW283" s="31"/>
      <c r="OX283" s="31"/>
    </row>
    <row r="284" spans="1:414" s="25" customFormat="1" ht="15.6">
      <c r="B284" s="25" t="s">
        <v>427</v>
      </c>
      <c r="C284" s="27" t="s">
        <v>428</v>
      </c>
      <c r="D284" s="30" t="s">
        <v>405</v>
      </c>
      <c r="G284" s="42">
        <v>500</v>
      </c>
      <c r="H284" s="89">
        <v>26.109000000000002</v>
      </c>
      <c r="I284" s="38">
        <f t="shared" si="96"/>
        <v>13054.5</v>
      </c>
      <c r="K284" s="42">
        <v>500</v>
      </c>
      <c r="L284" s="90">
        <v>26.849599999999999</v>
      </c>
      <c r="M284" s="38">
        <f t="shared" si="97"/>
        <v>13424.8</v>
      </c>
      <c r="O284" s="38">
        <v>80</v>
      </c>
      <c r="P284" s="38">
        <v>26.728300000000001</v>
      </c>
      <c r="Q284" s="38">
        <f t="shared" si="98"/>
        <v>2138.2640000000001</v>
      </c>
      <c r="R284" s="43">
        <f t="shared" si="94"/>
        <v>1080</v>
      </c>
      <c r="S284" s="38">
        <f t="shared" si="99"/>
        <v>28617.563999999998</v>
      </c>
      <c r="T284" s="49">
        <v>200</v>
      </c>
      <c r="U284" s="42">
        <v>25.883199999999999</v>
      </c>
      <c r="V284" s="38">
        <f t="shared" si="107"/>
        <v>5176.6399999999994</v>
      </c>
      <c r="W284" s="42">
        <v>85</v>
      </c>
      <c r="X284" s="42">
        <v>25.883199999999999</v>
      </c>
      <c r="Y284" s="42">
        <f t="shared" si="88"/>
        <v>2200.0719999999997</v>
      </c>
      <c r="Z284" s="42">
        <v>200</v>
      </c>
      <c r="AA284" s="42">
        <v>26.8719</v>
      </c>
      <c r="AB284" s="42">
        <f t="shared" si="108"/>
        <v>5374.38</v>
      </c>
      <c r="AD284" s="42">
        <v>85</v>
      </c>
      <c r="AE284" s="42">
        <v>26.8719</v>
      </c>
      <c r="AF284" s="42">
        <f t="shared" si="109"/>
        <v>2284.1115</v>
      </c>
      <c r="AG284" s="42"/>
      <c r="AH284" s="42">
        <v>115</v>
      </c>
      <c r="AI284" s="42">
        <v>26.958300000000001</v>
      </c>
      <c r="AJ284" s="42">
        <f t="shared" si="106"/>
        <v>3100.2045000000003</v>
      </c>
      <c r="AL284" s="42">
        <v>100</v>
      </c>
      <c r="AM284" s="42">
        <v>26.4693</v>
      </c>
      <c r="AN284" s="42">
        <f t="shared" si="105"/>
        <v>2646.93</v>
      </c>
      <c r="AO284" s="44"/>
      <c r="AP284" s="42"/>
      <c r="AQ284" s="42"/>
      <c r="AR284" s="42"/>
      <c r="AU284" s="98"/>
      <c r="AV284" s="35">
        <f t="shared" si="91"/>
        <v>0</v>
      </c>
      <c r="AW284" s="104"/>
      <c r="AX284" s="42"/>
      <c r="AY284" s="42"/>
      <c r="AZ284" s="42">
        <f t="shared" si="92"/>
        <v>0</v>
      </c>
      <c r="BA284" s="42"/>
      <c r="BB284" s="42"/>
      <c r="BC284" s="42"/>
      <c r="BD284" s="38">
        <f t="shared" si="100"/>
        <v>0</v>
      </c>
      <c r="BE284" s="42"/>
      <c r="BF284" s="42"/>
      <c r="BG284" s="42"/>
      <c r="BH284" s="38">
        <f t="shared" si="101"/>
        <v>0</v>
      </c>
      <c r="BI284" s="42"/>
      <c r="BJ284" s="42"/>
      <c r="BK284" s="42"/>
      <c r="BL284" s="38">
        <f t="shared" si="102"/>
        <v>0</v>
      </c>
      <c r="BM284" s="42"/>
      <c r="BN284" s="42"/>
      <c r="BO284" s="42"/>
      <c r="BP284" s="42"/>
      <c r="BR284" s="42">
        <f t="shared" si="103"/>
        <v>20782.338</v>
      </c>
      <c r="BS284" s="43">
        <f t="shared" si="104"/>
        <v>7835.2259999999987</v>
      </c>
      <c r="BT284" s="42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  <c r="FM284" s="31"/>
      <c r="FN284" s="31"/>
      <c r="FO284" s="31"/>
      <c r="FP284" s="31"/>
      <c r="FQ284" s="31"/>
      <c r="FR284" s="31"/>
      <c r="FS284" s="31"/>
      <c r="FT284" s="31"/>
      <c r="FU284" s="31"/>
      <c r="FV284" s="31"/>
      <c r="FW284" s="31"/>
      <c r="FX284" s="31"/>
      <c r="FY284" s="31"/>
      <c r="FZ284" s="31"/>
      <c r="GA284" s="31"/>
      <c r="GB284" s="31"/>
      <c r="GC284" s="31"/>
      <c r="GD284" s="31"/>
      <c r="GE284" s="31"/>
      <c r="GF284" s="31"/>
      <c r="GG284" s="31"/>
      <c r="GH284" s="31"/>
      <c r="GI284" s="31"/>
      <c r="GJ284" s="31"/>
      <c r="GK284" s="31"/>
      <c r="GL284" s="31"/>
      <c r="GM284" s="31"/>
      <c r="GN284" s="31"/>
      <c r="GO284" s="31"/>
      <c r="GP284" s="31"/>
      <c r="GQ284" s="31"/>
      <c r="GR284" s="31"/>
      <c r="GS284" s="31"/>
      <c r="GT284" s="31"/>
      <c r="GU284" s="31"/>
      <c r="GV284" s="31"/>
      <c r="GW284" s="31"/>
      <c r="GX284" s="31"/>
      <c r="GY284" s="31"/>
      <c r="GZ284" s="31"/>
      <c r="HA284" s="31"/>
      <c r="HB284" s="31"/>
      <c r="HC284" s="31"/>
      <c r="HD284" s="31"/>
      <c r="HE284" s="31"/>
      <c r="HF284" s="31"/>
      <c r="HG284" s="31"/>
      <c r="HH284" s="31"/>
      <c r="HI284" s="31"/>
      <c r="HJ284" s="31"/>
      <c r="HK284" s="31"/>
      <c r="HL284" s="31"/>
      <c r="HM284" s="31"/>
      <c r="HN284" s="31"/>
      <c r="HO284" s="31"/>
      <c r="HP284" s="31"/>
      <c r="HQ284" s="31"/>
      <c r="HR284" s="31"/>
      <c r="HS284" s="31"/>
      <c r="HT284" s="31"/>
      <c r="HU284" s="31"/>
      <c r="HV284" s="31"/>
      <c r="HW284" s="31"/>
      <c r="HX284" s="31"/>
      <c r="HY284" s="31"/>
      <c r="HZ284" s="31"/>
      <c r="IA284" s="31"/>
      <c r="IB284" s="31"/>
      <c r="IC284" s="31"/>
      <c r="ID284" s="31"/>
      <c r="IE284" s="31"/>
      <c r="IF284" s="31"/>
      <c r="IG284" s="31"/>
      <c r="IH284" s="31"/>
      <c r="II284" s="31"/>
      <c r="IJ284" s="31"/>
      <c r="IK284" s="31"/>
      <c r="IL284" s="31"/>
      <c r="IM284" s="31"/>
      <c r="IN284" s="31"/>
      <c r="IO284" s="31"/>
      <c r="IP284" s="31"/>
      <c r="IQ284" s="31"/>
      <c r="IR284" s="31"/>
      <c r="IS284" s="31"/>
      <c r="IT284" s="31"/>
      <c r="IU284" s="31"/>
      <c r="IV284" s="31"/>
      <c r="IW284" s="31"/>
      <c r="IX284" s="31"/>
      <c r="IY284" s="31"/>
      <c r="IZ284" s="31"/>
      <c r="JA284" s="31"/>
      <c r="JB284" s="31"/>
      <c r="JC284" s="31"/>
      <c r="JD284" s="31"/>
      <c r="JE284" s="31"/>
      <c r="JF284" s="31"/>
      <c r="JG284" s="31"/>
      <c r="JH284" s="31"/>
      <c r="JI284" s="31"/>
      <c r="JJ284" s="31"/>
      <c r="JK284" s="31"/>
      <c r="JL284" s="31"/>
      <c r="JM284" s="31"/>
      <c r="JN284" s="31"/>
      <c r="JO284" s="31"/>
      <c r="JP284" s="31"/>
      <c r="JQ284" s="31"/>
      <c r="JR284" s="31"/>
      <c r="JS284" s="31"/>
      <c r="JT284" s="31"/>
      <c r="JU284" s="31"/>
      <c r="JV284" s="31"/>
      <c r="JW284" s="31"/>
      <c r="JX284" s="31"/>
      <c r="JY284" s="31"/>
      <c r="JZ284" s="31"/>
      <c r="KA284" s="31"/>
      <c r="KB284" s="31"/>
      <c r="KC284" s="31"/>
      <c r="KD284" s="31"/>
      <c r="KE284" s="31"/>
      <c r="KF284" s="31"/>
      <c r="KG284" s="31"/>
      <c r="KH284" s="31"/>
      <c r="KI284" s="31"/>
      <c r="KJ284" s="31"/>
      <c r="KK284" s="31"/>
      <c r="KL284" s="31"/>
      <c r="KM284" s="31"/>
      <c r="KN284" s="31"/>
      <c r="KO284" s="31"/>
      <c r="KP284" s="31"/>
      <c r="KQ284" s="31"/>
      <c r="KR284" s="31"/>
      <c r="KS284" s="31"/>
      <c r="KT284" s="31"/>
      <c r="KU284" s="31"/>
      <c r="KV284" s="31"/>
      <c r="KW284" s="31"/>
      <c r="KX284" s="31"/>
      <c r="KY284" s="31"/>
      <c r="KZ284" s="31"/>
      <c r="LA284" s="31"/>
      <c r="LB284" s="31"/>
      <c r="LC284" s="31"/>
      <c r="LD284" s="31"/>
      <c r="LE284" s="31"/>
      <c r="LF284" s="31"/>
      <c r="LG284" s="31"/>
      <c r="LH284" s="31"/>
      <c r="LI284" s="31"/>
      <c r="LJ284" s="31"/>
      <c r="LK284" s="31"/>
      <c r="LL284" s="31"/>
      <c r="LM284" s="31"/>
      <c r="LN284" s="31"/>
      <c r="LO284" s="31"/>
      <c r="LP284" s="31"/>
      <c r="LQ284" s="31"/>
      <c r="LR284" s="31"/>
      <c r="LS284" s="31"/>
      <c r="LT284" s="31"/>
      <c r="LU284" s="31"/>
      <c r="LV284" s="31"/>
      <c r="LW284" s="31"/>
      <c r="LX284" s="31"/>
      <c r="LY284" s="31"/>
      <c r="LZ284" s="31"/>
      <c r="MA284" s="31"/>
      <c r="MB284" s="31"/>
      <c r="MC284" s="31"/>
      <c r="MD284" s="31"/>
      <c r="ME284" s="31"/>
      <c r="MF284" s="31"/>
      <c r="MG284" s="31"/>
      <c r="MH284" s="31"/>
      <c r="MI284" s="31"/>
      <c r="MJ284" s="31"/>
      <c r="MK284" s="31"/>
      <c r="ML284" s="31"/>
      <c r="MM284" s="31"/>
      <c r="MN284" s="31"/>
      <c r="MO284" s="31"/>
      <c r="MP284" s="31"/>
      <c r="MQ284" s="31"/>
      <c r="MR284" s="31"/>
      <c r="MS284" s="31"/>
      <c r="MT284" s="31"/>
      <c r="MU284" s="31"/>
      <c r="MV284" s="31"/>
      <c r="MW284" s="31"/>
      <c r="MX284" s="31"/>
      <c r="MY284" s="31"/>
      <c r="MZ284" s="31"/>
      <c r="NA284" s="31"/>
      <c r="NB284" s="31"/>
      <c r="NC284" s="31"/>
      <c r="ND284" s="31"/>
      <c r="NE284" s="31"/>
      <c r="NF284" s="31"/>
      <c r="NG284" s="31"/>
      <c r="NH284" s="31"/>
      <c r="NI284" s="31"/>
      <c r="NJ284" s="31"/>
      <c r="NK284" s="31"/>
      <c r="NL284" s="31"/>
      <c r="NM284" s="31"/>
      <c r="NN284" s="31"/>
      <c r="NO284" s="31"/>
      <c r="NP284" s="31"/>
      <c r="NQ284" s="31"/>
      <c r="NR284" s="31"/>
      <c r="NS284" s="31"/>
      <c r="NT284" s="31"/>
      <c r="NU284" s="31"/>
      <c r="NV284" s="31"/>
      <c r="NW284" s="31"/>
      <c r="NX284" s="31"/>
      <c r="NY284" s="31"/>
      <c r="NZ284" s="31"/>
      <c r="OA284" s="31"/>
      <c r="OB284" s="31"/>
      <c r="OC284" s="31"/>
      <c r="OD284" s="31"/>
      <c r="OE284" s="31"/>
      <c r="OF284" s="31"/>
      <c r="OG284" s="31"/>
      <c r="OH284" s="31"/>
      <c r="OI284" s="31"/>
      <c r="OJ284" s="31"/>
      <c r="OK284" s="31"/>
      <c r="OL284" s="31"/>
      <c r="OM284" s="31"/>
      <c r="ON284" s="31"/>
      <c r="OO284" s="31"/>
      <c r="OP284" s="31"/>
      <c r="OQ284" s="31"/>
      <c r="OR284" s="31"/>
      <c r="OS284" s="31"/>
      <c r="OT284" s="31"/>
      <c r="OU284" s="31"/>
      <c r="OV284" s="31"/>
      <c r="OW284" s="31"/>
      <c r="OX284" s="31"/>
    </row>
    <row r="285" spans="1:414" s="25" customFormat="1" ht="15.6">
      <c r="B285" s="25" t="s">
        <v>429</v>
      </c>
      <c r="C285" s="27" t="s">
        <v>148</v>
      </c>
      <c r="D285" s="30" t="s">
        <v>405</v>
      </c>
      <c r="G285" s="42"/>
      <c r="H285" s="89">
        <v>26.109000000000002</v>
      </c>
      <c r="I285" s="38">
        <f t="shared" si="96"/>
        <v>0</v>
      </c>
      <c r="K285" s="42">
        <v>500</v>
      </c>
      <c r="L285" s="90">
        <v>26.849599999999999</v>
      </c>
      <c r="M285" s="38">
        <f t="shared" si="97"/>
        <v>13424.8</v>
      </c>
      <c r="O285" s="38">
        <v>80</v>
      </c>
      <c r="P285" s="38">
        <v>26.728300000000001</v>
      </c>
      <c r="Q285" s="38">
        <f t="shared" si="98"/>
        <v>2138.2640000000001</v>
      </c>
      <c r="R285" s="43">
        <f t="shared" si="94"/>
        <v>580</v>
      </c>
      <c r="S285" s="38">
        <f t="shared" si="99"/>
        <v>15563.063999999998</v>
      </c>
      <c r="T285" s="49">
        <v>500</v>
      </c>
      <c r="U285" s="42">
        <v>26.819299999999998</v>
      </c>
      <c r="V285" s="38">
        <f t="shared" si="107"/>
        <v>13409.65</v>
      </c>
      <c r="W285" s="42"/>
      <c r="X285" s="42"/>
      <c r="Y285" s="42">
        <f t="shared" si="88"/>
        <v>0</v>
      </c>
      <c r="Z285" s="42"/>
      <c r="AA285" s="42"/>
      <c r="AB285" s="42">
        <f t="shared" si="108"/>
        <v>0</v>
      </c>
      <c r="AD285" s="42"/>
      <c r="AE285" s="42"/>
      <c r="AF285" s="42">
        <f t="shared" si="109"/>
        <v>0</v>
      </c>
      <c r="AG285" s="42"/>
      <c r="AH285" s="42"/>
      <c r="AI285" s="42"/>
      <c r="AJ285" s="42">
        <f t="shared" si="106"/>
        <v>0</v>
      </c>
      <c r="AL285" s="42"/>
      <c r="AM285" s="42"/>
      <c r="AN285" s="42">
        <f t="shared" si="105"/>
        <v>0</v>
      </c>
      <c r="AO285" s="44"/>
      <c r="AP285" s="42"/>
      <c r="AQ285" s="42"/>
      <c r="AR285" s="42"/>
      <c r="AU285" s="98"/>
      <c r="AV285" s="35">
        <f t="shared" si="91"/>
        <v>0</v>
      </c>
      <c r="AW285" s="104"/>
      <c r="AX285" s="42"/>
      <c r="AY285" s="42"/>
      <c r="AZ285" s="42">
        <f t="shared" si="92"/>
        <v>0</v>
      </c>
      <c r="BA285" s="42"/>
      <c r="BB285" s="42"/>
      <c r="BC285" s="42"/>
      <c r="BD285" s="38">
        <f t="shared" si="100"/>
        <v>0</v>
      </c>
      <c r="BE285" s="42"/>
      <c r="BF285" s="42"/>
      <c r="BG285" s="42"/>
      <c r="BH285" s="38">
        <f t="shared" si="101"/>
        <v>0</v>
      </c>
      <c r="BI285" s="42"/>
      <c r="BJ285" s="42"/>
      <c r="BK285" s="42"/>
      <c r="BL285" s="38">
        <f t="shared" si="102"/>
        <v>0</v>
      </c>
      <c r="BM285" s="42"/>
      <c r="BN285" s="42"/>
      <c r="BO285" s="42"/>
      <c r="BP285" s="42"/>
      <c r="BR285" s="42">
        <f t="shared" si="103"/>
        <v>13409.65</v>
      </c>
      <c r="BS285" s="43">
        <f t="shared" si="104"/>
        <v>2153.4139999999989</v>
      </c>
      <c r="BT285" s="42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  <c r="FM285" s="31"/>
      <c r="FN285" s="31"/>
      <c r="FO285" s="31"/>
      <c r="FP285" s="31"/>
      <c r="FQ285" s="31"/>
      <c r="FR285" s="31"/>
      <c r="FS285" s="31"/>
      <c r="FT285" s="31"/>
      <c r="FU285" s="31"/>
      <c r="FV285" s="31"/>
      <c r="FW285" s="31"/>
      <c r="FX285" s="31"/>
      <c r="FY285" s="31"/>
      <c r="FZ285" s="31"/>
      <c r="GA285" s="31"/>
      <c r="GB285" s="31"/>
      <c r="GC285" s="31"/>
      <c r="GD285" s="31"/>
      <c r="GE285" s="31"/>
      <c r="GF285" s="31"/>
      <c r="GG285" s="31"/>
      <c r="GH285" s="31"/>
      <c r="GI285" s="31"/>
      <c r="GJ285" s="31"/>
      <c r="GK285" s="31"/>
      <c r="GL285" s="31"/>
      <c r="GM285" s="31"/>
      <c r="GN285" s="31"/>
      <c r="GO285" s="31"/>
      <c r="GP285" s="31"/>
      <c r="GQ285" s="31"/>
      <c r="GR285" s="31"/>
      <c r="GS285" s="31"/>
      <c r="GT285" s="31"/>
      <c r="GU285" s="31"/>
      <c r="GV285" s="31"/>
      <c r="GW285" s="31"/>
      <c r="GX285" s="31"/>
      <c r="GY285" s="31"/>
      <c r="GZ285" s="31"/>
      <c r="HA285" s="31"/>
      <c r="HB285" s="31"/>
      <c r="HC285" s="31"/>
      <c r="HD285" s="31"/>
      <c r="HE285" s="31"/>
      <c r="HF285" s="31"/>
      <c r="HG285" s="31"/>
      <c r="HH285" s="31"/>
      <c r="HI285" s="31"/>
      <c r="HJ285" s="31"/>
      <c r="HK285" s="31"/>
      <c r="HL285" s="31"/>
      <c r="HM285" s="31"/>
      <c r="HN285" s="31"/>
      <c r="HO285" s="31"/>
      <c r="HP285" s="31"/>
      <c r="HQ285" s="31"/>
      <c r="HR285" s="31"/>
      <c r="HS285" s="31"/>
      <c r="HT285" s="31"/>
      <c r="HU285" s="31"/>
      <c r="HV285" s="31"/>
      <c r="HW285" s="31"/>
      <c r="HX285" s="31"/>
      <c r="HY285" s="31"/>
      <c r="HZ285" s="31"/>
      <c r="IA285" s="31"/>
      <c r="IB285" s="31"/>
      <c r="IC285" s="31"/>
      <c r="ID285" s="31"/>
      <c r="IE285" s="31"/>
      <c r="IF285" s="31"/>
      <c r="IG285" s="31"/>
      <c r="IH285" s="31"/>
      <c r="II285" s="31"/>
      <c r="IJ285" s="31"/>
      <c r="IK285" s="31"/>
      <c r="IL285" s="31"/>
      <c r="IM285" s="31"/>
      <c r="IN285" s="31"/>
      <c r="IO285" s="31"/>
      <c r="IP285" s="31"/>
      <c r="IQ285" s="31"/>
      <c r="IR285" s="31"/>
      <c r="IS285" s="31"/>
      <c r="IT285" s="31"/>
      <c r="IU285" s="31"/>
      <c r="IV285" s="31"/>
      <c r="IW285" s="31"/>
      <c r="IX285" s="31"/>
      <c r="IY285" s="31"/>
      <c r="IZ285" s="31"/>
      <c r="JA285" s="31"/>
      <c r="JB285" s="31"/>
      <c r="JC285" s="31"/>
      <c r="JD285" s="31"/>
      <c r="JE285" s="31"/>
      <c r="JF285" s="31"/>
      <c r="JG285" s="31"/>
      <c r="JH285" s="31"/>
      <c r="JI285" s="31"/>
      <c r="JJ285" s="31"/>
      <c r="JK285" s="31"/>
      <c r="JL285" s="31"/>
      <c r="JM285" s="31"/>
      <c r="JN285" s="31"/>
      <c r="JO285" s="31"/>
      <c r="JP285" s="31"/>
      <c r="JQ285" s="31"/>
      <c r="JR285" s="31"/>
      <c r="JS285" s="31"/>
      <c r="JT285" s="31"/>
      <c r="JU285" s="31"/>
      <c r="JV285" s="31"/>
      <c r="JW285" s="31"/>
      <c r="JX285" s="31"/>
      <c r="JY285" s="31"/>
      <c r="JZ285" s="31"/>
      <c r="KA285" s="31"/>
      <c r="KB285" s="31"/>
      <c r="KC285" s="31"/>
      <c r="KD285" s="31"/>
      <c r="KE285" s="31"/>
      <c r="KF285" s="31"/>
      <c r="KG285" s="31"/>
      <c r="KH285" s="31"/>
      <c r="KI285" s="31"/>
      <c r="KJ285" s="31"/>
      <c r="KK285" s="31"/>
      <c r="KL285" s="31"/>
      <c r="KM285" s="31"/>
      <c r="KN285" s="31"/>
      <c r="KO285" s="31"/>
      <c r="KP285" s="31"/>
      <c r="KQ285" s="31"/>
      <c r="KR285" s="31"/>
      <c r="KS285" s="31"/>
      <c r="KT285" s="31"/>
      <c r="KU285" s="31"/>
      <c r="KV285" s="31"/>
      <c r="KW285" s="31"/>
      <c r="KX285" s="31"/>
      <c r="KY285" s="31"/>
      <c r="KZ285" s="31"/>
      <c r="LA285" s="31"/>
      <c r="LB285" s="31"/>
      <c r="LC285" s="31"/>
      <c r="LD285" s="31"/>
      <c r="LE285" s="31"/>
      <c r="LF285" s="31"/>
      <c r="LG285" s="31"/>
      <c r="LH285" s="31"/>
      <c r="LI285" s="31"/>
      <c r="LJ285" s="31"/>
      <c r="LK285" s="31"/>
      <c r="LL285" s="31"/>
      <c r="LM285" s="31"/>
      <c r="LN285" s="31"/>
      <c r="LO285" s="31"/>
      <c r="LP285" s="31"/>
      <c r="LQ285" s="31"/>
      <c r="LR285" s="31"/>
      <c r="LS285" s="31"/>
      <c r="LT285" s="31"/>
      <c r="LU285" s="31"/>
      <c r="LV285" s="31"/>
      <c r="LW285" s="31"/>
      <c r="LX285" s="31"/>
      <c r="LY285" s="31"/>
      <c r="LZ285" s="31"/>
      <c r="MA285" s="31"/>
      <c r="MB285" s="31"/>
      <c r="MC285" s="31"/>
      <c r="MD285" s="31"/>
      <c r="ME285" s="31"/>
      <c r="MF285" s="31"/>
      <c r="MG285" s="31"/>
      <c r="MH285" s="31"/>
      <c r="MI285" s="31"/>
      <c r="MJ285" s="31"/>
      <c r="MK285" s="31"/>
      <c r="ML285" s="31"/>
      <c r="MM285" s="31"/>
      <c r="MN285" s="31"/>
      <c r="MO285" s="31"/>
      <c r="MP285" s="31"/>
      <c r="MQ285" s="31"/>
      <c r="MR285" s="31"/>
      <c r="MS285" s="31"/>
      <c r="MT285" s="31"/>
      <c r="MU285" s="31"/>
      <c r="MV285" s="31"/>
      <c r="MW285" s="31"/>
      <c r="MX285" s="31"/>
      <c r="MY285" s="31"/>
      <c r="MZ285" s="31"/>
      <c r="NA285" s="31"/>
      <c r="NB285" s="31"/>
      <c r="NC285" s="31"/>
      <c r="ND285" s="31"/>
      <c r="NE285" s="31"/>
      <c r="NF285" s="31"/>
      <c r="NG285" s="31"/>
      <c r="NH285" s="31"/>
      <c r="NI285" s="31"/>
      <c r="NJ285" s="31"/>
      <c r="NK285" s="31"/>
      <c r="NL285" s="31"/>
      <c r="NM285" s="31"/>
      <c r="NN285" s="31"/>
      <c r="NO285" s="31"/>
      <c r="NP285" s="31"/>
      <c r="NQ285" s="31"/>
      <c r="NR285" s="31"/>
      <c r="NS285" s="31"/>
      <c r="NT285" s="31"/>
      <c r="NU285" s="31"/>
      <c r="NV285" s="31"/>
      <c r="NW285" s="31"/>
      <c r="NX285" s="31"/>
      <c r="NY285" s="31"/>
      <c r="NZ285" s="31"/>
      <c r="OA285" s="31"/>
      <c r="OB285" s="31"/>
      <c r="OC285" s="31"/>
      <c r="OD285" s="31"/>
      <c r="OE285" s="31"/>
      <c r="OF285" s="31"/>
      <c r="OG285" s="31"/>
      <c r="OH285" s="31"/>
      <c r="OI285" s="31"/>
      <c r="OJ285" s="31"/>
      <c r="OK285" s="31"/>
      <c r="OL285" s="31"/>
      <c r="OM285" s="31"/>
      <c r="ON285" s="31"/>
      <c r="OO285" s="31"/>
      <c r="OP285" s="31"/>
      <c r="OQ285" s="31"/>
      <c r="OR285" s="31"/>
      <c r="OS285" s="31"/>
      <c r="OT285" s="31"/>
      <c r="OU285" s="31"/>
      <c r="OV285" s="31"/>
      <c r="OW285" s="31"/>
      <c r="OX285" s="31"/>
    </row>
    <row r="286" spans="1:414" s="25" customFormat="1" ht="15.6">
      <c r="B286" s="25" t="s">
        <v>430</v>
      </c>
      <c r="C286" s="27" t="s">
        <v>431</v>
      </c>
      <c r="D286" s="30" t="s">
        <v>405</v>
      </c>
      <c r="G286" s="42">
        <v>500</v>
      </c>
      <c r="H286" s="89">
        <v>26.109000000000002</v>
      </c>
      <c r="I286" s="38">
        <f t="shared" si="96"/>
        <v>13054.5</v>
      </c>
      <c r="K286" s="42">
        <v>500</v>
      </c>
      <c r="L286" s="90">
        <v>26.849599999999999</v>
      </c>
      <c r="M286" s="38">
        <f t="shared" si="97"/>
        <v>13424.8</v>
      </c>
      <c r="O286" s="38">
        <v>80</v>
      </c>
      <c r="P286" s="38">
        <v>26.728300000000001</v>
      </c>
      <c r="Q286" s="38">
        <f t="shared" si="98"/>
        <v>2138.2640000000001</v>
      </c>
      <c r="R286" s="43">
        <f t="shared" si="94"/>
        <v>1080</v>
      </c>
      <c r="S286" s="38">
        <f t="shared" si="99"/>
        <v>28617.563999999998</v>
      </c>
      <c r="T286" s="49">
        <v>415</v>
      </c>
      <c r="U286" s="42">
        <v>26.878599999999999</v>
      </c>
      <c r="V286" s="38">
        <f t="shared" si="107"/>
        <v>11154.618999999999</v>
      </c>
      <c r="W286" s="42">
        <v>415</v>
      </c>
      <c r="X286" s="42">
        <v>26.878599999999999</v>
      </c>
      <c r="Y286" s="42">
        <f t="shared" ref="Y286:Y349" si="110">W286*X286</f>
        <v>11154.618999999999</v>
      </c>
      <c r="Z286" s="42">
        <v>85</v>
      </c>
      <c r="AA286" s="42">
        <v>26.810300000000002</v>
      </c>
      <c r="AB286" s="42">
        <f t="shared" si="108"/>
        <v>2278.8755000000001</v>
      </c>
      <c r="AD286" s="42"/>
      <c r="AE286" s="42"/>
      <c r="AF286" s="42">
        <f t="shared" si="109"/>
        <v>0</v>
      </c>
      <c r="AG286" s="42"/>
      <c r="AH286" s="42"/>
      <c r="AI286" s="42"/>
      <c r="AJ286" s="42">
        <f t="shared" si="106"/>
        <v>0</v>
      </c>
      <c r="AL286" s="42"/>
      <c r="AM286" s="42"/>
      <c r="AN286" s="42">
        <f t="shared" si="105"/>
        <v>0</v>
      </c>
      <c r="AO286" s="44"/>
      <c r="AP286" s="42"/>
      <c r="AQ286" s="42"/>
      <c r="AR286" s="42"/>
      <c r="AU286" s="98"/>
      <c r="AV286" s="35">
        <f t="shared" si="91"/>
        <v>0</v>
      </c>
      <c r="AW286" s="104"/>
      <c r="AX286" s="42"/>
      <c r="AY286" s="42"/>
      <c r="AZ286" s="42">
        <f t="shared" si="92"/>
        <v>0</v>
      </c>
      <c r="BA286" s="42"/>
      <c r="BB286" s="42"/>
      <c r="BC286" s="42"/>
      <c r="BD286" s="38">
        <f t="shared" si="100"/>
        <v>0</v>
      </c>
      <c r="BE286" s="42"/>
      <c r="BF286" s="42"/>
      <c r="BG286" s="42"/>
      <c r="BH286" s="38">
        <f t="shared" si="101"/>
        <v>0</v>
      </c>
      <c r="BI286" s="42"/>
      <c r="BJ286" s="42"/>
      <c r="BK286" s="42"/>
      <c r="BL286" s="38">
        <f t="shared" si="102"/>
        <v>0</v>
      </c>
      <c r="BM286" s="42"/>
      <c r="BN286" s="42"/>
      <c r="BO286" s="42"/>
      <c r="BP286" s="42"/>
      <c r="BR286" s="42">
        <f t="shared" si="103"/>
        <v>24588.113499999999</v>
      </c>
      <c r="BS286" s="43">
        <f t="shared" si="104"/>
        <v>4029.450499999999</v>
      </c>
      <c r="BT286" s="42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  <c r="FM286" s="31"/>
      <c r="FN286" s="31"/>
      <c r="FO286" s="31"/>
      <c r="FP286" s="31"/>
      <c r="FQ286" s="31"/>
      <c r="FR286" s="31"/>
      <c r="FS286" s="31"/>
      <c r="FT286" s="31"/>
      <c r="FU286" s="31"/>
      <c r="FV286" s="31"/>
      <c r="FW286" s="31"/>
      <c r="FX286" s="31"/>
      <c r="FY286" s="31"/>
      <c r="FZ286" s="31"/>
      <c r="GA286" s="31"/>
      <c r="GB286" s="31"/>
      <c r="GC286" s="31"/>
      <c r="GD286" s="31"/>
      <c r="GE286" s="31"/>
      <c r="GF286" s="31"/>
      <c r="GG286" s="31"/>
      <c r="GH286" s="31"/>
      <c r="GI286" s="31"/>
      <c r="GJ286" s="31"/>
      <c r="GK286" s="31"/>
      <c r="GL286" s="31"/>
      <c r="GM286" s="31"/>
      <c r="GN286" s="31"/>
      <c r="GO286" s="31"/>
      <c r="GP286" s="31"/>
      <c r="GQ286" s="31"/>
      <c r="GR286" s="31"/>
      <c r="GS286" s="31"/>
      <c r="GT286" s="31"/>
      <c r="GU286" s="31"/>
      <c r="GV286" s="31"/>
      <c r="GW286" s="31"/>
      <c r="GX286" s="31"/>
      <c r="GY286" s="31"/>
      <c r="GZ286" s="31"/>
      <c r="HA286" s="31"/>
      <c r="HB286" s="31"/>
      <c r="HC286" s="31"/>
      <c r="HD286" s="31"/>
      <c r="HE286" s="31"/>
      <c r="HF286" s="31"/>
      <c r="HG286" s="31"/>
      <c r="HH286" s="31"/>
      <c r="HI286" s="31"/>
      <c r="HJ286" s="31"/>
      <c r="HK286" s="31"/>
      <c r="HL286" s="31"/>
      <c r="HM286" s="31"/>
      <c r="HN286" s="31"/>
      <c r="HO286" s="31"/>
      <c r="HP286" s="31"/>
      <c r="HQ286" s="31"/>
      <c r="HR286" s="31"/>
      <c r="HS286" s="31"/>
      <c r="HT286" s="31"/>
      <c r="HU286" s="31"/>
      <c r="HV286" s="31"/>
      <c r="HW286" s="31"/>
      <c r="HX286" s="31"/>
      <c r="HY286" s="31"/>
      <c r="HZ286" s="31"/>
      <c r="IA286" s="31"/>
      <c r="IB286" s="31"/>
      <c r="IC286" s="31"/>
      <c r="ID286" s="31"/>
      <c r="IE286" s="31"/>
      <c r="IF286" s="31"/>
      <c r="IG286" s="31"/>
      <c r="IH286" s="31"/>
      <c r="II286" s="31"/>
      <c r="IJ286" s="31"/>
      <c r="IK286" s="31"/>
      <c r="IL286" s="31"/>
      <c r="IM286" s="31"/>
      <c r="IN286" s="31"/>
      <c r="IO286" s="31"/>
      <c r="IP286" s="31"/>
      <c r="IQ286" s="31"/>
      <c r="IR286" s="31"/>
      <c r="IS286" s="31"/>
      <c r="IT286" s="31"/>
      <c r="IU286" s="31"/>
      <c r="IV286" s="31"/>
      <c r="IW286" s="31"/>
      <c r="IX286" s="31"/>
      <c r="IY286" s="31"/>
      <c r="IZ286" s="31"/>
      <c r="JA286" s="31"/>
      <c r="JB286" s="31"/>
      <c r="JC286" s="31"/>
      <c r="JD286" s="31"/>
      <c r="JE286" s="31"/>
      <c r="JF286" s="31"/>
      <c r="JG286" s="31"/>
      <c r="JH286" s="31"/>
      <c r="JI286" s="31"/>
      <c r="JJ286" s="31"/>
      <c r="JK286" s="31"/>
      <c r="JL286" s="31"/>
      <c r="JM286" s="31"/>
      <c r="JN286" s="31"/>
      <c r="JO286" s="31"/>
      <c r="JP286" s="31"/>
      <c r="JQ286" s="31"/>
      <c r="JR286" s="31"/>
      <c r="JS286" s="31"/>
      <c r="JT286" s="31"/>
      <c r="JU286" s="31"/>
      <c r="JV286" s="31"/>
      <c r="JW286" s="31"/>
      <c r="JX286" s="31"/>
      <c r="JY286" s="31"/>
      <c r="JZ286" s="31"/>
      <c r="KA286" s="31"/>
      <c r="KB286" s="31"/>
      <c r="KC286" s="31"/>
      <c r="KD286" s="31"/>
      <c r="KE286" s="31"/>
      <c r="KF286" s="31"/>
      <c r="KG286" s="31"/>
      <c r="KH286" s="31"/>
      <c r="KI286" s="31"/>
      <c r="KJ286" s="31"/>
      <c r="KK286" s="31"/>
      <c r="KL286" s="31"/>
      <c r="KM286" s="31"/>
      <c r="KN286" s="31"/>
      <c r="KO286" s="31"/>
      <c r="KP286" s="31"/>
      <c r="KQ286" s="31"/>
      <c r="KR286" s="31"/>
      <c r="KS286" s="31"/>
      <c r="KT286" s="31"/>
      <c r="KU286" s="31"/>
      <c r="KV286" s="31"/>
      <c r="KW286" s="31"/>
      <c r="KX286" s="31"/>
      <c r="KY286" s="31"/>
      <c r="KZ286" s="31"/>
      <c r="LA286" s="31"/>
      <c r="LB286" s="31"/>
      <c r="LC286" s="31"/>
      <c r="LD286" s="31"/>
      <c r="LE286" s="31"/>
      <c r="LF286" s="31"/>
      <c r="LG286" s="31"/>
      <c r="LH286" s="31"/>
      <c r="LI286" s="31"/>
      <c r="LJ286" s="31"/>
      <c r="LK286" s="31"/>
      <c r="LL286" s="31"/>
      <c r="LM286" s="31"/>
      <c r="LN286" s="31"/>
      <c r="LO286" s="31"/>
      <c r="LP286" s="31"/>
      <c r="LQ286" s="31"/>
      <c r="LR286" s="31"/>
      <c r="LS286" s="31"/>
      <c r="LT286" s="31"/>
      <c r="LU286" s="31"/>
      <c r="LV286" s="31"/>
      <c r="LW286" s="31"/>
      <c r="LX286" s="31"/>
      <c r="LY286" s="31"/>
      <c r="LZ286" s="31"/>
      <c r="MA286" s="31"/>
      <c r="MB286" s="31"/>
      <c r="MC286" s="31"/>
      <c r="MD286" s="31"/>
      <c r="ME286" s="31"/>
      <c r="MF286" s="31"/>
      <c r="MG286" s="31"/>
      <c r="MH286" s="31"/>
      <c r="MI286" s="31"/>
      <c r="MJ286" s="31"/>
      <c r="MK286" s="31"/>
      <c r="ML286" s="31"/>
      <c r="MM286" s="31"/>
      <c r="MN286" s="31"/>
      <c r="MO286" s="31"/>
      <c r="MP286" s="31"/>
      <c r="MQ286" s="31"/>
      <c r="MR286" s="31"/>
      <c r="MS286" s="31"/>
      <c r="MT286" s="31"/>
      <c r="MU286" s="31"/>
      <c r="MV286" s="31"/>
      <c r="MW286" s="31"/>
      <c r="MX286" s="31"/>
      <c r="MY286" s="31"/>
      <c r="MZ286" s="31"/>
      <c r="NA286" s="31"/>
      <c r="NB286" s="31"/>
      <c r="NC286" s="31"/>
      <c r="ND286" s="31"/>
      <c r="NE286" s="31"/>
      <c r="NF286" s="31"/>
      <c r="NG286" s="31"/>
      <c r="NH286" s="31"/>
      <c r="NI286" s="31"/>
      <c r="NJ286" s="31"/>
      <c r="NK286" s="31"/>
      <c r="NL286" s="31"/>
      <c r="NM286" s="31"/>
      <c r="NN286" s="31"/>
      <c r="NO286" s="31"/>
      <c r="NP286" s="31"/>
      <c r="NQ286" s="31"/>
      <c r="NR286" s="31"/>
      <c r="NS286" s="31"/>
      <c r="NT286" s="31"/>
      <c r="NU286" s="31"/>
      <c r="NV286" s="31"/>
      <c r="NW286" s="31"/>
      <c r="NX286" s="31"/>
      <c r="NY286" s="31"/>
      <c r="NZ286" s="31"/>
      <c r="OA286" s="31"/>
      <c r="OB286" s="31"/>
      <c r="OC286" s="31"/>
      <c r="OD286" s="31"/>
      <c r="OE286" s="31"/>
      <c r="OF286" s="31"/>
      <c r="OG286" s="31"/>
      <c r="OH286" s="31"/>
      <c r="OI286" s="31"/>
      <c r="OJ286" s="31"/>
      <c r="OK286" s="31"/>
      <c r="OL286" s="31"/>
      <c r="OM286" s="31"/>
      <c r="ON286" s="31"/>
      <c r="OO286" s="31"/>
      <c r="OP286" s="31"/>
      <c r="OQ286" s="31"/>
      <c r="OR286" s="31"/>
      <c r="OS286" s="31"/>
      <c r="OT286" s="31"/>
      <c r="OU286" s="31"/>
      <c r="OV286" s="31"/>
      <c r="OW286" s="31"/>
      <c r="OX286" s="31"/>
    </row>
    <row r="287" spans="1:414" s="25" customFormat="1" ht="15.6">
      <c r="A287" s="25" t="s">
        <v>104</v>
      </c>
      <c r="B287" s="25" t="s">
        <v>432</v>
      </c>
      <c r="C287" s="27" t="s">
        <v>433</v>
      </c>
      <c r="D287" s="30" t="s">
        <v>405</v>
      </c>
      <c r="G287" s="42">
        <v>500</v>
      </c>
      <c r="H287" s="89">
        <v>26.109000000000002</v>
      </c>
      <c r="I287" s="38">
        <f t="shared" si="96"/>
        <v>13054.5</v>
      </c>
      <c r="K287" s="42">
        <v>500</v>
      </c>
      <c r="L287" s="90">
        <v>26.849599999999999</v>
      </c>
      <c r="M287" s="38">
        <f t="shared" si="97"/>
        <v>13424.8</v>
      </c>
      <c r="O287" s="38">
        <v>80</v>
      </c>
      <c r="P287" s="38">
        <v>26.728300000000001</v>
      </c>
      <c r="Q287" s="38">
        <f t="shared" si="98"/>
        <v>2138.2640000000001</v>
      </c>
      <c r="R287" s="43">
        <f t="shared" si="94"/>
        <v>1080</v>
      </c>
      <c r="S287" s="38">
        <f t="shared" si="99"/>
        <v>28617.563999999998</v>
      </c>
      <c r="T287" s="49">
        <v>420</v>
      </c>
      <c r="U287" s="42"/>
      <c r="V287" s="38">
        <f t="shared" si="107"/>
        <v>0</v>
      </c>
      <c r="W287" s="42">
        <v>85</v>
      </c>
      <c r="X287" s="42"/>
      <c r="Y287" s="42">
        <f t="shared" si="110"/>
        <v>0</v>
      </c>
      <c r="Z287" s="42"/>
      <c r="AA287" s="42"/>
      <c r="AB287" s="42">
        <f t="shared" si="108"/>
        <v>0</v>
      </c>
      <c r="AD287" s="42"/>
      <c r="AE287" s="42"/>
      <c r="AF287" s="42">
        <f t="shared" si="109"/>
        <v>0</v>
      </c>
      <c r="AG287" s="42"/>
      <c r="AH287" s="42"/>
      <c r="AI287" s="42"/>
      <c r="AJ287" s="42">
        <f t="shared" si="106"/>
        <v>0</v>
      </c>
      <c r="AL287" s="42"/>
      <c r="AM287" s="42"/>
      <c r="AN287" s="42">
        <f t="shared" si="105"/>
        <v>0</v>
      </c>
      <c r="AO287" s="44"/>
      <c r="AP287" s="42"/>
      <c r="AQ287" s="42"/>
      <c r="AR287" s="42"/>
      <c r="AU287" s="98"/>
      <c r="AV287" s="35">
        <f t="shared" si="91"/>
        <v>0</v>
      </c>
      <c r="AW287" s="104"/>
      <c r="AX287" s="42"/>
      <c r="AY287" s="42"/>
      <c r="AZ287" s="42">
        <f t="shared" si="92"/>
        <v>0</v>
      </c>
      <c r="BA287" s="42"/>
      <c r="BB287" s="42"/>
      <c r="BC287" s="42"/>
      <c r="BD287" s="38">
        <f t="shared" si="100"/>
        <v>0</v>
      </c>
      <c r="BE287" s="42"/>
      <c r="BF287" s="42"/>
      <c r="BG287" s="42"/>
      <c r="BH287" s="38">
        <f t="shared" si="101"/>
        <v>0</v>
      </c>
      <c r="BI287" s="42"/>
      <c r="BJ287" s="42"/>
      <c r="BK287" s="42"/>
      <c r="BL287" s="38">
        <f t="shared" si="102"/>
        <v>0</v>
      </c>
      <c r="BM287" s="42"/>
      <c r="BN287" s="42"/>
      <c r="BO287" s="42"/>
      <c r="BP287" s="42"/>
      <c r="BR287" s="42">
        <f t="shared" si="103"/>
        <v>0</v>
      </c>
      <c r="BS287" s="43">
        <f t="shared" si="104"/>
        <v>28617.563999999998</v>
      </c>
      <c r="BT287" s="42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  <c r="FM287" s="31"/>
      <c r="FN287" s="31"/>
      <c r="FO287" s="31"/>
      <c r="FP287" s="31"/>
      <c r="FQ287" s="31"/>
      <c r="FR287" s="31"/>
      <c r="FS287" s="31"/>
      <c r="FT287" s="31"/>
      <c r="FU287" s="31"/>
      <c r="FV287" s="31"/>
      <c r="FW287" s="31"/>
      <c r="FX287" s="31"/>
      <c r="FY287" s="31"/>
      <c r="FZ287" s="31"/>
      <c r="GA287" s="31"/>
      <c r="GB287" s="31"/>
      <c r="GC287" s="31"/>
      <c r="GD287" s="31"/>
      <c r="GE287" s="31"/>
      <c r="GF287" s="31"/>
      <c r="GG287" s="31"/>
      <c r="GH287" s="31"/>
      <c r="GI287" s="31"/>
      <c r="GJ287" s="31"/>
      <c r="GK287" s="31"/>
      <c r="GL287" s="31"/>
      <c r="GM287" s="31"/>
      <c r="GN287" s="31"/>
      <c r="GO287" s="31"/>
      <c r="GP287" s="31"/>
      <c r="GQ287" s="31"/>
      <c r="GR287" s="31"/>
      <c r="GS287" s="31"/>
      <c r="GT287" s="31"/>
      <c r="GU287" s="31"/>
      <c r="GV287" s="31"/>
      <c r="GW287" s="31"/>
      <c r="GX287" s="31"/>
      <c r="GY287" s="31"/>
      <c r="GZ287" s="31"/>
      <c r="HA287" s="31"/>
      <c r="HB287" s="31"/>
      <c r="HC287" s="31"/>
      <c r="HD287" s="31"/>
      <c r="HE287" s="31"/>
      <c r="HF287" s="31"/>
      <c r="HG287" s="31"/>
      <c r="HH287" s="31"/>
      <c r="HI287" s="31"/>
      <c r="HJ287" s="31"/>
      <c r="HK287" s="31"/>
      <c r="HL287" s="31"/>
      <c r="HM287" s="31"/>
      <c r="HN287" s="31"/>
      <c r="HO287" s="31"/>
      <c r="HP287" s="31"/>
      <c r="HQ287" s="31"/>
      <c r="HR287" s="31"/>
      <c r="HS287" s="31"/>
      <c r="HT287" s="31"/>
      <c r="HU287" s="31"/>
      <c r="HV287" s="31"/>
      <c r="HW287" s="31"/>
      <c r="HX287" s="31"/>
      <c r="HY287" s="31"/>
      <c r="HZ287" s="31"/>
      <c r="IA287" s="31"/>
      <c r="IB287" s="31"/>
      <c r="IC287" s="31"/>
      <c r="ID287" s="31"/>
      <c r="IE287" s="31"/>
      <c r="IF287" s="31"/>
      <c r="IG287" s="31"/>
      <c r="IH287" s="31"/>
      <c r="II287" s="31"/>
      <c r="IJ287" s="31"/>
      <c r="IK287" s="31"/>
      <c r="IL287" s="31"/>
      <c r="IM287" s="31"/>
      <c r="IN287" s="31"/>
      <c r="IO287" s="31"/>
      <c r="IP287" s="31"/>
      <c r="IQ287" s="31"/>
      <c r="IR287" s="31"/>
      <c r="IS287" s="31"/>
      <c r="IT287" s="31"/>
      <c r="IU287" s="31"/>
      <c r="IV287" s="31"/>
      <c r="IW287" s="31"/>
      <c r="IX287" s="31"/>
      <c r="IY287" s="31"/>
      <c r="IZ287" s="31"/>
      <c r="JA287" s="31"/>
      <c r="JB287" s="31"/>
      <c r="JC287" s="31"/>
      <c r="JD287" s="31"/>
      <c r="JE287" s="31"/>
      <c r="JF287" s="31"/>
      <c r="JG287" s="31"/>
      <c r="JH287" s="31"/>
      <c r="JI287" s="31"/>
      <c r="JJ287" s="31"/>
      <c r="JK287" s="31"/>
      <c r="JL287" s="31"/>
      <c r="JM287" s="31"/>
      <c r="JN287" s="31"/>
      <c r="JO287" s="31"/>
      <c r="JP287" s="31"/>
      <c r="JQ287" s="31"/>
      <c r="JR287" s="31"/>
      <c r="JS287" s="31"/>
      <c r="JT287" s="31"/>
      <c r="JU287" s="31"/>
      <c r="JV287" s="31"/>
      <c r="JW287" s="31"/>
      <c r="JX287" s="31"/>
      <c r="JY287" s="31"/>
      <c r="JZ287" s="31"/>
      <c r="KA287" s="31"/>
      <c r="KB287" s="31"/>
      <c r="KC287" s="31"/>
      <c r="KD287" s="31"/>
      <c r="KE287" s="31"/>
      <c r="KF287" s="31"/>
      <c r="KG287" s="31"/>
      <c r="KH287" s="31"/>
      <c r="KI287" s="31"/>
      <c r="KJ287" s="31"/>
      <c r="KK287" s="31"/>
      <c r="KL287" s="31"/>
      <c r="KM287" s="31"/>
      <c r="KN287" s="31"/>
      <c r="KO287" s="31"/>
      <c r="KP287" s="31"/>
      <c r="KQ287" s="31"/>
      <c r="KR287" s="31"/>
      <c r="KS287" s="31"/>
      <c r="KT287" s="31"/>
      <c r="KU287" s="31"/>
      <c r="KV287" s="31"/>
      <c r="KW287" s="31"/>
      <c r="KX287" s="31"/>
      <c r="KY287" s="31"/>
      <c r="KZ287" s="31"/>
      <c r="LA287" s="31"/>
      <c r="LB287" s="31"/>
      <c r="LC287" s="31"/>
      <c r="LD287" s="31"/>
      <c r="LE287" s="31"/>
      <c r="LF287" s="31"/>
      <c r="LG287" s="31"/>
      <c r="LH287" s="31"/>
      <c r="LI287" s="31"/>
      <c r="LJ287" s="31"/>
      <c r="LK287" s="31"/>
      <c r="LL287" s="31"/>
      <c r="LM287" s="31"/>
      <c r="LN287" s="31"/>
      <c r="LO287" s="31"/>
      <c r="LP287" s="31"/>
      <c r="LQ287" s="31"/>
      <c r="LR287" s="31"/>
      <c r="LS287" s="31"/>
      <c r="LT287" s="31"/>
      <c r="LU287" s="31"/>
      <c r="LV287" s="31"/>
      <c r="LW287" s="31"/>
      <c r="LX287" s="31"/>
      <c r="LY287" s="31"/>
      <c r="LZ287" s="31"/>
      <c r="MA287" s="31"/>
      <c r="MB287" s="31"/>
      <c r="MC287" s="31"/>
      <c r="MD287" s="31"/>
      <c r="ME287" s="31"/>
      <c r="MF287" s="31"/>
      <c r="MG287" s="31"/>
      <c r="MH287" s="31"/>
      <c r="MI287" s="31"/>
      <c r="MJ287" s="31"/>
      <c r="MK287" s="31"/>
      <c r="ML287" s="31"/>
      <c r="MM287" s="31"/>
      <c r="MN287" s="31"/>
      <c r="MO287" s="31"/>
      <c r="MP287" s="31"/>
      <c r="MQ287" s="31"/>
      <c r="MR287" s="31"/>
      <c r="MS287" s="31"/>
      <c r="MT287" s="31"/>
      <c r="MU287" s="31"/>
      <c r="MV287" s="31"/>
      <c r="MW287" s="31"/>
      <c r="MX287" s="31"/>
      <c r="MY287" s="31"/>
      <c r="MZ287" s="31"/>
      <c r="NA287" s="31"/>
      <c r="NB287" s="31"/>
      <c r="NC287" s="31"/>
      <c r="ND287" s="31"/>
      <c r="NE287" s="31"/>
      <c r="NF287" s="31"/>
      <c r="NG287" s="31"/>
      <c r="NH287" s="31"/>
      <c r="NI287" s="31"/>
      <c r="NJ287" s="31"/>
      <c r="NK287" s="31"/>
      <c r="NL287" s="31"/>
      <c r="NM287" s="31"/>
      <c r="NN287" s="31"/>
      <c r="NO287" s="31"/>
      <c r="NP287" s="31"/>
      <c r="NQ287" s="31"/>
      <c r="NR287" s="31"/>
      <c r="NS287" s="31"/>
      <c r="NT287" s="31"/>
      <c r="NU287" s="31"/>
      <c r="NV287" s="31"/>
      <c r="NW287" s="31"/>
      <c r="NX287" s="31"/>
      <c r="NY287" s="31"/>
      <c r="NZ287" s="31"/>
      <c r="OA287" s="31"/>
      <c r="OB287" s="31"/>
      <c r="OC287" s="31"/>
      <c r="OD287" s="31"/>
      <c r="OE287" s="31"/>
      <c r="OF287" s="31"/>
      <c r="OG287" s="31"/>
      <c r="OH287" s="31"/>
      <c r="OI287" s="31"/>
      <c r="OJ287" s="31"/>
      <c r="OK287" s="31"/>
      <c r="OL287" s="31"/>
      <c r="OM287" s="31"/>
      <c r="ON287" s="31"/>
      <c r="OO287" s="31"/>
      <c r="OP287" s="31"/>
      <c r="OQ287" s="31"/>
      <c r="OR287" s="31"/>
      <c r="OS287" s="31"/>
      <c r="OT287" s="31"/>
      <c r="OU287" s="31"/>
      <c r="OV287" s="31"/>
      <c r="OW287" s="31"/>
      <c r="OX287" s="31"/>
    </row>
    <row r="288" spans="1:414" s="25" customFormat="1" ht="15.6">
      <c r="B288" s="25" t="s">
        <v>435</v>
      </c>
      <c r="C288" s="27" t="s">
        <v>436</v>
      </c>
      <c r="D288" s="30" t="s">
        <v>434</v>
      </c>
      <c r="G288" s="42">
        <v>500</v>
      </c>
      <c r="H288" s="89">
        <v>26.109000000000002</v>
      </c>
      <c r="I288" s="38">
        <f t="shared" si="96"/>
        <v>13054.5</v>
      </c>
      <c r="K288" s="42">
        <v>500</v>
      </c>
      <c r="L288" s="90">
        <v>26.849599999999999</v>
      </c>
      <c r="M288" s="38">
        <f t="shared" si="97"/>
        <v>13424.8</v>
      </c>
      <c r="O288" s="38">
        <v>80</v>
      </c>
      <c r="P288" s="38">
        <v>26.728300000000001</v>
      </c>
      <c r="Q288" s="38">
        <f t="shared" si="98"/>
        <v>2138.2640000000001</v>
      </c>
      <c r="R288" s="43">
        <f t="shared" si="94"/>
        <v>1080</v>
      </c>
      <c r="S288" s="38">
        <f t="shared" si="99"/>
        <v>28617.563999999998</v>
      </c>
      <c r="T288" s="49">
        <v>85</v>
      </c>
      <c r="U288" s="42">
        <v>25.883199999999999</v>
      </c>
      <c r="V288" s="38">
        <f t="shared" si="107"/>
        <v>2200.0719999999997</v>
      </c>
      <c r="W288" s="42">
        <v>140</v>
      </c>
      <c r="X288" s="42">
        <v>26.267499999999998</v>
      </c>
      <c r="Y288" s="42">
        <f t="shared" si="110"/>
        <v>3677.45</v>
      </c>
      <c r="Z288" s="42">
        <v>400</v>
      </c>
      <c r="AA288" s="42">
        <v>26.856000000000002</v>
      </c>
      <c r="AB288" s="42">
        <f t="shared" si="108"/>
        <v>10742.400000000001</v>
      </c>
      <c r="AD288" s="42"/>
      <c r="AE288" s="42"/>
      <c r="AF288" s="42">
        <f t="shared" si="109"/>
        <v>0</v>
      </c>
      <c r="AG288" s="42"/>
      <c r="AH288" s="42"/>
      <c r="AI288" s="42"/>
      <c r="AJ288" s="42">
        <f t="shared" si="106"/>
        <v>0</v>
      </c>
      <c r="AL288" s="42"/>
      <c r="AM288" s="42"/>
      <c r="AN288" s="42">
        <f t="shared" si="105"/>
        <v>0</v>
      </c>
      <c r="AO288" s="44"/>
      <c r="AP288" s="42"/>
      <c r="AQ288" s="42"/>
      <c r="AR288" s="42"/>
      <c r="AU288" s="98"/>
      <c r="AV288" s="35">
        <f t="shared" si="91"/>
        <v>0</v>
      </c>
      <c r="AW288" s="104"/>
      <c r="AX288" s="42"/>
      <c r="AY288" s="42"/>
      <c r="AZ288" s="42">
        <f t="shared" si="92"/>
        <v>0</v>
      </c>
      <c r="BA288" s="42"/>
      <c r="BB288" s="42"/>
      <c r="BC288" s="42"/>
      <c r="BD288" s="38">
        <f t="shared" si="100"/>
        <v>0</v>
      </c>
      <c r="BE288" s="42"/>
      <c r="BF288" s="42"/>
      <c r="BG288" s="42"/>
      <c r="BH288" s="38">
        <f t="shared" si="101"/>
        <v>0</v>
      </c>
      <c r="BI288" s="42"/>
      <c r="BJ288" s="42"/>
      <c r="BK288" s="42"/>
      <c r="BL288" s="38">
        <f t="shared" si="102"/>
        <v>0</v>
      </c>
      <c r="BM288" s="42"/>
      <c r="BN288" s="42"/>
      <c r="BO288" s="42"/>
      <c r="BP288" s="42"/>
      <c r="BR288" s="42">
        <f t="shared" si="103"/>
        <v>16619.921999999999</v>
      </c>
      <c r="BS288" s="43">
        <f t="shared" si="104"/>
        <v>11997.642</v>
      </c>
      <c r="BT288" s="42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  <c r="FM288" s="31"/>
      <c r="FN288" s="31"/>
      <c r="FO288" s="31"/>
      <c r="FP288" s="31"/>
      <c r="FQ288" s="31"/>
      <c r="FR288" s="31"/>
      <c r="FS288" s="31"/>
      <c r="FT288" s="31"/>
      <c r="FU288" s="31"/>
      <c r="FV288" s="31"/>
      <c r="FW288" s="31"/>
      <c r="FX288" s="31"/>
      <c r="FY288" s="31"/>
      <c r="FZ288" s="31"/>
      <c r="GA288" s="31"/>
      <c r="GB288" s="31"/>
      <c r="GC288" s="31"/>
      <c r="GD288" s="31"/>
      <c r="GE288" s="31"/>
      <c r="GF288" s="31"/>
      <c r="GG288" s="31"/>
      <c r="GH288" s="31"/>
      <c r="GI288" s="31"/>
      <c r="GJ288" s="31"/>
      <c r="GK288" s="31"/>
      <c r="GL288" s="31"/>
      <c r="GM288" s="31"/>
      <c r="GN288" s="31"/>
      <c r="GO288" s="31"/>
      <c r="GP288" s="31"/>
      <c r="GQ288" s="31"/>
      <c r="GR288" s="31"/>
      <c r="GS288" s="31"/>
      <c r="GT288" s="31"/>
      <c r="GU288" s="31"/>
      <c r="GV288" s="31"/>
      <c r="GW288" s="31"/>
      <c r="GX288" s="31"/>
      <c r="GY288" s="31"/>
      <c r="GZ288" s="31"/>
      <c r="HA288" s="31"/>
      <c r="HB288" s="31"/>
      <c r="HC288" s="31"/>
      <c r="HD288" s="31"/>
      <c r="HE288" s="31"/>
      <c r="HF288" s="31"/>
      <c r="HG288" s="31"/>
      <c r="HH288" s="31"/>
      <c r="HI288" s="31"/>
      <c r="HJ288" s="31"/>
      <c r="HK288" s="31"/>
      <c r="HL288" s="31"/>
      <c r="HM288" s="31"/>
      <c r="HN288" s="31"/>
      <c r="HO288" s="31"/>
      <c r="HP288" s="31"/>
      <c r="HQ288" s="31"/>
      <c r="HR288" s="31"/>
      <c r="HS288" s="31"/>
      <c r="HT288" s="31"/>
      <c r="HU288" s="31"/>
      <c r="HV288" s="31"/>
      <c r="HW288" s="31"/>
      <c r="HX288" s="31"/>
      <c r="HY288" s="31"/>
      <c r="HZ288" s="31"/>
      <c r="IA288" s="31"/>
      <c r="IB288" s="31"/>
      <c r="IC288" s="31"/>
      <c r="ID288" s="31"/>
      <c r="IE288" s="31"/>
      <c r="IF288" s="31"/>
      <c r="IG288" s="31"/>
      <c r="IH288" s="31"/>
      <c r="II288" s="31"/>
      <c r="IJ288" s="31"/>
      <c r="IK288" s="31"/>
      <c r="IL288" s="31"/>
      <c r="IM288" s="31"/>
      <c r="IN288" s="31"/>
      <c r="IO288" s="31"/>
      <c r="IP288" s="31"/>
      <c r="IQ288" s="31"/>
      <c r="IR288" s="31"/>
      <c r="IS288" s="31"/>
      <c r="IT288" s="31"/>
      <c r="IU288" s="31"/>
      <c r="IV288" s="31"/>
      <c r="IW288" s="31"/>
      <c r="IX288" s="31"/>
      <c r="IY288" s="31"/>
      <c r="IZ288" s="31"/>
      <c r="JA288" s="31"/>
      <c r="JB288" s="31"/>
      <c r="JC288" s="31"/>
      <c r="JD288" s="31"/>
      <c r="JE288" s="31"/>
      <c r="JF288" s="31"/>
      <c r="JG288" s="31"/>
      <c r="JH288" s="31"/>
      <c r="JI288" s="31"/>
      <c r="JJ288" s="31"/>
      <c r="JK288" s="31"/>
      <c r="JL288" s="31"/>
      <c r="JM288" s="31"/>
      <c r="JN288" s="31"/>
      <c r="JO288" s="31"/>
      <c r="JP288" s="31"/>
      <c r="JQ288" s="31"/>
      <c r="JR288" s="31"/>
      <c r="JS288" s="31"/>
      <c r="JT288" s="31"/>
      <c r="JU288" s="31"/>
      <c r="JV288" s="31"/>
      <c r="JW288" s="31"/>
      <c r="JX288" s="31"/>
      <c r="JY288" s="31"/>
      <c r="JZ288" s="31"/>
      <c r="KA288" s="31"/>
      <c r="KB288" s="31"/>
      <c r="KC288" s="31"/>
      <c r="KD288" s="31"/>
      <c r="KE288" s="31"/>
      <c r="KF288" s="31"/>
      <c r="KG288" s="31"/>
      <c r="KH288" s="31"/>
      <c r="KI288" s="31"/>
      <c r="KJ288" s="31"/>
      <c r="KK288" s="31"/>
      <c r="KL288" s="31"/>
      <c r="KM288" s="31"/>
      <c r="KN288" s="31"/>
      <c r="KO288" s="31"/>
      <c r="KP288" s="31"/>
      <c r="KQ288" s="31"/>
      <c r="KR288" s="31"/>
      <c r="KS288" s="31"/>
      <c r="KT288" s="31"/>
      <c r="KU288" s="31"/>
      <c r="KV288" s="31"/>
      <c r="KW288" s="31"/>
      <c r="KX288" s="31"/>
      <c r="KY288" s="31"/>
      <c r="KZ288" s="31"/>
      <c r="LA288" s="31"/>
      <c r="LB288" s="31"/>
      <c r="LC288" s="31"/>
      <c r="LD288" s="31"/>
      <c r="LE288" s="31"/>
      <c r="LF288" s="31"/>
      <c r="LG288" s="31"/>
      <c r="LH288" s="31"/>
      <c r="LI288" s="31"/>
      <c r="LJ288" s="31"/>
      <c r="LK288" s="31"/>
      <c r="LL288" s="31"/>
      <c r="LM288" s="31"/>
      <c r="LN288" s="31"/>
      <c r="LO288" s="31"/>
      <c r="LP288" s="31"/>
      <c r="LQ288" s="31"/>
      <c r="LR288" s="31"/>
      <c r="LS288" s="31"/>
      <c r="LT288" s="31"/>
      <c r="LU288" s="31"/>
      <c r="LV288" s="31"/>
      <c r="LW288" s="31"/>
      <c r="LX288" s="31"/>
      <c r="LY288" s="31"/>
      <c r="LZ288" s="31"/>
      <c r="MA288" s="31"/>
      <c r="MB288" s="31"/>
      <c r="MC288" s="31"/>
      <c r="MD288" s="31"/>
      <c r="ME288" s="31"/>
      <c r="MF288" s="31"/>
      <c r="MG288" s="31"/>
      <c r="MH288" s="31"/>
      <c r="MI288" s="31"/>
      <c r="MJ288" s="31"/>
      <c r="MK288" s="31"/>
      <c r="ML288" s="31"/>
      <c r="MM288" s="31"/>
      <c r="MN288" s="31"/>
      <c r="MO288" s="31"/>
      <c r="MP288" s="31"/>
      <c r="MQ288" s="31"/>
      <c r="MR288" s="31"/>
      <c r="MS288" s="31"/>
      <c r="MT288" s="31"/>
      <c r="MU288" s="31"/>
      <c r="MV288" s="31"/>
      <c r="MW288" s="31"/>
      <c r="MX288" s="31"/>
      <c r="MY288" s="31"/>
      <c r="MZ288" s="31"/>
      <c r="NA288" s="31"/>
      <c r="NB288" s="31"/>
      <c r="NC288" s="31"/>
      <c r="ND288" s="31"/>
      <c r="NE288" s="31"/>
      <c r="NF288" s="31"/>
      <c r="NG288" s="31"/>
      <c r="NH288" s="31"/>
      <c r="NI288" s="31"/>
      <c r="NJ288" s="31"/>
      <c r="NK288" s="31"/>
      <c r="NL288" s="31"/>
      <c r="NM288" s="31"/>
      <c r="NN288" s="31"/>
      <c r="NO288" s="31"/>
      <c r="NP288" s="31"/>
      <c r="NQ288" s="31"/>
      <c r="NR288" s="31"/>
      <c r="NS288" s="31"/>
      <c r="NT288" s="31"/>
      <c r="NU288" s="31"/>
      <c r="NV288" s="31"/>
      <c r="NW288" s="31"/>
      <c r="NX288" s="31"/>
      <c r="NY288" s="31"/>
      <c r="NZ288" s="31"/>
      <c r="OA288" s="31"/>
      <c r="OB288" s="31"/>
      <c r="OC288" s="31"/>
      <c r="OD288" s="31"/>
      <c r="OE288" s="31"/>
      <c r="OF288" s="31"/>
      <c r="OG288" s="31"/>
      <c r="OH288" s="31"/>
      <c r="OI288" s="31"/>
      <c r="OJ288" s="31"/>
      <c r="OK288" s="31"/>
      <c r="OL288" s="31"/>
      <c r="OM288" s="31"/>
      <c r="ON288" s="31"/>
      <c r="OO288" s="31"/>
      <c r="OP288" s="31"/>
      <c r="OQ288" s="31"/>
      <c r="OR288" s="31"/>
      <c r="OS288" s="31"/>
      <c r="OT288" s="31"/>
      <c r="OU288" s="31"/>
      <c r="OV288" s="31"/>
      <c r="OW288" s="31"/>
      <c r="OX288" s="31"/>
    </row>
    <row r="289" spans="2:414" s="25" customFormat="1" ht="15.6">
      <c r="B289" s="25" t="s">
        <v>437</v>
      </c>
      <c r="C289" s="27" t="s">
        <v>438</v>
      </c>
      <c r="D289" s="30" t="s">
        <v>434</v>
      </c>
      <c r="G289" s="42">
        <v>500</v>
      </c>
      <c r="H289" s="89">
        <v>26.109000000000002</v>
      </c>
      <c r="I289" s="38">
        <f t="shared" si="96"/>
        <v>13054.5</v>
      </c>
      <c r="K289" s="42">
        <v>500</v>
      </c>
      <c r="L289" s="90">
        <v>26.849599999999999</v>
      </c>
      <c r="M289" s="38">
        <f t="shared" si="97"/>
        <v>13424.8</v>
      </c>
      <c r="O289" s="38">
        <v>80</v>
      </c>
      <c r="P289" s="38">
        <v>26.728300000000001</v>
      </c>
      <c r="Q289" s="38">
        <f t="shared" si="98"/>
        <v>2138.2640000000001</v>
      </c>
      <c r="R289" s="43">
        <f t="shared" si="94"/>
        <v>1080</v>
      </c>
      <c r="S289" s="38">
        <f t="shared" si="99"/>
        <v>28617.563999999998</v>
      </c>
      <c r="T289" s="49">
        <v>415</v>
      </c>
      <c r="U289" s="42">
        <v>25.822600000000001</v>
      </c>
      <c r="V289" s="38">
        <f t="shared" si="107"/>
        <v>10716.379000000001</v>
      </c>
      <c r="W289" s="42">
        <v>85</v>
      </c>
      <c r="X289" s="42">
        <v>26.283100000000001</v>
      </c>
      <c r="Y289" s="42">
        <f t="shared" si="110"/>
        <v>2234.0635000000002</v>
      </c>
      <c r="Z289" s="42">
        <v>400</v>
      </c>
      <c r="AA289" s="42">
        <v>26.8401</v>
      </c>
      <c r="AB289" s="42">
        <f t="shared" si="108"/>
        <v>10736.039999999999</v>
      </c>
      <c r="AD289" s="42">
        <v>100</v>
      </c>
      <c r="AE289" s="42">
        <v>26.794699999999999</v>
      </c>
      <c r="AF289" s="42">
        <f t="shared" si="109"/>
        <v>2679.47</v>
      </c>
      <c r="AG289" s="42"/>
      <c r="AH289" s="42"/>
      <c r="AI289" s="42"/>
      <c r="AJ289" s="42">
        <f t="shared" si="106"/>
        <v>0</v>
      </c>
      <c r="AL289" s="42"/>
      <c r="AM289" s="42"/>
      <c r="AN289" s="42">
        <f t="shared" si="105"/>
        <v>0</v>
      </c>
      <c r="AO289" s="44"/>
      <c r="AP289" s="42"/>
      <c r="AQ289" s="42"/>
      <c r="AR289" s="42"/>
      <c r="AU289" s="98"/>
      <c r="AV289" s="35">
        <f t="shared" si="91"/>
        <v>0</v>
      </c>
      <c r="AW289" s="104"/>
      <c r="AX289" s="42"/>
      <c r="AY289" s="42"/>
      <c r="AZ289" s="42">
        <f t="shared" si="92"/>
        <v>0</v>
      </c>
      <c r="BA289" s="42"/>
      <c r="BB289" s="42"/>
      <c r="BC289" s="42"/>
      <c r="BD289" s="38">
        <f t="shared" si="100"/>
        <v>0</v>
      </c>
      <c r="BE289" s="42"/>
      <c r="BF289" s="42"/>
      <c r="BG289" s="42"/>
      <c r="BH289" s="38">
        <f t="shared" si="101"/>
        <v>0</v>
      </c>
      <c r="BI289" s="42"/>
      <c r="BJ289" s="42"/>
      <c r="BK289" s="42"/>
      <c r="BL289" s="38">
        <f t="shared" si="102"/>
        <v>0</v>
      </c>
      <c r="BM289" s="42"/>
      <c r="BN289" s="42"/>
      <c r="BO289" s="42"/>
      <c r="BP289" s="42"/>
      <c r="BR289" s="42">
        <f t="shared" si="103"/>
        <v>26365.952499999999</v>
      </c>
      <c r="BS289" s="43">
        <f t="shared" si="104"/>
        <v>2251.6114999999991</v>
      </c>
      <c r="BT289" s="42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</row>
    <row r="290" spans="2:414" s="25" customFormat="1" ht="15.6">
      <c r="B290" s="25" t="s">
        <v>439</v>
      </c>
      <c r="C290" s="27" t="s">
        <v>440</v>
      </c>
      <c r="D290" s="30" t="s">
        <v>434</v>
      </c>
      <c r="G290" s="42">
        <v>500</v>
      </c>
      <c r="H290" s="89">
        <v>26.109000000000002</v>
      </c>
      <c r="I290" s="38">
        <f t="shared" si="96"/>
        <v>13054.5</v>
      </c>
      <c r="K290" s="42">
        <v>500</v>
      </c>
      <c r="L290" s="90">
        <v>26.849599999999999</v>
      </c>
      <c r="M290" s="38">
        <f t="shared" si="97"/>
        <v>13424.8</v>
      </c>
      <c r="O290" s="38">
        <v>80</v>
      </c>
      <c r="P290" s="38">
        <v>26.728300000000001</v>
      </c>
      <c r="Q290" s="38">
        <f t="shared" si="98"/>
        <v>2138.2640000000001</v>
      </c>
      <c r="R290" s="43">
        <f t="shared" si="94"/>
        <v>1080</v>
      </c>
      <c r="S290" s="38">
        <f t="shared" si="99"/>
        <v>28617.563999999998</v>
      </c>
      <c r="T290" s="49">
        <v>415</v>
      </c>
      <c r="U290" s="42">
        <v>26.261399999999998</v>
      </c>
      <c r="V290" s="38">
        <f t="shared" si="107"/>
        <v>10898.481</v>
      </c>
      <c r="W290" s="42">
        <v>75</v>
      </c>
      <c r="X290" s="42">
        <v>26.261399999999998</v>
      </c>
      <c r="Y290" s="42">
        <f t="shared" si="110"/>
        <v>1969.6049999999998</v>
      </c>
      <c r="Z290" s="42">
        <v>10</v>
      </c>
      <c r="AA290" s="42">
        <v>26.4879</v>
      </c>
      <c r="AB290" s="42">
        <f t="shared" si="108"/>
        <v>264.87900000000002</v>
      </c>
      <c r="AD290" s="42"/>
      <c r="AE290" s="42"/>
      <c r="AF290" s="42">
        <f t="shared" si="109"/>
        <v>0</v>
      </c>
      <c r="AG290" s="42"/>
      <c r="AH290" s="42"/>
      <c r="AI290" s="42"/>
      <c r="AJ290" s="42">
        <f t="shared" si="106"/>
        <v>0</v>
      </c>
      <c r="AL290" s="42"/>
      <c r="AM290" s="42"/>
      <c r="AN290" s="42">
        <f t="shared" si="105"/>
        <v>0</v>
      </c>
      <c r="AO290" s="44"/>
      <c r="AP290" s="42"/>
      <c r="AQ290" s="42"/>
      <c r="AR290" s="42"/>
      <c r="AU290" s="98"/>
      <c r="AV290" s="35">
        <f t="shared" si="91"/>
        <v>0</v>
      </c>
      <c r="AW290" s="104"/>
      <c r="AX290" s="42"/>
      <c r="AY290" s="42"/>
      <c r="AZ290" s="42">
        <f t="shared" si="92"/>
        <v>0</v>
      </c>
      <c r="BA290" s="42"/>
      <c r="BB290" s="42"/>
      <c r="BC290" s="42"/>
      <c r="BD290" s="38">
        <f t="shared" si="100"/>
        <v>0</v>
      </c>
      <c r="BE290" s="42"/>
      <c r="BF290" s="42"/>
      <c r="BG290" s="42"/>
      <c r="BH290" s="38">
        <f t="shared" si="101"/>
        <v>0</v>
      </c>
      <c r="BI290" s="42"/>
      <c r="BJ290" s="42"/>
      <c r="BK290" s="42"/>
      <c r="BL290" s="38">
        <f t="shared" si="102"/>
        <v>0</v>
      </c>
      <c r="BM290" s="42"/>
      <c r="BN290" s="42"/>
      <c r="BO290" s="42"/>
      <c r="BP290" s="42"/>
      <c r="BR290" s="42">
        <f t="shared" si="103"/>
        <v>13132.965</v>
      </c>
      <c r="BS290" s="43">
        <f t="shared" si="104"/>
        <v>15484.598999999998</v>
      </c>
      <c r="BT290" s="42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  <c r="FM290" s="31"/>
      <c r="FN290" s="31"/>
      <c r="FO290" s="31"/>
      <c r="FP290" s="31"/>
      <c r="FQ290" s="31"/>
      <c r="FR290" s="31"/>
      <c r="FS290" s="31"/>
      <c r="FT290" s="31"/>
      <c r="FU290" s="31"/>
      <c r="FV290" s="31"/>
      <c r="FW290" s="31"/>
      <c r="FX290" s="31"/>
      <c r="FY290" s="31"/>
      <c r="FZ290" s="31"/>
      <c r="GA290" s="31"/>
      <c r="GB290" s="31"/>
      <c r="GC290" s="31"/>
      <c r="GD290" s="31"/>
      <c r="GE290" s="31"/>
      <c r="GF290" s="31"/>
      <c r="GG290" s="31"/>
      <c r="GH290" s="31"/>
      <c r="GI290" s="31"/>
      <c r="GJ290" s="31"/>
      <c r="GK290" s="31"/>
      <c r="GL290" s="31"/>
      <c r="GM290" s="31"/>
      <c r="GN290" s="31"/>
      <c r="GO290" s="31"/>
      <c r="GP290" s="31"/>
      <c r="GQ290" s="31"/>
      <c r="GR290" s="31"/>
      <c r="GS290" s="31"/>
      <c r="GT290" s="31"/>
      <c r="GU290" s="31"/>
      <c r="GV290" s="31"/>
      <c r="GW290" s="31"/>
      <c r="GX290" s="31"/>
      <c r="GY290" s="31"/>
      <c r="GZ290" s="31"/>
      <c r="HA290" s="31"/>
      <c r="HB290" s="31"/>
      <c r="HC290" s="31"/>
      <c r="HD290" s="31"/>
      <c r="HE290" s="31"/>
      <c r="HF290" s="31"/>
      <c r="HG290" s="31"/>
      <c r="HH290" s="31"/>
      <c r="HI290" s="31"/>
      <c r="HJ290" s="31"/>
      <c r="HK290" s="31"/>
      <c r="HL290" s="31"/>
      <c r="HM290" s="31"/>
      <c r="HN290" s="31"/>
      <c r="HO290" s="31"/>
      <c r="HP290" s="31"/>
      <c r="HQ290" s="31"/>
      <c r="HR290" s="31"/>
      <c r="HS290" s="31"/>
      <c r="HT290" s="31"/>
      <c r="HU290" s="31"/>
      <c r="HV290" s="31"/>
      <c r="HW290" s="31"/>
      <c r="HX290" s="31"/>
      <c r="HY290" s="31"/>
      <c r="HZ290" s="31"/>
      <c r="IA290" s="31"/>
      <c r="IB290" s="31"/>
      <c r="IC290" s="31"/>
      <c r="ID290" s="31"/>
      <c r="IE290" s="31"/>
      <c r="IF290" s="31"/>
      <c r="IG290" s="31"/>
      <c r="IH290" s="31"/>
      <c r="II290" s="31"/>
      <c r="IJ290" s="31"/>
      <c r="IK290" s="31"/>
      <c r="IL290" s="31"/>
      <c r="IM290" s="31"/>
      <c r="IN290" s="31"/>
      <c r="IO290" s="31"/>
      <c r="IP290" s="31"/>
      <c r="IQ290" s="31"/>
      <c r="IR290" s="31"/>
      <c r="IS290" s="31"/>
      <c r="IT290" s="31"/>
      <c r="IU290" s="31"/>
      <c r="IV290" s="31"/>
      <c r="IW290" s="31"/>
      <c r="IX290" s="31"/>
      <c r="IY290" s="31"/>
      <c r="IZ290" s="31"/>
      <c r="JA290" s="31"/>
      <c r="JB290" s="31"/>
      <c r="JC290" s="31"/>
      <c r="JD290" s="31"/>
      <c r="JE290" s="31"/>
      <c r="JF290" s="31"/>
      <c r="JG290" s="31"/>
      <c r="JH290" s="31"/>
      <c r="JI290" s="31"/>
      <c r="JJ290" s="31"/>
      <c r="JK290" s="31"/>
      <c r="JL290" s="31"/>
      <c r="JM290" s="31"/>
      <c r="JN290" s="31"/>
      <c r="JO290" s="31"/>
      <c r="JP290" s="31"/>
      <c r="JQ290" s="31"/>
      <c r="JR290" s="31"/>
      <c r="JS290" s="31"/>
      <c r="JT290" s="31"/>
      <c r="JU290" s="31"/>
      <c r="JV290" s="31"/>
      <c r="JW290" s="31"/>
      <c r="JX290" s="31"/>
      <c r="JY290" s="31"/>
      <c r="JZ290" s="31"/>
      <c r="KA290" s="31"/>
      <c r="KB290" s="31"/>
      <c r="KC290" s="31"/>
      <c r="KD290" s="31"/>
      <c r="KE290" s="31"/>
      <c r="KF290" s="31"/>
      <c r="KG290" s="31"/>
      <c r="KH290" s="31"/>
      <c r="KI290" s="31"/>
      <c r="KJ290" s="31"/>
      <c r="KK290" s="31"/>
      <c r="KL290" s="31"/>
      <c r="KM290" s="31"/>
      <c r="KN290" s="31"/>
      <c r="KO290" s="31"/>
      <c r="KP290" s="31"/>
      <c r="KQ290" s="31"/>
      <c r="KR290" s="31"/>
      <c r="KS290" s="31"/>
      <c r="KT290" s="31"/>
      <c r="KU290" s="31"/>
      <c r="KV290" s="31"/>
      <c r="KW290" s="31"/>
      <c r="KX290" s="31"/>
      <c r="KY290" s="31"/>
      <c r="KZ290" s="31"/>
      <c r="LA290" s="31"/>
      <c r="LB290" s="31"/>
      <c r="LC290" s="31"/>
      <c r="LD290" s="31"/>
      <c r="LE290" s="31"/>
      <c r="LF290" s="31"/>
      <c r="LG290" s="31"/>
      <c r="LH290" s="31"/>
      <c r="LI290" s="31"/>
      <c r="LJ290" s="31"/>
      <c r="LK290" s="31"/>
      <c r="LL290" s="31"/>
      <c r="LM290" s="31"/>
      <c r="LN290" s="31"/>
      <c r="LO290" s="31"/>
      <c r="LP290" s="31"/>
      <c r="LQ290" s="31"/>
      <c r="LR290" s="31"/>
      <c r="LS290" s="31"/>
      <c r="LT290" s="31"/>
      <c r="LU290" s="31"/>
      <c r="LV290" s="31"/>
      <c r="LW290" s="31"/>
      <c r="LX290" s="31"/>
      <c r="LY290" s="31"/>
      <c r="LZ290" s="31"/>
      <c r="MA290" s="31"/>
      <c r="MB290" s="31"/>
      <c r="MC290" s="31"/>
      <c r="MD290" s="31"/>
      <c r="ME290" s="31"/>
      <c r="MF290" s="31"/>
      <c r="MG290" s="31"/>
      <c r="MH290" s="31"/>
      <c r="MI290" s="31"/>
      <c r="MJ290" s="31"/>
      <c r="MK290" s="31"/>
      <c r="ML290" s="31"/>
      <c r="MM290" s="31"/>
      <c r="MN290" s="31"/>
      <c r="MO290" s="31"/>
      <c r="MP290" s="31"/>
      <c r="MQ290" s="31"/>
      <c r="MR290" s="31"/>
      <c r="MS290" s="31"/>
      <c r="MT290" s="31"/>
      <c r="MU290" s="31"/>
      <c r="MV290" s="31"/>
      <c r="MW290" s="31"/>
      <c r="MX290" s="31"/>
      <c r="MY290" s="31"/>
      <c r="MZ290" s="31"/>
      <c r="NA290" s="31"/>
      <c r="NB290" s="31"/>
      <c r="NC290" s="31"/>
      <c r="ND290" s="31"/>
      <c r="NE290" s="31"/>
      <c r="NF290" s="31"/>
      <c r="NG290" s="31"/>
      <c r="NH290" s="31"/>
      <c r="NI290" s="31"/>
      <c r="NJ290" s="31"/>
      <c r="NK290" s="31"/>
      <c r="NL290" s="31"/>
      <c r="NM290" s="31"/>
      <c r="NN290" s="31"/>
      <c r="NO290" s="31"/>
      <c r="NP290" s="31"/>
      <c r="NQ290" s="31"/>
      <c r="NR290" s="31"/>
      <c r="NS290" s="31"/>
      <c r="NT290" s="31"/>
      <c r="NU290" s="31"/>
      <c r="NV290" s="31"/>
      <c r="NW290" s="31"/>
      <c r="NX290" s="31"/>
      <c r="NY290" s="31"/>
      <c r="NZ290" s="31"/>
      <c r="OA290" s="31"/>
      <c r="OB290" s="31"/>
      <c r="OC290" s="31"/>
      <c r="OD290" s="31"/>
      <c r="OE290" s="31"/>
      <c r="OF290" s="31"/>
      <c r="OG290" s="31"/>
      <c r="OH290" s="31"/>
      <c r="OI290" s="31"/>
      <c r="OJ290" s="31"/>
      <c r="OK290" s="31"/>
      <c r="OL290" s="31"/>
      <c r="OM290" s="31"/>
      <c r="ON290" s="31"/>
      <c r="OO290" s="31"/>
      <c r="OP290" s="31"/>
      <c r="OQ290" s="31"/>
      <c r="OR290" s="31"/>
      <c r="OS290" s="31"/>
      <c r="OT290" s="31"/>
      <c r="OU290" s="31"/>
      <c r="OV290" s="31"/>
      <c r="OW290" s="31"/>
      <c r="OX290" s="31"/>
    </row>
    <row r="291" spans="2:414" s="25" customFormat="1" ht="15.6">
      <c r="B291" s="25" t="s">
        <v>441</v>
      </c>
      <c r="C291" s="27" t="s">
        <v>442</v>
      </c>
      <c r="D291" s="30" t="s">
        <v>434</v>
      </c>
      <c r="G291" s="42">
        <v>500</v>
      </c>
      <c r="H291" s="89">
        <v>26.109000000000002</v>
      </c>
      <c r="I291" s="38">
        <f t="shared" si="96"/>
        <v>13054.5</v>
      </c>
      <c r="K291" s="42">
        <v>500</v>
      </c>
      <c r="L291" s="90">
        <v>26.849599999999999</v>
      </c>
      <c r="M291" s="38">
        <f t="shared" si="97"/>
        <v>13424.8</v>
      </c>
      <c r="O291" s="38">
        <v>80</v>
      </c>
      <c r="P291" s="38">
        <v>26.728300000000001</v>
      </c>
      <c r="Q291" s="38">
        <f t="shared" si="98"/>
        <v>2138.2640000000001</v>
      </c>
      <c r="R291" s="43">
        <f t="shared" si="94"/>
        <v>1080</v>
      </c>
      <c r="S291" s="38">
        <f t="shared" si="99"/>
        <v>28617.563999999998</v>
      </c>
      <c r="T291" s="49">
        <v>415</v>
      </c>
      <c r="U291" s="42">
        <v>25.834800000000001</v>
      </c>
      <c r="V291" s="38">
        <f t="shared" si="107"/>
        <v>10721.442000000001</v>
      </c>
      <c r="W291" s="42">
        <v>85</v>
      </c>
      <c r="X291" s="42">
        <v>25.834800000000001</v>
      </c>
      <c r="Y291" s="42">
        <f t="shared" si="110"/>
        <v>2195.9580000000001</v>
      </c>
      <c r="Z291" s="42">
        <v>415</v>
      </c>
      <c r="AA291" s="42">
        <v>26.869499999999999</v>
      </c>
      <c r="AB291" s="42">
        <f t="shared" si="108"/>
        <v>11150.842499999999</v>
      </c>
      <c r="AD291" s="42">
        <v>85</v>
      </c>
      <c r="AE291" s="42">
        <v>26.869499999999999</v>
      </c>
      <c r="AF291" s="42">
        <f t="shared" si="109"/>
        <v>2283.9074999999998</v>
      </c>
      <c r="AG291" s="42"/>
      <c r="AH291" s="42"/>
      <c r="AI291" s="42"/>
      <c r="AJ291" s="42">
        <f t="shared" si="106"/>
        <v>0</v>
      </c>
      <c r="AL291" s="42"/>
      <c r="AM291" s="42"/>
      <c r="AN291" s="42">
        <f t="shared" si="105"/>
        <v>0</v>
      </c>
      <c r="AO291" s="44"/>
      <c r="AP291" s="42"/>
      <c r="AQ291" s="42"/>
      <c r="AR291" s="42"/>
      <c r="AU291" s="98"/>
      <c r="AV291" s="35">
        <f t="shared" si="91"/>
        <v>0</v>
      </c>
      <c r="AW291" s="104"/>
      <c r="AX291" s="42"/>
      <c r="AY291" s="42"/>
      <c r="AZ291" s="42">
        <f t="shared" si="92"/>
        <v>0</v>
      </c>
      <c r="BA291" s="42"/>
      <c r="BB291" s="42"/>
      <c r="BC291" s="42"/>
      <c r="BD291" s="38">
        <f t="shared" si="100"/>
        <v>0</v>
      </c>
      <c r="BE291" s="42"/>
      <c r="BF291" s="42"/>
      <c r="BG291" s="42"/>
      <c r="BH291" s="38">
        <f t="shared" si="101"/>
        <v>0</v>
      </c>
      <c r="BI291" s="42"/>
      <c r="BJ291" s="42"/>
      <c r="BK291" s="42"/>
      <c r="BL291" s="38">
        <f t="shared" si="102"/>
        <v>0</v>
      </c>
      <c r="BM291" s="42"/>
      <c r="BN291" s="42"/>
      <c r="BO291" s="42"/>
      <c r="BP291" s="42"/>
      <c r="BR291" s="42">
        <f t="shared" si="103"/>
        <v>26352.15</v>
      </c>
      <c r="BS291" s="43">
        <f t="shared" si="104"/>
        <v>2265.413999999997</v>
      </c>
      <c r="BT291" s="42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  <c r="FM291" s="31"/>
      <c r="FN291" s="31"/>
      <c r="FO291" s="31"/>
      <c r="FP291" s="31"/>
      <c r="FQ291" s="31"/>
      <c r="FR291" s="31"/>
      <c r="FS291" s="31"/>
      <c r="FT291" s="31"/>
      <c r="FU291" s="31"/>
      <c r="FV291" s="31"/>
      <c r="FW291" s="31"/>
      <c r="FX291" s="31"/>
      <c r="FY291" s="31"/>
      <c r="FZ291" s="31"/>
      <c r="GA291" s="31"/>
      <c r="GB291" s="31"/>
      <c r="GC291" s="31"/>
      <c r="GD291" s="31"/>
      <c r="GE291" s="31"/>
      <c r="GF291" s="31"/>
      <c r="GG291" s="31"/>
      <c r="GH291" s="31"/>
      <c r="GI291" s="31"/>
      <c r="GJ291" s="31"/>
      <c r="GK291" s="31"/>
      <c r="GL291" s="31"/>
      <c r="GM291" s="31"/>
      <c r="GN291" s="31"/>
      <c r="GO291" s="31"/>
      <c r="GP291" s="31"/>
      <c r="GQ291" s="31"/>
      <c r="GR291" s="31"/>
      <c r="GS291" s="31"/>
      <c r="GT291" s="31"/>
      <c r="GU291" s="31"/>
      <c r="GV291" s="31"/>
      <c r="GW291" s="31"/>
      <c r="GX291" s="31"/>
      <c r="GY291" s="31"/>
      <c r="GZ291" s="31"/>
      <c r="HA291" s="31"/>
      <c r="HB291" s="31"/>
      <c r="HC291" s="31"/>
      <c r="HD291" s="31"/>
      <c r="HE291" s="31"/>
      <c r="HF291" s="31"/>
      <c r="HG291" s="31"/>
      <c r="HH291" s="31"/>
      <c r="HI291" s="31"/>
      <c r="HJ291" s="31"/>
      <c r="HK291" s="31"/>
      <c r="HL291" s="31"/>
      <c r="HM291" s="31"/>
      <c r="HN291" s="31"/>
      <c r="HO291" s="31"/>
      <c r="HP291" s="31"/>
      <c r="HQ291" s="31"/>
      <c r="HR291" s="31"/>
      <c r="HS291" s="31"/>
      <c r="HT291" s="31"/>
      <c r="HU291" s="31"/>
      <c r="HV291" s="31"/>
      <c r="HW291" s="31"/>
      <c r="HX291" s="31"/>
      <c r="HY291" s="31"/>
      <c r="HZ291" s="31"/>
      <c r="IA291" s="31"/>
      <c r="IB291" s="31"/>
      <c r="IC291" s="31"/>
      <c r="ID291" s="31"/>
      <c r="IE291" s="31"/>
      <c r="IF291" s="31"/>
      <c r="IG291" s="31"/>
      <c r="IH291" s="31"/>
      <c r="II291" s="31"/>
      <c r="IJ291" s="31"/>
      <c r="IK291" s="31"/>
      <c r="IL291" s="31"/>
      <c r="IM291" s="31"/>
      <c r="IN291" s="31"/>
      <c r="IO291" s="31"/>
      <c r="IP291" s="31"/>
      <c r="IQ291" s="31"/>
      <c r="IR291" s="31"/>
      <c r="IS291" s="31"/>
      <c r="IT291" s="31"/>
      <c r="IU291" s="31"/>
      <c r="IV291" s="31"/>
      <c r="IW291" s="31"/>
      <c r="IX291" s="31"/>
      <c r="IY291" s="31"/>
      <c r="IZ291" s="31"/>
      <c r="JA291" s="31"/>
      <c r="JB291" s="31"/>
      <c r="JC291" s="31"/>
      <c r="JD291" s="31"/>
      <c r="JE291" s="31"/>
      <c r="JF291" s="31"/>
      <c r="JG291" s="31"/>
      <c r="JH291" s="31"/>
      <c r="JI291" s="31"/>
      <c r="JJ291" s="31"/>
      <c r="JK291" s="31"/>
      <c r="JL291" s="31"/>
      <c r="JM291" s="31"/>
      <c r="JN291" s="31"/>
      <c r="JO291" s="31"/>
      <c r="JP291" s="31"/>
      <c r="JQ291" s="31"/>
      <c r="JR291" s="31"/>
      <c r="JS291" s="31"/>
      <c r="JT291" s="31"/>
      <c r="JU291" s="31"/>
      <c r="JV291" s="31"/>
      <c r="JW291" s="31"/>
      <c r="JX291" s="31"/>
      <c r="JY291" s="31"/>
      <c r="JZ291" s="31"/>
      <c r="KA291" s="31"/>
      <c r="KB291" s="31"/>
      <c r="KC291" s="31"/>
      <c r="KD291" s="31"/>
      <c r="KE291" s="31"/>
      <c r="KF291" s="31"/>
      <c r="KG291" s="31"/>
      <c r="KH291" s="31"/>
      <c r="KI291" s="31"/>
      <c r="KJ291" s="31"/>
      <c r="KK291" s="31"/>
      <c r="KL291" s="31"/>
      <c r="KM291" s="31"/>
      <c r="KN291" s="31"/>
      <c r="KO291" s="31"/>
      <c r="KP291" s="31"/>
      <c r="KQ291" s="31"/>
      <c r="KR291" s="31"/>
      <c r="KS291" s="31"/>
      <c r="KT291" s="31"/>
      <c r="KU291" s="31"/>
      <c r="KV291" s="31"/>
      <c r="KW291" s="31"/>
      <c r="KX291" s="31"/>
      <c r="KY291" s="31"/>
      <c r="KZ291" s="31"/>
      <c r="LA291" s="31"/>
      <c r="LB291" s="31"/>
      <c r="LC291" s="31"/>
      <c r="LD291" s="31"/>
      <c r="LE291" s="31"/>
      <c r="LF291" s="31"/>
      <c r="LG291" s="31"/>
      <c r="LH291" s="31"/>
      <c r="LI291" s="31"/>
      <c r="LJ291" s="31"/>
      <c r="LK291" s="31"/>
      <c r="LL291" s="31"/>
      <c r="LM291" s="31"/>
      <c r="LN291" s="31"/>
      <c r="LO291" s="31"/>
      <c r="LP291" s="31"/>
      <c r="LQ291" s="31"/>
      <c r="LR291" s="31"/>
      <c r="LS291" s="31"/>
      <c r="LT291" s="31"/>
      <c r="LU291" s="31"/>
      <c r="LV291" s="31"/>
      <c r="LW291" s="31"/>
      <c r="LX291" s="31"/>
      <c r="LY291" s="31"/>
      <c r="LZ291" s="31"/>
      <c r="MA291" s="31"/>
      <c r="MB291" s="31"/>
      <c r="MC291" s="31"/>
      <c r="MD291" s="31"/>
      <c r="ME291" s="31"/>
      <c r="MF291" s="31"/>
      <c r="MG291" s="31"/>
      <c r="MH291" s="31"/>
      <c r="MI291" s="31"/>
      <c r="MJ291" s="31"/>
      <c r="MK291" s="31"/>
      <c r="ML291" s="31"/>
      <c r="MM291" s="31"/>
      <c r="MN291" s="31"/>
      <c r="MO291" s="31"/>
      <c r="MP291" s="31"/>
      <c r="MQ291" s="31"/>
      <c r="MR291" s="31"/>
      <c r="MS291" s="31"/>
      <c r="MT291" s="31"/>
      <c r="MU291" s="31"/>
      <c r="MV291" s="31"/>
      <c r="MW291" s="31"/>
      <c r="MX291" s="31"/>
      <c r="MY291" s="31"/>
      <c r="MZ291" s="31"/>
      <c r="NA291" s="31"/>
      <c r="NB291" s="31"/>
      <c r="NC291" s="31"/>
      <c r="ND291" s="31"/>
      <c r="NE291" s="31"/>
      <c r="NF291" s="31"/>
      <c r="NG291" s="31"/>
      <c r="NH291" s="31"/>
      <c r="NI291" s="31"/>
      <c r="NJ291" s="31"/>
      <c r="NK291" s="31"/>
      <c r="NL291" s="31"/>
      <c r="NM291" s="31"/>
      <c r="NN291" s="31"/>
      <c r="NO291" s="31"/>
      <c r="NP291" s="31"/>
      <c r="NQ291" s="31"/>
      <c r="NR291" s="31"/>
      <c r="NS291" s="31"/>
      <c r="NT291" s="31"/>
      <c r="NU291" s="31"/>
      <c r="NV291" s="31"/>
      <c r="NW291" s="31"/>
      <c r="NX291" s="31"/>
      <c r="NY291" s="31"/>
      <c r="NZ291" s="31"/>
      <c r="OA291" s="31"/>
      <c r="OB291" s="31"/>
      <c r="OC291" s="31"/>
      <c r="OD291" s="31"/>
      <c r="OE291" s="31"/>
      <c r="OF291" s="31"/>
      <c r="OG291" s="31"/>
      <c r="OH291" s="31"/>
      <c r="OI291" s="31"/>
      <c r="OJ291" s="31"/>
      <c r="OK291" s="31"/>
      <c r="OL291" s="31"/>
      <c r="OM291" s="31"/>
      <c r="ON291" s="31"/>
      <c r="OO291" s="31"/>
      <c r="OP291" s="31"/>
      <c r="OQ291" s="31"/>
      <c r="OR291" s="31"/>
      <c r="OS291" s="31"/>
      <c r="OT291" s="31"/>
      <c r="OU291" s="31"/>
      <c r="OV291" s="31"/>
      <c r="OW291" s="31"/>
      <c r="OX291" s="31"/>
    </row>
    <row r="292" spans="2:414" s="25" customFormat="1" ht="15.6">
      <c r="B292" s="25" t="s">
        <v>443</v>
      </c>
      <c r="C292" s="27" t="s">
        <v>17</v>
      </c>
      <c r="D292" s="30" t="s">
        <v>434</v>
      </c>
      <c r="G292" s="42">
        <v>500</v>
      </c>
      <c r="H292" s="89">
        <v>26.109000000000002</v>
      </c>
      <c r="I292" s="38">
        <f t="shared" si="96"/>
        <v>13054.5</v>
      </c>
      <c r="K292" s="42">
        <v>500</v>
      </c>
      <c r="L292" s="90">
        <v>26.849599999999999</v>
      </c>
      <c r="M292" s="38">
        <f t="shared" si="97"/>
        <v>13424.8</v>
      </c>
      <c r="O292" s="38">
        <v>80</v>
      </c>
      <c r="P292" s="38">
        <v>26.728300000000001</v>
      </c>
      <c r="Q292" s="38">
        <f t="shared" si="98"/>
        <v>2138.2640000000001</v>
      </c>
      <c r="R292" s="43">
        <f t="shared" si="94"/>
        <v>1080</v>
      </c>
      <c r="S292" s="38">
        <f t="shared" si="99"/>
        <v>28617.563999999998</v>
      </c>
      <c r="T292" s="49">
        <v>415</v>
      </c>
      <c r="U292" s="42">
        <v>26.023700000000002</v>
      </c>
      <c r="V292" s="38">
        <f t="shared" si="107"/>
        <v>10799.835500000001</v>
      </c>
      <c r="W292" s="42">
        <v>85</v>
      </c>
      <c r="X292" s="42">
        <v>26.023700000000002</v>
      </c>
      <c r="Y292" s="42">
        <f t="shared" si="110"/>
        <v>2212.0145000000002</v>
      </c>
      <c r="Z292" s="42">
        <v>400</v>
      </c>
      <c r="AA292" s="42">
        <v>26.856000000000002</v>
      </c>
      <c r="AB292" s="42">
        <f t="shared" si="108"/>
        <v>10742.400000000001</v>
      </c>
      <c r="AD292" s="42">
        <v>85</v>
      </c>
      <c r="AE292" s="42">
        <v>26.775200000000002</v>
      </c>
      <c r="AF292" s="42">
        <f t="shared" si="109"/>
        <v>2275.8920000000003</v>
      </c>
      <c r="AG292" s="42"/>
      <c r="AH292" s="42">
        <v>15</v>
      </c>
      <c r="AI292" s="42">
        <v>26.791499999999999</v>
      </c>
      <c r="AJ292" s="42">
        <f t="shared" si="106"/>
        <v>401.8725</v>
      </c>
      <c r="AL292" s="42"/>
      <c r="AM292" s="42"/>
      <c r="AN292" s="42">
        <f t="shared" si="105"/>
        <v>0</v>
      </c>
      <c r="AO292" s="44"/>
      <c r="AP292" s="42"/>
      <c r="AQ292" s="42"/>
      <c r="AR292" s="42"/>
      <c r="AU292" s="98"/>
      <c r="AV292" s="35">
        <f t="shared" si="91"/>
        <v>0</v>
      </c>
      <c r="AW292" s="104"/>
      <c r="AX292" s="42"/>
      <c r="AY292" s="42"/>
      <c r="AZ292" s="42">
        <f t="shared" si="92"/>
        <v>0</v>
      </c>
      <c r="BA292" s="42"/>
      <c r="BB292" s="42"/>
      <c r="BC292" s="42"/>
      <c r="BD292" s="38">
        <f t="shared" si="100"/>
        <v>0</v>
      </c>
      <c r="BE292" s="42"/>
      <c r="BF292" s="42"/>
      <c r="BG292" s="42"/>
      <c r="BH292" s="38">
        <f t="shared" si="101"/>
        <v>0</v>
      </c>
      <c r="BI292" s="42"/>
      <c r="BJ292" s="42"/>
      <c r="BK292" s="42"/>
      <c r="BL292" s="38">
        <f t="shared" si="102"/>
        <v>0</v>
      </c>
      <c r="BM292" s="42"/>
      <c r="BN292" s="42"/>
      <c r="BO292" s="42"/>
      <c r="BP292" s="42"/>
      <c r="BR292" s="42">
        <f t="shared" si="103"/>
        <v>26432.014500000005</v>
      </c>
      <c r="BS292" s="43">
        <f t="shared" si="104"/>
        <v>2185.5494999999937</v>
      </c>
      <c r="BT292" s="42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  <c r="FM292" s="31"/>
      <c r="FN292" s="31"/>
      <c r="FO292" s="31"/>
      <c r="FP292" s="31"/>
      <c r="FQ292" s="31"/>
      <c r="FR292" s="31"/>
      <c r="FS292" s="31"/>
      <c r="FT292" s="31"/>
      <c r="FU292" s="31"/>
      <c r="FV292" s="31"/>
      <c r="FW292" s="31"/>
      <c r="FX292" s="31"/>
      <c r="FY292" s="31"/>
      <c r="FZ292" s="31"/>
      <c r="GA292" s="31"/>
      <c r="GB292" s="31"/>
      <c r="GC292" s="31"/>
      <c r="GD292" s="31"/>
      <c r="GE292" s="31"/>
      <c r="GF292" s="31"/>
      <c r="GG292" s="31"/>
      <c r="GH292" s="31"/>
      <c r="GI292" s="31"/>
      <c r="GJ292" s="31"/>
      <c r="GK292" s="31"/>
      <c r="GL292" s="31"/>
      <c r="GM292" s="31"/>
      <c r="GN292" s="31"/>
      <c r="GO292" s="31"/>
      <c r="GP292" s="31"/>
      <c r="GQ292" s="31"/>
      <c r="GR292" s="31"/>
      <c r="GS292" s="31"/>
      <c r="GT292" s="31"/>
      <c r="GU292" s="31"/>
      <c r="GV292" s="31"/>
      <c r="GW292" s="31"/>
      <c r="GX292" s="31"/>
      <c r="GY292" s="31"/>
      <c r="GZ292" s="31"/>
      <c r="HA292" s="31"/>
      <c r="HB292" s="31"/>
      <c r="HC292" s="31"/>
      <c r="HD292" s="31"/>
      <c r="HE292" s="31"/>
      <c r="HF292" s="31"/>
      <c r="HG292" s="31"/>
      <c r="HH292" s="31"/>
      <c r="HI292" s="31"/>
      <c r="HJ292" s="31"/>
      <c r="HK292" s="31"/>
      <c r="HL292" s="31"/>
      <c r="HM292" s="31"/>
      <c r="HN292" s="31"/>
      <c r="HO292" s="31"/>
      <c r="HP292" s="31"/>
      <c r="HQ292" s="31"/>
      <c r="HR292" s="31"/>
      <c r="HS292" s="31"/>
      <c r="HT292" s="31"/>
      <c r="HU292" s="31"/>
      <c r="HV292" s="31"/>
      <c r="HW292" s="31"/>
      <c r="HX292" s="31"/>
      <c r="HY292" s="31"/>
      <c r="HZ292" s="31"/>
      <c r="IA292" s="31"/>
      <c r="IB292" s="31"/>
      <c r="IC292" s="31"/>
      <c r="ID292" s="31"/>
      <c r="IE292" s="31"/>
      <c r="IF292" s="31"/>
      <c r="IG292" s="31"/>
      <c r="IH292" s="31"/>
      <c r="II292" s="31"/>
      <c r="IJ292" s="31"/>
      <c r="IK292" s="31"/>
      <c r="IL292" s="31"/>
      <c r="IM292" s="31"/>
      <c r="IN292" s="31"/>
      <c r="IO292" s="31"/>
      <c r="IP292" s="31"/>
      <c r="IQ292" s="31"/>
      <c r="IR292" s="31"/>
      <c r="IS292" s="31"/>
      <c r="IT292" s="31"/>
      <c r="IU292" s="31"/>
      <c r="IV292" s="31"/>
      <c r="IW292" s="31"/>
      <c r="IX292" s="31"/>
      <c r="IY292" s="31"/>
      <c r="IZ292" s="31"/>
      <c r="JA292" s="31"/>
      <c r="JB292" s="31"/>
      <c r="JC292" s="31"/>
      <c r="JD292" s="31"/>
      <c r="JE292" s="31"/>
      <c r="JF292" s="31"/>
      <c r="JG292" s="31"/>
      <c r="JH292" s="31"/>
      <c r="JI292" s="31"/>
      <c r="JJ292" s="31"/>
      <c r="JK292" s="31"/>
      <c r="JL292" s="31"/>
      <c r="JM292" s="31"/>
      <c r="JN292" s="31"/>
      <c r="JO292" s="31"/>
      <c r="JP292" s="31"/>
      <c r="JQ292" s="31"/>
      <c r="JR292" s="31"/>
      <c r="JS292" s="31"/>
      <c r="JT292" s="31"/>
      <c r="JU292" s="31"/>
      <c r="JV292" s="31"/>
      <c r="JW292" s="31"/>
      <c r="JX292" s="31"/>
      <c r="JY292" s="31"/>
      <c r="JZ292" s="31"/>
      <c r="KA292" s="31"/>
      <c r="KB292" s="31"/>
      <c r="KC292" s="31"/>
      <c r="KD292" s="31"/>
      <c r="KE292" s="31"/>
      <c r="KF292" s="31"/>
      <c r="KG292" s="31"/>
      <c r="KH292" s="31"/>
      <c r="KI292" s="31"/>
      <c r="KJ292" s="31"/>
      <c r="KK292" s="31"/>
      <c r="KL292" s="31"/>
      <c r="KM292" s="31"/>
      <c r="KN292" s="31"/>
      <c r="KO292" s="31"/>
      <c r="KP292" s="31"/>
      <c r="KQ292" s="31"/>
      <c r="KR292" s="31"/>
      <c r="KS292" s="31"/>
      <c r="KT292" s="31"/>
      <c r="KU292" s="31"/>
      <c r="KV292" s="31"/>
      <c r="KW292" s="31"/>
      <c r="KX292" s="31"/>
      <c r="KY292" s="31"/>
      <c r="KZ292" s="31"/>
      <c r="LA292" s="31"/>
      <c r="LB292" s="31"/>
      <c r="LC292" s="31"/>
      <c r="LD292" s="31"/>
      <c r="LE292" s="31"/>
      <c r="LF292" s="31"/>
      <c r="LG292" s="31"/>
      <c r="LH292" s="31"/>
      <c r="LI292" s="31"/>
      <c r="LJ292" s="31"/>
      <c r="LK292" s="31"/>
      <c r="LL292" s="31"/>
      <c r="LM292" s="31"/>
      <c r="LN292" s="31"/>
      <c r="LO292" s="31"/>
      <c r="LP292" s="31"/>
      <c r="LQ292" s="31"/>
      <c r="LR292" s="31"/>
      <c r="LS292" s="31"/>
      <c r="LT292" s="31"/>
      <c r="LU292" s="31"/>
      <c r="LV292" s="31"/>
      <c r="LW292" s="31"/>
      <c r="LX292" s="31"/>
      <c r="LY292" s="31"/>
      <c r="LZ292" s="31"/>
      <c r="MA292" s="31"/>
      <c r="MB292" s="31"/>
      <c r="MC292" s="31"/>
      <c r="MD292" s="31"/>
      <c r="ME292" s="31"/>
      <c r="MF292" s="31"/>
      <c r="MG292" s="31"/>
      <c r="MH292" s="31"/>
      <c r="MI292" s="31"/>
      <c r="MJ292" s="31"/>
      <c r="MK292" s="31"/>
      <c r="ML292" s="31"/>
      <c r="MM292" s="31"/>
      <c r="MN292" s="31"/>
      <c r="MO292" s="31"/>
      <c r="MP292" s="31"/>
      <c r="MQ292" s="31"/>
      <c r="MR292" s="31"/>
      <c r="MS292" s="31"/>
      <c r="MT292" s="31"/>
      <c r="MU292" s="31"/>
      <c r="MV292" s="31"/>
      <c r="MW292" s="31"/>
      <c r="MX292" s="31"/>
      <c r="MY292" s="31"/>
      <c r="MZ292" s="31"/>
      <c r="NA292" s="31"/>
      <c r="NB292" s="31"/>
      <c r="NC292" s="31"/>
      <c r="ND292" s="31"/>
      <c r="NE292" s="31"/>
      <c r="NF292" s="31"/>
      <c r="NG292" s="31"/>
      <c r="NH292" s="31"/>
      <c r="NI292" s="31"/>
      <c r="NJ292" s="31"/>
      <c r="NK292" s="31"/>
      <c r="NL292" s="31"/>
      <c r="NM292" s="31"/>
      <c r="NN292" s="31"/>
      <c r="NO292" s="31"/>
      <c r="NP292" s="31"/>
      <c r="NQ292" s="31"/>
      <c r="NR292" s="31"/>
      <c r="NS292" s="31"/>
      <c r="NT292" s="31"/>
      <c r="NU292" s="31"/>
      <c r="NV292" s="31"/>
      <c r="NW292" s="31"/>
      <c r="NX292" s="31"/>
      <c r="NY292" s="31"/>
      <c r="NZ292" s="31"/>
      <c r="OA292" s="31"/>
      <c r="OB292" s="31"/>
      <c r="OC292" s="31"/>
      <c r="OD292" s="31"/>
      <c r="OE292" s="31"/>
      <c r="OF292" s="31"/>
      <c r="OG292" s="31"/>
      <c r="OH292" s="31"/>
      <c r="OI292" s="31"/>
      <c r="OJ292" s="31"/>
      <c r="OK292" s="31"/>
      <c r="OL292" s="31"/>
      <c r="OM292" s="31"/>
      <c r="ON292" s="31"/>
      <c r="OO292" s="31"/>
      <c r="OP292" s="31"/>
      <c r="OQ292" s="31"/>
      <c r="OR292" s="31"/>
      <c r="OS292" s="31"/>
      <c r="OT292" s="31"/>
      <c r="OU292" s="31"/>
      <c r="OV292" s="31"/>
      <c r="OW292" s="31"/>
      <c r="OX292" s="31"/>
    </row>
    <row r="293" spans="2:414" s="25" customFormat="1" ht="15.6">
      <c r="B293" s="25" t="s">
        <v>444</v>
      </c>
      <c r="C293" s="27" t="s">
        <v>445</v>
      </c>
      <c r="D293" s="30" t="s">
        <v>434</v>
      </c>
      <c r="G293" s="42">
        <v>500</v>
      </c>
      <c r="H293" s="89">
        <v>26.109000000000002</v>
      </c>
      <c r="I293" s="38">
        <f t="shared" si="96"/>
        <v>13054.5</v>
      </c>
      <c r="K293" s="42">
        <v>500</v>
      </c>
      <c r="L293" s="90">
        <v>26.849599999999999</v>
      </c>
      <c r="M293" s="38">
        <f t="shared" si="97"/>
        <v>13424.8</v>
      </c>
      <c r="O293" s="38">
        <v>80</v>
      </c>
      <c r="P293" s="38">
        <v>26.728300000000001</v>
      </c>
      <c r="Q293" s="38">
        <f t="shared" si="98"/>
        <v>2138.2640000000001</v>
      </c>
      <c r="R293" s="43">
        <f t="shared" si="94"/>
        <v>1080</v>
      </c>
      <c r="S293" s="38">
        <f t="shared" si="99"/>
        <v>28617.563999999998</v>
      </c>
      <c r="T293" s="49">
        <v>415</v>
      </c>
      <c r="U293" s="42">
        <v>26.150300000000001</v>
      </c>
      <c r="V293" s="38">
        <f t="shared" si="107"/>
        <v>10852.3745</v>
      </c>
      <c r="W293" s="42">
        <v>85</v>
      </c>
      <c r="X293" s="42">
        <v>26.267499999999998</v>
      </c>
      <c r="Y293" s="42">
        <f t="shared" si="110"/>
        <v>2232.7374999999997</v>
      </c>
      <c r="Z293" s="42">
        <v>415</v>
      </c>
      <c r="AA293" s="42">
        <v>26.799399999999999</v>
      </c>
      <c r="AB293" s="42">
        <f t="shared" si="108"/>
        <v>11121.751</v>
      </c>
      <c r="AD293" s="42">
        <v>85</v>
      </c>
      <c r="AE293" s="42">
        <v>26.8719</v>
      </c>
      <c r="AF293" s="42">
        <f t="shared" si="109"/>
        <v>2284.1115</v>
      </c>
      <c r="AG293" s="42"/>
      <c r="AH293" s="42"/>
      <c r="AI293" s="42"/>
      <c r="AJ293" s="42">
        <f t="shared" si="106"/>
        <v>0</v>
      </c>
      <c r="AL293" s="42"/>
      <c r="AM293" s="42"/>
      <c r="AN293" s="42">
        <f t="shared" si="105"/>
        <v>0</v>
      </c>
      <c r="AO293" s="44"/>
      <c r="AP293" s="42"/>
      <c r="AQ293" s="42"/>
      <c r="AR293" s="42"/>
      <c r="AU293" s="98"/>
      <c r="AV293" s="35">
        <f t="shared" si="91"/>
        <v>0</v>
      </c>
      <c r="AW293" s="104"/>
      <c r="AX293" s="42"/>
      <c r="AY293" s="42"/>
      <c r="AZ293" s="42">
        <f t="shared" si="92"/>
        <v>0</v>
      </c>
      <c r="BA293" s="42"/>
      <c r="BB293" s="42"/>
      <c r="BC293" s="42"/>
      <c r="BD293" s="38">
        <f t="shared" si="100"/>
        <v>0</v>
      </c>
      <c r="BE293" s="42"/>
      <c r="BF293" s="42"/>
      <c r="BG293" s="42"/>
      <c r="BH293" s="38">
        <f t="shared" si="101"/>
        <v>0</v>
      </c>
      <c r="BI293" s="42"/>
      <c r="BJ293" s="42"/>
      <c r="BK293" s="42"/>
      <c r="BL293" s="38">
        <f t="shared" si="102"/>
        <v>0</v>
      </c>
      <c r="BM293" s="42"/>
      <c r="BN293" s="42"/>
      <c r="BO293" s="42"/>
      <c r="BP293" s="42"/>
      <c r="BR293" s="42">
        <f t="shared" si="103"/>
        <v>26490.974499999997</v>
      </c>
      <c r="BS293" s="43">
        <f t="shared" si="104"/>
        <v>2126.5895000000019</v>
      </c>
      <c r="BT293" s="42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  <c r="FM293" s="31"/>
      <c r="FN293" s="31"/>
      <c r="FO293" s="31"/>
      <c r="FP293" s="31"/>
      <c r="FQ293" s="31"/>
      <c r="FR293" s="31"/>
      <c r="FS293" s="31"/>
      <c r="FT293" s="31"/>
      <c r="FU293" s="31"/>
      <c r="FV293" s="31"/>
      <c r="FW293" s="31"/>
      <c r="FX293" s="31"/>
      <c r="FY293" s="31"/>
      <c r="FZ293" s="31"/>
      <c r="GA293" s="31"/>
      <c r="GB293" s="31"/>
      <c r="GC293" s="31"/>
      <c r="GD293" s="31"/>
      <c r="GE293" s="31"/>
      <c r="GF293" s="31"/>
      <c r="GG293" s="31"/>
      <c r="GH293" s="31"/>
      <c r="GI293" s="31"/>
      <c r="GJ293" s="31"/>
      <c r="GK293" s="31"/>
      <c r="GL293" s="31"/>
      <c r="GM293" s="31"/>
      <c r="GN293" s="31"/>
      <c r="GO293" s="31"/>
      <c r="GP293" s="31"/>
      <c r="GQ293" s="31"/>
      <c r="GR293" s="31"/>
      <c r="GS293" s="31"/>
      <c r="GT293" s="31"/>
      <c r="GU293" s="31"/>
      <c r="GV293" s="31"/>
      <c r="GW293" s="31"/>
      <c r="GX293" s="31"/>
      <c r="GY293" s="31"/>
      <c r="GZ293" s="31"/>
      <c r="HA293" s="31"/>
      <c r="HB293" s="31"/>
      <c r="HC293" s="31"/>
      <c r="HD293" s="31"/>
      <c r="HE293" s="31"/>
      <c r="HF293" s="31"/>
      <c r="HG293" s="31"/>
      <c r="HH293" s="31"/>
      <c r="HI293" s="31"/>
      <c r="HJ293" s="31"/>
      <c r="HK293" s="31"/>
      <c r="HL293" s="31"/>
      <c r="HM293" s="31"/>
      <c r="HN293" s="31"/>
      <c r="HO293" s="31"/>
      <c r="HP293" s="31"/>
      <c r="HQ293" s="31"/>
      <c r="HR293" s="31"/>
      <c r="HS293" s="31"/>
      <c r="HT293" s="31"/>
      <c r="HU293" s="31"/>
      <c r="HV293" s="31"/>
      <c r="HW293" s="31"/>
      <c r="HX293" s="31"/>
      <c r="HY293" s="31"/>
      <c r="HZ293" s="31"/>
      <c r="IA293" s="31"/>
      <c r="IB293" s="31"/>
      <c r="IC293" s="31"/>
      <c r="ID293" s="31"/>
      <c r="IE293" s="31"/>
      <c r="IF293" s="31"/>
      <c r="IG293" s="31"/>
      <c r="IH293" s="31"/>
      <c r="II293" s="31"/>
      <c r="IJ293" s="31"/>
      <c r="IK293" s="31"/>
      <c r="IL293" s="31"/>
      <c r="IM293" s="31"/>
      <c r="IN293" s="31"/>
      <c r="IO293" s="31"/>
      <c r="IP293" s="31"/>
      <c r="IQ293" s="31"/>
      <c r="IR293" s="31"/>
      <c r="IS293" s="31"/>
      <c r="IT293" s="31"/>
      <c r="IU293" s="31"/>
      <c r="IV293" s="31"/>
      <c r="IW293" s="31"/>
      <c r="IX293" s="31"/>
      <c r="IY293" s="31"/>
      <c r="IZ293" s="31"/>
      <c r="JA293" s="31"/>
      <c r="JB293" s="31"/>
      <c r="JC293" s="31"/>
      <c r="JD293" s="31"/>
      <c r="JE293" s="31"/>
      <c r="JF293" s="31"/>
      <c r="JG293" s="31"/>
      <c r="JH293" s="31"/>
      <c r="JI293" s="31"/>
      <c r="JJ293" s="31"/>
      <c r="JK293" s="31"/>
      <c r="JL293" s="31"/>
      <c r="JM293" s="31"/>
      <c r="JN293" s="31"/>
      <c r="JO293" s="31"/>
      <c r="JP293" s="31"/>
      <c r="JQ293" s="31"/>
      <c r="JR293" s="31"/>
      <c r="JS293" s="31"/>
      <c r="JT293" s="31"/>
      <c r="JU293" s="31"/>
      <c r="JV293" s="31"/>
      <c r="JW293" s="31"/>
      <c r="JX293" s="31"/>
      <c r="JY293" s="31"/>
      <c r="JZ293" s="31"/>
      <c r="KA293" s="31"/>
      <c r="KB293" s="31"/>
      <c r="KC293" s="31"/>
      <c r="KD293" s="31"/>
      <c r="KE293" s="31"/>
      <c r="KF293" s="31"/>
      <c r="KG293" s="31"/>
      <c r="KH293" s="31"/>
      <c r="KI293" s="31"/>
      <c r="KJ293" s="31"/>
      <c r="KK293" s="31"/>
      <c r="KL293" s="31"/>
      <c r="KM293" s="31"/>
      <c r="KN293" s="31"/>
      <c r="KO293" s="31"/>
      <c r="KP293" s="31"/>
      <c r="KQ293" s="31"/>
      <c r="KR293" s="31"/>
      <c r="KS293" s="31"/>
      <c r="KT293" s="31"/>
      <c r="KU293" s="31"/>
      <c r="KV293" s="31"/>
      <c r="KW293" s="31"/>
      <c r="KX293" s="31"/>
      <c r="KY293" s="31"/>
      <c r="KZ293" s="31"/>
      <c r="LA293" s="31"/>
      <c r="LB293" s="31"/>
      <c r="LC293" s="31"/>
      <c r="LD293" s="31"/>
      <c r="LE293" s="31"/>
      <c r="LF293" s="31"/>
      <c r="LG293" s="31"/>
      <c r="LH293" s="31"/>
      <c r="LI293" s="31"/>
      <c r="LJ293" s="31"/>
      <c r="LK293" s="31"/>
      <c r="LL293" s="31"/>
      <c r="LM293" s="31"/>
      <c r="LN293" s="31"/>
      <c r="LO293" s="31"/>
      <c r="LP293" s="31"/>
      <c r="LQ293" s="31"/>
      <c r="LR293" s="31"/>
      <c r="LS293" s="31"/>
      <c r="LT293" s="31"/>
      <c r="LU293" s="31"/>
      <c r="LV293" s="31"/>
      <c r="LW293" s="31"/>
      <c r="LX293" s="31"/>
      <c r="LY293" s="31"/>
      <c r="LZ293" s="31"/>
      <c r="MA293" s="31"/>
      <c r="MB293" s="31"/>
      <c r="MC293" s="31"/>
      <c r="MD293" s="31"/>
      <c r="ME293" s="31"/>
      <c r="MF293" s="31"/>
      <c r="MG293" s="31"/>
      <c r="MH293" s="31"/>
      <c r="MI293" s="31"/>
      <c r="MJ293" s="31"/>
      <c r="MK293" s="31"/>
      <c r="ML293" s="31"/>
      <c r="MM293" s="31"/>
      <c r="MN293" s="31"/>
      <c r="MO293" s="31"/>
      <c r="MP293" s="31"/>
      <c r="MQ293" s="31"/>
      <c r="MR293" s="31"/>
      <c r="MS293" s="31"/>
      <c r="MT293" s="31"/>
      <c r="MU293" s="31"/>
      <c r="MV293" s="31"/>
      <c r="MW293" s="31"/>
      <c r="MX293" s="31"/>
      <c r="MY293" s="31"/>
      <c r="MZ293" s="31"/>
      <c r="NA293" s="31"/>
      <c r="NB293" s="31"/>
      <c r="NC293" s="31"/>
      <c r="ND293" s="31"/>
      <c r="NE293" s="31"/>
      <c r="NF293" s="31"/>
      <c r="NG293" s="31"/>
      <c r="NH293" s="31"/>
      <c r="NI293" s="31"/>
      <c r="NJ293" s="31"/>
      <c r="NK293" s="31"/>
      <c r="NL293" s="31"/>
      <c r="NM293" s="31"/>
      <c r="NN293" s="31"/>
      <c r="NO293" s="31"/>
      <c r="NP293" s="31"/>
      <c r="NQ293" s="31"/>
      <c r="NR293" s="31"/>
      <c r="NS293" s="31"/>
      <c r="NT293" s="31"/>
      <c r="NU293" s="31"/>
      <c r="NV293" s="31"/>
      <c r="NW293" s="31"/>
      <c r="NX293" s="31"/>
      <c r="NY293" s="31"/>
      <c r="NZ293" s="31"/>
      <c r="OA293" s="31"/>
      <c r="OB293" s="31"/>
      <c r="OC293" s="31"/>
      <c r="OD293" s="31"/>
      <c r="OE293" s="31"/>
      <c r="OF293" s="31"/>
      <c r="OG293" s="31"/>
      <c r="OH293" s="31"/>
      <c r="OI293" s="31"/>
      <c r="OJ293" s="31"/>
      <c r="OK293" s="31"/>
      <c r="OL293" s="31"/>
      <c r="OM293" s="31"/>
      <c r="ON293" s="31"/>
      <c r="OO293" s="31"/>
      <c r="OP293" s="31"/>
      <c r="OQ293" s="31"/>
      <c r="OR293" s="31"/>
      <c r="OS293" s="31"/>
      <c r="OT293" s="31"/>
      <c r="OU293" s="31"/>
      <c r="OV293" s="31"/>
      <c r="OW293" s="31"/>
      <c r="OX293" s="31"/>
    </row>
    <row r="294" spans="2:414" s="25" customFormat="1" ht="15.6">
      <c r="B294" s="25" t="s">
        <v>446</v>
      </c>
      <c r="C294" s="27" t="s">
        <v>447</v>
      </c>
      <c r="D294" s="30" t="s">
        <v>434</v>
      </c>
      <c r="G294" s="42">
        <v>500</v>
      </c>
      <c r="H294" s="89">
        <v>26.109000000000002</v>
      </c>
      <c r="I294" s="38">
        <f t="shared" si="96"/>
        <v>13054.5</v>
      </c>
      <c r="K294" s="42">
        <v>500</v>
      </c>
      <c r="L294" s="90">
        <v>26.849599999999999</v>
      </c>
      <c r="M294" s="38">
        <f t="shared" si="97"/>
        <v>13424.8</v>
      </c>
      <c r="O294" s="38">
        <v>80</v>
      </c>
      <c r="P294" s="38">
        <v>26.728300000000001</v>
      </c>
      <c r="Q294" s="38">
        <f t="shared" si="98"/>
        <v>2138.2640000000001</v>
      </c>
      <c r="R294" s="43">
        <f t="shared" si="94"/>
        <v>1080</v>
      </c>
      <c r="S294" s="38">
        <f t="shared" si="99"/>
        <v>28617.563999999998</v>
      </c>
      <c r="T294" s="49">
        <v>415</v>
      </c>
      <c r="U294" s="42"/>
      <c r="V294" s="38">
        <f t="shared" si="107"/>
        <v>0</v>
      </c>
      <c r="W294" s="42">
        <v>85</v>
      </c>
      <c r="X294" s="42"/>
      <c r="Y294" s="42">
        <f t="shared" si="110"/>
        <v>0</v>
      </c>
      <c r="Z294" s="42">
        <v>340</v>
      </c>
      <c r="AA294" s="42">
        <v>26.799399999999999</v>
      </c>
      <c r="AB294" s="42">
        <f t="shared" si="108"/>
        <v>9111.7960000000003</v>
      </c>
      <c r="AD294" s="42">
        <v>160</v>
      </c>
      <c r="AE294" s="42">
        <v>26.996500000000001</v>
      </c>
      <c r="AF294" s="42">
        <f t="shared" si="109"/>
        <v>4319.4400000000005</v>
      </c>
      <c r="AG294" s="42"/>
      <c r="AH294" s="42"/>
      <c r="AI294" s="42"/>
      <c r="AJ294" s="42">
        <f t="shared" si="106"/>
        <v>0</v>
      </c>
      <c r="AL294" s="42"/>
      <c r="AM294" s="42"/>
      <c r="AN294" s="42">
        <f t="shared" si="105"/>
        <v>0</v>
      </c>
      <c r="AO294" s="44"/>
      <c r="AP294" s="42"/>
      <c r="AQ294" s="42"/>
      <c r="AR294" s="42"/>
      <c r="AU294" s="98"/>
      <c r="AV294" s="35">
        <f t="shared" si="91"/>
        <v>0</v>
      </c>
      <c r="AW294" s="104"/>
      <c r="AX294" s="42"/>
      <c r="AY294" s="42"/>
      <c r="AZ294" s="42">
        <f t="shared" si="92"/>
        <v>0</v>
      </c>
      <c r="BA294" s="42"/>
      <c r="BB294" s="42"/>
      <c r="BC294" s="42"/>
      <c r="BD294" s="38">
        <f t="shared" si="100"/>
        <v>0</v>
      </c>
      <c r="BE294" s="42"/>
      <c r="BF294" s="42"/>
      <c r="BG294" s="42"/>
      <c r="BH294" s="38">
        <f t="shared" si="101"/>
        <v>0</v>
      </c>
      <c r="BI294" s="42"/>
      <c r="BJ294" s="42"/>
      <c r="BK294" s="42"/>
      <c r="BL294" s="38">
        <f t="shared" si="102"/>
        <v>0</v>
      </c>
      <c r="BM294" s="42"/>
      <c r="BN294" s="42"/>
      <c r="BO294" s="42"/>
      <c r="BP294" s="42"/>
      <c r="BR294" s="42">
        <f t="shared" si="103"/>
        <v>13431.236000000001</v>
      </c>
      <c r="BS294" s="43">
        <f t="shared" si="104"/>
        <v>15186.327999999998</v>
      </c>
      <c r="BT294" s="42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  <c r="FM294" s="31"/>
      <c r="FN294" s="31"/>
      <c r="FO294" s="31"/>
      <c r="FP294" s="31"/>
      <c r="FQ294" s="31"/>
      <c r="FR294" s="31"/>
      <c r="FS294" s="31"/>
      <c r="FT294" s="31"/>
      <c r="FU294" s="31"/>
      <c r="FV294" s="31"/>
      <c r="FW294" s="31"/>
      <c r="FX294" s="31"/>
      <c r="FY294" s="31"/>
      <c r="FZ294" s="31"/>
      <c r="GA294" s="31"/>
      <c r="GB294" s="31"/>
      <c r="GC294" s="31"/>
      <c r="GD294" s="31"/>
      <c r="GE294" s="31"/>
      <c r="GF294" s="31"/>
      <c r="GG294" s="31"/>
      <c r="GH294" s="31"/>
      <c r="GI294" s="31"/>
      <c r="GJ294" s="31"/>
      <c r="GK294" s="31"/>
      <c r="GL294" s="31"/>
      <c r="GM294" s="31"/>
      <c r="GN294" s="31"/>
      <c r="GO294" s="31"/>
      <c r="GP294" s="31"/>
      <c r="GQ294" s="31"/>
      <c r="GR294" s="31"/>
      <c r="GS294" s="31"/>
      <c r="GT294" s="31"/>
      <c r="GU294" s="31"/>
      <c r="GV294" s="31"/>
      <c r="GW294" s="31"/>
      <c r="GX294" s="31"/>
      <c r="GY294" s="31"/>
      <c r="GZ294" s="31"/>
      <c r="HA294" s="31"/>
      <c r="HB294" s="31"/>
      <c r="HC294" s="31"/>
      <c r="HD294" s="31"/>
      <c r="HE294" s="31"/>
      <c r="HF294" s="31"/>
      <c r="HG294" s="31"/>
      <c r="HH294" s="31"/>
      <c r="HI294" s="31"/>
      <c r="HJ294" s="31"/>
      <c r="HK294" s="31"/>
      <c r="HL294" s="31"/>
      <c r="HM294" s="31"/>
      <c r="HN294" s="31"/>
      <c r="HO294" s="31"/>
      <c r="HP294" s="31"/>
      <c r="HQ294" s="31"/>
      <c r="HR294" s="31"/>
      <c r="HS294" s="31"/>
      <c r="HT294" s="31"/>
      <c r="HU294" s="31"/>
      <c r="HV294" s="31"/>
      <c r="HW294" s="31"/>
      <c r="HX294" s="31"/>
      <c r="HY294" s="31"/>
      <c r="HZ294" s="31"/>
      <c r="IA294" s="31"/>
      <c r="IB294" s="31"/>
      <c r="IC294" s="31"/>
      <c r="ID294" s="31"/>
      <c r="IE294" s="31"/>
      <c r="IF294" s="31"/>
      <c r="IG294" s="31"/>
      <c r="IH294" s="31"/>
      <c r="II294" s="31"/>
      <c r="IJ294" s="31"/>
      <c r="IK294" s="31"/>
      <c r="IL294" s="31"/>
      <c r="IM294" s="31"/>
      <c r="IN294" s="31"/>
      <c r="IO294" s="31"/>
      <c r="IP294" s="31"/>
      <c r="IQ294" s="31"/>
      <c r="IR294" s="31"/>
      <c r="IS294" s="31"/>
      <c r="IT294" s="31"/>
      <c r="IU294" s="31"/>
      <c r="IV294" s="31"/>
      <c r="IW294" s="31"/>
      <c r="IX294" s="31"/>
      <c r="IY294" s="31"/>
      <c r="IZ294" s="31"/>
      <c r="JA294" s="31"/>
      <c r="JB294" s="31"/>
      <c r="JC294" s="31"/>
      <c r="JD294" s="31"/>
      <c r="JE294" s="31"/>
      <c r="JF294" s="31"/>
      <c r="JG294" s="31"/>
      <c r="JH294" s="31"/>
      <c r="JI294" s="31"/>
      <c r="JJ294" s="31"/>
      <c r="JK294" s="31"/>
      <c r="JL294" s="31"/>
      <c r="JM294" s="31"/>
      <c r="JN294" s="31"/>
      <c r="JO294" s="31"/>
      <c r="JP294" s="31"/>
      <c r="JQ294" s="31"/>
      <c r="JR294" s="31"/>
      <c r="JS294" s="31"/>
      <c r="JT294" s="31"/>
      <c r="JU294" s="31"/>
      <c r="JV294" s="31"/>
      <c r="JW294" s="31"/>
      <c r="JX294" s="31"/>
      <c r="JY294" s="31"/>
      <c r="JZ294" s="31"/>
      <c r="KA294" s="31"/>
      <c r="KB294" s="31"/>
      <c r="KC294" s="31"/>
      <c r="KD294" s="31"/>
      <c r="KE294" s="31"/>
      <c r="KF294" s="31"/>
      <c r="KG294" s="31"/>
      <c r="KH294" s="31"/>
      <c r="KI294" s="31"/>
      <c r="KJ294" s="31"/>
      <c r="KK294" s="31"/>
      <c r="KL294" s="31"/>
      <c r="KM294" s="31"/>
      <c r="KN294" s="31"/>
      <c r="KO294" s="31"/>
      <c r="KP294" s="31"/>
      <c r="KQ294" s="31"/>
      <c r="KR294" s="31"/>
      <c r="KS294" s="31"/>
      <c r="KT294" s="31"/>
      <c r="KU294" s="31"/>
      <c r="KV294" s="31"/>
      <c r="KW294" s="31"/>
      <c r="KX294" s="31"/>
      <c r="KY294" s="31"/>
      <c r="KZ294" s="31"/>
      <c r="LA294" s="31"/>
      <c r="LB294" s="31"/>
      <c r="LC294" s="31"/>
      <c r="LD294" s="31"/>
      <c r="LE294" s="31"/>
      <c r="LF294" s="31"/>
      <c r="LG294" s="31"/>
      <c r="LH294" s="31"/>
      <c r="LI294" s="31"/>
      <c r="LJ294" s="31"/>
      <c r="LK294" s="31"/>
      <c r="LL294" s="31"/>
      <c r="LM294" s="31"/>
      <c r="LN294" s="31"/>
      <c r="LO294" s="31"/>
      <c r="LP294" s="31"/>
      <c r="LQ294" s="31"/>
      <c r="LR294" s="31"/>
      <c r="LS294" s="31"/>
      <c r="LT294" s="31"/>
      <c r="LU294" s="31"/>
      <c r="LV294" s="31"/>
      <c r="LW294" s="31"/>
      <c r="LX294" s="31"/>
      <c r="LY294" s="31"/>
      <c r="LZ294" s="31"/>
      <c r="MA294" s="31"/>
      <c r="MB294" s="31"/>
      <c r="MC294" s="31"/>
      <c r="MD294" s="31"/>
      <c r="ME294" s="31"/>
      <c r="MF294" s="31"/>
      <c r="MG294" s="31"/>
      <c r="MH294" s="31"/>
      <c r="MI294" s="31"/>
      <c r="MJ294" s="31"/>
      <c r="MK294" s="31"/>
      <c r="ML294" s="31"/>
      <c r="MM294" s="31"/>
      <c r="MN294" s="31"/>
      <c r="MO294" s="31"/>
      <c r="MP294" s="31"/>
      <c r="MQ294" s="31"/>
      <c r="MR294" s="31"/>
      <c r="MS294" s="31"/>
      <c r="MT294" s="31"/>
      <c r="MU294" s="31"/>
      <c r="MV294" s="31"/>
      <c r="MW294" s="31"/>
      <c r="MX294" s="31"/>
      <c r="MY294" s="31"/>
      <c r="MZ294" s="31"/>
      <c r="NA294" s="31"/>
      <c r="NB294" s="31"/>
      <c r="NC294" s="31"/>
      <c r="ND294" s="31"/>
      <c r="NE294" s="31"/>
      <c r="NF294" s="31"/>
      <c r="NG294" s="31"/>
      <c r="NH294" s="31"/>
      <c r="NI294" s="31"/>
      <c r="NJ294" s="31"/>
      <c r="NK294" s="31"/>
      <c r="NL294" s="31"/>
      <c r="NM294" s="31"/>
      <c r="NN294" s="31"/>
      <c r="NO294" s="31"/>
      <c r="NP294" s="31"/>
      <c r="NQ294" s="31"/>
      <c r="NR294" s="31"/>
      <c r="NS294" s="31"/>
      <c r="NT294" s="31"/>
      <c r="NU294" s="31"/>
      <c r="NV294" s="31"/>
      <c r="NW294" s="31"/>
      <c r="NX294" s="31"/>
      <c r="NY294" s="31"/>
      <c r="NZ294" s="31"/>
      <c r="OA294" s="31"/>
      <c r="OB294" s="31"/>
      <c r="OC294" s="31"/>
      <c r="OD294" s="31"/>
      <c r="OE294" s="31"/>
      <c r="OF294" s="31"/>
      <c r="OG294" s="31"/>
      <c r="OH294" s="31"/>
      <c r="OI294" s="31"/>
      <c r="OJ294" s="31"/>
      <c r="OK294" s="31"/>
      <c r="OL294" s="31"/>
      <c r="OM294" s="31"/>
      <c r="ON294" s="31"/>
      <c r="OO294" s="31"/>
      <c r="OP294" s="31"/>
      <c r="OQ294" s="31"/>
      <c r="OR294" s="31"/>
      <c r="OS294" s="31"/>
      <c r="OT294" s="31"/>
      <c r="OU294" s="31"/>
      <c r="OV294" s="31"/>
      <c r="OW294" s="31"/>
      <c r="OX294" s="31"/>
    </row>
    <row r="295" spans="2:414" s="25" customFormat="1" ht="15.6">
      <c r="B295" s="25" t="s">
        <v>448</v>
      </c>
      <c r="C295" s="27" t="s">
        <v>449</v>
      </c>
      <c r="D295" s="30" t="s">
        <v>434</v>
      </c>
      <c r="G295" s="42">
        <v>500</v>
      </c>
      <c r="H295" s="89">
        <v>26.109000000000002</v>
      </c>
      <c r="I295" s="38">
        <f t="shared" si="96"/>
        <v>13054.5</v>
      </c>
      <c r="K295" s="42">
        <v>500</v>
      </c>
      <c r="L295" s="90">
        <v>26.849599999999999</v>
      </c>
      <c r="M295" s="38">
        <f t="shared" si="97"/>
        <v>13424.8</v>
      </c>
      <c r="O295" s="38">
        <v>80</v>
      </c>
      <c r="P295" s="38">
        <v>26.728300000000001</v>
      </c>
      <c r="Q295" s="38">
        <f t="shared" si="98"/>
        <v>2138.2640000000001</v>
      </c>
      <c r="R295" s="43">
        <f t="shared" si="94"/>
        <v>1080</v>
      </c>
      <c r="S295" s="38">
        <f t="shared" si="99"/>
        <v>28617.563999999998</v>
      </c>
      <c r="T295" s="49">
        <v>415</v>
      </c>
      <c r="U295" s="42">
        <v>26.0579</v>
      </c>
      <c r="V295" s="38">
        <f t="shared" si="107"/>
        <v>10814.0285</v>
      </c>
      <c r="W295" s="42">
        <v>85</v>
      </c>
      <c r="X295" s="42">
        <v>26.298200000000001</v>
      </c>
      <c r="Y295" s="42">
        <f t="shared" si="110"/>
        <v>2235.3470000000002</v>
      </c>
      <c r="Z295" s="42">
        <v>415</v>
      </c>
      <c r="AA295" s="42">
        <v>26.869499999999999</v>
      </c>
      <c r="AB295" s="42">
        <f t="shared" si="108"/>
        <v>11150.842499999999</v>
      </c>
      <c r="AD295" s="42">
        <v>85</v>
      </c>
      <c r="AE295" s="42">
        <v>26.869499999999999</v>
      </c>
      <c r="AF295" s="42">
        <f t="shared" si="109"/>
        <v>2283.9074999999998</v>
      </c>
      <c r="AG295" s="42"/>
      <c r="AH295" s="42"/>
      <c r="AI295" s="42"/>
      <c r="AJ295" s="42">
        <f t="shared" si="106"/>
        <v>0</v>
      </c>
      <c r="AL295" s="42"/>
      <c r="AM295" s="42"/>
      <c r="AN295" s="42">
        <f t="shared" si="105"/>
        <v>0</v>
      </c>
      <c r="AO295" s="44"/>
      <c r="AP295" s="42"/>
      <c r="AQ295" s="42"/>
      <c r="AR295" s="42"/>
      <c r="AU295" s="98"/>
      <c r="AV295" s="35">
        <f t="shared" si="91"/>
        <v>0</v>
      </c>
      <c r="AW295" s="104"/>
      <c r="AX295" s="42"/>
      <c r="AY295" s="42"/>
      <c r="AZ295" s="42">
        <f t="shared" si="92"/>
        <v>0</v>
      </c>
      <c r="BA295" s="42"/>
      <c r="BB295" s="42"/>
      <c r="BC295" s="42"/>
      <c r="BD295" s="38">
        <f t="shared" si="100"/>
        <v>0</v>
      </c>
      <c r="BE295" s="42"/>
      <c r="BF295" s="42"/>
      <c r="BG295" s="42"/>
      <c r="BH295" s="38">
        <f t="shared" si="101"/>
        <v>0</v>
      </c>
      <c r="BI295" s="42"/>
      <c r="BJ295" s="42"/>
      <c r="BK295" s="42"/>
      <c r="BL295" s="38">
        <f t="shared" si="102"/>
        <v>0</v>
      </c>
      <c r="BM295" s="42"/>
      <c r="BN295" s="42"/>
      <c r="BO295" s="42"/>
      <c r="BP295" s="42"/>
      <c r="BR295" s="42">
        <f t="shared" si="103"/>
        <v>26484.125500000002</v>
      </c>
      <c r="BS295" s="43">
        <f t="shared" si="104"/>
        <v>2133.4384999999966</v>
      </c>
      <c r="BT295" s="42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  <c r="FM295" s="31"/>
      <c r="FN295" s="31"/>
      <c r="FO295" s="31"/>
      <c r="FP295" s="31"/>
      <c r="FQ295" s="31"/>
      <c r="FR295" s="31"/>
      <c r="FS295" s="31"/>
      <c r="FT295" s="31"/>
      <c r="FU295" s="31"/>
      <c r="FV295" s="31"/>
      <c r="FW295" s="31"/>
      <c r="FX295" s="31"/>
      <c r="FY295" s="31"/>
      <c r="FZ295" s="31"/>
      <c r="GA295" s="31"/>
      <c r="GB295" s="31"/>
      <c r="GC295" s="31"/>
      <c r="GD295" s="31"/>
      <c r="GE295" s="31"/>
      <c r="GF295" s="31"/>
      <c r="GG295" s="31"/>
      <c r="GH295" s="31"/>
      <c r="GI295" s="31"/>
      <c r="GJ295" s="31"/>
      <c r="GK295" s="31"/>
      <c r="GL295" s="31"/>
      <c r="GM295" s="31"/>
      <c r="GN295" s="31"/>
      <c r="GO295" s="31"/>
      <c r="GP295" s="31"/>
      <c r="GQ295" s="31"/>
      <c r="GR295" s="31"/>
      <c r="GS295" s="31"/>
      <c r="GT295" s="31"/>
      <c r="GU295" s="31"/>
      <c r="GV295" s="31"/>
      <c r="GW295" s="31"/>
      <c r="GX295" s="31"/>
      <c r="GY295" s="31"/>
      <c r="GZ295" s="31"/>
      <c r="HA295" s="31"/>
      <c r="HB295" s="31"/>
      <c r="HC295" s="31"/>
      <c r="HD295" s="31"/>
      <c r="HE295" s="31"/>
      <c r="HF295" s="31"/>
      <c r="HG295" s="31"/>
      <c r="HH295" s="31"/>
      <c r="HI295" s="31"/>
      <c r="HJ295" s="31"/>
      <c r="HK295" s="31"/>
      <c r="HL295" s="31"/>
      <c r="HM295" s="31"/>
      <c r="HN295" s="31"/>
      <c r="HO295" s="31"/>
      <c r="HP295" s="31"/>
      <c r="HQ295" s="31"/>
      <c r="HR295" s="31"/>
      <c r="HS295" s="31"/>
      <c r="HT295" s="31"/>
      <c r="HU295" s="31"/>
      <c r="HV295" s="31"/>
      <c r="HW295" s="31"/>
      <c r="HX295" s="31"/>
      <c r="HY295" s="31"/>
      <c r="HZ295" s="31"/>
      <c r="IA295" s="31"/>
      <c r="IB295" s="31"/>
      <c r="IC295" s="31"/>
      <c r="ID295" s="31"/>
      <c r="IE295" s="31"/>
      <c r="IF295" s="31"/>
      <c r="IG295" s="31"/>
      <c r="IH295" s="31"/>
      <c r="II295" s="31"/>
      <c r="IJ295" s="31"/>
      <c r="IK295" s="31"/>
      <c r="IL295" s="31"/>
      <c r="IM295" s="31"/>
      <c r="IN295" s="31"/>
      <c r="IO295" s="31"/>
      <c r="IP295" s="31"/>
      <c r="IQ295" s="31"/>
      <c r="IR295" s="31"/>
      <c r="IS295" s="31"/>
      <c r="IT295" s="31"/>
      <c r="IU295" s="31"/>
      <c r="IV295" s="31"/>
      <c r="IW295" s="31"/>
      <c r="IX295" s="31"/>
      <c r="IY295" s="31"/>
      <c r="IZ295" s="31"/>
      <c r="JA295" s="31"/>
      <c r="JB295" s="31"/>
      <c r="JC295" s="31"/>
      <c r="JD295" s="31"/>
      <c r="JE295" s="31"/>
      <c r="JF295" s="31"/>
      <c r="JG295" s="31"/>
      <c r="JH295" s="31"/>
      <c r="JI295" s="31"/>
      <c r="JJ295" s="31"/>
      <c r="JK295" s="31"/>
      <c r="JL295" s="31"/>
      <c r="JM295" s="31"/>
      <c r="JN295" s="31"/>
      <c r="JO295" s="31"/>
      <c r="JP295" s="31"/>
      <c r="JQ295" s="31"/>
      <c r="JR295" s="31"/>
      <c r="JS295" s="31"/>
      <c r="JT295" s="31"/>
      <c r="JU295" s="31"/>
      <c r="JV295" s="31"/>
      <c r="JW295" s="31"/>
      <c r="JX295" s="31"/>
      <c r="JY295" s="31"/>
      <c r="JZ295" s="31"/>
      <c r="KA295" s="31"/>
      <c r="KB295" s="31"/>
      <c r="KC295" s="31"/>
      <c r="KD295" s="31"/>
      <c r="KE295" s="31"/>
      <c r="KF295" s="31"/>
      <c r="KG295" s="31"/>
      <c r="KH295" s="31"/>
      <c r="KI295" s="31"/>
      <c r="KJ295" s="31"/>
      <c r="KK295" s="31"/>
      <c r="KL295" s="31"/>
      <c r="KM295" s="31"/>
      <c r="KN295" s="31"/>
      <c r="KO295" s="31"/>
      <c r="KP295" s="31"/>
      <c r="KQ295" s="31"/>
      <c r="KR295" s="31"/>
      <c r="KS295" s="31"/>
      <c r="KT295" s="31"/>
      <c r="KU295" s="31"/>
      <c r="KV295" s="31"/>
      <c r="KW295" s="31"/>
      <c r="KX295" s="31"/>
      <c r="KY295" s="31"/>
      <c r="KZ295" s="31"/>
      <c r="LA295" s="31"/>
      <c r="LB295" s="31"/>
      <c r="LC295" s="31"/>
      <c r="LD295" s="31"/>
      <c r="LE295" s="31"/>
      <c r="LF295" s="31"/>
      <c r="LG295" s="31"/>
      <c r="LH295" s="31"/>
      <c r="LI295" s="31"/>
      <c r="LJ295" s="31"/>
      <c r="LK295" s="31"/>
      <c r="LL295" s="31"/>
      <c r="LM295" s="31"/>
      <c r="LN295" s="31"/>
      <c r="LO295" s="31"/>
      <c r="LP295" s="31"/>
      <c r="LQ295" s="31"/>
      <c r="LR295" s="31"/>
      <c r="LS295" s="31"/>
      <c r="LT295" s="31"/>
      <c r="LU295" s="31"/>
      <c r="LV295" s="31"/>
      <c r="LW295" s="31"/>
      <c r="LX295" s="31"/>
      <c r="LY295" s="31"/>
      <c r="LZ295" s="31"/>
      <c r="MA295" s="31"/>
      <c r="MB295" s="31"/>
      <c r="MC295" s="31"/>
      <c r="MD295" s="31"/>
      <c r="ME295" s="31"/>
      <c r="MF295" s="31"/>
      <c r="MG295" s="31"/>
      <c r="MH295" s="31"/>
      <c r="MI295" s="31"/>
      <c r="MJ295" s="31"/>
      <c r="MK295" s="31"/>
      <c r="ML295" s="31"/>
      <c r="MM295" s="31"/>
      <c r="MN295" s="31"/>
      <c r="MO295" s="31"/>
      <c r="MP295" s="31"/>
      <c r="MQ295" s="31"/>
      <c r="MR295" s="31"/>
      <c r="MS295" s="31"/>
      <c r="MT295" s="31"/>
      <c r="MU295" s="31"/>
      <c r="MV295" s="31"/>
      <c r="MW295" s="31"/>
      <c r="MX295" s="31"/>
      <c r="MY295" s="31"/>
      <c r="MZ295" s="31"/>
      <c r="NA295" s="31"/>
      <c r="NB295" s="31"/>
      <c r="NC295" s="31"/>
      <c r="ND295" s="31"/>
      <c r="NE295" s="31"/>
      <c r="NF295" s="31"/>
      <c r="NG295" s="31"/>
      <c r="NH295" s="31"/>
      <c r="NI295" s="31"/>
      <c r="NJ295" s="31"/>
      <c r="NK295" s="31"/>
      <c r="NL295" s="31"/>
      <c r="NM295" s="31"/>
      <c r="NN295" s="31"/>
      <c r="NO295" s="31"/>
      <c r="NP295" s="31"/>
      <c r="NQ295" s="31"/>
      <c r="NR295" s="31"/>
      <c r="NS295" s="31"/>
      <c r="NT295" s="31"/>
      <c r="NU295" s="31"/>
      <c r="NV295" s="31"/>
      <c r="NW295" s="31"/>
      <c r="NX295" s="31"/>
      <c r="NY295" s="31"/>
      <c r="NZ295" s="31"/>
      <c r="OA295" s="31"/>
      <c r="OB295" s="31"/>
      <c r="OC295" s="31"/>
      <c r="OD295" s="31"/>
      <c r="OE295" s="31"/>
      <c r="OF295" s="31"/>
      <c r="OG295" s="31"/>
      <c r="OH295" s="31"/>
      <c r="OI295" s="31"/>
      <c r="OJ295" s="31"/>
      <c r="OK295" s="31"/>
      <c r="OL295" s="31"/>
      <c r="OM295" s="31"/>
      <c r="ON295" s="31"/>
      <c r="OO295" s="31"/>
      <c r="OP295" s="31"/>
      <c r="OQ295" s="31"/>
      <c r="OR295" s="31"/>
      <c r="OS295" s="31"/>
      <c r="OT295" s="31"/>
      <c r="OU295" s="31"/>
      <c r="OV295" s="31"/>
      <c r="OW295" s="31"/>
      <c r="OX295" s="31"/>
    </row>
    <row r="296" spans="2:414" s="25" customFormat="1" ht="15.6">
      <c r="B296" s="25" t="s">
        <v>450</v>
      </c>
      <c r="C296" s="27" t="s">
        <v>451</v>
      </c>
      <c r="D296" s="30" t="s">
        <v>434</v>
      </c>
      <c r="G296" s="42">
        <v>500</v>
      </c>
      <c r="H296" s="89">
        <v>26.109000000000002</v>
      </c>
      <c r="I296" s="38">
        <f t="shared" si="96"/>
        <v>13054.5</v>
      </c>
      <c r="K296" s="42">
        <v>500</v>
      </c>
      <c r="L296" s="90">
        <v>26.849599999999999</v>
      </c>
      <c r="M296" s="38">
        <f t="shared" si="97"/>
        <v>13424.8</v>
      </c>
      <c r="O296" s="38">
        <v>80</v>
      </c>
      <c r="P296" s="38">
        <v>26.728300000000001</v>
      </c>
      <c r="Q296" s="38">
        <f t="shared" si="98"/>
        <v>2138.2640000000001</v>
      </c>
      <c r="R296" s="43">
        <f t="shared" si="94"/>
        <v>1080</v>
      </c>
      <c r="S296" s="38">
        <f t="shared" si="99"/>
        <v>28617.563999999998</v>
      </c>
      <c r="T296" s="49"/>
      <c r="U296" s="42"/>
      <c r="V296" s="38">
        <f t="shared" si="107"/>
        <v>0</v>
      </c>
      <c r="W296" s="42"/>
      <c r="X296" s="42"/>
      <c r="Y296" s="42">
        <f t="shared" si="110"/>
        <v>0</v>
      </c>
      <c r="Z296" s="42"/>
      <c r="AA296" s="42"/>
      <c r="AB296" s="42">
        <f t="shared" si="108"/>
        <v>0</v>
      </c>
      <c r="AD296" s="42"/>
      <c r="AE296" s="42"/>
      <c r="AF296" s="42">
        <f t="shared" si="109"/>
        <v>0</v>
      </c>
      <c r="AG296" s="42"/>
      <c r="AH296" s="42"/>
      <c r="AI296" s="42"/>
      <c r="AJ296" s="42">
        <f t="shared" si="106"/>
        <v>0</v>
      </c>
      <c r="AL296" s="42"/>
      <c r="AM296" s="42"/>
      <c r="AN296" s="42">
        <f t="shared" si="105"/>
        <v>0</v>
      </c>
      <c r="AO296" s="44"/>
      <c r="AP296" s="42"/>
      <c r="AQ296" s="42"/>
      <c r="AR296" s="42"/>
      <c r="AU296" s="98"/>
      <c r="AV296" s="35">
        <f t="shared" si="91"/>
        <v>0</v>
      </c>
      <c r="AW296" s="104"/>
      <c r="AX296" s="42"/>
      <c r="AY296" s="42"/>
      <c r="AZ296" s="42">
        <f t="shared" si="92"/>
        <v>0</v>
      </c>
      <c r="BA296" s="42"/>
      <c r="BB296" s="42"/>
      <c r="BC296" s="42"/>
      <c r="BD296" s="38">
        <f t="shared" si="100"/>
        <v>0</v>
      </c>
      <c r="BE296" s="42"/>
      <c r="BF296" s="42"/>
      <c r="BG296" s="42"/>
      <c r="BH296" s="38">
        <f t="shared" si="101"/>
        <v>0</v>
      </c>
      <c r="BI296" s="42"/>
      <c r="BJ296" s="42"/>
      <c r="BK296" s="42"/>
      <c r="BL296" s="38">
        <f t="shared" si="102"/>
        <v>0</v>
      </c>
      <c r="BM296" s="42"/>
      <c r="BN296" s="42"/>
      <c r="BO296" s="42"/>
      <c r="BP296" s="42"/>
      <c r="BR296" s="42">
        <f t="shared" si="103"/>
        <v>0</v>
      </c>
      <c r="BS296" s="43">
        <f t="shared" si="104"/>
        <v>28617.563999999998</v>
      </c>
      <c r="BT296" s="42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  <c r="FM296" s="31"/>
      <c r="FN296" s="31"/>
      <c r="FO296" s="31"/>
      <c r="FP296" s="31"/>
      <c r="FQ296" s="31"/>
      <c r="FR296" s="31"/>
      <c r="FS296" s="31"/>
      <c r="FT296" s="31"/>
      <c r="FU296" s="31"/>
      <c r="FV296" s="31"/>
      <c r="FW296" s="31"/>
      <c r="FX296" s="31"/>
      <c r="FY296" s="31"/>
      <c r="FZ296" s="31"/>
      <c r="GA296" s="31"/>
      <c r="GB296" s="31"/>
      <c r="GC296" s="31"/>
      <c r="GD296" s="31"/>
      <c r="GE296" s="31"/>
      <c r="GF296" s="31"/>
      <c r="GG296" s="31"/>
      <c r="GH296" s="31"/>
      <c r="GI296" s="31"/>
      <c r="GJ296" s="31"/>
      <c r="GK296" s="31"/>
      <c r="GL296" s="31"/>
      <c r="GM296" s="31"/>
      <c r="GN296" s="31"/>
      <c r="GO296" s="31"/>
      <c r="GP296" s="31"/>
      <c r="GQ296" s="31"/>
      <c r="GR296" s="31"/>
      <c r="GS296" s="31"/>
      <c r="GT296" s="31"/>
      <c r="GU296" s="31"/>
      <c r="GV296" s="31"/>
      <c r="GW296" s="31"/>
      <c r="GX296" s="31"/>
      <c r="GY296" s="31"/>
      <c r="GZ296" s="31"/>
      <c r="HA296" s="31"/>
      <c r="HB296" s="31"/>
      <c r="HC296" s="31"/>
      <c r="HD296" s="31"/>
      <c r="HE296" s="31"/>
      <c r="HF296" s="31"/>
      <c r="HG296" s="31"/>
      <c r="HH296" s="31"/>
      <c r="HI296" s="31"/>
      <c r="HJ296" s="31"/>
      <c r="HK296" s="31"/>
      <c r="HL296" s="31"/>
      <c r="HM296" s="31"/>
      <c r="HN296" s="31"/>
      <c r="HO296" s="31"/>
      <c r="HP296" s="31"/>
      <c r="HQ296" s="31"/>
      <c r="HR296" s="31"/>
      <c r="HS296" s="31"/>
      <c r="HT296" s="31"/>
      <c r="HU296" s="31"/>
      <c r="HV296" s="31"/>
      <c r="HW296" s="31"/>
      <c r="HX296" s="31"/>
      <c r="HY296" s="31"/>
      <c r="HZ296" s="31"/>
      <c r="IA296" s="31"/>
      <c r="IB296" s="31"/>
      <c r="IC296" s="31"/>
      <c r="ID296" s="31"/>
      <c r="IE296" s="31"/>
      <c r="IF296" s="31"/>
      <c r="IG296" s="31"/>
      <c r="IH296" s="31"/>
      <c r="II296" s="31"/>
      <c r="IJ296" s="31"/>
      <c r="IK296" s="31"/>
      <c r="IL296" s="31"/>
      <c r="IM296" s="31"/>
      <c r="IN296" s="31"/>
      <c r="IO296" s="31"/>
      <c r="IP296" s="31"/>
      <c r="IQ296" s="31"/>
      <c r="IR296" s="31"/>
      <c r="IS296" s="31"/>
      <c r="IT296" s="31"/>
      <c r="IU296" s="31"/>
      <c r="IV296" s="31"/>
      <c r="IW296" s="31"/>
      <c r="IX296" s="31"/>
      <c r="IY296" s="31"/>
      <c r="IZ296" s="31"/>
      <c r="JA296" s="31"/>
      <c r="JB296" s="31"/>
      <c r="JC296" s="31"/>
      <c r="JD296" s="31"/>
      <c r="JE296" s="31"/>
      <c r="JF296" s="31"/>
      <c r="JG296" s="31"/>
      <c r="JH296" s="31"/>
      <c r="JI296" s="31"/>
      <c r="JJ296" s="31"/>
      <c r="JK296" s="31"/>
      <c r="JL296" s="31"/>
      <c r="JM296" s="31"/>
      <c r="JN296" s="31"/>
      <c r="JO296" s="31"/>
      <c r="JP296" s="31"/>
      <c r="JQ296" s="31"/>
      <c r="JR296" s="31"/>
      <c r="JS296" s="31"/>
      <c r="JT296" s="31"/>
      <c r="JU296" s="31"/>
      <c r="JV296" s="31"/>
      <c r="JW296" s="31"/>
      <c r="JX296" s="31"/>
      <c r="JY296" s="31"/>
      <c r="JZ296" s="31"/>
      <c r="KA296" s="31"/>
      <c r="KB296" s="31"/>
      <c r="KC296" s="31"/>
      <c r="KD296" s="31"/>
      <c r="KE296" s="31"/>
      <c r="KF296" s="31"/>
      <c r="KG296" s="31"/>
      <c r="KH296" s="31"/>
      <c r="KI296" s="31"/>
      <c r="KJ296" s="31"/>
      <c r="KK296" s="31"/>
      <c r="KL296" s="31"/>
      <c r="KM296" s="31"/>
      <c r="KN296" s="31"/>
      <c r="KO296" s="31"/>
      <c r="KP296" s="31"/>
      <c r="KQ296" s="31"/>
      <c r="KR296" s="31"/>
      <c r="KS296" s="31"/>
      <c r="KT296" s="31"/>
      <c r="KU296" s="31"/>
      <c r="KV296" s="31"/>
      <c r="KW296" s="31"/>
      <c r="KX296" s="31"/>
      <c r="KY296" s="31"/>
      <c r="KZ296" s="31"/>
      <c r="LA296" s="31"/>
      <c r="LB296" s="31"/>
      <c r="LC296" s="31"/>
      <c r="LD296" s="31"/>
      <c r="LE296" s="31"/>
      <c r="LF296" s="31"/>
      <c r="LG296" s="31"/>
      <c r="LH296" s="31"/>
      <c r="LI296" s="31"/>
      <c r="LJ296" s="31"/>
      <c r="LK296" s="31"/>
      <c r="LL296" s="31"/>
      <c r="LM296" s="31"/>
      <c r="LN296" s="31"/>
      <c r="LO296" s="31"/>
      <c r="LP296" s="31"/>
      <c r="LQ296" s="31"/>
      <c r="LR296" s="31"/>
      <c r="LS296" s="31"/>
      <c r="LT296" s="31"/>
      <c r="LU296" s="31"/>
      <c r="LV296" s="31"/>
      <c r="LW296" s="31"/>
      <c r="LX296" s="31"/>
      <c r="LY296" s="31"/>
      <c r="LZ296" s="31"/>
      <c r="MA296" s="31"/>
      <c r="MB296" s="31"/>
      <c r="MC296" s="31"/>
      <c r="MD296" s="31"/>
      <c r="ME296" s="31"/>
      <c r="MF296" s="31"/>
      <c r="MG296" s="31"/>
      <c r="MH296" s="31"/>
      <c r="MI296" s="31"/>
      <c r="MJ296" s="31"/>
      <c r="MK296" s="31"/>
      <c r="ML296" s="31"/>
      <c r="MM296" s="31"/>
      <c r="MN296" s="31"/>
      <c r="MO296" s="31"/>
      <c r="MP296" s="31"/>
      <c r="MQ296" s="31"/>
      <c r="MR296" s="31"/>
      <c r="MS296" s="31"/>
      <c r="MT296" s="31"/>
      <c r="MU296" s="31"/>
      <c r="MV296" s="31"/>
      <c r="MW296" s="31"/>
      <c r="MX296" s="31"/>
      <c r="MY296" s="31"/>
      <c r="MZ296" s="31"/>
      <c r="NA296" s="31"/>
      <c r="NB296" s="31"/>
      <c r="NC296" s="31"/>
      <c r="ND296" s="31"/>
      <c r="NE296" s="31"/>
      <c r="NF296" s="31"/>
      <c r="NG296" s="31"/>
      <c r="NH296" s="31"/>
      <c r="NI296" s="31"/>
      <c r="NJ296" s="31"/>
      <c r="NK296" s="31"/>
      <c r="NL296" s="31"/>
      <c r="NM296" s="31"/>
      <c r="NN296" s="31"/>
      <c r="NO296" s="31"/>
      <c r="NP296" s="31"/>
      <c r="NQ296" s="31"/>
      <c r="NR296" s="31"/>
      <c r="NS296" s="31"/>
      <c r="NT296" s="31"/>
      <c r="NU296" s="31"/>
      <c r="NV296" s="31"/>
      <c r="NW296" s="31"/>
      <c r="NX296" s="31"/>
      <c r="NY296" s="31"/>
      <c r="NZ296" s="31"/>
      <c r="OA296" s="31"/>
      <c r="OB296" s="31"/>
      <c r="OC296" s="31"/>
      <c r="OD296" s="31"/>
      <c r="OE296" s="31"/>
      <c r="OF296" s="31"/>
      <c r="OG296" s="31"/>
      <c r="OH296" s="31"/>
      <c r="OI296" s="31"/>
      <c r="OJ296" s="31"/>
      <c r="OK296" s="31"/>
      <c r="OL296" s="31"/>
      <c r="OM296" s="31"/>
      <c r="ON296" s="31"/>
      <c r="OO296" s="31"/>
      <c r="OP296" s="31"/>
      <c r="OQ296" s="31"/>
      <c r="OR296" s="31"/>
      <c r="OS296" s="31"/>
      <c r="OT296" s="31"/>
      <c r="OU296" s="31"/>
      <c r="OV296" s="31"/>
      <c r="OW296" s="31"/>
      <c r="OX296" s="31"/>
    </row>
    <row r="297" spans="2:414" s="25" customFormat="1" ht="15.6">
      <c r="B297" s="25" t="s">
        <v>452</v>
      </c>
      <c r="C297" s="27" t="s">
        <v>453</v>
      </c>
      <c r="D297" s="30" t="s">
        <v>434</v>
      </c>
      <c r="G297" s="42">
        <v>500</v>
      </c>
      <c r="H297" s="89">
        <v>26.109000000000002</v>
      </c>
      <c r="I297" s="38">
        <f t="shared" si="96"/>
        <v>13054.5</v>
      </c>
      <c r="K297" s="42">
        <v>500</v>
      </c>
      <c r="L297" s="90">
        <v>26.849599999999999</v>
      </c>
      <c r="M297" s="38">
        <f t="shared" si="97"/>
        <v>13424.8</v>
      </c>
      <c r="O297" s="38">
        <v>80</v>
      </c>
      <c r="P297" s="38">
        <v>26.728300000000001</v>
      </c>
      <c r="Q297" s="38">
        <f t="shared" si="98"/>
        <v>2138.2640000000001</v>
      </c>
      <c r="R297" s="43">
        <f t="shared" si="94"/>
        <v>1080</v>
      </c>
      <c r="S297" s="38">
        <f t="shared" si="99"/>
        <v>28617.563999999998</v>
      </c>
      <c r="T297" s="49">
        <v>415</v>
      </c>
      <c r="U297" s="42">
        <v>26.0579</v>
      </c>
      <c r="V297" s="38">
        <f t="shared" si="107"/>
        <v>10814.0285</v>
      </c>
      <c r="W297" s="42">
        <v>85</v>
      </c>
      <c r="X297" s="42">
        <v>26.0579</v>
      </c>
      <c r="Y297" s="42">
        <f t="shared" si="110"/>
        <v>2214.9214999999999</v>
      </c>
      <c r="Z297" s="42">
        <v>100</v>
      </c>
      <c r="AA297" s="42">
        <v>26.9815</v>
      </c>
      <c r="AB297" s="42">
        <f t="shared" si="108"/>
        <v>2698.15</v>
      </c>
      <c r="AD297" s="42">
        <v>180</v>
      </c>
      <c r="AE297" s="42">
        <v>26.9815</v>
      </c>
      <c r="AF297" s="42">
        <f t="shared" si="109"/>
        <v>4856.67</v>
      </c>
      <c r="AG297" s="42"/>
      <c r="AH297" s="42">
        <v>80</v>
      </c>
      <c r="AI297" s="42">
        <v>26.952500000000001</v>
      </c>
      <c r="AJ297" s="42">
        <f t="shared" si="106"/>
        <v>2156.1999999999998</v>
      </c>
      <c r="AL297" s="42">
        <v>135</v>
      </c>
      <c r="AM297" s="42">
        <v>26.793099999999999</v>
      </c>
      <c r="AN297" s="42">
        <f t="shared" si="105"/>
        <v>3617.0684999999999</v>
      </c>
      <c r="AO297" s="44"/>
      <c r="AP297" s="42">
        <v>5</v>
      </c>
      <c r="AQ297" s="42">
        <v>26.8461</v>
      </c>
      <c r="AR297" s="42"/>
      <c r="AU297" s="98"/>
      <c r="AV297" s="35">
        <f t="shared" si="91"/>
        <v>0</v>
      </c>
      <c r="AW297" s="104"/>
      <c r="AX297" s="42"/>
      <c r="AY297" s="42"/>
      <c r="AZ297" s="42">
        <f t="shared" si="92"/>
        <v>0</v>
      </c>
      <c r="BA297" s="42"/>
      <c r="BB297" s="42"/>
      <c r="BC297" s="42"/>
      <c r="BD297" s="38">
        <f t="shared" si="100"/>
        <v>0</v>
      </c>
      <c r="BE297" s="42"/>
      <c r="BF297" s="42"/>
      <c r="BG297" s="42"/>
      <c r="BH297" s="38">
        <f t="shared" si="101"/>
        <v>0</v>
      </c>
      <c r="BI297" s="42"/>
      <c r="BJ297" s="42"/>
      <c r="BK297" s="42"/>
      <c r="BL297" s="38">
        <f t="shared" si="102"/>
        <v>0</v>
      </c>
      <c r="BM297" s="42"/>
      <c r="BN297" s="42"/>
      <c r="BO297" s="42"/>
      <c r="BP297" s="42"/>
      <c r="BR297" s="42">
        <f t="shared" si="103"/>
        <v>26357.038500000002</v>
      </c>
      <c r="BS297" s="43">
        <f t="shared" si="104"/>
        <v>2260.5254999999961</v>
      </c>
      <c r="BT297" s="42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  <c r="FM297" s="31"/>
      <c r="FN297" s="31"/>
      <c r="FO297" s="31"/>
      <c r="FP297" s="31"/>
      <c r="FQ297" s="31"/>
      <c r="FR297" s="31"/>
      <c r="FS297" s="31"/>
      <c r="FT297" s="31"/>
      <c r="FU297" s="31"/>
      <c r="FV297" s="31"/>
      <c r="FW297" s="31"/>
      <c r="FX297" s="31"/>
      <c r="FY297" s="31"/>
      <c r="FZ297" s="31"/>
      <c r="GA297" s="31"/>
      <c r="GB297" s="31"/>
      <c r="GC297" s="31"/>
      <c r="GD297" s="31"/>
      <c r="GE297" s="31"/>
      <c r="GF297" s="31"/>
      <c r="GG297" s="31"/>
      <c r="GH297" s="31"/>
      <c r="GI297" s="31"/>
      <c r="GJ297" s="31"/>
      <c r="GK297" s="31"/>
      <c r="GL297" s="31"/>
      <c r="GM297" s="31"/>
      <c r="GN297" s="31"/>
      <c r="GO297" s="31"/>
      <c r="GP297" s="31"/>
      <c r="GQ297" s="31"/>
      <c r="GR297" s="31"/>
      <c r="GS297" s="31"/>
      <c r="GT297" s="31"/>
      <c r="GU297" s="31"/>
      <c r="GV297" s="31"/>
      <c r="GW297" s="31"/>
      <c r="GX297" s="31"/>
      <c r="GY297" s="31"/>
      <c r="GZ297" s="31"/>
      <c r="HA297" s="31"/>
      <c r="HB297" s="31"/>
      <c r="HC297" s="31"/>
      <c r="HD297" s="31"/>
      <c r="HE297" s="31"/>
      <c r="HF297" s="31"/>
      <c r="HG297" s="31"/>
      <c r="HH297" s="31"/>
      <c r="HI297" s="31"/>
      <c r="HJ297" s="31"/>
      <c r="HK297" s="31"/>
      <c r="HL297" s="31"/>
      <c r="HM297" s="31"/>
      <c r="HN297" s="31"/>
      <c r="HO297" s="31"/>
      <c r="HP297" s="31"/>
      <c r="HQ297" s="31"/>
      <c r="HR297" s="31"/>
      <c r="HS297" s="31"/>
      <c r="HT297" s="31"/>
      <c r="HU297" s="31"/>
      <c r="HV297" s="31"/>
      <c r="HW297" s="31"/>
      <c r="HX297" s="31"/>
      <c r="HY297" s="31"/>
      <c r="HZ297" s="31"/>
      <c r="IA297" s="31"/>
      <c r="IB297" s="31"/>
      <c r="IC297" s="31"/>
      <c r="ID297" s="31"/>
      <c r="IE297" s="31"/>
      <c r="IF297" s="31"/>
      <c r="IG297" s="31"/>
      <c r="IH297" s="31"/>
      <c r="II297" s="31"/>
      <c r="IJ297" s="31"/>
      <c r="IK297" s="31"/>
      <c r="IL297" s="31"/>
      <c r="IM297" s="31"/>
      <c r="IN297" s="31"/>
      <c r="IO297" s="31"/>
      <c r="IP297" s="31"/>
      <c r="IQ297" s="31"/>
      <c r="IR297" s="31"/>
      <c r="IS297" s="31"/>
      <c r="IT297" s="31"/>
      <c r="IU297" s="31"/>
      <c r="IV297" s="31"/>
      <c r="IW297" s="31"/>
      <c r="IX297" s="31"/>
      <c r="IY297" s="31"/>
      <c r="IZ297" s="31"/>
      <c r="JA297" s="31"/>
      <c r="JB297" s="31"/>
      <c r="JC297" s="31"/>
      <c r="JD297" s="31"/>
      <c r="JE297" s="31"/>
      <c r="JF297" s="31"/>
      <c r="JG297" s="31"/>
      <c r="JH297" s="31"/>
      <c r="JI297" s="31"/>
      <c r="JJ297" s="31"/>
      <c r="JK297" s="31"/>
      <c r="JL297" s="31"/>
      <c r="JM297" s="31"/>
      <c r="JN297" s="31"/>
      <c r="JO297" s="31"/>
      <c r="JP297" s="31"/>
      <c r="JQ297" s="31"/>
      <c r="JR297" s="31"/>
      <c r="JS297" s="31"/>
      <c r="JT297" s="31"/>
      <c r="JU297" s="31"/>
      <c r="JV297" s="31"/>
      <c r="JW297" s="31"/>
      <c r="JX297" s="31"/>
      <c r="JY297" s="31"/>
      <c r="JZ297" s="31"/>
      <c r="KA297" s="31"/>
      <c r="KB297" s="31"/>
      <c r="KC297" s="31"/>
      <c r="KD297" s="31"/>
      <c r="KE297" s="31"/>
      <c r="KF297" s="31"/>
      <c r="KG297" s="31"/>
      <c r="KH297" s="31"/>
      <c r="KI297" s="31"/>
      <c r="KJ297" s="31"/>
      <c r="KK297" s="31"/>
      <c r="KL297" s="31"/>
      <c r="KM297" s="31"/>
      <c r="KN297" s="31"/>
      <c r="KO297" s="31"/>
      <c r="KP297" s="31"/>
      <c r="KQ297" s="31"/>
      <c r="KR297" s="31"/>
      <c r="KS297" s="31"/>
      <c r="KT297" s="31"/>
      <c r="KU297" s="31"/>
      <c r="KV297" s="31"/>
      <c r="KW297" s="31"/>
      <c r="KX297" s="31"/>
      <c r="KY297" s="31"/>
      <c r="KZ297" s="31"/>
      <c r="LA297" s="31"/>
      <c r="LB297" s="31"/>
      <c r="LC297" s="31"/>
      <c r="LD297" s="31"/>
      <c r="LE297" s="31"/>
      <c r="LF297" s="31"/>
      <c r="LG297" s="31"/>
      <c r="LH297" s="31"/>
      <c r="LI297" s="31"/>
      <c r="LJ297" s="31"/>
      <c r="LK297" s="31"/>
      <c r="LL297" s="31"/>
      <c r="LM297" s="31"/>
      <c r="LN297" s="31"/>
      <c r="LO297" s="31"/>
      <c r="LP297" s="31"/>
      <c r="LQ297" s="31"/>
      <c r="LR297" s="31"/>
      <c r="LS297" s="31"/>
      <c r="LT297" s="31"/>
      <c r="LU297" s="31"/>
      <c r="LV297" s="31"/>
      <c r="LW297" s="31"/>
      <c r="LX297" s="31"/>
      <c r="LY297" s="31"/>
      <c r="LZ297" s="31"/>
      <c r="MA297" s="31"/>
      <c r="MB297" s="31"/>
      <c r="MC297" s="31"/>
      <c r="MD297" s="31"/>
      <c r="ME297" s="31"/>
      <c r="MF297" s="31"/>
      <c r="MG297" s="31"/>
      <c r="MH297" s="31"/>
      <c r="MI297" s="31"/>
      <c r="MJ297" s="31"/>
      <c r="MK297" s="31"/>
      <c r="ML297" s="31"/>
      <c r="MM297" s="31"/>
      <c r="MN297" s="31"/>
      <c r="MO297" s="31"/>
      <c r="MP297" s="31"/>
      <c r="MQ297" s="31"/>
      <c r="MR297" s="31"/>
      <c r="MS297" s="31"/>
      <c r="MT297" s="31"/>
      <c r="MU297" s="31"/>
      <c r="MV297" s="31"/>
      <c r="MW297" s="31"/>
      <c r="MX297" s="31"/>
      <c r="MY297" s="31"/>
      <c r="MZ297" s="31"/>
      <c r="NA297" s="31"/>
      <c r="NB297" s="31"/>
      <c r="NC297" s="31"/>
      <c r="ND297" s="31"/>
      <c r="NE297" s="31"/>
      <c r="NF297" s="31"/>
      <c r="NG297" s="31"/>
      <c r="NH297" s="31"/>
      <c r="NI297" s="31"/>
      <c r="NJ297" s="31"/>
      <c r="NK297" s="31"/>
      <c r="NL297" s="31"/>
      <c r="NM297" s="31"/>
      <c r="NN297" s="31"/>
      <c r="NO297" s="31"/>
      <c r="NP297" s="31"/>
      <c r="NQ297" s="31"/>
      <c r="NR297" s="31"/>
      <c r="NS297" s="31"/>
      <c r="NT297" s="31"/>
      <c r="NU297" s="31"/>
      <c r="NV297" s="31"/>
      <c r="NW297" s="31"/>
      <c r="NX297" s="31"/>
      <c r="NY297" s="31"/>
      <c r="NZ297" s="31"/>
      <c r="OA297" s="31"/>
      <c r="OB297" s="31"/>
      <c r="OC297" s="31"/>
      <c r="OD297" s="31"/>
      <c r="OE297" s="31"/>
      <c r="OF297" s="31"/>
      <c r="OG297" s="31"/>
      <c r="OH297" s="31"/>
      <c r="OI297" s="31"/>
      <c r="OJ297" s="31"/>
      <c r="OK297" s="31"/>
      <c r="OL297" s="31"/>
      <c r="OM297" s="31"/>
      <c r="ON297" s="31"/>
      <c r="OO297" s="31"/>
      <c r="OP297" s="31"/>
      <c r="OQ297" s="31"/>
      <c r="OR297" s="31"/>
      <c r="OS297" s="31"/>
      <c r="OT297" s="31"/>
      <c r="OU297" s="31"/>
      <c r="OV297" s="31"/>
      <c r="OW297" s="31"/>
      <c r="OX297" s="31"/>
    </row>
    <row r="298" spans="2:414" s="25" customFormat="1" ht="15.6">
      <c r="B298" s="25" t="s">
        <v>214</v>
      </c>
      <c r="C298" s="27" t="s">
        <v>19</v>
      </c>
      <c r="D298" s="30" t="s">
        <v>434</v>
      </c>
      <c r="G298" s="42">
        <v>500</v>
      </c>
      <c r="H298" s="89">
        <v>26.109000000000002</v>
      </c>
      <c r="I298" s="38">
        <f t="shared" si="96"/>
        <v>13054.5</v>
      </c>
      <c r="K298" s="42">
        <v>500</v>
      </c>
      <c r="L298" s="90">
        <v>26.849599999999999</v>
      </c>
      <c r="M298" s="38">
        <f t="shared" si="97"/>
        <v>13424.8</v>
      </c>
      <c r="O298" s="38">
        <v>80</v>
      </c>
      <c r="P298" s="38">
        <v>26.728300000000001</v>
      </c>
      <c r="Q298" s="38">
        <f t="shared" si="98"/>
        <v>2138.2640000000001</v>
      </c>
      <c r="R298" s="43">
        <f t="shared" si="94"/>
        <v>1080</v>
      </c>
      <c r="S298" s="38">
        <f t="shared" si="99"/>
        <v>28617.563999999998</v>
      </c>
      <c r="T298" s="49">
        <v>328</v>
      </c>
      <c r="U298" s="42">
        <v>26.194800000000001</v>
      </c>
      <c r="V298" s="38">
        <f t="shared" si="107"/>
        <v>8591.894400000001</v>
      </c>
      <c r="W298" s="42">
        <v>87</v>
      </c>
      <c r="X298" s="42">
        <v>26.283100000000001</v>
      </c>
      <c r="Y298" s="42">
        <f t="shared" si="110"/>
        <v>2286.6297</v>
      </c>
      <c r="Z298" s="42">
        <v>85</v>
      </c>
      <c r="AA298" s="42">
        <v>26.298200000000001</v>
      </c>
      <c r="AB298" s="42">
        <f t="shared" si="108"/>
        <v>2235.3470000000002</v>
      </c>
      <c r="AD298" s="42"/>
      <c r="AE298" s="42"/>
      <c r="AF298" s="42">
        <f t="shared" si="109"/>
        <v>0</v>
      </c>
      <c r="AG298" s="42"/>
      <c r="AH298" s="42"/>
      <c r="AI298" s="42"/>
      <c r="AJ298" s="42">
        <f t="shared" si="106"/>
        <v>0</v>
      </c>
      <c r="AL298" s="42"/>
      <c r="AM298" s="42"/>
      <c r="AN298" s="42">
        <f t="shared" si="105"/>
        <v>0</v>
      </c>
      <c r="AO298" s="44"/>
      <c r="AP298" s="42"/>
      <c r="AQ298" s="42"/>
      <c r="AR298" s="42"/>
      <c r="AU298" s="98"/>
      <c r="AV298" s="35">
        <f t="shared" si="91"/>
        <v>0</v>
      </c>
      <c r="AW298" s="104"/>
      <c r="AX298" s="42"/>
      <c r="AY298" s="42"/>
      <c r="AZ298" s="42">
        <f t="shared" si="92"/>
        <v>0</v>
      </c>
      <c r="BA298" s="42"/>
      <c r="BB298" s="42"/>
      <c r="BC298" s="42"/>
      <c r="BD298" s="38">
        <f t="shared" si="100"/>
        <v>0</v>
      </c>
      <c r="BE298" s="42"/>
      <c r="BF298" s="42"/>
      <c r="BG298" s="42"/>
      <c r="BH298" s="38">
        <f t="shared" si="101"/>
        <v>0</v>
      </c>
      <c r="BI298" s="42"/>
      <c r="BJ298" s="42"/>
      <c r="BK298" s="42"/>
      <c r="BL298" s="38">
        <f t="shared" si="102"/>
        <v>0</v>
      </c>
      <c r="BM298" s="42"/>
      <c r="BN298" s="42"/>
      <c r="BO298" s="42"/>
      <c r="BP298" s="42"/>
      <c r="BR298" s="42">
        <f t="shared" si="103"/>
        <v>13113.8711</v>
      </c>
      <c r="BS298" s="43">
        <f t="shared" si="104"/>
        <v>15503.692899999998</v>
      </c>
      <c r="BT298" s="42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  <c r="FM298" s="31"/>
      <c r="FN298" s="31"/>
      <c r="FO298" s="31"/>
      <c r="FP298" s="31"/>
      <c r="FQ298" s="31"/>
      <c r="FR298" s="31"/>
      <c r="FS298" s="31"/>
      <c r="FT298" s="31"/>
      <c r="FU298" s="31"/>
      <c r="FV298" s="31"/>
      <c r="FW298" s="31"/>
      <c r="FX298" s="31"/>
      <c r="FY298" s="31"/>
      <c r="FZ298" s="31"/>
      <c r="GA298" s="31"/>
      <c r="GB298" s="31"/>
      <c r="GC298" s="31"/>
      <c r="GD298" s="31"/>
      <c r="GE298" s="31"/>
      <c r="GF298" s="31"/>
      <c r="GG298" s="31"/>
      <c r="GH298" s="31"/>
      <c r="GI298" s="31"/>
      <c r="GJ298" s="31"/>
      <c r="GK298" s="31"/>
      <c r="GL298" s="31"/>
      <c r="GM298" s="31"/>
      <c r="GN298" s="31"/>
      <c r="GO298" s="31"/>
      <c r="GP298" s="31"/>
      <c r="GQ298" s="31"/>
      <c r="GR298" s="31"/>
      <c r="GS298" s="31"/>
      <c r="GT298" s="31"/>
      <c r="GU298" s="31"/>
      <c r="GV298" s="31"/>
      <c r="GW298" s="31"/>
      <c r="GX298" s="31"/>
      <c r="GY298" s="31"/>
      <c r="GZ298" s="31"/>
      <c r="HA298" s="31"/>
      <c r="HB298" s="31"/>
      <c r="HC298" s="31"/>
      <c r="HD298" s="31"/>
      <c r="HE298" s="31"/>
      <c r="HF298" s="31"/>
      <c r="HG298" s="31"/>
      <c r="HH298" s="31"/>
      <c r="HI298" s="31"/>
      <c r="HJ298" s="31"/>
      <c r="HK298" s="31"/>
      <c r="HL298" s="31"/>
      <c r="HM298" s="31"/>
      <c r="HN298" s="31"/>
      <c r="HO298" s="31"/>
      <c r="HP298" s="31"/>
      <c r="HQ298" s="31"/>
      <c r="HR298" s="31"/>
      <c r="HS298" s="31"/>
      <c r="HT298" s="31"/>
      <c r="HU298" s="31"/>
      <c r="HV298" s="31"/>
      <c r="HW298" s="31"/>
      <c r="HX298" s="31"/>
      <c r="HY298" s="31"/>
      <c r="HZ298" s="31"/>
      <c r="IA298" s="31"/>
      <c r="IB298" s="31"/>
      <c r="IC298" s="31"/>
      <c r="ID298" s="31"/>
      <c r="IE298" s="31"/>
      <c r="IF298" s="31"/>
      <c r="IG298" s="31"/>
      <c r="IH298" s="31"/>
      <c r="II298" s="31"/>
      <c r="IJ298" s="31"/>
      <c r="IK298" s="31"/>
      <c r="IL298" s="31"/>
      <c r="IM298" s="31"/>
      <c r="IN298" s="31"/>
      <c r="IO298" s="31"/>
      <c r="IP298" s="31"/>
      <c r="IQ298" s="31"/>
      <c r="IR298" s="31"/>
      <c r="IS298" s="31"/>
      <c r="IT298" s="31"/>
      <c r="IU298" s="31"/>
      <c r="IV298" s="31"/>
      <c r="IW298" s="31"/>
      <c r="IX298" s="31"/>
      <c r="IY298" s="31"/>
      <c r="IZ298" s="31"/>
      <c r="JA298" s="31"/>
      <c r="JB298" s="31"/>
      <c r="JC298" s="31"/>
      <c r="JD298" s="31"/>
      <c r="JE298" s="31"/>
      <c r="JF298" s="31"/>
      <c r="JG298" s="31"/>
      <c r="JH298" s="31"/>
      <c r="JI298" s="31"/>
      <c r="JJ298" s="31"/>
      <c r="JK298" s="31"/>
      <c r="JL298" s="31"/>
      <c r="JM298" s="31"/>
      <c r="JN298" s="31"/>
      <c r="JO298" s="31"/>
      <c r="JP298" s="31"/>
      <c r="JQ298" s="31"/>
      <c r="JR298" s="31"/>
      <c r="JS298" s="31"/>
      <c r="JT298" s="31"/>
      <c r="JU298" s="31"/>
      <c r="JV298" s="31"/>
      <c r="JW298" s="31"/>
      <c r="JX298" s="31"/>
      <c r="JY298" s="31"/>
      <c r="JZ298" s="31"/>
      <c r="KA298" s="31"/>
      <c r="KB298" s="31"/>
      <c r="KC298" s="31"/>
      <c r="KD298" s="31"/>
      <c r="KE298" s="31"/>
      <c r="KF298" s="31"/>
      <c r="KG298" s="31"/>
      <c r="KH298" s="31"/>
      <c r="KI298" s="31"/>
      <c r="KJ298" s="31"/>
      <c r="KK298" s="31"/>
      <c r="KL298" s="31"/>
      <c r="KM298" s="31"/>
      <c r="KN298" s="31"/>
      <c r="KO298" s="31"/>
      <c r="KP298" s="31"/>
      <c r="KQ298" s="31"/>
      <c r="KR298" s="31"/>
      <c r="KS298" s="31"/>
      <c r="KT298" s="31"/>
      <c r="KU298" s="31"/>
      <c r="KV298" s="31"/>
      <c r="KW298" s="31"/>
      <c r="KX298" s="31"/>
      <c r="KY298" s="31"/>
      <c r="KZ298" s="31"/>
      <c r="LA298" s="31"/>
      <c r="LB298" s="31"/>
      <c r="LC298" s="31"/>
      <c r="LD298" s="31"/>
      <c r="LE298" s="31"/>
      <c r="LF298" s="31"/>
      <c r="LG298" s="31"/>
      <c r="LH298" s="31"/>
      <c r="LI298" s="31"/>
      <c r="LJ298" s="31"/>
      <c r="LK298" s="31"/>
      <c r="LL298" s="31"/>
      <c r="LM298" s="31"/>
      <c r="LN298" s="31"/>
      <c r="LO298" s="31"/>
      <c r="LP298" s="31"/>
      <c r="LQ298" s="31"/>
      <c r="LR298" s="31"/>
      <c r="LS298" s="31"/>
      <c r="LT298" s="31"/>
      <c r="LU298" s="31"/>
      <c r="LV298" s="31"/>
      <c r="LW298" s="31"/>
      <c r="LX298" s="31"/>
      <c r="LY298" s="31"/>
      <c r="LZ298" s="31"/>
      <c r="MA298" s="31"/>
      <c r="MB298" s="31"/>
      <c r="MC298" s="31"/>
      <c r="MD298" s="31"/>
      <c r="ME298" s="31"/>
      <c r="MF298" s="31"/>
      <c r="MG298" s="31"/>
      <c r="MH298" s="31"/>
      <c r="MI298" s="31"/>
      <c r="MJ298" s="31"/>
      <c r="MK298" s="31"/>
      <c r="ML298" s="31"/>
      <c r="MM298" s="31"/>
      <c r="MN298" s="31"/>
      <c r="MO298" s="31"/>
      <c r="MP298" s="31"/>
      <c r="MQ298" s="31"/>
      <c r="MR298" s="31"/>
      <c r="MS298" s="31"/>
      <c r="MT298" s="31"/>
      <c r="MU298" s="31"/>
      <c r="MV298" s="31"/>
      <c r="MW298" s="31"/>
      <c r="MX298" s="31"/>
      <c r="MY298" s="31"/>
      <c r="MZ298" s="31"/>
      <c r="NA298" s="31"/>
      <c r="NB298" s="31"/>
      <c r="NC298" s="31"/>
      <c r="ND298" s="31"/>
      <c r="NE298" s="31"/>
      <c r="NF298" s="31"/>
      <c r="NG298" s="31"/>
      <c r="NH298" s="31"/>
      <c r="NI298" s="31"/>
      <c r="NJ298" s="31"/>
      <c r="NK298" s="31"/>
      <c r="NL298" s="31"/>
      <c r="NM298" s="31"/>
      <c r="NN298" s="31"/>
      <c r="NO298" s="31"/>
      <c r="NP298" s="31"/>
      <c r="NQ298" s="31"/>
      <c r="NR298" s="31"/>
      <c r="NS298" s="31"/>
      <c r="NT298" s="31"/>
      <c r="NU298" s="31"/>
      <c r="NV298" s="31"/>
      <c r="NW298" s="31"/>
      <c r="NX298" s="31"/>
      <c r="NY298" s="31"/>
      <c r="NZ298" s="31"/>
      <c r="OA298" s="31"/>
      <c r="OB298" s="31"/>
      <c r="OC298" s="31"/>
      <c r="OD298" s="31"/>
      <c r="OE298" s="31"/>
      <c r="OF298" s="31"/>
      <c r="OG298" s="31"/>
      <c r="OH298" s="31"/>
      <c r="OI298" s="31"/>
      <c r="OJ298" s="31"/>
      <c r="OK298" s="31"/>
      <c r="OL298" s="31"/>
      <c r="OM298" s="31"/>
      <c r="ON298" s="31"/>
      <c r="OO298" s="31"/>
      <c r="OP298" s="31"/>
      <c r="OQ298" s="31"/>
      <c r="OR298" s="31"/>
      <c r="OS298" s="31"/>
      <c r="OT298" s="31"/>
      <c r="OU298" s="31"/>
      <c r="OV298" s="31"/>
      <c r="OW298" s="31"/>
      <c r="OX298" s="31"/>
    </row>
    <row r="299" spans="2:414" s="25" customFormat="1" ht="15.6">
      <c r="B299" s="25" t="s">
        <v>454</v>
      </c>
      <c r="C299" s="27" t="s">
        <v>455</v>
      </c>
      <c r="D299" s="30" t="s">
        <v>434</v>
      </c>
      <c r="G299" s="42">
        <v>500</v>
      </c>
      <c r="H299" s="89">
        <v>26.109000000000002</v>
      </c>
      <c r="I299" s="38">
        <f t="shared" si="96"/>
        <v>13054.5</v>
      </c>
      <c r="K299" s="42">
        <v>500</v>
      </c>
      <c r="L299" s="90">
        <v>26.849599999999999</v>
      </c>
      <c r="M299" s="38">
        <f t="shared" si="97"/>
        <v>13424.8</v>
      </c>
      <c r="O299" s="38">
        <v>80</v>
      </c>
      <c r="P299" s="38">
        <v>26.728300000000001</v>
      </c>
      <c r="Q299" s="38">
        <f t="shared" si="98"/>
        <v>2138.2640000000001</v>
      </c>
      <c r="R299" s="43">
        <f t="shared" si="94"/>
        <v>1080</v>
      </c>
      <c r="S299" s="38">
        <f t="shared" si="99"/>
        <v>28617.563999999998</v>
      </c>
      <c r="T299" s="49">
        <v>85</v>
      </c>
      <c r="U299" s="42">
        <v>26.298200000000001</v>
      </c>
      <c r="V299" s="38">
        <f t="shared" si="107"/>
        <v>2235.3470000000002</v>
      </c>
      <c r="W299" s="42"/>
      <c r="X299" s="42"/>
      <c r="Y299" s="42">
        <f t="shared" si="110"/>
        <v>0</v>
      </c>
      <c r="Z299" s="42"/>
      <c r="AA299" s="42"/>
      <c r="AB299" s="42">
        <f t="shared" si="108"/>
        <v>0</v>
      </c>
      <c r="AD299" s="42"/>
      <c r="AE299" s="42"/>
      <c r="AF299" s="42">
        <f t="shared" si="109"/>
        <v>0</v>
      </c>
      <c r="AG299" s="42"/>
      <c r="AH299" s="42"/>
      <c r="AI299" s="42"/>
      <c r="AJ299" s="42">
        <f t="shared" si="106"/>
        <v>0</v>
      </c>
      <c r="AL299" s="42"/>
      <c r="AM299" s="42"/>
      <c r="AN299" s="42">
        <f t="shared" si="105"/>
        <v>0</v>
      </c>
      <c r="AO299" s="44"/>
      <c r="AP299" s="42"/>
      <c r="AQ299" s="42"/>
      <c r="AR299" s="42"/>
      <c r="AU299" s="98"/>
      <c r="AV299" s="35">
        <f t="shared" si="91"/>
        <v>0</v>
      </c>
      <c r="AW299" s="104"/>
      <c r="AX299" s="42"/>
      <c r="AY299" s="42"/>
      <c r="AZ299" s="42">
        <f t="shared" si="92"/>
        <v>0</v>
      </c>
      <c r="BA299" s="42"/>
      <c r="BB299" s="42"/>
      <c r="BC299" s="42"/>
      <c r="BD299" s="38">
        <f t="shared" si="100"/>
        <v>0</v>
      </c>
      <c r="BE299" s="42"/>
      <c r="BF299" s="42"/>
      <c r="BG299" s="42"/>
      <c r="BH299" s="38">
        <f t="shared" si="101"/>
        <v>0</v>
      </c>
      <c r="BI299" s="42"/>
      <c r="BJ299" s="42"/>
      <c r="BK299" s="42"/>
      <c r="BL299" s="38">
        <f t="shared" si="102"/>
        <v>0</v>
      </c>
      <c r="BM299" s="42"/>
      <c r="BN299" s="42"/>
      <c r="BO299" s="42"/>
      <c r="BP299" s="42"/>
      <c r="BR299" s="42">
        <f t="shared" si="103"/>
        <v>2235.3470000000002</v>
      </c>
      <c r="BS299" s="43">
        <f t="shared" si="104"/>
        <v>26382.216999999997</v>
      </c>
      <c r="BT299" s="42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  <c r="FM299" s="31"/>
      <c r="FN299" s="31"/>
      <c r="FO299" s="31"/>
      <c r="FP299" s="31"/>
      <c r="FQ299" s="31"/>
      <c r="FR299" s="31"/>
      <c r="FS299" s="31"/>
      <c r="FT299" s="31"/>
      <c r="FU299" s="31"/>
      <c r="FV299" s="31"/>
      <c r="FW299" s="31"/>
      <c r="FX299" s="31"/>
      <c r="FY299" s="31"/>
      <c r="FZ299" s="31"/>
      <c r="GA299" s="31"/>
      <c r="GB299" s="31"/>
      <c r="GC299" s="31"/>
      <c r="GD299" s="31"/>
      <c r="GE299" s="31"/>
      <c r="GF299" s="31"/>
      <c r="GG299" s="31"/>
      <c r="GH299" s="31"/>
      <c r="GI299" s="31"/>
      <c r="GJ299" s="31"/>
      <c r="GK299" s="31"/>
      <c r="GL299" s="31"/>
      <c r="GM299" s="31"/>
      <c r="GN299" s="31"/>
      <c r="GO299" s="31"/>
      <c r="GP299" s="31"/>
      <c r="GQ299" s="31"/>
      <c r="GR299" s="31"/>
      <c r="GS299" s="31"/>
      <c r="GT299" s="31"/>
      <c r="GU299" s="31"/>
      <c r="GV299" s="31"/>
      <c r="GW299" s="31"/>
      <c r="GX299" s="31"/>
      <c r="GY299" s="31"/>
      <c r="GZ299" s="31"/>
      <c r="HA299" s="31"/>
      <c r="HB299" s="31"/>
      <c r="HC299" s="31"/>
      <c r="HD299" s="31"/>
      <c r="HE299" s="31"/>
      <c r="HF299" s="31"/>
      <c r="HG299" s="31"/>
      <c r="HH299" s="31"/>
      <c r="HI299" s="31"/>
      <c r="HJ299" s="31"/>
      <c r="HK299" s="31"/>
      <c r="HL299" s="31"/>
      <c r="HM299" s="31"/>
      <c r="HN299" s="31"/>
      <c r="HO299" s="31"/>
      <c r="HP299" s="31"/>
      <c r="HQ299" s="31"/>
      <c r="HR299" s="31"/>
      <c r="HS299" s="31"/>
      <c r="HT299" s="31"/>
      <c r="HU299" s="31"/>
      <c r="HV299" s="31"/>
      <c r="HW299" s="31"/>
      <c r="HX299" s="31"/>
      <c r="HY299" s="31"/>
      <c r="HZ299" s="31"/>
      <c r="IA299" s="31"/>
      <c r="IB299" s="31"/>
      <c r="IC299" s="31"/>
      <c r="ID299" s="31"/>
      <c r="IE299" s="31"/>
      <c r="IF299" s="31"/>
      <c r="IG299" s="31"/>
      <c r="IH299" s="31"/>
      <c r="II299" s="31"/>
      <c r="IJ299" s="31"/>
      <c r="IK299" s="31"/>
      <c r="IL299" s="31"/>
      <c r="IM299" s="31"/>
      <c r="IN299" s="31"/>
      <c r="IO299" s="31"/>
      <c r="IP299" s="31"/>
      <c r="IQ299" s="31"/>
      <c r="IR299" s="31"/>
      <c r="IS299" s="31"/>
      <c r="IT299" s="31"/>
      <c r="IU299" s="31"/>
      <c r="IV299" s="31"/>
      <c r="IW299" s="31"/>
      <c r="IX299" s="31"/>
      <c r="IY299" s="31"/>
      <c r="IZ299" s="31"/>
      <c r="JA299" s="31"/>
      <c r="JB299" s="31"/>
      <c r="JC299" s="31"/>
      <c r="JD299" s="31"/>
      <c r="JE299" s="31"/>
      <c r="JF299" s="31"/>
      <c r="JG299" s="31"/>
      <c r="JH299" s="31"/>
      <c r="JI299" s="31"/>
      <c r="JJ299" s="31"/>
      <c r="JK299" s="31"/>
      <c r="JL299" s="31"/>
      <c r="JM299" s="31"/>
      <c r="JN299" s="31"/>
      <c r="JO299" s="31"/>
      <c r="JP299" s="31"/>
      <c r="JQ299" s="31"/>
      <c r="JR299" s="31"/>
      <c r="JS299" s="31"/>
      <c r="JT299" s="31"/>
      <c r="JU299" s="31"/>
      <c r="JV299" s="31"/>
      <c r="JW299" s="31"/>
      <c r="JX299" s="31"/>
      <c r="JY299" s="31"/>
      <c r="JZ299" s="31"/>
      <c r="KA299" s="31"/>
      <c r="KB299" s="31"/>
      <c r="KC299" s="31"/>
      <c r="KD299" s="31"/>
      <c r="KE299" s="31"/>
      <c r="KF299" s="31"/>
      <c r="KG299" s="31"/>
      <c r="KH299" s="31"/>
      <c r="KI299" s="31"/>
      <c r="KJ299" s="31"/>
      <c r="KK299" s="31"/>
      <c r="KL299" s="31"/>
      <c r="KM299" s="31"/>
      <c r="KN299" s="31"/>
      <c r="KO299" s="31"/>
      <c r="KP299" s="31"/>
      <c r="KQ299" s="31"/>
      <c r="KR299" s="31"/>
      <c r="KS299" s="31"/>
      <c r="KT299" s="31"/>
      <c r="KU299" s="31"/>
      <c r="KV299" s="31"/>
      <c r="KW299" s="31"/>
      <c r="KX299" s="31"/>
      <c r="KY299" s="31"/>
      <c r="KZ299" s="31"/>
      <c r="LA299" s="31"/>
      <c r="LB299" s="31"/>
      <c r="LC299" s="31"/>
      <c r="LD299" s="31"/>
      <c r="LE299" s="31"/>
      <c r="LF299" s="31"/>
      <c r="LG299" s="31"/>
      <c r="LH299" s="31"/>
      <c r="LI299" s="31"/>
      <c r="LJ299" s="31"/>
      <c r="LK299" s="31"/>
      <c r="LL299" s="31"/>
      <c r="LM299" s="31"/>
      <c r="LN299" s="31"/>
      <c r="LO299" s="31"/>
      <c r="LP299" s="31"/>
      <c r="LQ299" s="31"/>
      <c r="LR299" s="31"/>
      <c r="LS299" s="31"/>
      <c r="LT299" s="31"/>
      <c r="LU299" s="31"/>
      <c r="LV299" s="31"/>
      <c r="LW299" s="31"/>
      <c r="LX299" s="31"/>
      <c r="LY299" s="31"/>
      <c r="LZ299" s="31"/>
      <c r="MA299" s="31"/>
      <c r="MB299" s="31"/>
      <c r="MC299" s="31"/>
      <c r="MD299" s="31"/>
      <c r="ME299" s="31"/>
      <c r="MF299" s="31"/>
      <c r="MG299" s="31"/>
      <c r="MH299" s="31"/>
      <c r="MI299" s="31"/>
      <c r="MJ299" s="31"/>
      <c r="MK299" s="31"/>
      <c r="ML299" s="31"/>
      <c r="MM299" s="31"/>
      <c r="MN299" s="31"/>
      <c r="MO299" s="31"/>
      <c r="MP299" s="31"/>
      <c r="MQ299" s="31"/>
      <c r="MR299" s="31"/>
      <c r="MS299" s="31"/>
      <c r="MT299" s="31"/>
      <c r="MU299" s="31"/>
      <c r="MV299" s="31"/>
      <c r="MW299" s="31"/>
      <c r="MX299" s="31"/>
      <c r="MY299" s="31"/>
      <c r="MZ299" s="31"/>
      <c r="NA299" s="31"/>
      <c r="NB299" s="31"/>
      <c r="NC299" s="31"/>
      <c r="ND299" s="31"/>
      <c r="NE299" s="31"/>
      <c r="NF299" s="31"/>
      <c r="NG299" s="31"/>
      <c r="NH299" s="31"/>
      <c r="NI299" s="31"/>
      <c r="NJ299" s="31"/>
      <c r="NK299" s="31"/>
      <c r="NL299" s="31"/>
      <c r="NM299" s="31"/>
      <c r="NN299" s="31"/>
      <c r="NO299" s="31"/>
      <c r="NP299" s="31"/>
      <c r="NQ299" s="31"/>
      <c r="NR299" s="31"/>
      <c r="NS299" s="31"/>
      <c r="NT299" s="31"/>
      <c r="NU299" s="31"/>
      <c r="NV299" s="31"/>
      <c r="NW299" s="31"/>
      <c r="NX299" s="31"/>
      <c r="NY299" s="31"/>
      <c r="NZ299" s="31"/>
      <c r="OA299" s="31"/>
      <c r="OB299" s="31"/>
      <c r="OC299" s="31"/>
      <c r="OD299" s="31"/>
      <c r="OE299" s="31"/>
      <c r="OF299" s="31"/>
      <c r="OG299" s="31"/>
      <c r="OH299" s="31"/>
      <c r="OI299" s="31"/>
      <c r="OJ299" s="31"/>
      <c r="OK299" s="31"/>
      <c r="OL299" s="31"/>
      <c r="OM299" s="31"/>
      <c r="ON299" s="31"/>
      <c r="OO299" s="31"/>
      <c r="OP299" s="31"/>
      <c r="OQ299" s="31"/>
      <c r="OR299" s="31"/>
      <c r="OS299" s="31"/>
      <c r="OT299" s="31"/>
      <c r="OU299" s="31"/>
      <c r="OV299" s="31"/>
      <c r="OW299" s="31"/>
      <c r="OX299" s="31"/>
    </row>
    <row r="300" spans="2:414" s="25" customFormat="1" ht="15.6">
      <c r="B300" s="25" t="s">
        <v>456</v>
      </c>
      <c r="C300" s="27" t="s">
        <v>457</v>
      </c>
      <c r="D300" s="30" t="s">
        <v>434</v>
      </c>
      <c r="G300" s="42">
        <v>500</v>
      </c>
      <c r="H300" s="89">
        <v>26.109000000000002</v>
      </c>
      <c r="I300" s="38">
        <f t="shared" si="96"/>
        <v>13054.5</v>
      </c>
      <c r="K300" s="42">
        <v>500</v>
      </c>
      <c r="L300" s="90">
        <v>26.849599999999999</v>
      </c>
      <c r="M300" s="38">
        <f t="shared" si="97"/>
        <v>13424.8</v>
      </c>
      <c r="O300" s="38">
        <v>80</v>
      </c>
      <c r="P300" s="38">
        <v>26.728300000000001</v>
      </c>
      <c r="Q300" s="38">
        <f t="shared" si="98"/>
        <v>2138.2640000000001</v>
      </c>
      <c r="R300" s="43">
        <f t="shared" si="94"/>
        <v>1080</v>
      </c>
      <c r="S300" s="38">
        <f t="shared" si="99"/>
        <v>28617.563999999998</v>
      </c>
      <c r="T300" s="49">
        <v>250</v>
      </c>
      <c r="U300" s="42">
        <v>26.3813</v>
      </c>
      <c r="V300" s="38">
        <f t="shared" si="107"/>
        <v>6595.3249999999998</v>
      </c>
      <c r="W300" s="42">
        <v>165</v>
      </c>
      <c r="X300" s="42">
        <v>26.389500000000002</v>
      </c>
      <c r="Y300" s="42">
        <f t="shared" si="110"/>
        <v>4354.2674999999999</v>
      </c>
      <c r="Z300" s="42">
        <v>85</v>
      </c>
      <c r="AA300" s="42">
        <v>26.2895</v>
      </c>
      <c r="AB300" s="42">
        <f t="shared" si="108"/>
        <v>2234.6075000000001</v>
      </c>
      <c r="AD300" s="42">
        <v>200</v>
      </c>
      <c r="AE300" s="42">
        <v>26.8307</v>
      </c>
      <c r="AF300" s="42">
        <f t="shared" si="109"/>
        <v>5366.14</v>
      </c>
      <c r="AG300" s="42"/>
      <c r="AH300" s="42">
        <v>300</v>
      </c>
      <c r="AI300" s="42">
        <v>26.861899999999999</v>
      </c>
      <c r="AJ300" s="42">
        <f t="shared" si="106"/>
        <v>8058.57</v>
      </c>
      <c r="AL300" s="42"/>
      <c r="AM300" s="42"/>
      <c r="AN300" s="42">
        <f t="shared" si="105"/>
        <v>0</v>
      </c>
      <c r="AO300" s="44"/>
      <c r="AP300" s="42"/>
      <c r="AQ300" s="42"/>
      <c r="AR300" s="42"/>
      <c r="AU300" s="98"/>
      <c r="AV300" s="35">
        <f t="shared" si="91"/>
        <v>0</v>
      </c>
      <c r="AW300" s="104"/>
      <c r="AX300" s="42"/>
      <c r="AY300" s="42"/>
      <c r="AZ300" s="42">
        <f t="shared" si="92"/>
        <v>0</v>
      </c>
      <c r="BA300" s="42"/>
      <c r="BB300" s="42"/>
      <c r="BC300" s="42"/>
      <c r="BD300" s="38">
        <f t="shared" si="100"/>
        <v>0</v>
      </c>
      <c r="BE300" s="42"/>
      <c r="BF300" s="42"/>
      <c r="BG300" s="42"/>
      <c r="BH300" s="38">
        <f t="shared" si="101"/>
        <v>0</v>
      </c>
      <c r="BI300" s="42"/>
      <c r="BJ300" s="42"/>
      <c r="BK300" s="42"/>
      <c r="BL300" s="38">
        <f t="shared" si="102"/>
        <v>0</v>
      </c>
      <c r="BM300" s="42"/>
      <c r="BN300" s="42"/>
      <c r="BO300" s="42"/>
      <c r="BP300" s="42"/>
      <c r="BR300" s="42">
        <f t="shared" si="103"/>
        <v>26608.91</v>
      </c>
      <c r="BS300" s="43">
        <f t="shared" si="104"/>
        <v>2008.6539999999986</v>
      </c>
      <c r="BT300" s="42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  <c r="FM300" s="31"/>
      <c r="FN300" s="31"/>
      <c r="FO300" s="31"/>
      <c r="FP300" s="31"/>
      <c r="FQ300" s="31"/>
      <c r="FR300" s="31"/>
      <c r="FS300" s="31"/>
      <c r="FT300" s="31"/>
      <c r="FU300" s="31"/>
      <c r="FV300" s="31"/>
      <c r="FW300" s="31"/>
      <c r="FX300" s="31"/>
      <c r="FY300" s="31"/>
      <c r="FZ300" s="31"/>
      <c r="GA300" s="31"/>
      <c r="GB300" s="31"/>
      <c r="GC300" s="31"/>
      <c r="GD300" s="31"/>
      <c r="GE300" s="31"/>
      <c r="GF300" s="31"/>
      <c r="GG300" s="31"/>
      <c r="GH300" s="31"/>
      <c r="GI300" s="31"/>
      <c r="GJ300" s="31"/>
      <c r="GK300" s="31"/>
      <c r="GL300" s="31"/>
      <c r="GM300" s="31"/>
      <c r="GN300" s="31"/>
      <c r="GO300" s="31"/>
      <c r="GP300" s="31"/>
      <c r="GQ300" s="31"/>
      <c r="GR300" s="31"/>
      <c r="GS300" s="31"/>
      <c r="GT300" s="31"/>
      <c r="GU300" s="31"/>
      <c r="GV300" s="31"/>
      <c r="GW300" s="31"/>
      <c r="GX300" s="31"/>
      <c r="GY300" s="31"/>
      <c r="GZ300" s="31"/>
      <c r="HA300" s="31"/>
      <c r="HB300" s="31"/>
      <c r="HC300" s="31"/>
      <c r="HD300" s="31"/>
      <c r="HE300" s="31"/>
      <c r="HF300" s="31"/>
      <c r="HG300" s="31"/>
      <c r="HH300" s="31"/>
      <c r="HI300" s="31"/>
      <c r="HJ300" s="31"/>
      <c r="HK300" s="31"/>
      <c r="HL300" s="31"/>
      <c r="HM300" s="31"/>
      <c r="HN300" s="31"/>
      <c r="HO300" s="31"/>
      <c r="HP300" s="31"/>
      <c r="HQ300" s="31"/>
      <c r="HR300" s="31"/>
      <c r="HS300" s="31"/>
      <c r="HT300" s="31"/>
      <c r="HU300" s="31"/>
      <c r="HV300" s="31"/>
      <c r="HW300" s="31"/>
      <c r="HX300" s="31"/>
      <c r="HY300" s="31"/>
      <c r="HZ300" s="31"/>
      <c r="IA300" s="31"/>
      <c r="IB300" s="31"/>
      <c r="IC300" s="31"/>
      <c r="ID300" s="31"/>
      <c r="IE300" s="31"/>
      <c r="IF300" s="31"/>
      <c r="IG300" s="31"/>
      <c r="IH300" s="31"/>
      <c r="II300" s="31"/>
      <c r="IJ300" s="31"/>
      <c r="IK300" s="31"/>
      <c r="IL300" s="31"/>
      <c r="IM300" s="31"/>
      <c r="IN300" s="31"/>
      <c r="IO300" s="31"/>
      <c r="IP300" s="31"/>
      <c r="IQ300" s="31"/>
      <c r="IR300" s="31"/>
      <c r="IS300" s="31"/>
      <c r="IT300" s="31"/>
      <c r="IU300" s="31"/>
      <c r="IV300" s="31"/>
      <c r="IW300" s="31"/>
      <c r="IX300" s="31"/>
      <c r="IY300" s="31"/>
      <c r="IZ300" s="31"/>
      <c r="JA300" s="31"/>
      <c r="JB300" s="31"/>
      <c r="JC300" s="31"/>
      <c r="JD300" s="31"/>
      <c r="JE300" s="31"/>
      <c r="JF300" s="31"/>
      <c r="JG300" s="31"/>
      <c r="JH300" s="31"/>
      <c r="JI300" s="31"/>
      <c r="JJ300" s="31"/>
      <c r="JK300" s="31"/>
      <c r="JL300" s="31"/>
      <c r="JM300" s="31"/>
      <c r="JN300" s="31"/>
      <c r="JO300" s="31"/>
      <c r="JP300" s="31"/>
      <c r="JQ300" s="31"/>
      <c r="JR300" s="31"/>
      <c r="JS300" s="31"/>
      <c r="JT300" s="31"/>
      <c r="JU300" s="31"/>
      <c r="JV300" s="31"/>
      <c r="JW300" s="31"/>
      <c r="JX300" s="31"/>
      <c r="JY300" s="31"/>
      <c r="JZ300" s="31"/>
      <c r="KA300" s="31"/>
      <c r="KB300" s="31"/>
      <c r="KC300" s="31"/>
      <c r="KD300" s="31"/>
      <c r="KE300" s="31"/>
      <c r="KF300" s="31"/>
      <c r="KG300" s="31"/>
      <c r="KH300" s="31"/>
      <c r="KI300" s="31"/>
      <c r="KJ300" s="31"/>
      <c r="KK300" s="31"/>
      <c r="KL300" s="31"/>
      <c r="KM300" s="31"/>
      <c r="KN300" s="31"/>
      <c r="KO300" s="31"/>
      <c r="KP300" s="31"/>
      <c r="KQ300" s="31"/>
      <c r="KR300" s="31"/>
      <c r="KS300" s="31"/>
      <c r="KT300" s="31"/>
      <c r="KU300" s="31"/>
      <c r="KV300" s="31"/>
      <c r="KW300" s="31"/>
      <c r="KX300" s="31"/>
      <c r="KY300" s="31"/>
      <c r="KZ300" s="31"/>
      <c r="LA300" s="31"/>
      <c r="LB300" s="31"/>
      <c r="LC300" s="31"/>
      <c r="LD300" s="31"/>
      <c r="LE300" s="31"/>
      <c r="LF300" s="31"/>
      <c r="LG300" s="31"/>
      <c r="LH300" s="31"/>
      <c r="LI300" s="31"/>
      <c r="LJ300" s="31"/>
      <c r="LK300" s="31"/>
      <c r="LL300" s="31"/>
      <c r="LM300" s="31"/>
      <c r="LN300" s="31"/>
      <c r="LO300" s="31"/>
      <c r="LP300" s="31"/>
      <c r="LQ300" s="31"/>
      <c r="LR300" s="31"/>
      <c r="LS300" s="31"/>
      <c r="LT300" s="31"/>
      <c r="LU300" s="31"/>
      <c r="LV300" s="31"/>
      <c r="LW300" s="31"/>
      <c r="LX300" s="31"/>
      <c r="LY300" s="31"/>
      <c r="LZ300" s="31"/>
      <c r="MA300" s="31"/>
      <c r="MB300" s="31"/>
      <c r="MC300" s="31"/>
      <c r="MD300" s="31"/>
      <c r="ME300" s="31"/>
      <c r="MF300" s="31"/>
      <c r="MG300" s="31"/>
      <c r="MH300" s="31"/>
      <c r="MI300" s="31"/>
      <c r="MJ300" s="31"/>
      <c r="MK300" s="31"/>
      <c r="ML300" s="31"/>
      <c r="MM300" s="31"/>
      <c r="MN300" s="31"/>
      <c r="MO300" s="31"/>
      <c r="MP300" s="31"/>
      <c r="MQ300" s="31"/>
      <c r="MR300" s="31"/>
      <c r="MS300" s="31"/>
      <c r="MT300" s="31"/>
      <c r="MU300" s="31"/>
      <c r="MV300" s="31"/>
      <c r="MW300" s="31"/>
      <c r="MX300" s="31"/>
      <c r="MY300" s="31"/>
      <c r="MZ300" s="31"/>
      <c r="NA300" s="31"/>
      <c r="NB300" s="31"/>
      <c r="NC300" s="31"/>
      <c r="ND300" s="31"/>
      <c r="NE300" s="31"/>
      <c r="NF300" s="31"/>
      <c r="NG300" s="31"/>
      <c r="NH300" s="31"/>
      <c r="NI300" s="31"/>
      <c r="NJ300" s="31"/>
      <c r="NK300" s="31"/>
      <c r="NL300" s="31"/>
      <c r="NM300" s="31"/>
      <c r="NN300" s="31"/>
      <c r="NO300" s="31"/>
      <c r="NP300" s="31"/>
      <c r="NQ300" s="31"/>
      <c r="NR300" s="31"/>
      <c r="NS300" s="31"/>
      <c r="NT300" s="31"/>
      <c r="NU300" s="31"/>
      <c r="NV300" s="31"/>
      <c r="NW300" s="31"/>
      <c r="NX300" s="31"/>
      <c r="NY300" s="31"/>
      <c r="NZ300" s="31"/>
      <c r="OA300" s="31"/>
      <c r="OB300" s="31"/>
      <c r="OC300" s="31"/>
      <c r="OD300" s="31"/>
      <c r="OE300" s="31"/>
      <c r="OF300" s="31"/>
      <c r="OG300" s="31"/>
      <c r="OH300" s="31"/>
      <c r="OI300" s="31"/>
      <c r="OJ300" s="31"/>
      <c r="OK300" s="31"/>
      <c r="OL300" s="31"/>
      <c r="OM300" s="31"/>
      <c r="ON300" s="31"/>
      <c r="OO300" s="31"/>
      <c r="OP300" s="31"/>
      <c r="OQ300" s="31"/>
      <c r="OR300" s="31"/>
      <c r="OS300" s="31"/>
      <c r="OT300" s="31"/>
      <c r="OU300" s="31"/>
      <c r="OV300" s="31"/>
      <c r="OW300" s="31"/>
      <c r="OX300" s="31"/>
    </row>
    <row r="301" spans="2:414" s="25" customFormat="1" ht="15.6">
      <c r="B301" s="25" t="s">
        <v>458</v>
      </c>
      <c r="C301" s="27" t="s">
        <v>253</v>
      </c>
      <c r="D301" s="30" t="s">
        <v>434</v>
      </c>
      <c r="G301" s="42">
        <v>500</v>
      </c>
      <c r="H301" s="89">
        <v>26.109000000000002</v>
      </c>
      <c r="I301" s="38">
        <f t="shared" si="96"/>
        <v>13054.5</v>
      </c>
      <c r="K301" s="42">
        <v>500</v>
      </c>
      <c r="L301" s="90">
        <v>26.849599999999999</v>
      </c>
      <c r="M301" s="38">
        <f t="shared" si="97"/>
        <v>13424.8</v>
      </c>
      <c r="O301" s="38">
        <v>80</v>
      </c>
      <c r="P301" s="38">
        <v>26.728300000000001</v>
      </c>
      <c r="Q301" s="38">
        <f t="shared" si="98"/>
        <v>2138.2640000000001</v>
      </c>
      <c r="R301" s="43">
        <f t="shared" si="94"/>
        <v>1080</v>
      </c>
      <c r="S301" s="38">
        <f t="shared" si="99"/>
        <v>28617.563999999998</v>
      </c>
      <c r="T301" s="49">
        <v>415</v>
      </c>
      <c r="U301" s="42">
        <v>26.3813</v>
      </c>
      <c r="V301" s="38">
        <f t="shared" si="107"/>
        <v>10948.2395</v>
      </c>
      <c r="W301" s="42">
        <v>85</v>
      </c>
      <c r="X301" s="42">
        <v>26.3813</v>
      </c>
      <c r="Y301" s="42">
        <f t="shared" si="110"/>
        <v>2242.4105</v>
      </c>
      <c r="Z301" s="42">
        <v>350</v>
      </c>
      <c r="AA301" s="42">
        <v>26.878599999999999</v>
      </c>
      <c r="AB301" s="42">
        <f t="shared" si="108"/>
        <v>9407.51</v>
      </c>
      <c r="AD301" s="42">
        <v>150</v>
      </c>
      <c r="AE301" s="42">
        <v>26.974900000000002</v>
      </c>
      <c r="AF301" s="42">
        <f t="shared" si="109"/>
        <v>4046.2350000000001</v>
      </c>
      <c r="AG301" s="42"/>
      <c r="AH301" s="42"/>
      <c r="AI301" s="42"/>
      <c r="AJ301" s="42">
        <f t="shared" si="106"/>
        <v>0</v>
      </c>
      <c r="AL301" s="42"/>
      <c r="AM301" s="42"/>
      <c r="AN301" s="42">
        <f t="shared" si="105"/>
        <v>0</v>
      </c>
      <c r="AO301" s="44"/>
      <c r="AP301" s="42"/>
      <c r="AQ301" s="42"/>
      <c r="AR301" s="42"/>
      <c r="AU301" s="98"/>
      <c r="AV301" s="35">
        <f t="shared" si="91"/>
        <v>0</v>
      </c>
      <c r="AW301" s="104"/>
      <c r="AX301" s="42"/>
      <c r="AY301" s="42"/>
      <c r="AZ301" s="42">
        <f t="shared" si="92"/>
        <v>0</v>
      </c>
      <c r="BA301" s="42"/>
      <c r="BB301" s="42"/>
      <c r="BC301" s="42"/>
      <c r="BD301" s="38">
        <f t="shared" si="100"/>
        <v>0</v>
      </c>
      <c r="BE301" s="42"/>
      <c r="BF301" s="42"/>
      <c r="BG301" s="42"/>
      <c r="BH301" s="38">
        <f t="shared" si="101"/>
        <v>0</v>
      </c>
      <c r="BI301" s="42"/>
      <c r="BJ301" s="42"/>
      <c r="BK301" s="42"/>
      <c r="BL301" s="38">
        <f t="shared" si="102"/>
        <v>0</v>
      </c>
      <c r="BM301" s="42"/>
      <c r="BN301" s="42"/>
      <c r="BO301" s="42"/>
      <c r="BP301" s="42"/>
      <c r="BR301" s="42">
        <f t="shared" si="103"/>
        <v>26644.395</v>
      </c>
      <c r="BS301" s="43">
        <f t="shared" si="104"/>
        <v>1973.1689999999981</v>
      </c>
      <c r="BT301" s="42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  <c r="FM301" s="31"/>
      <c r="FN301" s="31"/>
      <c r="FO301" s="31"/>
      <c r="FP301" s="31"/>
      <c r="FQ301" s="31"/>
      <c r="FR301" s="31"/>
      <c r="FS301" s="31"/>
      <c r="FT301" s="31"/>
      <c r="FU301" s="31"/>
      <c r="FV301" s="31"/>
      <c r="FW301" s="31"/>
      <c r="FX301" s="31"/>
      <c r="FY301" s="31"/>
      <c r="FZ301" s="31"/>
      <c r="GA301" s="31"/>
      <c r="GB301" s="31"/>
      <c r="GC301" s="31"/>
      <c r="GD301" s="31"/>
      <c r="GE301" s="31"/>
      <c r="GF301" s="31"/>
      <c r="GG301" s="31"/>
      <c r="GH301" s="31"/>
      <c r="GI301" s="31"/>
      <c r="GJ301" s="31"/>
      <c r="GK301" s="31"/>
      <c r="GL301" s="31"/>
      <c r="GM301" s="31"/>
      <c r="GN301" s="31"/>
      <c r="GO301" s="31"/>
      <c r="GP301" s="31"/>
      <c r="GQ301" s="31"/>
      <c r="GR301" s="31"/>
      <c r="GS301" s="31"/>
      <c r="GT301" s="31"/>
      <c r="GU301" s="31"/>
      <c r="GV301" s="31"/>
      <c r="GW301" s="31"/>
      <c r="GX301" s="31"/>
      <c r="GY301" s="31"/>
      <c r="GZ301" s="31"/>
      <c r="HA301" s="31"/>
      <c r="HB301" s="31"/>
      <c r="HC301" s="31"/>
      <c r="HD301" s="31"/>
      <c r="HE301" s="31"/>
      <c r="HF301" s="31"/>
      <c r="HG301" s="31"/>
      <c r="HH301" s="31"/>
      <c r="HI301" s="31"/>
      <c r="HJ301" s="31"/>
      <c r="HK301" s="31"/>
      <c r="HL301" s="31"/>
      <c r="HM301" s="31"/>
      <c r="HN301" s="31"/>
      <c r="HO301" s="31"/>
      <c r="HP301" s="31"/>
      <c r="HQ301" s="31"/>
      <c r="HR301" s="31"/>
      <c r="HS301" s="31"/>
      <c r="HT301" s="31"/>
      <c r="HU301" s="31"/>
      <c r="HV301" s="31"/>
      <c r="HW301" s="31"/>
      <c r="HX301" s="31"/>
      <c r="HY301" s="31"/>
      <c r="HZ301" s="31"/>
      <c r="IA301" s="31"/>
      <c r="IB301" s="31"/>
      <c r="IC301" s="31"/>
      <c r="ID301" s="31"/>
      <c r="IE301" s="31"/>
      <c r="IF301" s="31"/>
      <c r="IG301" s="31"/>
      <c r="IH301" s="31"/>
      <c r="II301" s="31"/>
      <c r="IJ301" s="31"/>
      <c r="IK301" s="31"/>
      <c r="IL301" s="31"/>
      <c r="IM301" s="31"/>
      <c r="IN301" s="31"/>
      <c r="IO301" s="31"/>
      <c r="IP301" s="31"/>
      <c r="IQ301" s="31"/>
      <c r="IR301" s="31"/>
      <c r="IS301" s="31"/>
      <c r="IT301" s="31"/>
      <c r="IU301" s="31"/>
      <c r="IV301" s="31"/>
      <c r="IW301" s="31"/>
      <c r="IX301" s="31"/>
      <c r="IY301" s="31"/>
      <c r="IZ301" s="31"/>
      <c r="JA301" s="31"/>
      <c r="JB301" s="31"/>
      <c r="JC301" s="31"/>
      <c r="JD301" s="31"/>
      <c r="JE301" s="31"/>
      <c r="JF301" s="31"/>
      <c r="JG301" s="31"/>
      <c r="JH301" s="31"/>
      <c r="JI301" s="31"/>
      <c r="JJ301" s="31"/>
      <c r="JK301" s="31"/>
      <c r="JL301" s="31"/>
      <c r="JM301" s="31"/>
      <c r="JN301" s="31"/>
      <c r="JO301" s="31"/>
      <c r="JP301" s="31"/>
      <c r="JQ301" s="31"/>
      <c r="JR301" s="31"/>
      <c r="JS301" s="31"/>
      <c r="JT301" s="31"/>
      <c r="JU301" s="31"/>
      <c r="JV301" s="31"/>
      <c r="JW301" s="31"/>
      <c r="JX301" s="31"/>
      <c r="JY301" s="31"/>
      <c r="JZ301" s="31"/>
      <c r="KA301" s="31"/>
      <c r="KB301" s="31"/>
      <c r="KC301" s="31"/>
      <c r="KD301" s="31"/>
      <c r="KE301" s="31"/>
      <c r="KF301" s="31"/>
      <c r="KG301" s="31"/>
      <c r="KH301" s="31"/>
      <c r="KI301" s="31"/>
      <c r="KJ301" s="31"/>
      <c r="KK301" s="31"/>
      <c r="KL301" s="31"/>
      <c r="KM301" s="31"/>
      <c r="KN301" s="31"/>
      <c r="KO301" s="31"/>
      <c r="KP301" s="31"/>
      <c r="KQ301" s="31"/>
      <c r="KR301" s="31"/>
      <c r="KS301" s="31"/>
      <c r="KT301" s="31"/>
      <c r="KU301" s="31"/>
      <c r="KV301" s="31"/>
      <c r="KW301" s="31"/>
      <c r="KX301" s="31"/>
      <c r="KY301" s="31"/>
      <c r="KZ301" s="31"/>
      <c r="LA301" s="31"/>
      <c r="LB301" s="31"/>
      <c r="LC301" s="31"/>
      <c r="LD301" s="31"/>
      <c r="LE301" s="31"/>
      <c r="LF301" s="31"/>
      <c r="LG301" s="31"/>
      <c r="LH301" s="31"/>
      <c r="LI301" s="31"/>
      <c r="LJ301" s="31"/>
      <c r="LK301" s="31"/>
      <c r="LL301" s="31"/>
      <c r="LM301" s="31"/>
      <c r="LN301" s="31"/>
      <c r="LO301" s="31"/>
      <c r="LP301" s="31"/>
      <c r="LQ301" s="31"/>
      <c r="LR301" s="31"/>
      <c r="LS301" s="31"/>
      <c r="LT301" s="31"/>
      <c r="LU301" s="31"/>
      <c r="LV301" s="31"/>
      <c r="LW301" s="31"/>
      <c r="LX301" s="31"/>
      <c r="LY301" s="31"/>
      <c r="LZ301" s="31"/>
      <c r="MA301" s="31"/>
      <c r="MB301" s="31"/>
      <c r="MC301" s="31"/>
      <c r="MD301" s="31"/>
      <c r="ME301" s="31"/>
      <c r="MF301" s="31"/>
      <c r="MG301" s="31"/>
      <c r="MH301" s="31"/>
      <c r="MI301" s="31"/>
      <c r="MJ301" s="31"/>
      <c r="MK301" s="31"/>
      <c r="ML301" s="31"/>
      <c r="MM301" s="31"/>
      <c r="MN301" s="31"/>
      <c r="MO301" s="31"/>
      <c r="MP301" s="31"/>
      <c r="MQ301" s="31"/>
      <c r="MR301" s="31"/>
      <c r="MS301" s="31"/>
      <c r="MT301" s="31"/>
      <c r="MU301" s="31"/>
      <c r="MV301" s="31"/>
      <c r="MW301" s="31"/>
      <c r="MX301" s="31"/>
      <c r="MY301" s="31"/>
      <c r="MZ301" s="31"/>
      <c r="NA301" s="31"/>
      <c r="NB301" s="31"/>
      <c r="NC301" s="31"/>
      <c r="ND301" s="31"/>
      <c r="NE301" s="31"/>
      <c r="NF301" s="31"/>
      <c r="NG301" s="31"/>
      <c r="NH301" s="31"/>
      <c r="NI301" s="31"/>
      <c r="NJ301" s="31"/>
      <c r="NK301" s="31"/>
      <c r="NL301" s="31"/>
      <c r="NM301" s="31"/>
      <c r="NN301" s="31"/>
      <c r="NO301" s="31"/>
      <c r="NP301" s="31"/>
      <c r="NQ301" s="31"/>
      <c r="NR301" s="31"/>
      <c r="NS301" s="31"/>
      <c r="NT301" s="31"/>
      <c r="NU301" s="31"/>
      <c r="NV301" s="31"/>
      <c r="NW301" s="31"/>
      <c r="NX301" s="31"/>
      <c r="NY301" s="31"/>
      <c r="NZ301" s="31"/>
      <c r="OA301" s="31"/>
      <c r="OB301" s="31"/>
      <c r="OC301" s="31"/>
      <c r="OD301" s="31"/>
      <c r="OE301" s="31"/>
      <c r="OF301" s="31"/>
      <c r="OG301" s="31"/>
      <c r="OH301" s="31"/>
      <c r="OI301" s="31"/>
      <c r="OJ301" s="31"/>
      <c r="OK301" s="31"/>
      <c r="OL301" s="31"/>
      <c r="OM301" s="31"/>
      <c r="ON301" s="31"/>
      <c r="OO301" s="31"/>
      <c r="OP301" s="31"/>
      <c r="OQ301" s="31"/>
      <c r="OR301" s="31"/>
      <c r="OS301" s="31"/>
      <c r="OT301" s="31"/>
      <c r="OU301" s="31"/>
      <c r="OV301" s="31"/>
      <c r="OW301" s="31"/>
      <c r="OX301" s="31"/>
    </row>
    <row r="302" spans="2:414" s="25" customFormat="1" ht="15.6">
      <c r="B302" s="25" t="s">
        <v>459</v>
      </c>
      <c r="C302" s="27" t="s">
        <v>460</v>
      </c>
      <c r="D302" s="30" t="s">
        <v>434</v>
      </c>
      <c r="G302" s="42">
        <v>500</v>
      </c>
      <c r="H302" s="89">
        <v>26.109000000000002</v>
      </c>
      <c r="I302" s="38">
        <f t="shared" si="96"/>
        <v>13054.5</v>
      </c>
      <c r="K302" s="42">
        <v>500</v>
      </c>
      <c r="L302" s="90">
        <v>26.849599999999999</v>
      </c>
      <c r="M302" s="38">
        <f t="shared" si="97"/>
        <v>13424.8</v>
      </c>
      <c r="O302" s="38">
        <v>80</v>
      </c>
      <c r="P302" s="38">
        <v>26.728300000000001</v>
      </c>
      <c r="Q302" s="38">
        <f t="shared" si="98"/>
        <v>2138.2640000000001</v>
      </c>
      <c r="R302" s="43">
        <f t="shared" si="94"/>
        <v>1080</v>
      </c>
      <c r="S302" s="38">
        <f t="shared" si="99"/>
        <v>28617.563999999998</v>
      </c>
      <c r="T302" s="49">
        <v>115</v>
      </c>
      <c r="U302" s="42">
        <v>26.401700000000002</v>
      </c>
      <c r="V302" s="38">
        <f t="shared" si="107"/>
        <v>3036.1955000000003</v>
      </c>
      <c r="W302" s="42">
        <v>85</v>
      </c>
      <c r="X302" s="42">
        <v>26.771999999999998</v>
      </c>
      <c r="Y302" s="42">
        <f t="shared" si="110"/>
        <v>2275.62</v>
      </c>
      <c r="Z302" s="42">
        <v>150</v>
      </c>
      <c r="AA302" s="42">
        <v>26.816700000000001</v>
      </c>
      <c r="AB302" s="42">
        <f t="shared" si="108"/>
        <v>4022.5050000000001</v>
      </c>
      <c r="AD302" s="42"/>
      <c r="AE302" s="42"/>
      <c r="AF302" s="42">
        <f t="shared" si="109"/>
        <v>0</v>
      </c>
      <c r="AG302" s="42"/>
      <c r="AH302" s="42"/>
      <c r="AI302" s="42"/>
      <c r="AJ302" s="42">
        <f t="shared" si="106"/>
        <v>0</v>
      </c>
      <c r="AL302" s="42"/>
      <c r="AM302" s="42"/>
      <c r="AN302" s="42">
        <f t="shared" si="105"/>
        <v>0</v>
      </c>
      <c r="AO302" s="44"/>
      <c r="AP302" s="42"/>
      <c r="AQ302" s="42"/>
      <c r="AR302" s="42"/>
      <c r="AU302" s="98"/>
      <c r="AV302" s="35">
        <f t="shared" ref="AV302:AV325" si="111">AT302*AU302</f>
        <v>0</v>
      </c>
      <c r="AW302" s="104"/>
      <c r="AX302" s="42"/>
      <c r="AY302" s="42"/>
      <c r="AZ302" s="42">
        <f t="shared" si="92"/>
        <v>0</v>
      </c>
      <c r="BA302" s="42"/>
      <c r="BB302" s="42"/>
      <c r="BC302" s="42"/>
      <c r="BD302" s="38">
        <f t="shared" si="100"/>
        <v>0</v>
      </c>
      <c r="BE302" s="42"/>
      <c r="BF302" s="42"/>
      <c r="BG302" s="42"/>
      <c r="BH302" s="38">
        <f t="shared" si="101"/>
        <v>0</v>
      </c>
      <c r="BI302" s="42"/>
      <c r="BJ302" s="42"/>
      <c r="BK302" s="42"/>
      <c r="BL302" s="38">
        <f t="shared" si="102"/>
        <v>0</v>
      </c>
      <c r="BM302" s="42"/>
      <c r="BN302" s="42"/>
      <c r="BO302" s="42"/>
      <c r="BP302" s="42"/>
      <c r="BR302" s="42">
        <f t="shared" si="103"/>
        <v>9334.3205000000016</v>
      </c>
      <c r="BS302" s="43">
        <f t="shared" si="104"/>
        <v>19283.243499999997</v>
      </c>
      <c r="BT302" s="42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  <c r="FM302" s="31"/>
      <c r="FN302" s="31"/>
      <c r="FO302" s="31"/>
      <c r="FP302" s="31"/>
      <c r="FQ302" s="31"/>
      <c r="FR302" s="31"/>
      <c r="FS302" s="31"/>
      <c r="FT302" s="31"/>
      <c r="FU302" s="31"/>
      <c r="FV302" s="31"/>
      <c r="FW302" s="31"/>
      <c r="FX302" s="31"/>
      <c r="FY302" s="31"/>
      <c r="FZ302" s="31"/>
      <c r="GA302" s="31"/>
      <c r="GB302" s="31"/>
      <c r="GC302" s="31"/>
      <c r="GD302" s="31"/>
      <c r="GE302" s="31"/>
      <c r="GF302" s="31"/>
      <c r="GG302" s="31"/>
      <c r="GH302" s="31"/>
      <c r="GI302" s="31"/>
      <c r="GJ302" s="31"/>
      <c r="GK302" s="31"/>
      <c r="GL302" s="31"/>
      <c r="GM302" s="31"/>
      <c r="GN302" s="31"/>
      <c r="GO302" s="31"/>
      <c r="GP302" s="31"/>
      <c r="GQ302" s="31"/>
      <c r="GR302" s="31"/>
      <c r="GS302" s="31"/>
      <c r="GT302" s="31"/>
      <c r="GU302" s="31"/>
      <c r="GV302" s="31"/>
      <c r="GW302" s="31"/>
      <c r="GX302" s="31"/>
      <c r="GY302" s="31"/>
      <c r="GZ302" s="31"/>
      <c r="HA302" s="31"/>
      <c r="HB302" s="31"/>
      <c r="HC302" s="31"/>
      <c r="HD302" s="31"/>
      <c r="HE302" s="31"/>
      <c r="HF302" s="31"/>
      <c r="HG302" s="31"/>
      <c r="HH302" s="31"/>
      <c r="HI302" s="31"/>
      <c r="HJ302" s="31"/>
      <c r="HK302" s="31"/>
      <c r="HL302" s="31"/>
      <c r="HM302" s="31"/>
      <c r="HN302" s="31"/>
      <c r="HO302" s="31"/>
      <c r="HP302" s="31"/>
      <c r="HQ302" s="31"/>
      <c r="HR302" s="31"/>
      <c r="HS302" s="31"/>
      <c r="HT302" s="31"/>
      <c r="HU302" s="31"/>
      <c r="HV302" s="31"/>
      <c r="HW302" s="31"/>
      <c r="HX302" s="31"/>
      <c r="HY302" s="31"/>
      <c r="HZ302" s="31"/>
      <c r="IA302" s="31"/>
      <c r="IB302" s="31"/>
      <c r="IC302" s="31"/>
      <c r="ID302" s="31"/>
      <c r="IE302" s="31"/>
      <c r="IF302" s="31"/>
      <c r="IG302" s="31"/>
      <c r="IH302" s="31"/>
      <c r="II302" s="31"/>
      <c r="IJ302" s="31"/>
      <c r="IK302" s="31"/>
      <c r="IL302" s="31"/>
      <c r="IM302" s="31"/>
      <c r="IN302" s="31"/>
      <c r="IO302" s="31"/>
      <c r="IP302" s="31"/>
      <c r="IQ302" s="31"/>
      <c r="IR302" s="31"/>
      <c r="IS302" s="31"/>
      <c r="IT302" s="31"/>
      <c r="IU302" s="31"/>
      <c r="IV302" s="31"/>
      <c r="IW302" s="31"/>
      <c r="IX302" s="31"/>
      <c r="IY302" s="31"/>
      <c r="IZ302" s="31"/>
      <c r="JA302" s="31"/>
      <c r="JB302" s="31"/>
      <c r="JC302" s="31"/>
      <c r="JD302" s="31"/>
      <c r="JE302" s="31"/>
      <c r="JF302" s="31"/>
      <c r="JG302" s="31"/>
      <c r="JH302" s="31"/>
      <c r="JI302" s="31"/>
      <c r="JJ302" s="31"/>
      <c r="JK302" s="31"/>
      <c r="JL302" s="31"/>
      <c r="JM302" s="31"/>
      <c r="JN302" s="31"/>
      <c r="JO302" s="31"/>
      <c r="JP302" s="31"/>
      <c r="JQ302" s="31"/>
      <c r="JR302" s="31"/>
      <c r="JS302" s="31"/>
      <c r="JT302" s="31"/>
      <c r="JU302" s="31"/>
      <c r="JV302" s="31"/>
      <c r="JW302" s="31"/>
      <c r="JX302" s="31"/>
      <c r="JY302" s="31"/>
      <c r="JZ302" s="31"/>
      <c r="KA302" s="31"/>
      <c r="KB302" s="31"/>
      <c r="KC302" s="31"/>
      <c r="KD302" s="31"/>
      <c r="KE302" s="31"/>
      <c r="KF302" s="31"/>
      <c r="KG302" s="31"/>
      <c r="KH302" s="31"/>
      <c r="KI302" s="31"/>
      <c r="KJ302" s="31"/>
      <c r="KK302" s="31"/>
      <c r="KL302" s="31"/>
      <c r="KM302" s="31"/>
      <c r="KN302" s="31"/>
      <c r="KO302" s="31"/>
      <c r="KP302" s="31"/>
      <c r="KQ302" s="31"/>
      <c r="KR302" s="31"/>
      <c r="KS302" s="31"/>
      <c r="KT302" s="31"/>
      <c r="KU302" s="31"/>
      <c r="KV302" s="31"/>
      <c r="KW302" s="31"/>
      <c r="KX302" s="31"/>
      <c r="KY302" s="31"/>
      <c r="KZ302" s="31"/>
      <c r="LA302" s="31"/>
      <c r="LB302" s="31"/>
      <c r="LC302" s="31"/>
      <c r="LD302" s="31"/>
      <c r="LE302" s="31"/>
      <c r="LF302" s="31"/>
      <c r="LG302" s="31"/>
      <c r="LH302" s="31"/>
      <c r="LI302" s="31"/>
      <c r="LJ302" s="31"/>
      <c r="LK302" s="31"/>
      <c r="LL302" s="31"/>
      <c r="LM302" s="31"/>
      <c r="LN302" s="31"/>
      <c r="LO302" s="31"/>
      <c r="LP302" s="31"/>
      <c r="LQ302" s="31"/>
      <c r="LR302" s="31"/>
      <c r="LS302" s="31"/>
      <c r="LT302" s="31"/>
      <c r="LU302" s="31"/>
      <c r="LV302" s="31"/>
      <c r="LW302" s="31"/>
      <c r="LX302" s="31"/>
      <c r="LY302" s="31"/>
      <c r="LZ302" s="31"/>
      <c r="MA302" s="31"/>
      <c r="MB302" s="31"/>
      <c r="MC302" s="31"/>
      <c r="MD302" s="31"/>
      <c r="ME302" s="31"/>
      <c r="MF302" s="31"/>
      <c r="MG302" s="31"/>
      <c r="MH302" s="31"/>
      <c r="MI302" s="31"/>
      <c r="MJ302" s="31"/>
      <c r="MK302" s="31"/>
      <c r="ML302" s="31"/>
      <c r="MM302" s="31"/>
      <c r="MN302" s="31"/>
      <c r="MO302" s="31"/>
      <c r="MP302" s="31"/>
      <c r="MQ302" s="31"/>
      <c r="MR302" s="31"/>
      <c r="MS302" s="31"/>
      <c r="MT302" s="31"/>
      <c r="MU302" s="31"/>
      <c r="MV302" s="31"/>
      <c r="MW302" s="31"/>
      <c r="MX302" s="31"/>
      <c r="MY302" s="31"/>
      <c r="MZ302" s="31"/>
      <c r="NA302" s="31"/>
      <c r="NB302" s="31"/>
      <c r="NC302" s="31"/>
      <c r="ND302" s="31"/>
      <c r="NE302" s="31"/>
      <c r="NF302" s="31"/>
      <c r="NG302" s="31"/>
      <c r="NH302" s="31"/>
      <c r="NI302" s="31"/>
      <c r="NJ302" s="31"/>
      <c r="NK302" s="31"/>
      <c r="NL302" s="31"/>
      <c r="NM302" s="31"/>
      <c r="NN302" s="31"/>
      <c r="NO302" s="31"/>
      <c r="NP302" s="31"/>
      <c r="NQ302" s="31"/>
      <c r="NR302" s="31"/>
      <c r="NS302" s="31"/>
      <c r="NT302" s="31"/>
      <c r="NU302" s="31"/>
      <c r="NV302" s="31"/>
      <c r="NW302" s="31"/>
      <c r="NX302" s="31"/>
      <c r="NY302" s="31"/>
      <c r="NZ302" s="31"/>
      <c r="OA302" s="31"/>
      <c r="OB302" s="31"/>
      <c r="OC302" s="31"/>
      <c r="OD302" s="31"/>
      <c r="OE302" s="31"/>
      <c r="OF302" s="31"/>
      <c r="OG302" s="31"/>
      <c r="OH302" s="31"/>
      <c r="OI302" s="31"/>
      <c r="OJ302" s="31"/>
      <c r="OK302" s="31"/>
      <c r="OL302" s="31"/>
      <c r="OM302" s="31"/>
      <c r="ON302" s="31"/>
      <c r="OO302" s="31"/>
      <c r="OP302" s="31"/>
      <c r="OQ302" s="31"/>
      <c r="OR302" s="31"/>
      <c r="OS302" s="31"/>
      <c r="OT302" s="31"/>
      <c r="OU302" s="31"/>
      <c r="OV302" s="31"/>
      <c r="OW302" s="31"/>
      <c r="OX302" s="31"/>
    </row>
    <row r="303" spans="2:414" s="25" customFormat="1" ht="15.6">
      <c r="B303" s="25" t="s">
        <v>461</v>
      </c>
      <c r="C303" s="27" t="s">
        <v>462</v>
      </c>
      <c r="D303" s="30" t="s">
        <v>434</v>
      </c>
      <c r="G303" s="42">
        <v>500</v>
      </c>
      <c r="H303" s="89">
        <v>26.109000000000002</v>
      </c>
      <c r="I303" s="38">
        <f t="shared" si="96"/>
        <v>13054.5</v>
      </c>
      <c r="K303" s="42">
        <v>500</v>
      </c>
      <c r="L303" s="90">
        <v>26.849599999999999</v>
      </c>
      <c r="M303" s="38">
        <f t="shared" si="97"/>
        <v>13424.8</v>
      </c>
      <c r="O303" s="38">
        <v>80</v>
      </c>
      <c r="P303" s="38">
        <v>26.728300000000001</v>
      </c>
      <c r="Q303" s="38">
        <f t="shared" si="98"/>
        <v>2138.2640000000001</v>
      </c>
      <c r="R303" s="43">
        <f t="shared" si="94"/>
        <v>1080</v>
      </c>
      <c r="S303" s="38">
        <f t="shared" si="99"/>
        <v>28617.563999999998</v>
      </c>
      <c r="T303" s="49">
        <v>320</v>
      </c>
      <c r="U303" s="42">
        <v>26.412600000000001</v>
      </c>
      <c r="V303" s="38">
        <f t="shared" si="107"/>
        <v>8452.0320000000011</v>
      </c>
      <c r="W303" s="42">
        <v>85</v>
      </c>
      <c r="X303" s="42">
        <v>26.412600000000001</v>
      </c>
      <c r="Y303" s="42">
        <f t="shared" si="110"/>
        <v>2245.0709999999999</v>
      </c>
      <c r="Z303" s="42">
        <v>95</v>
      </c>
      <c r="AA303" s="42">
        <v>26.856000000000002</v>
      </c>
      <c r="AB303" s="42">
        <f t="shared" si="108"/>
        <v>2551.3200000000002</v>
      </c>
      <c r="AD303" s="42">
        <v>335</v>
      </c>
      <c r="AE303" s="42">
        <v>26.869499999999999</v>
      </c>
      <c r="AF303" s="42">
        <f t="shared" si="109"/>
        <v>9001.2824999999993</v>
      </c>
      <c r="AG303" s="42"/>
      <c r="AH303" s="42">
        <v>85</v>
      </c>
      <c r="AI303" s="42">
        <v>26.791499999999999</v>
      </c>
      <c r="AJ303" s="42">
        <f t="shared" si="106"/>
        <v>2277.2775000000001</v>
      </c>
      <c r="AL303" s="42">
        <v>80</v>
      </c>
      <c r="AM303" s="42">
        <v>26.9663</v>
      </c>
      <c r="AN303" s="42">
        <f t="shared" si="105"/>
        <v>2157.3040000000001</v>
      </c>
      <c r="AO303" s="44"/>
      <c r="AP303" s="42">
        <v>80</v>
      </c>
      <c r="AQ303" s="42">
        <v>26.555099999999999</v>
      </c>
      <c r="AR303" s="42"/>
      <c r="AU303" s="98"/>
      <c r="AV303" s="35">
        <f t="shared" si="111"/>
        <v>0</v>
      </c>
      <c r="AW303" s="104"/>
      <c r="AX303" s="42"/>
      <c r="AY303" s="42"/>
      <c r="AZ303" s="42">
        <f t="shared" si="92"/>
        <v>0</v>
      </c>
      <c r="BA303" s="42"/>
      <c r="BB303" s="42"/>
      <c r="BC303" s="42"/>
      <c r="BD303" s="38">
        <f t="shared" si="100"/>
        <v>0</v>
      </c>
      <c r="BE303" s="42"/>
      <c r="BF303" s="42"/>
      <c r="BG303" s="42"/>
      <c r="BH303" s="38">
        <f t="shared" si="101"/>
        <v>0</v>
      </c>
      <c r="BI303" s="42"/>
      <c r="BJ303" s="42"/>
      <c r="BK303" s="42"/>
      <c r="BL303" s="38">
        <f t="shared" si="102"/>
        <v>0</v>
      </c>
      <c r="BM303" s="42"/>
      <c r="BN303" s="42"/>
      <c r="BO303" s="42"/>
      <c r="BP303" s="42"/>
      <c r="BR303" s="42">
        <f t="shared" si="103"/>
        <v>26684.287</v>
      </c>
      <c r="BS303" s="43">
        <f t="shared" si="104"/>
        <v>1933.2769999999982</v>
      </c>
      <c r="BT303" s="42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  <c r="FM303" s="31"/>
      <c r="FN303" s="31"/>
      <c r="FO303" s="31"/>
      <c r="FP303" s="31"/>
      <c r="FQ303" s="31"/>
      <c r="FR303" s="31"/>
      <c r="FS303" s="31"/>
      <c r="FT303" s="31"/>
      <c r="FU303" s="31"/>
      <c r="FV303" s="31"/>
      <c r="FW303" s="31"/>
      <c r="FX303" s="31"/>
      <c r="FY303" s="31"/>
      <c r="FZ303" s="31"/>
      <c r="GA303" s="31"/>
      <c r="GB303" s="31"/>
      <c r="GC303" s="31"/>
      <c r="GD303" s="31"/>
      <c r="GE303" s="31"/>
      <c r="GF303" s="31"/>
      <c r="GG303" s="31"/>
      <c r="GH303" s="31"/>
      <c r="GI303" s="31"/>
      <c r="GJ303" s="31"/>
      <c r="GK303" s="31"/>
      <c r="GL303" s="31"/>
      <c r="GM303" s="31"/>
      <c r="GN303" s="31"/>
      <c r="GO303" s="31"/>
      <c r="GP303" s="31"/>
      <c r="GQ303" s="31"/>
      <c r="GR303" s="31"/>
      <c r="GS303" s="31"/>
      <c r="GT303" s="31"/>
      <c r="GU303" s="31"/>
      <c r="GV303" s="31"/>
      <c r="GW303" s="31"/>
      <c r="GX303" s="31"/>
      <c r="GY303" s="31"/>
      <c r="GZ303" s="31"/>
      <c r="HA303" s="31"/>
      <c r="HB303" s="31"/>
      <c r="HC303" s="31"/>
      <c r="HD303" s="31"/>
      <c r="HE303" s="31"/>
      <c r="HF303" s="31"/>
      <c r="HG303" s="31"/>
      <c r="HH303" s="31"/>
      <c r="HI303" s="31"/>
      <c r="HJ303" s="31"/>
      <c r="HK303" s="31"/>
      <c r="HL303" s="31"/>
      <c r="HM303" s="31"/>
      <c r="HN303" s="31"/>
      <c r="HO303" s="31"/>
      <c r="HP303" s="31"/>
      <c r="HQ303" s="31"/>
      <c r="HR303" s="31"/>
      <c r="HS303" s="31"/>
      <c r="HT303" s="31"/>
      <c r="HU303" s="31"/>
      <c r="HV303" s="31"/>
      <c r="HW303" s="31"/>
      <c r="HX303" s="31"/>
      <c r="HY303" s="31"/>
      <c r="HZ303" s="31"/>
      <c r="IA303" s="31"/>
      <c r="IB303" s="31"/>
      <c r="IC303" s="31"/>
      <c r="ID303" s="31"/>
      <c r="IE303" s="31"/>
      <c r="IF303" s="31"/>
      <c r="IG303" s="31"/>
      <c r="IH303" s="31"/>
      <c r="II303" s="31"/>
      <c r="IJ303" s="31"/>
      <c r="IK303" s="31"/>
      <c r="IL303" s="31"/>
      <c r="IM303" s="31"/>
      <c r="IN303" s="31"/>
      <c r="IO303" s="31"/>
      <c r="IP303" s="31"/>
      <c r="IQ303" s="31"/>
      <c r="IR303" s="31"/>
      <c r="IS303" s="31"/>
      <c r="IT303" s="31"/>
      <c r="IU303" s="31"/>
      <c r="IV303" s="31"/>
      <c r="IW303" s="31"/>
      <c r="IX303" s="31"/>
      <c r="IY303" s="31"/>
      <c r="IZ303" s="31"/>
      <c r="JA303" s="31"/>
      <c r="JB303" s="31"/>
      <c r="JC303" s="31"/>
      <c r="JD303" s="31"/>
      <c r="JE303" s="31"/>
      <c r="JF303" s="31"/>
      <c r="JG303" s="31"/>
      <c r="JH303" s="31"/>
      <c r="JI303" s="31"/>
      <c r="JJ303" s="31"/>
      <c r="JK303" s="31"/>
      <c r="JL303" s="31"/>
      <c r="JM303" s="31"/>
      <c r="JN303" s="31"/>
      <c r="JO303" s="31"/>
      <c r="JP303" s="31"/>
      <c r="JQ303" s="31"/>
      <c r="JR303" s="31"/>
      <c r="JS303" s="31"/>
      <c r="JT303" s="31"/>
      <c r="JU303" s="31"/>
      <c r="JV303" s="31"/>
      <c r="JW303" s="31"/>
      <c r="JX303" s="31"/>
      <c r="JY303" s="31"/>
      <c r="JZ303" s="31"/>
      <c r="KA303" s="31"/>
      <c r="KB303" s="31"/>
      <c r="KC303" s="31"/>
      <c r="KD303" s="31"/>
      <c r="KE303" s="31"/>
      <c r="KF303" s="31"/>
      <c r="KG303" s="31"/>
      <c r="KH303" s="31"/>
      <c r="KI303" s="31"/>
      <c r="KJ303" s="31"/>
      <c r="KK303" s="31"/>
      <c r="KL303" s="31"/>
      <c r="KM303" s="31"/>
      <c r="KN303" s="31"/>
      <c r="KO303" s="31"/>
      <c r="KP303" s="31"/>
      <c r="KQ303" s="31"/>
      <c r="KR303" s="31"/>
      <c r="KS303" s="31"/>
      <c r="KT303" s="31"/>
      <c r="KU303" s="31"/>
      <c r="KV303" s="31"/>
      <c r="KW303" s="31"/>
      <c r="KX303" s="31"/>
      <c r="KY303" s="31"/>
      <c r="KZ303" s="31"/>
      <c r="LA303" s="31"/>
      <c r="LB303" s="31"/>
      <c r="LC303" s="31"/>
      <c r="LD303" s="31"/>
      <c r="LE303" s="31"/>
      <c r="LF303" s="31"/>
      <c r="LG303" s="31"/>
      <c r="LH303" s="31"/>
      <c r="LI303" s="31"/>
      <c r="LJ303" s="31"/>
      <c r="LK303" s="31"/>
      <c r="LL303" s="31"/>
      <c r="LM303" s="31"/>
      <c r="LN303" s="31"/>
      <c r="LO303" s="31"/>
      <c r="LP303" s="31"/>
      <c r="LQ303" s="31"/>
      <c r="LR303" s="31"/>
      <c r="LS303" s="31"/>
      <c r="LT303" s="31"/>
      <c r="LU303" s="31"/>
      <c r="LV303" s="31"/>
      <c r="LW303" s="31"/>
      <c r="LX303" s="31"/>
      <c r="LY303" s="31"/>
      <c r="LZ303" s="31"/>
      <c r="MA303" s="31"/>
      <c r="MB303" s="31"/>
      <c r="MC303" s="31"/>
      <c r="MD303" s="31"/>
      <c r="ME303" s="31"/>
      <c r="MF303" s="31"/>
      <c r="MG303" s="31"/>
      <c r="MH303" s="31"/>
      <c r="MI303" s="31"/>
      <c r="MJ303" s="31"/>
      <c r="MK303" s="31"/>
      <c r="ML303" s="31"/>
      <c r="MM303" s="31"/>
      <c r="MN303" s="31"/>
      <c r="MO303" s="31"/>
      <c r="MP303" s="31"/>
      <c r="MQ303" s="31"/>
      <c r="MR303" s="31"/>
      <c r="MS303" s="31"/>
      <c r="MT303" s="31"/>
      <c r="MU303" s="31"/>
      <c r="MV303" s="31"/>
      <c r="MW303" s="31"/>
      <c r="MX303" s="31"/>
      <c r="MY303" s="31"/>
      <c r="MZ303" s="31"/>
      <c r="NA303" s="31"/>
      <c r="NB303" s="31"/>
      <c r="NC303" s="31"/>
      <c r="ND303" s="31"/>
      <c r="NE303" s="31"/>
      <c r="NF303" s="31"/>
      <c r="NG303" s="31"/>
      <c r="NH303" s="31"/>
      <c r="NI303" s="31"/>
      <c r="NJ303" s="31"/>
      <c r="NK303" s="31"/>
      <c r="NL303" s="31"/>
      <c r="NM303" s="31"/>
      <c r="NN303" s="31"/>
      <c r="NO303" s="31"/>
      <c r="NP303" s="31"/>
      <c r="NQ303" s="31"/>
      <c r="NR303" s="31"/>
      <c r="NS303" s="31"/>
      <c r="NT303" s="31"/>
      <c r="NU303" s="31"/>
      <c r="NV303" s="31"/>
      <c r="NW303" s="31"/>
      <c r="NX303" s="31"/>
      <c r="NY303" s="31"/>
      <c r="NZ303" s="31"/>
      <c r="OA303" s="31"/>
      <c r="OB303" s="31"/>
      <c r="OC303" s="31"/>
      <c r="OD303" s="31"/>
      <c r="OE303" s="31"/>
      <c r="OF303" s="31"/>
      <c r="OG303" s="31"/>
      <c r="OH303" s="31"/>
      <c r="OI303" s="31"/>
      <c r="OJ303" s="31"/>
      <c r="OK303" s="31"/>
      <c r="OL303" s="31"/>
      <c r="OM303" s="31"/>
      <c r="ON303" s="31"/>
      <c r="OO303" s="31"/>
      <c r="OP303" s="31"/>
      <c r="OQ303" s="31"/>
      <c r="OR303" s="31"/>
      <c r="OS303" s="31"/>
      <c r="OT303" s="31"/>
      <c r="OU303" s="31"/>
      <c r="OV303" s="31"/>
      <c r="OW303" s="31"/>
      <c r="OX303" s="31"/>
    </row>
    <row r="304" spans="2:414" s="25" customFormat="1" ht="15.6">
      <c r="B304" s="25" t="s">
        <v>463</v>
      </c>
      <c r="C304" s="27" t="s">
        <v>464</v>
      </c>
      <c r="D304" s="30" t="s">
        <v>434</v>
      </c>
      <c r="G304" s="42">
        <v>500</v>
      </c>
      <c r="H304" s="89">
        <v>26.109000000000002</v>
      </c>
      <c r="I304" s="38">
        <f t="shared" si="96"/>
        <v>13054.5</v>
      </c>
      <c r="K304" s="42">
        <v>500</v>
      </c>
      <c r="L304" s="90">
        <v>26.849599999999999</v>
      </c>
      <c r="M304" s="38">
        <f t="shared" si="97"/>
        <v>13424.8</v>
      </c>
      <c r="O304" s="38">
        <v>80</v>
      </c>
      <c r="P304" s="38">
        <v>26.728300000000001</v>
      </c>
      <c r="Q304" s="38">
        <f t="shared" si="98"/>
        <v>2138.2640000000001</v>
      </c>
      <c r="R304" s="43">
        <f t="shared" si="94"/>
        <v>1080</v>
      </c>
      <c r="S304" s="38">
        <f t="shared" si="99"/>
        <v>28617.563999999998</v>
      </c>
      <c r="T304" s="49">
        <v>320</v>
      </c>
      <c r="U304" s="42">
        <v>26.401700000000002</v>
      </c>
      <c r="V304" s="38">
        <f t="shared" si="107"/>
        <v>8448.5439999999999</v>
      </c>
      <c r="W304" s="42">
        <v>55</v>
      </c>
      <c r="X304" s="42">
        <v>26.412600000000001</v>
      </c>
      <c r="Y304" s="42">
        <f t="shared" si="110"/>
        <v>1452.693</v>
      </c>
      <c r="Z304" s="42">
        <v>95</v>
      </c>
      <c r="AA304" s="42">
        <v>26.699300000000001</v>
      </c>
      <c r="AB304" s="42">
        <f t="shared" si="108"/>
        <v>2536.4335000000001</v>
      </c>
      <c r="AD304" s="42"/>
      <c r="AE304" s="42"/>
      <c r="AF304" s="42">
        <f t="shared" si="109"/>
        <v>0</v>
      </c>
      <c r="AG304" s="42"/>
      <c r="AH304" s="42"/>
      <c r="AI304" s="42"/>
      <c r="AJ304" s="42">
        <f t="shared" si="106"/>
        <v>0</v>
      </c>
      <c r="AL304" s="42"/>
      <c r="AM304" s="42"/>
      <c r="AN304" s="42">
        <f t="shared" si="105"/>
        <v>0</v>
      </c>
      <c r="AO304" s="44"/>
      <c r="AP304" s="42"/>
      <c r="AQ304" s="42"/>
      <c r="AR304" s="42"/>
      <c r="AU304" s="98"/>
      <c r="AV304" s="35">
        <f t="shared" si="111"/>
        <v>0</v>
      </c>
      <c r="AW304" s="104"/>
      <c r="AX304" s="42"/>
      <c r="AY304" s="42"/>
      <c r="AZ304" s="42">
        <f t="shared" si="92"/>
        <v>0</v>
      </c>
      <c r="BA304" s="42"/>
      <c r="BB304" s="42"/>
      <c r="BC304" s="42"/>
      <c r="BD304" s="38">
        <f t="shared" si="100"/>
        <v>0</v>
      </c>
      <c r="BE304" s="42"/>
      <c r="BF304" s="42"/>
      <c r="BG304" s="42"/>
      <c r="BH304" s="38">
        <f t="shared" si="101"/>
        <v>0</v>
      </c>
      <c r="BI304" s="42"/>
      <c r="BJ304" s="42"/>
      <c r="BK304" s="42"/>
      <c r="BL304" s="38">
        <f t="shared" si="102"/>
        <v>0</v>
      </c>
      <c r="BM304" s="42"/>
      <c r="BN304" s="42"/>
      <c r="BO304" s="42"/>
      <c r="BP304" s="42"/>
      <c r="BR304" s="42">
        <f t="shared" si="103"/>
        <v>12437.6705</v>
      </c>
      <c r="BS304" s="43">
        <f t="shared" si="104"/>
        <v>16179.893499999998</v>
      </c>
      <c r="BT304" s="42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  <c r="FM304" s="31"/>
      <c r="FN304" s="31"/>
      <c r="FO304" s="31"/>
      <c r="FP304" s="31"/>
      <c r="FQ304" s="31"/>
      <c r="FR304" s="31"/>
      <c r="FS304" s="31"/>
      <c r="FT304" s="31"/>
      <c r="FU304" s="31"/>
      <c r="FV304" s="31"/>
      <c r="FW304" s="31"/>
      <c r="FX304" s="31"/>
      <c r="FY304" s="31"/>
      <c r="FZ304" s="31"/>
      <c r="GA304" s="31"/>
      <c r="GB304" s="31"/>
      <c r="GC304" s="31"/>
      <c r="GD304" s="31"/>
      <c r="GE304" s="31"/>
      <c r="GF304" s="31"/>
      <c r="GG304" s="31"/>
      <c r="GH304" s="31"/>
      <c r="GI304" s="31"/>
      <c r="GJ304" s="31"/>
      <c r="GK304" s="31"/>
      <c r="GL304" s="31"/>
      <c r="GM304" s="31"/>
      <c r="GN304" s="31"/>
      <c r="GO304" s="31"/>
      <c r="GP304" s="31"/>
      <c r="GQ304" s="31"/>
      <c r="GR304" s="31"/>
      <c r="GS304" s="31"/>
      <c r="GT304" s="31"/>
      <c r="GU304" s="31"/>
      <c r="GV304" s="31"/>
      <c r="GW304" s="31"/>
      <c r="GX304" s="31"/>
      <c r="GY304" s="31"/>
      <c r="GZ304" s="31"/>
      <c r="HA304" s="31"/>
      <c r="HB304" s="31"/>
      <c r="HC304" s="31"/>
      <c r="HD304" s="31"/>
      <c r="HE304" s="31"/>
      <c r="HF304" s="31"/>
      <c r="HG304" s="31"/>
      <c r="HH304" s="31"/>
      <c r="HI304" s="31"/>
      <c r="HJ304" s="31"/>
      <c r="HK304" s="31"/>
      <c r="HL304" s="31"/>
      <c r="HM304" s="31"/>
      <c r="HN304" s="31"/>
      <c r="HO304" s="31"/>
      <c r="HP304" s="31"/>
      <c r="HQ304" s="31"/>
      <c r="HR304" s="31"/>
      <c r="HS304" s="31"/>
      <c r="HT304" s="31"/>
      <c r="HU304" s="31"/>
      <c r="HV304" s="31"/>
      <c r="HW304" s="31"/>
      <c r="HX304" s="31"/>
      <c r="HY304" s="31"/>
      <c r="HZ304" s="31"/>
      <c r="IA304" s="31"/>
      <c r="IB304" s="31"/>
      <c r="IC304" s="31"/>
      <c r="ID304" s="31"/>
      <c r="IE304" s="31"/>
      <c r="IF304" s="31"/>
      <c r="IG304" s="31"/>
      <c r="IH304" s="31"/>
      <c r="II304" s="31"/>
      <c r="IJ304" s="31"/>
      <c r="IK304" s="31"/>
      <c r="IL304" s="31"/>
      <c r="IM304" s="31"/>
      <c r="IN304" s="31"/>
      <c r="IO304" s="31"/>
      <c r="IP304" s="31"/>
      <c r="IQ304" s="31"/>
      <c r="IR304" s="31"/>
      <c r="IS304" s="31"/>
      <c r="IT304" s="31"/>
      <c r="IU304" s="31"/>
      <c r="IV304" s="31"/>
      <c r="IW304" s="31"/>
      <c r="IX304" s="31"/>
      <c r="IY304" s="31"/>
      <c r="IZ304" s="31"/>
      <c r="JA304" s="31"/>
      <c r="JB304" s="31"/>
      <c r="JC304" s="31"/>
      <c r="JD304" s="31"/>
      <c r="JE304" s="31"/>
      <c r="JF304" s="31"/>
      <c r="JG304" s="31"/>
      <c r="JH304" s="31"/>
      <c r="JI304" s="31"/>
      <c r="JJ304" s="31"/>
      <c r="JK304" s="31"/>
      <c r="JL304" s="31"/>
      <c r="JM304" s="31"/>
      <c r="JN304" s="31"/>
      <c r="JO304" s="31"/>
      <c r="JP304" s="31"/>
      <c r="JQ304" s="31"/>
      <c r="JR304" s="31"/>
      <c r="JS304" s="31"/>
      <c r="JT304" s="31"/>
      <c r="JU304" s="31"/>
      <c r="JV304" s="31"/>
      <c r="JW304" s="31"/>
      <c r="JX304" s="31"/>
      <c r="JY304" s="31"/>
      <c r="JZ304" s="31"/>
      <c r="KA304" s="31"/>
      <c r="KB304" s="31"/>
      <c r="KC304" s="31"/>
      <c r="KD304" s="31"/>
      <c r="KE304" s="31"/>
      <c r="KF304" s="31"/>
      <c r="KG304" s="31"/>
      <c r="KH304" s="31"/>
      <c r="KI304" s="31"/>
      <c r="KJ304" s="31"/>
      <c r="KK304" s="31"/>
      <c r="KL304" s="31"/>
      <c r="KM304" s="31"/>
      <c r="KN304" s="31"/>
      <c r="KO304" s="31"/>
      <c r="KP304" s="31"/>
      <c r="KQ304" s="31"/>
      <c r="KR304" s="31"/>
      <c r="KS304" s="31"/>
      <c r="KT304" s="31"/>
      <c r="KU304" s="31"/>
      <c r="KV304" s="31"/>
      <c r="KW304" s="31"/>
      <c r="KX304" s="31"/>
      <c r="KY304" s="31"/>
      <c r="KZ304" s="31"/>
      <c r="LA304" s="31"/>
      <c r="LB304" s="31"/>
      <c r="LC304" s="31"/>
      <c r="LD304" s="31"/>
      <c r="LE304" s="31"/>
      <c r="LF304" s="31"/>
      <c r="LG304" s="31"/>
      <c r="LH304" s="31"/>
      <c r="LI304" s="31"/>
      <c r="LJ304" s="31"/>
      <c r="LK304" s="31"/>
      <c r="LL304" s="31"/>
      <c r="LM304" s="31"/>
      <c r="LN304" s="31"/>
      <c r="LO304" s="31"/>
      <c r="LP304" s="31"/>
      <c r="LQ304" s="31"/>
      <c r="LR304" s="31"/>
      <c r="LS304" s="31"/>
      <c r="LT304" s="31"/>
      <c r="LU304" s="31"/>
      <c r="LV304" s="31"/>
      <c r="LW304" s="31"/>
      <c r="LX304" s="31"/>
      <c r="LY304" s="31"/>
      <c r="LZ304" s="31"/>
      <c r="MA304" s="31"/>
      <c r="MB304" s="31"/>
      <c r="MC304" s="31"/>
      <c r="MD304" s="31"/>
      <c r="ME304" s="31"/>
      <c r="MF304" s="31"/>
      <c r="MG304" s="31"/>
      <c r="MH304" s="31"/>
      <c r="MI304" s="31"/>
      <c r="MJ304" s="31"/>
      <c r="MK304" s="31"/>
      <c r="ML304" s="31"/>
      <c r="MM304" s="31"/>
      <c r="MN304" s="31"/>
      <c r="MO304" s="31"/>
      <c r="MP304" s="31"/>
      <c r="MQ304" s="31"/>
      <c r="MR304" s="31"/>
      <c r="MS304" s="31"/>
      <c r="MT304" s="31"/>
      <c r="MU304" s="31"/>
      <c r="MV304" s="31"/>
      <c r="MW304" s="31"/>
      <c r="MX304" s="31"/>
      <c r="MY304" s="31"/>
      <c r="MZ304" s="31"/>
      <c r="NA304" s="31"/>
      <c r="NB304" s="31"/>
      <c r="NC304" s="31"/>
      <c r="ND304" s="31"/>
      <c r="NE304" s="31"/>
      <c r="NF304" s="31"/>
      <c r="NG304" s="31"/>
      <c r="NH304" s="31"/>
      <c r="NI304" s="31"/>
      <c r="NJ304" s="31"/>
      <c r="NK304" s="31"/>
      <c r="NL304" s="31"/>
      <c r="NM304" s="31"/>
      <c r="NN304" s="31"/>
      <c r="NO304" s="31"/>
      <c r="NP304" s="31"/>
      <c r="NQ304" s="31"/>
      <c r="NR304" s="31"/>
      <c r="NS304" s="31"/>
      <c r="NT304" s="31"/>
      <c r="NU304" s="31"/>
      <c r="NV304" s="31"/>
      <c r="NW304" s="31"/>
      <c r="NX304" s="31"/>
      <c r="NY304" s="31"/>
      <c r="NZ304" s="31"/>
      <c r="OA304" s="31"/>
      <c r="OB304" s="31"/>
      <c r="OC304" s="31"/>
      <c r="OD304" s="31"/>
      <c r="OE304" s="31"/>
      <c r="OF304" s="31"/>
      <c r="OG304" s="31"/>
      <c r="OH304" s="31"/>
      <c r="OI304" s="31"/>
      <c r="OJ304" s="31"/>
      <c r="OK304" s="31"/>
      <c r="OL304" s="31"/>
      <c r="OM304" s="31"/>
      <c r="ON304" s="31"/>
      <c r="OO304" s="31"/>
      <c r="OP304" s="31"/>
      <c r="OQ304" s="31"/>
      <c r="OR304" s="31"/>
      <c r="OS304" s="31"/>
      <c r="OT304" s="31"/>
      <c r="OU304" s="31"/>
      <c r="OV304" s="31"/>
      <c r="OW304" s="31"/>
      <c r="OX304" s="31"/>
    </row>
    <row r="305" spans="2:414" s="25" customFormat="1" ht="15.6">
      <c r="B305" s="25" t="s">
        <v>466</v>
      </c>
      <c r="C305" s="27" t="s">
        <v>467</v>
      </c>
      <c r="D305" s="30" t="s">
        <v>465</v>
      </c>
      <c r="G305" s="42">
        <v>500</v>
      </c>
      <c r="H305" s="89">
        <v>26.109000000000002</v>
      </c>
      <c r="I305" s="38">
        <f t="shared" si="96"/>
        <v>13054.5</v>
      </c>
      <c r="K305" s="42">
        <v>500</v>
      </c>
      <c r="L305" s="90">
        <v>26.849599999999999</v>
      </c>
      <c r="M305" s="38">
        <f t="shared" si="97"/>
        <v>13424.8</v>
      </c>
      <c r="O305" s="38">
        <v>80</v>
      </c>
      <c r="P305" s="38">
        <v>26.728300000000001</v>
      </c>
      <c r="Q305" s="38">
        <f t="shared" si="98"/>
        <v>2138.2640000000001</v>
      </c>
      <c r="R305" s="43">
        <f t="shared" si="94"/>
        <v>1080</v>
      </c>
      <c r="S305" s="38">
        <f t="shared" si="99"/>
        <v>28617.563999999998</v>
      </c>
      <c r="T305" s="49">
        <v>415</v>
      </c>
      <c r="U305" s="42">
        <v>26.267499999999998</v>
      </c>
      <c r="V305" s="38">
        <f t="shared" si="107"/>
        <v>10901.012499999999</v>
      </c>
      <c r="W305" s="42">
        <v>85</v>
      </c>
      <c r="X305" s="42">
        <v>26.261399999999998</v>
      </c>
      <c r="Y305" s="42">
        <f t="shared" si="110"/>
        <v>2232.2190000000001</v>
      </c>
      <c r="Z305" s="42">
        <v>85</v>
      </c>
      <c r="AA305" s="42">
        <v>26.9239</v>
      </c>
      <c r="AB305" s="42">
        <f t="shared" si="108"/>
        <v>2288.5315000000001</v>
      </c>
      <c r="AD305" s="42">
        <v>165</v>
      </c>
      <c r="AE305" s="42">
        <v>26.9239</v>
      </c>
      <c r="AF305" s="42">
        <f t="shared" si="109"/>
        <v>4442.4435000000003</v>
      </c>
      <c r="AG305" s="42"/>
      <c r="AH305" s="42">
        <v>250</v>
      </c>
      <c r="AI305" s="42">
        <v>26.8962</v>
      </c>
      <c r="AJ305" s="42">
        <f t="shared" si="106"/>
        <v>6724.05</v>
      </c>
      <c r="AL305" s="42"/>
      <c r="AM305" s="42"/>
      <c r="AN305" s="42">
        <f t="shared" si="105"/>
        <v>0</v>
      </c>
      <c r="AO305" s="44"/>
      <c r="AP305" s="42"/>
      <c r="AQ305" s="42"/>
      <c r="AR305" s="42"/>
      <c r="AU305" s="98"/>
      <c r="AV305" s="35">
        <f t="shared" si="111"/>
        <v>0</v>
      </c>
      <c r="AW305" s="104"/>
      <c r="AX305" s="42"/>
      <c r="AY305" s="42"/>
      <c r="AZ305" s="42">
        <f t="shared" si="92"/>
        <v>0</v>
      </c>
      <c r="BA305" s="42"/>
      <c r="BB305" s="42"/>
      <c r="BC305" s="42"/>
      <c r="BD305" s="38">
        <f t="shared" si="100"/>
        <v>0</v>
      </c>
      <c r="BE305" s="42"/>
      <c r="BF305" s="42"/>
      <c r="BG305" s="42"/>
      <c r="BH305" s="38">
        <f t="shared" si="101"/>
        <v>0</v>
      </c>
      <c r="BI305" s="42"/>
      <c r="BJ305" s="42"/>
      <c r="BK305" s="42"/>
      <c r="BL305" s="38">
        <f t="shared" si="102"/>
        <v>0</v>
      </c>
      <c r="BM305" s="42"/>
      <c r="BN305" s="42"/>
      <c r="BO305" s="42"/>
      <c r="BP305" s="42"/>
      <c r="BR305" s="42">
        <f t="shared" si="103"/>
        <v>26588.2565</v>
      </c>
      <c r="BS305" s="43">
        <f t="shared" si="104"/>
        <v>2029.307499999999</v>
      </c>
      <c r="BT305" s="42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  <c r="FM305" s="31"/>
      <c r="FN305" s="31"/>
      <c r="FO305" s="31"/>
      <c r="FP305" s="31"/>
      <c r="FQ305" s="31"/>
      <c r="FR305" s="31"/>
      <c r="FS305" s="31"/>
      <c r="FT305" s="31"/>
      <c r="FU305" s="31"/>
      <c r="FV305" s="31"/>
      <c r="FW305" s="31"/>
      <c r="FX305" s="31"/>
      <c r="FY305" s="31"/>
      <c r="FZ305" s="31"/>
      <c r="GA305" s="31"/>
      <c r="GB305" s="31"/>
      <c r="GC305" s="31"/>
      <c r="GD305" s="31"/>
      <c r="GE305" s="31"/>
      <c r="GF305" s="31"/>
      <c r="GG305" s="31"/>
      <c r="GH305" s="31"/>
      <c r="GI305" s="31"/>
      <c r="GJ305" s="31"/>
      <c r="GK305" s="31"/>
      <c r="GL305" s="31"/>
      <c r="GM305" s="31"/>
      <c r="GN305" s="31"/>
      <c r="GO305" s="31"/>
      <c r="GP305" s="31"/>
      <c r="GQ305" s="31"/>
      <c r="GR305" s="31"/>
      <c r="GS305" s="31"/>
      <c r="GT305" s="31"/>
      <c r="GU305" s="31"/>
      <c r="GV305" s="31"/>
      <c r="GW305" s="31"/>
      <c r="GX305" s="31"/>
      <c r="GY305" s="31"/>
      <c r="GZ305" s="31"/>
      <c r="HA305" s="31"/>
      <c r="HB305" s="31"/>
      <c r="HC305" s="31"/>
      <c r="HD305" s="31"/>
      <c r="HE305" s="31"/>
      <c r="HF305" s="31"/>
      <c r="HG305" s="31"/>
      <c r="HH305" s="31"/>
      <c r="HI305" s="31"/>
      <c r="HJ305" s="31"/>
      <c r="HK305" s="31"/>
      <c r="HL305" s="31"/>
      <c r="HM305" s="31"/>
      <c r="HN305" s="31"/>
      <c r="HO305" s="31"/>
      <c r="HP305" s="31"/>
      <c r="HQ305" s="31"/>
      <c r="HR305" s="31"/>
      <c r="HS305" s="31"/>
      <c r="HT305" s="31"/>
      <c r="HU305" s="31"/>
      <c r="HV305" s="31"/>
      <c r="HW305" s="31"/>
      <c r="HX305" s="31"/>
      <c r="HY305" s="31"/>
      <c r="HZ305" s="31"/>
      <c r="IA305" s="31"/>
      <c r="IB305" s="31"/>
      <c r="IC305" s="31"/>
      <c r="ID305" s="31"/>
      <c r="IE305" s="31"/>
      <c r="IF305" s="31"/>
      <c r="IG305" s="31"/>
      <c r="IH305" s="31"/>
      <c r="II305" s="31"/>
      <c r="IJ305" s="31"/>
      <c r="IK305" s="31"/>
      <c r="IL305" s="31"/>
      <c r="IM305" s="31"/>
      <c r="IN305" s="31"/>
      <c r="IO305" s="31"/>
      <c r="IP305" s="31"/>
      <c r="IQ305" s="31"/>
      <c r="IR305" s="31"/>
      <c r="IS305" s="31"/>
      <c r="IT305" s="31"/>
      <c r="IU305" s="31"/>
      <c r="IV305" s="31"/>
      <c r="IW305" s="31"/>
      <c r="IX305" s="31"/>
      <c r="IY305" s="31"/>
      <c r="IZ305" s="31"/>
      <c r="JA305" s="31"/>
      <c r="JB305" s="31"/>
      <c r="JC305" s="31"/>
      <c r="JD305" s="31"/>
      <c r="JE305" s="31"/>
      <c r="JF305" s="31"/>
      <c r="JG305" s="31"/>
      <c r="JH305" s="31"/>
      <c r="JI305" s="31"/>
      <c r="JJ305" s="31"/>
      <c r="JK305" s="31"/>
      <c r="JL305" s="31"/>
      <c r="JM305" s="31"/>
      <c r="JN305" s="31"/>
      <c r="JO305" s="31"/>
      <c r="JP305" s="31"/>
      <c r="JQ305" s="31"/>
      <c r="JR305" s="31"/>
      <c r="JS305" s="31"/>
      <c r="JT305" s="31"/>
      <c r="JU305" s="31"/>
      <c r="JV305" s="31"/>
      <c r="JW305" s="31"/>
      <c r="JX305" s="31"/>
      <c r="JY305" s="31"/>
      <c r="JZ305" s="31"/>
      <c r="KA305" s="31"/>
      <c r="KB305" s="31"/>
      <c r="KC305" s="31"/>
      <c r="KD305" s="31"/>
      <c r="KE305" s="31"/>
      <c r="KF305" s="31"/>
      <c r="KG305" s="31"/>
      <c r="KH305" s="31"/>
      <c r="KI305" s="31"/>
      <c r="KJ305" s="31"/>
      <c r="KK305" s="31"/>
      <c r="KL305" s="31"/>
      <c r="KM305" s="31"/>
      <c r="KN305" s="31"/>
      <c r="KO305" s="31"/>
      <c r="KP305" s="31"/>
      <c r="KQ305" s="31"/>
      <c r="KR305" s="31"/>
      <c r="KS305" s="31"/>
      <c r="KT305" s="31"/>
      <c r="KU305" s="31"/>
      <c r="KV305" s="31"/>
      <c r="KW305" s="31"/>
      <c r="KX305" s="31"/>
      <c r="KY305" s="31"/>
      <c r="KZ305" s="31"/>
      <c r="LA305" s="31"/>
      <c r="LB305" s="31"/>
      <c r="LC305" s="31"/>
      <c r="LD305" s="31"/>
      <c r="LE305" s="31"/>
      <c r="LF305" s="31"/>
      <c r="LG305" s="31"/>
      <c r="LH305" s="31"/>
      <c r="LI305" s="31"/>
      <c r="LJ305" s="31"/>
      <c r="LK305" s="31"/>
      <c r="LL305" s="31"/>
      <c r="LM305" s="31"/>
      <c r="LN305" s="31"/>
      <c r="LO305" s="31"/>
      <c r="LP305" s="31"/>
      <c r="LQ305" s="31"/>
      <c r="LR305" s="31"/>
      <c r="LS305" s="31"/>
      <c r="LT305" s="31"/>
      <c r="LU305" s="31"/>
      <c r="LV305" s="31"/>
      <c r="LW305" s="31"/>
      <c r="LX305" s="31"/>
      <c r="LY305" s="31"/>
      <c r="LZ305" s="31"/>
      <c r="MA305" s="31"/>
      <c r="MB305" s="31"/>
      <c r="MC305" s="31"/>
      <c r="MD305" s="31"/>
      <c r="ME305" s="31"/>
      <c r="MF305" s="31"/>
      <c r="MG305" s="31"/>
      <c r="MH305" s="31"/>
      <c r="MI305" s="31"/>
      <c r="MJ305" s="31"/>
      <c r="MK305" s="31"/>
      <c r="ML305" s="31"/>
      <c r="MM305" s="31"/>
      <c r="MN305" s="31"/>
      <c r="MO305" s="31"/>
      <c r="MP305" s="31"/>
      <c r="MQ305" s="31"/>
      <c r="MR305" s="31"/>
      <c r="MS305" s="31"/>
      <c r="MT305" s="31"/>
      <c r="MU305" s="31"/>
      <c r="MV305" s="31"/>
      <c r="MW305" s="31"/>
      <c r="MX305" s="31"/>
      <c r="MY305" s="31"/>
      <c r="MZ305" s="31"/>
      <c r="NA305" s="31"/>
      <c r="NB305" s="31"/>
      <c r="NC305" s="31"/>
      <c r="ND305" s="31"/>
      <c r="NE305" s="31"/>
      <c r="NF305" s="31"/>
      <c r="NG305" s="31"/>
      <c r="NH305" s="31"/>
      <c r="NI305" s="31"/>
      <c r="NJ305" s="31"/>
      <c r="NK305" s="31"/>
      <c r="NL305" s="31"/>
      <c r="NM305" s="31"/>
      <c r="NN305" s="31"/>
      <c r="NO305" s="31"/>
      <c r="NP305" s="31"/>
      <c r="NQ305" s="31"/>
      <c r="NR305" s="31"/>
      <c r="NS305" s="31"/>
      <c r="NT305" s="31"/>
      <c r="NU305" s="31"/>
      <c r="NV305" s="31"/>
      <c r="NW305" s="31"/>
      <c r="NX305" s="31"/>
      <c r="NY305" s="31"/>
      <c r="NZ305" s="31"/>
      <c r="OA305" s="31"/>
      <c r="OB305" s="31"/>
      <c r="OC305" s="31"/>
      <c r="OD305" s="31"/>
      <c r="OE305" s="31"/>
      <c r="OF305" s="31"/>
      <c r="OG305" s="31"/>
      <c r="OH305" s="31"/>
      <c r="OI305" s="31"/>
      <c r="OJ305" s="31"/>
      <c r="OK305" s="31"/>
      <c r="OL305" s="31"/>
      <c r="OM305" s="31"/>
      <c r="ON305" s="31"/>
      <c r="OO305" s="31"/>
      <c r="OP305" s="31"/>
      <c r="OQ305" s="31"/>
      <c r="OR305" s="31"/>
      <c r="OS305" s="31"/>
      <c r="OT305" s="31"/>
      <c r="OU305" s="31"/>
      <c r="OV305" s="31"/>
      <c r="OW305" s="31"/>
      <c r="OX305" s="31"/>
    </row>
    <row r="306" spans="2:414" s="25" customFormat="1" ht="15.6">
      <c r="B306" s="25" t="s">
        <v>468</v>
      </c>
      <c r="C306" s="27" t="s">
        <v>469</v>
      </c>
      <c r="D306" s="30" t="s">
        <v>465</v>
      </c>
      <c r="G306" s="42">
        <v>500</v>
      </c>
      <c r="H306" s="89">
        <v>26.109000000000002</v>
      </c>
      <c r="I306" s="38">
        <f t="shared" si="96"/>
        <v>13054.5</v>
      </c>
      <c r="K306" s="42">
        <v>500</v>
      </c>
      <c r="L306" s="90">
        <v>26.849599999999999</v>
      </c>
      <c r="M306" s="38">
        <f t="shared" si="97"/>
        <v>13424.8</v>
      </c>
      <c r="O306" s="38">
        <v>80</v>
      </c>
      <c r="P306" s="38">
        <v>26.728300000000001</v>
      </c>
      <c r="Q306" s="38">
        <f t="shared" si="98"/>
        <v>2138.2640000000001</v>
      </c>
      <c r="R306" s="43">
        <f t="shared" si="94"/>
        <v>1080</v>
      </c>
      <c r="S306" s="38">
        <f t="shared" si="99"/>
        <v>28617.563999999998</v>
      </c>
      <c r="T306" s="49">
        <v>415</v>
      </c>
      <c r="U306" s="42">
        <v>26.109000000000002</v>
      </c>
      <c r="V306" s="38">
        <f t="shared" si="107"/>
        <v>10835.235000000001</v>
      </c>
      <c r="W306" s="42">
        <v>85</v>
      </c>
      <c r="X306" s="42">
        <v>26.109000000000002</v>
      </c>
      <c r="Y306" s="42">
        <f t="shared" si="110"/>
        <v>2219.2650000000003</v>
      </c>
      <c r="Z306" s="42">
        <v>120</v>
      </c>
      <c r="AA306" s="42">
        <v>26.891200000000001</v>
      </c>
      <c r="AB306" s="42">
        <f t="shared" si="108"/>
        <v>3226.944</v>
      </c>
      <c r="AD306" s="42">
        <v>85</v>
      </c>
      <c r="AE306" s="42">
        <v>26.903700000000001</v>
      </c>
      <c r="AF306" s="42">
        <f t="shared" si="109"/>
        <v>2286.8145</v>
      </c>
      <c r="AG306" s="42"/>
      <c r="AH306" s="42">
        <v>40</v>
      </c>
      <c r="AI306" s="42">
        <v>26.794699999999999</v>
      </c>
      <c r="AJ306" s="42">
        <f t="shared" si="106"/>
        <v>1071.788</v>
      </c>
      <c r="AL306" s="42">
        <v>22</v>
      </c>
      <c r="AM306" s="42">
        <v>26.790600000000001</v>
      </c>
      <c r="AN306" s="42">
        <f t="shared" si="105"/>
        <v>589.39319999999998</v>
      </c>
      <c r="AO306" s="44"/>
      <c r="AP306" s="42">
        <v>500</v>
      </c>
      <c r="AQ306" s="42"/>
      <c r="AR306" s="42"/>
      <c r="AT306" s="25">
        <v>100</v>
      </c>
      <c r="AU306" s="98">
        <v>26.795400000000001</v>
      </c>
      <c r="AV306" s="35">
        <f t="shared" si="111"/>
        <v>2679.54</v>
      </c>
      <c r="AW306" s="104"/>
      <c r="AX306" s="42">
        <v>100</v>
      </c>
      <c r="AY306" s="42">
        <v>26.7807</v>
      </c>
      <c r="AZ306" s="42">
        <f t="shared" si="92"/>
        <v>2678.07</v>
      </c>
      <c r="BA306" s="42"/>
      <c r="BB306" s="42">
        <v>4</v>
      </c>
      <c r="BC306" s="42">
        <v>26.795400000000001</v>
      </c>
      <c r="BD306" s="38">
        <f t="shared" si="100"/>
        <v>107.1816</v>
      </c>
      <c r="BE306" s="42"/>
      <c r="BF306" s="42"/>
      <c r="BG306" s="42"/>
      <c r="BH306" s="38">
        <f t="shared" si="101"/>
        <v>0</v>
      </c>
      <c r="BI306" s="42"/>
      <c r="BJ306" s="42"/>
      <c r="BK306" s="42"/>
      <c r="BL306" s="38">
        <f t="shared" si="102"/>
        <v>0</v>
      </c>
      <c r="BM306" s="42"/>
      <c r="BN306" s="42"/>
      <c r="BO306" s="42"/>
      <c r="BP306" s="42"/>
      <c r="BR306" s="42">
        <f t="shared" si="103"/>
        <v>25694.231299999999</v>
      </c>
      <c r="BS306" s="43">
        <f t="shared" si="104"/>
        <v>2923.332699999999</v>
      </c>
      <c r="BT306" s="42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  <c r="FM306" s="31"/>
      <c r="FN306" s="31"/>
      <c r="FO306" s="31"/>
      <c r="FP306" s="31"/>
      <c r="FQ306" s="31"/>
      <c r="FR306" s="31"/>
      <c r="FS306" s="31"/>
      <c r="FT306" s="31"/>
      <c r="FU306" s="31"/>
      <c r="FV306" s="31"/>
      <c r="FW306" s="31"/>
      <c r="FX306" s="31"/>
      <c r="FY306" s="31"/>
      <c r="FZ306" s="31"/>
      <c r="GA306" s="31"/>
      <c r="GB306" s="31"/>
      <c r="GC306" s="31"/>
      <c r="GD306" s="31"/>
      <c r="GE306" s="31"/>
      <c r="GF306" s="31"/>
      <c r="GG306" s="31"/>
      <c r="GH306" s="31"/>
      <c r="GI306" s="31"/>
      <c r="GJ306" s="31"/>
      <c r="GK306" s="31"/>
      <c r="GL306" s="31"/>
      <c r="GM306" s="31"/>
      <c r="GN306" s="31"/>
      <c r="GO306" s="31"/>
      <c r="GP306" s="31"/>
      <c r="GQ306" s="31"/>
      <c r="GR306" s="31"/>
      <c r="GS306" s="31"/>
      <c r="GT306" s="31"/>
      <c r="GU306" s="31"/>
      <c r="GV306" s="31"/>
      <c r="GW306" s="31"/>
      <c r="GX306" s="31"/>
      <c r="GY306" s="31"/>
      <c r="GZ306" s="31"/>
      <c r="HA306" s="31"/>
      <c r="HB306" s="31"/>
      <c r="HC306" s="31"/>
      <c r="HD306" s="31"/>
      <c r="HE306" s="31"/>
      <c r="HF306" s="31"/>
      <c r="HG306" s="31"/>
      <c r="HH306" s="31"/>
      <c r="HI306" s="31"/>
      <c r="HJ306" s="31"/>
      <c r="HK306" s="31"/>
      <c r="HL306" s="31"/>
      <c r="HM306" s="31"/>
      <c r="HN306" s="31"/>
      <c r="HO306" s="31"/>
      <c r="HP306" s="31"/>
      <c r="HQ306" s="31"/>
      <c r="HR306" s="31"/>
      <c r="HS306" s="31"/>
      <c r="HT306" s="31"/>
      <c r="HU306" s="31"/>
      <c r="HV306" s="31"/>
      <c r="HW306" s="31"/>
      <c r="HX306" s="31"/>
      <c r="HY306" s="31"/>
      <c r="HZ306" s="31"/>
      <c r="IA306" s="31"/>
      <c r="IB306" s="31"/>
      <c r="IC306" s="31"/>
      <c r="ID306" s="31"/>
      <c r="IE306" s="31"/>
      <c r="IF306" s="31"/>
      <c r="IG306" s="31"/>
      <c r="IH306" s="31"/>
      <c r="II306" s="31"/>
      <c r="IJ306" s="31"/>
      <c r="IK306" s="31"/>
      <c r="IL306" s="31"/>
      <c r="IM306" s="31"/>
      <c r="IN306" s="31"/>
      <c r="IO306" s="31"/>
      <c r="IP306" s="31"/>
      <c r="IQ306" s="31"/>
      <c r="IR306" s="31"/>
      <c r="IS306" s="31"/>
      <c r="IT306" s="31"/>
      <c r="IU306" s="31"/>
      <c r="IV306" s="31"/>
      <c r="IW306" s="31"/>
      <c r="IX306" s="31"/>
      <c r="IY306" s="31"/>
      <c r="IZ306" s="31"/>
      <c r="JA306" s="31"/>
      <c r="JB306" s="31"/>
      <c r="JC306" s="31"/>
      <c r="JD306" s="31"/>
      <c r="JE306" s="31"/>
      <c r="JF306" s="31"/>
      <c r="JG306" s="31"/>
      <c r="JH306" s="31"/>
      <c r="JI306" s="31"/>
      <c r="JJ306" s="31"/>
      <c r="JK306" s="31"/>
      <c r="JL306" s="31"/>
      <c r="JM306" s="31"/>
      <c r="JN306" s="31"/>
      <c r="JO306" s="31"/>
      <c r="JP306" s="31"/>
      <c r="JQ306" s="31"/>
      <c r="JR306" s="31"/>
      <c r="JS306" s="31"/>
      <c r="JT306" s="31"/>
      <c r="JU306" s="31"/>
      <c r="JV306" s="31"/>
      <c r="JW306" s="31"/>
      <c r="JX306" s="31"/>
      <c r="JY306" s="31"/>
      <c r="JZ306" s="31"/>
      <c r="KA306" s="31"/>
      <c r="KB306" s="31"/>
      <c r="KC306" s="31"/>
      <c r="KD306" s="31"/>
      <c r="KE306" s="31"/>
      <c r="KF306" s="31"/>
      <c r="KG306" s="31"/>
      <c r="KH306" s="31"/>
      <c r="KI306" s="31"/>
      <c r="KJ306" s="31"/>
      <c r="KK306" s="31"/>
      <c r="KL306" s="31"/>
      <c r="KM306" s="31"/>
      <c r="KN306" s="31"/>
      <c r="KO306" s="31"/>
      <c r="KP306" s="31"/>
      <c r="KQ306" s="31"/>
      <c r="KR306" s="31"/>
      <c r="KS306" s="31"/>
      <c r="KT306" s="31"/>
      <c r="KU306" s="31"/>
      <c r="KV306" s="31"/>
      <c r="KW306" s="31"/>
      <c r="KX306" s="31"/>
      <c r="KY306" s="31"/>
      <c r="KZ306" s="31"/>
      <c r="LA306" s="31"/>
      <c r="LB306" s="31"/>
      <c r="LC306" s="31"/>
      <c r="LD306" s="31"/>
      <c r="LE306" s="31"/>
      <c r="LF306" s="31"/>
      <c r="LG306" s="31"/>
      <c r="LH306" s="31"/>
      <c r="LI306" s="31"/>
      <c r="LJ306" s="31"/>
      <c r="LK306" s="31"/>
      <c r="LL306" s="31"/>
      <c r="LM306" s="31"/>
      <c r="LN306" s="31"/>
      <c r="LO306" s="31"/>
      <c r="LP306" s="31"/>
      <c r="LQ306" s="31"/>
      <c r="LR306" s="31"/>
      <c r="LS306" s="31"/>
      <c r="LT306" s="31"/>
      <c r="LU306" s="31"/>
      <c r="LV306" s="31"/>
      <c r="LW306" s="31"/>
      <c r="LX306" s="31"/>
      <c r="LY306" s="31"/>
      <c r="LZ306" s="31"/>
      <c r="MA306" s="31"/>
      <c r="MB306" s="31"/>
      <c r="MC306" s="31"/>
      <c r="MD306" s="31"/>
      <c r="ME306" s="31"/>
      <c r="MF306" s="31"/>
      <c r="MG306" s="31"/>
      <c r="MH306" s="31"/>
      <c r="MI306" s="31"/>
      <c r="MJ306" s="31"/>
      <c r="MK306" s="31"/>
      <c r="ML306" s="31"/>
      <c r="MM306" s="31"/>
      <c r="MN306" s="31"/>
      <c r="MO306" s="31"/>
      <c r="MP306" s="31"/>
      <c r="MQ306" s="31"/>
      <c r="MR306" s="31"/>
      <c r="MS306" s="31"/>
      <c r="MT306" s="31"/>
      <c r="MU306" s="31"/>
      <c r="MV306" s="31"/>
      <c r="MW306" s="31"/>
      <c r="MX306" s="31"/>
      <c r="MY306" s="31"/>
      <c r="MZ306" s="31"/>
      <c r="NA306" s="31"/>
      <c r="NB306" s="31"/>
      <c r="NC306" s="31"/>
      <c r="ND306" s="31"/>
      <c r="NE306" s="31"/>
      <c r="NF306" s="31"/>
      <c r="NG306" s="31"/>
      <c r="NH306" s="31"/>
      <c r="NI306" s="31"/>
      <c r="NJ306" s="31"/>
      <c r="NK306" s="31"/>
      <c r="NL306" s="31"/>
      <c r="NM306" s="31"/>
      <c r="NN306" s="31"/>
      <c r="NO306" s="31"/>
      <c r="NP306" s="31"/>
      <c r="NQ306" s="31"/>
      <c r="NR306" s="31"/>
      <c r="NS306" s="31"/>
      <c r="NT306" s="31"/>
      <c r="NU306" s="31"/>
      <c r="NV306" s="31"/>
      <c r="NW306" s="31"/>
      <c r="NX306" s="31"/>
      <c r="NY306" s="31"/>
      <c r="NZ306" s="31"/>
      <c r="OA306" s="31"/>
      <c r="OB306" s="31"/>
      <c r="OC306" s="31"/>
      <c r="OD306" s="31"/>
      <c r="OE306" s="31"/>
      <c r="OF306" s="31"/>
      <c r="OG306" s="31"/>
      <c r="OH306" s="31"/>
      <c r="OI306" s="31"/>
      <c r="OJ306" s="31"/>
      <c r="OK306" s="31"/>
      <c r="OL306" s="31"/>
      <c r="OM306" s="31"/>
      <c r="ON306" s="31"/>
      <c r="OO306" s="31"/>
      <c r="OP306" s="31"/>
      <c r="OQ306" s="31"/>
      <c r="OR306" s="31"/>
      <c r="OS306" s="31"/>
      <c r="OT306" s="31"/>
      <c r="OU306" s="31"/>
      <c r="OV306" s="31"/>
      <c r="OW306" s="31"/>
      <c r="OX306" s="31"/>
    </row>
    <row r="307" spans="2:414" s="25" customFormat="1" ht="15.6">
      <c r="B307" s="25" t="s">
        <v>470</v>
      </c>
      <c r="C307" s="27" t="s">
        <v>471</v>
      </c>
      <c r="D307" s="30" t="s">
        <v>465</v>
      </c>
      <c r="G307" s="42">
        <v>500</v>
      </c>
      <c r="H307" s="89">
        <v>26.109000000000002</v>
      </c>
      <c r="I307" s="38">
        <f t="shared" si="96"/>
        <v>13054.5</v>
      </c>
      <c r="K307" s="42">
        <v>500</v>
      </c>
      <c r="L307" s="90">
        <v>26.849599999999999</v>
      </c>
      <c r="M307" s="38">
        <f t="shared" si="97"/>
        <v>13424.8</v>
      </c>
      <c r="O307" s="38">
        <v>80</v>
      </c>
      <c r="P307" s="38">
        <v>26.728300000000001</v>
      </c>
      <c r="Q307" s="38">
        <f t="shared" si="98"/>
        <v>2138.2640000000001</v>
      </c>
      <c r="R307" s="43">
        <f t="shared" si="94"/>
        <v>1080</v>
      </c>
      <c r="S307" s="38">
        <f t="shared" si="99"/>
        <v>28617.563999999998</v>
      </c>
      <c r="T307" s="49">
        <v>415</v>
      </c>
      <c r="U307" s="42">
        <v>26.0579</v>
      </c>
      <c r="V307" s="38">
        <f t="shared" si="107"/>
        <v>10814.0285</v>
      </c>
      <c r="W307" s="42"/>
      <c r="X307" s="42"/>
      <c r="Y307" s="42">
        <f t="shared" si="110"/>
        <v>0</v>
      </c>
      <c r="Z307" s="42"/>
      <c r="AA307" s="42"/>
      <c r="AB307" s="42">
        <f t="shared" si="108"/>
        <v>0</v>
      </c>
      <c r="AD307" s="42"/>
      <c r="AE307" s="42"/>
      <c r="AF307" s="42">
        <f t="shared" si="109"/>
        <v>0</v>
      </c>
      <c r="AG307" s="42"/>
      <c r="AH307" s="42"/>
      <c r="AI307" s="42"/>
      <c r="AJ307" s="42">
        <f t="shared" si="106"/>
        <v>0</v>
      </c>
      <c r="AL307" s="42"/>
      <c r="AM307" s="42"/>
      <c r="AN307" s="42">
        <f t="shared" si="105"/>
        <v>0</v>
      </c>
      <c r="AO307" s="44"/>
      <c r="AP307" s="42"/>
      <c r="AQ307" s="42"/>
      <c r="AR307" s="42"/>
      <c r="AU307" s="98"/>
      <c r="AV307" s="35">
        <f t="shared" si="111"/>
        <v>0</v>
      </c>
      <c r="AW307" s="104"/>
      <c r="AX307" s="42"/>
      <c r="AY307" s="42"/>
      <c r="AZ307" s="42">
        <f t="shared" si="92"/>
        <v>0</v>
      </c>
      <c r="BA307" s="42"/>
      <c r="BB307" s="42"/>
      <c r="BC307" s="42"/>
      <c r="BD307" s="38">
        <f t="shared" si="100"/>
        <v>0</v>
      </c>
      <c r="BE307" s="42"/>
      <c r="BF307" s="42"/>
      <c r="BG307" s="42"/>
      <c r="BH307" s="38">
        <f t="shared" si="101"/>
        <v>0</v>
      </c>
      <c r="BI307" s="42"/>
      <c r="BJ307" s="42"/>
      <c r="BK307" s="42"/>
      <c r="BL307" s="38">
        <f t="shared" si="102"/>
        <v>0</v>
      </c>
      <c r="BM307" s="42"/>
      <c r="BN307" s="42"/>
      <c r="BO307" s="42"/>
      <c r="BP307" s="42"/>
      <c r="BR307" s="42">
        <f t="shared" si="103"/>
        <v>10814.0285</v>
      </c>
      <c r="BS307" s="43">
        <f t="shared" si="104"/>
        <v>17803.535499999998</v>
      </c>
      <c r="BT307" s="42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  <c r="FM307" s="31"/>
      <c r="FN307" s="31"/>
      <c r="FO307" s="31"/>
      <c r="FP307" s="31"/>
      <c r="FQ307" s="31"/>
      <c r="FR307" s="31"/>
      <c r="FS307" s="31"/>
      <c r="FT307" s="31"/>
      <c r="FU307" s="31"/>
      <c r="FV307" s="31"/>
      <c r="FW307" s="31"/>
      <c r="FX307" s="31"/>
      <c r="FY307" s="31"/>
      <c r="FZ307" s="31"/>
      <c r="GA307" s="31"/>
      <c r="GB307" s="31"/>
      <c r="GC307" s="31"/>
      <c r="GD307" s="31"/>
      <c r="GE307" s="31"/>
      <c r="GF307" s="31"/>
      <c r="GG307" s="31"/>
      <c r="GH307" s="31"/>
      <c r="GI307" s="31"/>
      <c r="GJ307" s="31"/>
      <c r="GK307" s="31"/>
      <c r="GL307" s="31"/>
      <c r="GM307" s="31"/>
      <c r="GN307" s="31"/>
      <c r="GO307" s="31"/>
      <c r="GP307" s="31"/>
      <c r="GQ307" s="31"/>
      <c r="GR307" s="31"/>
      <c r="GS307" s="31"/>
      <c r="GT307" s="31"/>
      <c r="GU307" s="31"/>
      <c r="GV307" s="31"/>
      <c r="GW307" s="31"/>
      <c r="GX307" s="31"/>
      <c r="GY307" s="31"/>
      <c r="GZ307" s="31"/>
      <c r="HA307" s="31"/>
      <c r="HB307" s="31"/>
      <c r="HC307" s="31"/>
      <c r="HD307" s="31"/>
      <c r="HE307" s="31"/>
      <c r="HF307" s="31"/>
      <c r="HG307" s="31"/>
      <c r="HH307" s="31"/>
      <c r="HI307" s="31"/>
      <c r="HJ307" s="31"/>
      <c r="HK307" s="31"/>
      <c r="HL307" s="31"/>
      <c r="HM307" s="31"/>
      <c r="HN307" s="31"/>
      <c r="HO307" s="31"/>
      <c r="HP307" s="31"/>
      <c r="HQ307" s="31"/>
      <c r="HR307" s="31"/>
      <c r="HS307" s="31"/>
      <c r="HT307" s="31"/>
      <c r="HU307" s="31"/>
      <c r="HV307" s="31"/>
      <c r="HW307" s="31"/>
      <c r="HX307" s="31"/>
      <c r="HY307" s="31"/>
      <c r="HZ307" s="31"/>
      <c r="IA307" s="31"/>
      <c r="IB307" s="31"/>
      <c r="IC307" s="31"/>
      <c r="ID307" s="31"/>
      <c r="IE307" s="31"/>
      <c r="IF307" s="31"/>
      <c r="IG307" s="31"/>
      <c r="IH307" s="31"/>
      <c r="II307" s="31"/>
      <c r="IJ307" s="31"/>
      <c r="IK307" s="31"/>
      <c r="IL307" s="31"/>
      <c r="IM307" s="31"/>
      <c r="IN307" s="31"/>
      <c r="IO307" s="31"/>
      <c r="IP307" s="31"/>
      <c r="IQ307" s="31"/>
      <c r="IR307" s="31"/>
      <c r="IS307" s="31"/>
      <c r="IT307" s="31"/>
      <c r="IU307" s="31"/>
      <c r="IV307" s="31"/>
      <c r="IW307" s="31"/>
      <c r="IX307" s="31"/>
      <c r="IY307" s="31"/>
      <c r="IZ307" s="31"/>
      <c r="JA307" s="31"/>
      <c r="JB307" s="31"/>
      <c r="JC307" s="31"/>
      <c r="JD307" s="31"/>
      <c r="JE307" s="31"/>
      <c r="JF307" s="31"/>
      <c r="JG307" s="31"/>
      <c r="JH307" s="31"/>
      <c r="JI307" s="31"/>
      <c r="JJ307" s="31"/>
      <c r="JK307" s="31"/>
      <c r="JL307" s="31"/>
      <c r="JM307" s="31"/>
      <c r="JN307" s="31"/>
      <c r="JO307" s="31"/>
      <c r="JP307" s="31"/>
      <c r="JQ307" s="31"/>
      <c r="JR307" s="31"/>
      <c r="JS307" s="31"/>
      <c r="JT307" s="31"/>
      <c r="JU307" s="31"/>
      <c r="JV307" s="31"/>
      <c r="JW307" s="31"/>
      <c r="JX307" s="31"/>
      <c r="JY307" s="31"/>
      <c r="JZ307" s="31"/>
      <c r="KA307" s="31"/>
      <c r="KB307" s="31"/>
      <c r="KC307" s="31"/>
      <c r="KD307" s="31"/>
      <c r="KE307" s="31"/>
      <c r="KF307" s="31"/>
      <c r="KG307" s="31"/>
      <c r="KH307" s="31"/>
      <c r="KI307" s="31"/>
      <c r="KJ307" s="31"/>
      <c r="KK307" s="31"/>
      <c r="KL307" s="31"/>
      <c r="KM307" s="31"/>
      <c r="KN307" s="31"/>
      <c r="KO307" s="31"/>
      <c r="KP307" s="31"/>
      <c r="KQ307" s="31"/>
      <c r="KR307" s="31"/>
      <c r="KS307" s="31"/>
      <c r="KT307" s="31"/>
      <c r="KU307" s="31"/>
      <c r="KV307" s="31"/>
      <c r="KW307" s="31"/>
      <c r="KX307" s="31"/>
      <c r="KY307" s="31"/>
      <c r="KZ307" s="31"/>
      <c r="LA307" s="31"/>
      <c r="LB307" s="31"/>
      <c r="LC307" s="31"/>
      <c r="LD307" s="31"/>
      <c r="LE307" s="31"/>
      <c r="LF307" s="31"/>
      <c r="LG307" s="31"/>
      <c r="LH307" s="31"/>
      <c r="LI307" s="31"/>
      <c r="LJ307" s="31"/>
      <c r="LK307" s="31"/>
      <c r="LL307" s="31"/>
      <c r="LM307" s="31"/>
      <c r="LN307" s="31"/>
      <c r="LO307" s="31"/>
      <c r="LP307" s="31"/>
      <c r="LQ307" s="31"/>
      <c r="LR307" s="31"/>
      <c r="LS307" s="31"/>
      <c r="LT307" s="31"/>
      <c r="LU307" s="31"/>
      <c r="LV307" s="31"/>
      <c r="LW307" s="31"/>
      <c r="LX307" s="31"/>
      <c r="LY307" s="31"/>
      <c r="LZ307" s="31"/>
      <c r="MA307" s="31"/>
      <c r="MB307" s="31"/>
      <c r="MC307" s="31"/>
      <c r="MD307" s="31"/>
      <c r="ME307" s="31"/>
      <c r="MF307" s="31"/>
      <c r="MG307" s="31"/>
      <c r="MH307" s="31"/>
      <c r="MI307" s="31"/>
      <c r="MJ307" s="31"/>
      <c r="MK307" s="31"/>
      <c r="ML307" s="31"/>
      <c r="MM307" s="31"/>
      <c r="MN307" s="31"/>
      <c r="MO307" s="31"/>
      <c r="MP307" s="31"/>
      <c r="MQ307" s="31"/>
      <c r="MR307" s="31"/>
      <c r="MS307" s="31"/>
      <c r="MT307" s="31"/>
      <c r="MU307" s="31"/>
      <c r="MV307" s="31"/>
      <c r="MW307" s="31"/>
      <c r="MX307" s="31"/>
      <c r="MY307" s="31"/>
      <c r="MZ307" s="31"/>
      <c r="NA307" s="31"/>
      <c r="NB307" s="31"/>
      <c r="NC307" s="31"/>
      <c r="ND307" s="31"/>
      <c r="NE307" s="31"/>
      <c r="NF307" s="31"/>
      <c r="NG307" s="31"/>
      <c r="NH307" s="31"/>
      <c r="NI307" s="31"/>
      <c r="NJ307" s="31"/>
      <c r="NK307" s="31"/>
      <c r="NL307" s="31"/>
      <c r="NM307" s="31"/>
      <c r="NN307" s="31"/>
      <c r="NO307" s="31"/>
      <c r="NP307" s="31"/>
      <c r="NQ307" s="31"/>
      <c r="NR307" s="31"/>
      <c r="NS307" s="31"/>
      <c r="NT307" s="31"/>
      <c r="NU307" s="31"/>
      <c r="NV307" s="31"/>
      <c r="NW307" s="31"/>
      <c r="NX307" s="31"/>
      <c r="NY307" s="31"/>
      <c r="NZ307" s="31"/>
      <c r="OA307" s="31"/>
      <c r="OB307" s="31"/>
      <c r="OC307" s="31"/>
      <c r="OD307" s="31"/>
      <c r="OE307" s="31"/>
      <c r="OF307" s="31"/>
      <c r="OG307" s="31"/>
      <c r="OH307" s="31"/>
      <c r="OI307" s="31"/>
      <c r="OJ307" s="31"/>
      <c r="OK307" s="31"/>
      <c r="OL307" s="31"/>
      <c r="OM307" s="31"/>
      <c r="ON307" s="31"/>
      <c r="OO307" s="31"/>
      <c r="OP307" s="31"/>
      <c r="OQ307" s="31"/>
      <c r="OR307" s="31"/>
      <c r="OS307" s="31"/>
      <c r="OT307" s="31"/>
      <c r="OU307" s="31"/>
      <c r="OV307" s="31"/>
      <c r="OW307" s="31"/>
      <c r="OX307" s="31"/>
    </row>
    <row r="308" spans="2:414" s="25" customFormat="1" ht="15.6">
      <c r="B308" s="25" t="s">
        <v>175</v>
      </c>
      <c r="C308" s="27" t="s">
        <v>176</v>
      </c>
      <c r="D308" s="30" t="s">
        <v>465</v>
      </c>
      <c r="G308" s="42">
        <v>500</v>
      </c>
      <c r="H308" s="89">
        <v>26.109000000000002</v>
      </c>
      <c r="I308" s="38">
        <f t="shared" si="96"/>
        <v>13054.5</v>
      </c>
      <c r="K308" s="42">
        <v>500</v>
      </c>
      <c r="L308" s="90">
        <v>26.849599999999999</v>
      </c>
      <c r="M308" s="38">
        <f t="shared" si="97"/>
        <v>13424.8</v>
      </c>
      <c r="O308" s="38">
        <v>80</v>
      </c>
      <c r="P308" s="38">
        <v>26.728300000000001</v>
      </c>
      <c r="Q308" s="38">
        <f t="shared" si="98"/>
        <v>2138.2640000000001</v>
      </c>
      <c r="R308" s="43">
        <f t="shared" si="94"/>
        <v>1080</v>
      </c>
      <c r="S308" s="38">
        <f t="shared" si="99"/>
        <v>28617.563999999998</v>
      </c>
      <c r="T308" s="49">
        <v>250</v>
      </c>
      <c r="U308" s="42"/>
      <c r="V308" s="38">
        <f t="shared" si="107"/>
        <v>0</v>
      </c>
      <c r="W308" s="42">
        <v>85</v>
      </c>
      <c r="X308" s="42">
        <v>26.283100000000001</v>
      </c>
      <c r="Y308" s="42">
        <f t="shared" si="110"/>
        <v>2234.0635000000002</v>
      </c>
      <c r="Z308" s="42"/>
      <c r="AA308" s="42"/>
      <c r="AB308" s="42">
        <f t="shared" si="108"/>
        <v>0</v>
      </c>
      <c r="AD308" s="42"/>
      <c r="AE308" s="42"/>
      <c r="AF308" s="42">
        <f t="shared" si="109"/>
        <v>0</v>
      </c>
      <c r="AG308" s="42"/>
      <c r="AH308" s="42"/>
      <c r="AI308" s="42"/>
      <c r="AJ308" s="42">
        <f t="shared" si="106"/>
        <v>0</v>
      </c>
      <c r="AL308" s="42"/>
      <c r="AM308" s="42"/>
      <c r="AN308" s="42">
        <f t="shared" si="105"/>
        <v>0</v>
      </c>
      <c r="AO308" s="44"/>
      <c r="AP308" s="42"/>
      <c r="AQ308" s="42"/>
      <c r="AR308" s="42"/>
      <c r="AU308" s="98"/>
      <c r="AV308" s="35">
        <f t="shared" si="111"/>
        <v>0</v>
      </c>
      <c r="AW308" s="104"/>
      <c r="AX308" s="42"/>
      <c r="AY308" s="42"/>
      <c r="AZ308" s="42">
        <f t="shared" si="92"/>
        <v>0</v>
      </c>
      <c r="BA308" s="42"/>
      <c r="BB308" s="42"/>
      <c r="BC308" s="42"/>
      <c r="BD308" s="38">
        <f t="shared" si="100"/>
        <v>0</v>
      </c>
      <c r="BE308" s="42"/>
      <c r="BF308" s="42"/>
      <c r="BG308" s="42"/>
      <c r="BH308" s="38">
        <f t="shared" si="101"/>
        <v>0</v>
      </c>
      <c r="BI308" s="42"/>
      <c r="BJ308" s="42"/>
      <c r="BK308" s="42"/>
      <c r="BL308" s="38">
        <f t="shared" si="102"/>
        <v>0</v>
      </c>
      <c r="BM308" s="42"/>
      <c r="BN308" s="42"/>
      <c r="BO308" s="42"/>
      <c r="BP308" s="42"/>
      <c r="BR308" s="42">
        <f t="shared" si="103"/>
        <v>2234.0635000000002</v>
      </c>
      <c r="BS308" s="43">
        <f t="shared" si="104"/>
        <v>26383.500499999998</v>
      </c>
      <c r="BT308" s="42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  <c r="FM308" s="31"/>
      <c r="FN308" s="31"/>
      <c r="FO308" s="31"/>
      <c r="FP308" s="31"/>
      <c r="FQ308" s="31"/>
      <c r="FR308" s="31"/>
      <c r="FS308" s="31"/>
      <c r="FT308" s="31"/>
      <c r="FU308" s="31"/>
      <c r="FV308" s="31"/>
      <c r="FW308" s="31"/>
      <c r="FX308" s="31"/>
      <c r="FY308" s="31"/>
      <c r="FZ308" s="31"/>
      <c r="GA308" s="31"/>
      <c r="GB308" s="31"/>
      <c r="GC308" s="31"/>
      <c r="GD308" s="31"/>
      <c r="GE308" s="31"/>
      <c r="GF308" s="31"/>
      <c r="GG308" s="31"/>
      <c r="GH308" s="31"/>
      <c r="GI308" s="31"/>
      <c r="GJ308" s="31"/>
      <c r="GK308" s="31"/>
      <c r="GL308" s="31"/>
      <c r="GM308" s="31"/>
      <c r="GN308" s="31"/>
      <c r="GO308" s="31"/>
      <c r="GP308" s="31"/>
      <c r="GQ308" s="31"/>
      <c r="GR308" s="31"/>
      <c r="GS308" s="31"/>
      <c r="GT308" s="31"/>
      <c r="GU308" s="31"/>
      <c r="GV308" s="31"/>
      <c r="GW308" s="31"/>
      <c r="GX308" s="31"/>
      <c r="GY308" s="31"/>
      <c r="GZ308" s="31"/>
      <c r="HA308" s="31"/>
      <c r="HB308" s="31"/>
      <c r="HC308" s="31"/>
      <c r="HD308" s="31"/>
      <c r="HE308" s="31"/>
      <c r="HF308" s="31"/>
      <c r="HG308" s="31"/>
      <c r="HH308" s="31"/>
      <c r="HI308" s="31"/>
      <c r="HJ308" s="31"/>
      <c r="HK308" s="31"/>
      <c r="HL308" s="31"/>
      <c r="HM308" s="31"/>
      <c r="HN308" s="31"/>
      <c r="HO308" s="31"/>
      <c r="HP308" s="31"/>
      <c r="HQ308" s="31"/>
      <c r="HR308" s="31"/>
      <c r="HS308" s="31"/>
      <c r="HT308" s="31"/>
      <c r="HU308" s="31"/>
      <c r="HV308" s="31"/>
      <c r="HW308" s="31"/>
      <c r="HX308" s="31"/>
      <c r="HY308" s="31"/>
      <c r="HZ308" s="31"/>
      <c r="IA308" s="31"/>
      <c r="IB308" s="31"/>
      <c r="IC308" s="31"/>
      <c r="ID308" s="31"/>
      <c r="IE308" s="31"/>
      <c r="IF308" s="31"/>
      <c r="IG308" s="31"/>
      <c r="IH308" s="31"/>
      <c r="II308" s="31"/>
      <c r="IJ308" s="31"/>
      <c r="IK308" s="31"/>
      <c r="IL308" s="31"/>
      <c r="IM308" s="31"/>
      <c r="IN308" s="31"/>
      <c r="IO308" s="31"/>
      <c r="IP308" s="31"/>
      <c r="IQ308" s="31"/>
      <c r="IR308" s="31"/>
      <c r="IS308" s="31"/>
      <c r="IT308" s="31"/>
      <c r="IU308" s="31"/>
      <c r="IV308" s="31"/>
      <c r="IW308" s="31"/>
      <c r="IX308" s="31"/>
      <c r="IY308" s="31"/>
      <c r="IZ308" s="31"/>
      <c r="JA308" s="31"/>
      <c r="JB308" s="31"/>
      <c r="JC308" s="31"/>
      <c r="JD308" s="31"/>
      <c r="JE308" s="31"/>
      <c r="JF308" s="31"/>
      <c r="JG308" s="31"/>
      <c r="JH308" s="31"/>
      <c r="JI308" s="31"/>
      <c r="JJ308" s="31"/>
      <c r="JK308" s="31"/>
      <c r="JL308" s="31"/>
      <c r="JM308" s="31"/>
      <c r="JN308" s="31"/>
      <c r="JO308" s="31"/>
      <c r="JP308" s="31"/>
      <c r="JQ308" s="31"/>
      <c r="JR308" s="31"/>
      <c r="JS308" s="31"/>
      <c r="JT308" s="31"/>
      <c r="JU308" s="31"/>
      <c r="JV308" s="31"/>
      <c r="JW308" s="31"/>
      <c r="JX308" s="31"/>
      <c r="JY308" s="31"/>
      <c r="JZ308" s="31"/>
      <c r="KA308" s="31"/>
      <c r="KB308" s="31"/>
      <c r="KC308" s="31"/>
      <c r="KD308" s="31"/>
      <c r="KE308" s="31"/>
      <c r="KF308" s="31"/>
      <c r="KG308" s="31"/>
      <c r="KH308" s="31"/>
      <c r="KI308" s="31"/>
      <c r="KJ308" s="31"/>
      <c r="KK308" s="31"/>
      <c r="KL308" s="31"/>
      <c r="KM308" s="31"/>
      <c r="KN308" s="31"/>
      <c r="KO308" s="31"/>
      <c r="KP308" s="31"/>
      <c r="KQ308" s="31"/>
      <c r="KR308" s="31"/>
      <c r="KS308" s="31"/>
      <c r="KT308" s="31"/>
      <c r="KU308" s="31"/>
      <c r="KV308" s="31"/>
      <c r="KW308" s="31"/>
      <c r="KX308" s="31"/>
      <c r="KY308" s="31"/>
      <c r="KZ308" s="31"/>
      <c r="LA308" s="31"/>
      <c r="LB308" s="31"/>
      <c r="LC308" s="31"/>
      <c r="LD308" s="31"/>
      <c r="LE308" s="31"/>
      <c r="LF308" s="31"/>
      <c r="LG308" s="31"/>
      <c r="LH308" s="31"/>
      <c r="LI308" s="31"/>
      <c r="LJ308" s="31"/>
      <c r="LK308" s="31"/>
      <c r="LL308" s="31"/>
      <c r="LM308" s="31"/>
      <c r="LN308" s="31"/>
      <c r="LO308" s="31"/>
      <c r="LP308" s="31"/>
      <c r="LQ308" s="31"/>
      <c r="LR308" s="31"/>
      <c r="LS308" s="31"/>
      <c r="LT308" s="31"/>
      <c r="LU308" s="31"/>
      <c r="LV308" s="31"/>
      <c r="LW308" s="31"/>
      <c r="LX308" s="31"/>
      <c r="LY308" s="31"/>
      <c r="LZ308" s="31"/>
      <c r="MA308" s="31"/>
      <c r="MB308" s="31"/>
      <c r="MC308" s="31"/>
      <c r="MD308" s="31"/>
      <c r="ME308" s="31"/>
      <c r="MF308" s="31"/>
      <c r="MG308" s="31"/>
      <c r="MH308" s="31"/>
      <c r="MI308" s="31"/>
      <c r="MJ308" s="31"/>
      <c r="MK308" s="31"/>
      <c r="ML308" s="31"/>
      <c r="MM308" s="31"/>
      <c r="MN308" s="31"/>
      <c r="MO308" s="31"/>
      <c r="MP308" s="31"/>
      <c r="MQ308" s="31"/>
      <c r="MR308" s="31"/>
      <c r="MS308" s="31"/>
      <c r="MT308" s="31"/>
      <c r="MU308" s="31"/>
      <c r="MV308" s="31"/>
      <c r="MW308" s="31"/>
      <c r="MX308" s="31"/>
      <c r="MY308" s="31"/>
      <c r="MZ308" s="31"/>
      <c r="NA308" s="31"/>
      <c r="NB308" s="31"/>
      <c r="NC308" s="31"/>
      <c r="ND308" s="31"/>
      <c r="NE308" s="31"/>
      <c r="NF308" s="31"/>
      <c r="NG308" s="31"/>
      <c r="NH308" s="31"/>
      <c r="NI308" s="31"/>
      <c r="NJ308" s="31"/>
      <c r="NK308" s="31"/>
      <c r="NL308" s="31"/>
      <c r="NM308" s="31"/>
      <c r="NN308" s="31"/>
      <c r="NO308" s="31"/>
      <c r="NP308" s="31"/>
      <c r="NQ308" s="31"/>
      <c r="NR308" s="31"/>
      <c r="NS308" s="31"/>
      <c r="NT308" s="31"/>
      <c r="NU308" s="31"/>
      <c r="NV308" s="31"/>
      <c r="NW308" s="31"/>
      <c r="NX308" s="31"/>
      <c r="NY308" s="31"/>
      <c r="NZ308" s="31"/>
      <c r="OA308" s="31"/>
      <c r="OB308" s="31"/>
      <c r="OC308" s="31"/>
      <c r="OD308" s="31"/>
      <c r="OE308" s="31"/>
      <c r="OF308" s="31"/>
      <c r="OG308" s="31"/>
      <c r="OH308" s="31"/>
      <c r="OI308" s="31"/>
      <c r="OJ308" s="31"/>
      <c r="OK308" s="31"/>
      <c r="OL308" s="31"/>
      <c r="OM308" s="31"/>
      <c r="ON308" s="31"/>
      <c r="OO308" s="31"/>
      <c r="OP308" s="31"/>
      <c r="OQ308" s="31"/>
      <c r="OR308" s="31"/>
      <c r="OS308" s="31"/>
      <c r="OT308" s="31"/>
      <c r="OU308" s="31"/>
      <c r="OV308" s="31"/>
      <c r="OW308" s="31"/>
      <c r="OX308" s="31"/>
    </row>
    <row r="309" spans="2:414" s="25" customFormat="1" ht="15.6">
      <c r="B309" s="25" t="s">
        <v>472</v>
      </c>
      <c r="C309" s="27" t="s">
        <v>473</v>
      </c>
      <c r="D309" s="30" t="s">
        <v>465</v>
      </c>
      <c r="G309" s="42">
        <v>500</v>
      </c>
      <c r="H309" s="89">
        <v>26.109000000000002</v>
      </c>
      <c r="I309" s="38">
        <f t="shared" si="96"/>
        <v>13054.5</v>
      </c>
      <c r="K309" s="42">
        <v>500</v>
      </c>
      <c r="L309" s="90">
        <v>26.849599999999999</v>
      </c>
      <c r="M309" s="38">
        <f t="shared" si="97"/>
        <v>13424.8</v>
      </c>
      <c r="O309" s="38">
        <v>80</v>
      </c>
      <c r="P309" s="38">
        <v>26.728300000000001</v>
      </c>
      <c r="Q309" s="38">
        <f t="shared" si="98"/>
        <v>2138.2640000000001</v>
      </c>
      <c r="R309" s="43">
        <f t="shared" si="94"/>
        <v>1080</v>
      </c>
      <c r="S309" s="38">
        <f t="shared" si="99"/>
        <v>28617.563999999998</v>
      </c>
      <c r="T309" s="49">
        <v>415</v>
      </c>
      <c r="U309" s="42">
        <v>25.883199999999999</v>
      </c>
      <c r="V309" s="38">
        <f t="shared" si="107"/>
        <v>10741.528</v>
      </c>
      <c r="W309" s="42">
        <v>85</v>
      </c>
      <c r="X309" s="42">
        <v>26.283100000000001</v>
      </c>
      <c r="Y309" s="42">
        <f t="shared" si="110"/>
        <v>2234.0635000000002</v>
      </c>
      <c r="Z309" s="42">
        <v>400</v>
      </c>
      <c r="AA309" s="42">
        <v>26.869499999999999</v>
      </c>
      <c r="AB309" s="42">
        <f t="shared" si="108"/>
        <v>10747.8</v>
      </c>
      <c r="AD309" s="42">
        <v>100</v>
      </c>
      <c r="AE309" s="42">
        <v>26.8307</v>
      </c>
      <c r="AF309" s="42">
        <f t="shared" si="109"/>
        <v>2683.07</v>
      </c>
      <c r="AG309" s="42"/>
      <c r="AH309" s="42"/>
      <c r="AI309" s="42"/>
      <c r="AJ309" s="42">
        <f t="shared" si="106"/>
        <v>0</v>
      </c>
      <c r="AL309" s="42"/>
      <c r="AM309" s="42"/>
      <c r="AN309" s="42">
        <f t="shared" si="105"/>
        <v>0</v>
      </c>
      <c r="AO309" s="44"/>
      <c r="AP309" s="42"/>
      <c r="AQ309" s="42"/>
      <c r="AR309" s="42"/>
      <c r="AU309" s="98"/>
      <c r="AV309" s="35">
        <f t="shared" si="111"/>
        <v>0</v>
      </c>
      <c r="AW309" s="104"/>
      <c r="AX309" s="42"/>
      <c r="AY309" s="42"/>
      <c r="AZ309" s="42">
        <f t="shared" si="92"/>
        <v>0</v>
      </c>
      <c r="BA309" s="42"/>
      <c r="BB309" s="42"/>
      <c r="BC309" s="42"/>
      <c r="BD309" s="38">
        <f t="shared" si="100"/>
        <v>0</v>
      </c>
      <c r="BE309" s="42"/>
      <c r="BF309" s="42"/>
      <c r="BG309" s="42"/>
      <c r="BH309" s="38">
        <f t="shared" si="101"/>
        <v>0</v>
      </c>
      <c r="BI309" s="42"/>
      <c r="BJ309" s="42"/>
      <c r="BK309" s="42"/>
      <c r="BL309" s="38">
        <f t="shared" si="102"/>
        <v>0</v>
      </c>
      <c r="BM309" s="42"/>
      <c r="BN309" s="42"/>
      <c r="BO309" s="42"/>
      <c r="BP309" s="42"/>
      <c r="BR309" s="42">
        <f t="shared" si="103"/>
        <v>26406.461499999998</v>
      </c>
      <c r="BS309" s="43">
        <f t="shared" si="104"/>
        <v>2211.1025000000009</v>
      </c>
      <c r="BT309" s="42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  <c r="FM309" s="31"/>
      <c r="FN309" s="31"/>
      <c r="FO309" s="31"/>
      <c r="FP309" s="31"/>
      <c r="FQ309" s="31"/>
      <c r="FR309" s="31"/>
      <c r="FS309" s="31"/>
      <c r="FT309" s="31"/>
      <c r="FU309" s="31"/>
      <c r="FV309" s="31"/>
      <c r="FW309" s="31"/>
      <c r="FX309" s="31"/>
      <c r="FY309" s="31"/>
      <c r="FZ309" s="31"/>
      <c r="GA309" s="31"/>
      <c r="GB309" s="31"/>
      <c r="GC309" s="31"/>
      <c r="GD309" s="31"/>
      <c r="GE309" s="31"/>
      <c r="GF309" s="31"/>
      <c r="GG309" s="31"/>
      <c r="GH309" s="31"/>
      <c r="GI309" s="31"/>
      <c r="GJ309" s="31"/>
      <c r="GK309" s="31"/>
      <c r="GL309" s="31"/>
      <c r="GM309" s="31"/>
      <c r="GN309" s="31"/>
      <c r="GO309" s="31"/>
      <c r="GP309" s="31"/>
      <c r="GQ309" s="31"/>
      <c r="GR309" s="31"/>
      <c r="GS309" s="31"/>
      <c r="GT309" s="31"/>
      <c r="GU309" s="31"/>
      <c r="GV309" s="31"/>
      <c r="GW309" s="31"/>
      <c r="GX309" s="31"/>
      <c r="GY309" s="31"/>
      <c r="GZ309" s="31"/>
      <c r="HA309" s="31"/>
      <c r="HB309" s="31"/>
      <c r="HC309" s="31"/>
      <c r="HD309" s="31"/>
      <c r="HE309" s="31"/>
      <c r="HF309" s="31"/>
      <c r="HG309" s="31"/>
      <c r="HH309" s="31"/>
      <c r="HI309" s="31"/>
      <c r="HJ309" s="31"/>
      <c r="HK309" s="31"/>
      <c r="HL309" s="31"/>
      <c r="HM309" s="31"/>
      <c r="HN309" s="31"/>
      <c r="HO309" s="31"/>
      <c r="HP309" s="31"/>
      <c r="HQ309" s="31"/>
      <c r="HR309" s="31"/>
      <c r="HS309" s="31"/>
      <c r="HT309" s="31"/>
      <c r="HU309" s="31"/>
      <c r="HV309" s="31"/>
      <c r="HW309" s="31"/>
      <c r="HX309" s="31"/>
      <c r="HY309" s="31"/>
      <c r="HZ309" s="31"/>
      <c r="IA309" s="31"/>
      <c r="IB309" s="31"/>
      <c r="IC309" s="31"/>
      <c r="ID309" s="31"/>
      <c r="IE309" s="31"/>
      <c r="IF309" s="31"/>
      <c r="IG309" s="31"/>
      <c r="IH309" s="31"/>
      <c r="II309" s="31"/>
      <c r="IJ309" s="31"/>
      <c r="IK309" s="31"/>
      <c r="IL309" s="31"/>
      <c r="IM309" s="31"/>
      <c r="IN309" s="31"/>
      <c r="IO309" s="31"/>
      <c r="IP309" s="31"/>
      <c r="IQ309" s="31"/>
      <c r="IR309" s="31"/>
      <c r="IS309" s="31"/>
      <c r="IT309" s="31"/>
      <c r="IU309" s="31"/>
      <c r="IV309" s="31"/>
      <c r="IW309" s="31"/>
      <c r="IX309" s="31"/>
      <c r="IY309" s="31"/>
      <c r="IZ309" s="31"/>
      <c r="JA309" s="31"/>
      <c r="JB309" s="31"/>
      <c r="JC309" s="31"/>
      <c r="JD309" s="31"/>
      <c r="JE309" s="31"/>
      <c r="JF309" s="31"/>
      <c r="JG309" s="31"/>
      <c r="JH309" s="31"/>
      <c r="JI309" s="31"/>
      <c r="JJ309" s="31"/>
      <c r="JK309" s="31"/>
      <c r="JL309" s="31"/>
      <c r="JM309" s="31"/>
      <c r="JN309" s="31"/>
      <c r="JO309" s="31"/>
      <c r="JP309" s="31"/>
      <c r="JQ309" s="31"/>
      <c r="JR309" s="31"/>
      <c r="JS309" s="31"/>
      <c r="JT309" s="31"/>
      <c r="JU309" s="31"/>
      <c r="JV309" s="31"/>
      <c r="JW309" s="31"/>
      <c r="JX309" s="31"/>
      <c r="JY309" s="31"/>
      <c r="JZ309" s="31"/>
      <c r="KA309" s="31"/>
      <c r="KB309" s="31"/>
      <c r="KC309" s="31"/>
      <c r="KD309" s="31"/>
      <c r="KE309" s="31"/>
      <c r="KF309" s="31"/>
      <c r="KG309" s="31"/>
      <c r="KH309" s="31"/>
      <c r="KI309" s="31"/>
      <c r="KJ309" s="31"/>
      <c r="KK309" s="31"/>
      <c r="KL309" s="31"/>
      <c r="KM309" s="31"/>
      <c r="KN309" s="31"/>
      <c r="KO309" s="31"/>
      <c r="KP309" s="31"/>
      <c r="KQ309" s="31"/>
      <c r="KR309" s="31"/>
      <c r="KS309" s="31"/>
      <c r="KT309" s="31"/>
      <c r="KU309" s="31"/>
      <c r="KV309" s="31"/>
      <c r="KW309" s="31"/>
      <c r="KX309" s="31"/>
      <c r="KY309" s="31"/>
      <c r="KZ309" s="31"/>
      <c r="LA309" s="31"/>
      <c r="LB309" s="31"/>
      <c r="LC309" s="31"/>
      <c r="LD309" s="31"/>
      <c r="LE309" s="31"/>
      <c r="LF309" s="31"/>
      <c r="LG309" s="31"/>
      <c r="LH309" s="31"/>
      <c r="LI309" s="31"/>
      <c r="LJ309" s="31"/>
      <c r="LK309" s="31"/>
      <c r="LL309" s="31"/>
      <c r="LM309" s="31"/>
      <c r="LN309" s="31"/>
      <c r="LO309" s="31"/>
      <c r="LP309" s="31"/>
      <c r="LQ309" s="31"/>
      <c r="LR309" s="31"/>
      <c r="LS309" s="31"/>
      <c r="LT309" s="31"/>
      <c r="LU309" s="31"/>
      <c r="LV309" s="31"/>
      <c r="LW309" s="31"/>
      <c r="LX309" s="31"/>
      <c r="LY309" s="31"/>
      <c r="LZ309" s="31"/>
      <c r="MA309" s="31"/>
      <c r="MB309" s="31"/>
      <c r="MC309" s="31"/>
      <c r="MD309" s="31"/>
      <c r="ME309" s="31"/>
      <c r="MF309" s="31"/>
      <c r="MG309" s="31"/>
      <c r="MH309" s="31"/>
      <c r="MI309" s="31"/>
      <c r="MJ309" s="31"/>
      <c r="MK309" s="31"/>
      <c r="ML309" s="31"/>
      <c r="MM309" s="31"/>
      <c r="MN309" s="31"/>
      <c r="MO309" s="31"/>
      <c r="MP309" s="31"/>
      <c r="MQ309" s="31"/>
      <c r="MR309" s="31"/>
      <c r="MS309" s="31"/>
      <c r="MT309" s="31"/>
      <c r="MU309" s="31"/>
      <c r="MV309" s="31"/>
      <c r="MW309" s="31"/>
      <c r="MX309" s="31"/>
      <c r="MY309" s="31"/>
      <c r="MZ309" s="31"/>
      <c r="NA309" s="31"/>
      <c r="NB309" s="31"/>
      <c r="NC309" s="31"/>
      <c r="ND309" s="31"/>
      <c r="NE309" s="31"/>
      <c r="NF309" s="31"/>
      <c r="NG309" s="31"/>
      <c r="NH309" s="31"/>
      <c r="NI309" s="31"/>
      <c r="NJ309" s="31"/>
      <c r="NK309" s="31"/>
      <c r="NL309" s="31"/>
      <c r="NM309" s="31"/>
      <c r="NN309" s="31"/>
      <c r="NO309" s="31"/>
      <c r="NP309" s="31"/>
      <c r="NQ309" s="31"/>
      <c r="NR309" s="31"/>
      <c r="NS309" s="31"/>
      <c r="NT309" s="31"/>
      <c r="NU309" s="31"/>
      <c r="NV309" s="31"/>
      <c r="NW309" s="31"/>
      <c r="NX309" s="31"/>
      <c r="NY309" s="31"/>
      <c r="NZ309" s="31"/>
      <c r="OA309" s="31"/>
      <c r="OB309" s="31"/>
      <c r="OC309" s="31"/>
      <c r="OD309" s="31"/>
      <c r="OE309" s="31"/>
      <c r="OF309" s="31"/>
      <c r="OG309" s="31"/>
      <c r="OH309" s="31"/>
      <c r="OI309" s="31"/>
      <c r="OJ309" s="31"/>
      <c r="OK309" s="31"/>
      <c r="OL309" s="31"/>
      <c r="OM309" s="31"/>
      <c r="ON309" s="31"/>
      <c r="OO309" s="31"/>
      <c r="OP309" s="31"/>
      <c r="OQ309" s="31"/>
      <c r="OR309" s="31"/>
      <c r="OS309" s="31"/>
      <c r="OT309" s="31"/>
      <c r="OU309" s="31"/>
      <c r="OV309" s="31"/>
      <c r="OW309" s="31"/>
      <c r="OX309" s="31"/>
    </row>
    <row r="310" spans="2:414" s="25" customFormat="1" ht="15.6">
      <c r="B310" s="25" t="s">
        <v>371</v>
      </c>
      <c r="C310" s="27" t="s">
        <v>304</v>
      </c>
      <c r="D310" s="30" t="s">
        <v>465</v>
      </c>
      <c r="G310" s="42">
        <v>500</v>
      </c>
      <c r="H310" s="89">
        <v>26.109000000000002</v>
      </c>
      <c r="I310" s="38">
        <f t="shared" si="96"/>
        <v>13054.5</v>
      </c>
      <c r="K310" s="42">
        <v>500</v>
      </c>
      <c r="L310" s="90">
        <v>26.849599999999999</v>
      </c>
      <c r="M310" s="38">
        <f t="shared" si="97"/>
        <v>13424.8</v>
      </c>
      <c r="O310" s="38">
        <v>80</v>
      </c>
      <c r="P310" s="38">
        <v>26.728300000000001</v>
      </c>
      <c r="Q310" s="38">
        <f t="shared" si="98"/>
        <v>2138.2640000000001</v>
      </c>
      <c r="R310" s="43">
        <f t="shared" si="94"/>
        <v>1080</v>
      </c>
      <c r="S310" s="38">
        <f t="shared" si="99"/>
        <v>28617.563999999998</v>
      </c>
      <c r="T310" s="49">
        <v>415</v>
      </c>
      <c r="U310" s="42">
        <v>26.261399999999998</v>
      </c>
      <c r="V310" s="38">
        <f t="shared" si="107"/>
        <v>10898.481</v>
      </c>
      <c r="W310" s="42">
        <v>85</v>
      </c>
      <c r="X310" s="42">
        <v>26.283100000000001</v>
      </c>
      <c r="Y310" s="42">
        <f t="shared" si="110"/>
        <v>2234.0635000000002</v>
      </c>
      <c r="Z310" s="42">
        <v>200</v>
      </c>
      <c r="AA310" s="42">
        <v>26.861899999999999</v>
      </c>
      <c r="AB310" s="42">
        <f t="shared" si="108"/>
        <v>5372.38</v>
      </c>
      <c r="AD310" s="42">
        <v>215</v>
      </c>
      <c r="AE310" s="42">
        <v>26.864000000000001</v>
      </c>
      <c r="AF310" s="42">
        <f t="shared" si="109"/>
        <v>5775.76</v>
      </c>
      <c r="AG310" s="42"/>
      <c r="AH310" s="42">
        <v>85</v>
      </c>
      <c r="AI310" s="42">
        <v>26.956099999999999</v>
      </c>
      <c r="AJ310" s="42">
        <f t="shared" si="106"/>
        <v>2291.2685000000001</v>
      </c>
      <c r="AL310" s="42"/>
      <c r="AM310" s="42"/>
      <c r="AN310" s="42">
        <f t="shared" si="105"/>
        <v>0</v>
      </c>
      <c r="AO310" s="44"/>
      <c r="AP310" s="42"/>
      <c r="AQ310" s="42"/>
      <c r="AR310" s="42"/>
      <c r="AU310" s="98"/>
      <c r="AV310" s="35">
        <f t="shared" si="111"/>
        <v>0</v>
      </c>
      <c r="AW310" s="104"/>
      <c r="AX310" s="42"/>
      <c r="AY310" s="42"/>
      <c r="AZ310" s="42">
        <f t="shared" si="92"/>
        <v>0</v>
      </c>
      <c r="BA310" s="42"/>
      <c r="BB310" s="42"/>
      <c r="BC310" s="42"/>
      <c r="BD310" s="38">
        <f t="shared" si="100"/>
        <v>0</v>
      </c>
      <c r="BE310" s="42"/>
      <c r="BF310" s="42"/>
      <c r="BG310" s="42"/>
      <c r="BH310" s="38">
        <f t="shared" si="101"/>
        <v>0</v>
      </c>
      <c r="BI310" s="42"/>
      <c r="BJ310" s="42"/>
      <c r="BK310" s="42"/>
      <c r="BL310" s="38">
        <f t="shared" si="102"/>
        <v>0</v>
      </c>
      <c r="BM310" s="42"/>
      <c r="BN310" s="42"/>
      <c r="BO310" s="42"/>
      <c r="BP310" s="42"/>
      <c r="BR310" s="42">
        <f t="shared" si="103"/>
        <v>26571.953000000001</v>
      </c>
      <c r="BS310" s="43">
        <f t="shared" si="104"/>
        <v>2045.6109999999971</v>
      </c>
      <c r="BT310" s="42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  <c r="FM310" s="31"/>
      <c r="FN310" s="31"/>
      <c r="FO310" s="31"/>
      <c r="FP310" s="31"/>
      <c r="FQ310" s="31"/>
      <c r="FR310" s="31"/>
      <c r="FS310" s="31"/>
      <c r="FT310" s="31"/>
      <c r="FU310" s="31"/>
      <c r="FV310" s="31"/>
      <c r="FW310" s="31"/>
      <c r="FX310" s="31"/>
      <c r="FY310" s="31"/>
      <c r="FZ310" s="31"/>
      <c r="GA310" s="31"/>
      <c r="GB310" s="31"/>
      <c r="GC310" s="31"/>
      <c r="GD310" s="31"/>
      <c r="GE310" s="31"/>
      <c r="GF310" s="31"/>
      <c r="GG310" s="31"/>
      <c r="GH310" s="31"/>
      <c r="GI310" s="31"/>
      <c r="GJ310" s="31"/>
      <c r="GK310" s="31"/>
      <c r="GL310" s="31"/>
      <c r="GM310" s="31"/>
      <c r="GN310" s="31"/>
      <c r="GO310" s="31"/>
      <c r="GP310" s="31"/>
      <c r="GQ310" s="31"/>
      <c r="GR310" s="31"/>
      <c r="GS310" s="31"/>
      <c r="GT310" s="31"/>
      <c r="GU310" s="31"/>
      <c r="GV310" s="31"/>
      <c r="GW310" s="31"/>
      <c r="GX310" s="31"/>
      <c r="GY310" s="31"/>
      <c r="GZ310" s="31"/>
      <c r="HA310" s="31"/>
      <c r="HB310" s="31"/>
      <c r="HC310" s="31"/>
      <c r="HD310" s="31"/>
      <c r="HE310" s="31"/>
      <c r="HF310" s="31"/>
      <c r="HG310" s="31"/>
      <c r="HH310" s="31"/>
      <c r="HI310" s="31"/>
      <c r="HJ310" s="31"/>
      <c r="HK310" s="31"/>
      <c r="HL310" s="31"/>
      <c r="HM310" s="31"/>
      <c r="HN310" s="31"/>
      <c r="HO310" s="31"/>
      <c r="HP310" s="31"/>
      <c r="HQ310" s="31"/>
      <c r="HR310" s="31"/>
      <c r="HS310" s="31"/>
      <c r="HT310" s="31"/>
      <c r="HU310" s="31"/>
      <c r="HV310" s="31"/>
      <c r="HW310" s="31"/>
      <c r="HX310" s="31"/>
      <c r="HY310" s="31"/>
      <c r="HZ310" s="31"/>
      <c r="IA310" s="31"/>
      <c r="IB310" s="31"/>
      <c r="IC310" s="31"/>
      <c r="ID310" s="31"/>
      <c r="IE310" s="31"/>
      <c r="IF310" s="31"/>
      <c r="IG310" s="31"/>
      <c r="IH310" s="31"/>
      <c r="II310" s="31"/>
      <c r="IJ310" s="31"/>
      <c r="IK310" s="31"/>
      <c r="IL310" s="31"/>
      <c r="IM310" s="31"/>
      <c r="IN310" s="31"/>
      <c r="IO310" s="31"/>
      <c r="IP310" s="31"/>
      <c r="IQ310" s="31"/>
      <c r="IR310" s="31"/>
      <c r="IS310" s="31"/>
      <c r="IT310" s="31"/>
      <c r="IU310" s="31"/>
      <c r="IV310" s="31"/>
      <c r="IW310" s="31"/>
      <c r="IX310" s="31"/>
      <c r="IY310" s="31"/>
      <c r="IZ310" s="31"/>
      <c r="JA310" s="31"/>
      <c r="JB310" s="31"/>
      <c r="JC310" s="31"/>
      <c r="JD310" s="31"/>
      <c r="JE310" s="31"/>
      <c r="JF310" s="31"/>
      <c r="JG310" s="31"/>
      <c r="JH310" s="31"/>
      <c r="JI310" s="31"/>
      <c r="JJ310" s="31"/>
      <c r="JK310" s="31"/>
      <c r="JL310" s="31"/>
      <c r="JM310" s="31"/>
      <c r="JN310" s="31"/>
      <c r="JO310" s="31"/>
      <c r="JP310" s="31"/>
      <c r="JQ310" s="31"/>
      <c r="JR310" s="31"/>
      <c r="JS310" s="31"/>
      <c r="JT310" s="31"/>
      <c r="JU310" s="31"/>
      <c r="JV310" s="31"/>
      <c r="JW310" s="31"/>
      <c r="JX310" s="31"/>
      <c r="JY310" s="31"/>
      <c r="JZ310" s="31"/>
      <c r="KA310" s="31"/>
      <c r="KB310" s="31"/>
      <c r="KC310" s="31"/>
      <c r="KD310" s="31"/>
      <c r="KE310" s="31"/>
      <c r="KF310" s="31"/>
      <c r="KG310" s="31"/>
      <c r="KH310" s="31"/>
      <c r="KI310" s="31"/>
      <c r="KJ310" s="31"/>
      <c r="KK310" s="31"/>
      <c r="KL310" s="31"/>
      <c r="KM310" s="31"/>
      <c r="KN310" s="31"/>
      <c r="KO310" s="31"/>
      <c r="KP310" s="31"/>
      <c r="KQ310" s="31"/>
      <c r="KR310" s="31"/>
      <c r="KS310" s="31"/>
      <c r="KT310" s="31"/>
      <c r="KU310" s="31"/>
      <c r="KV310" s="31"/>
      <c r="KW310" s="31"/>
      <c r="KX310" s="31"/>
      <c r="KY310" s="31"/>
      <c r="KZ310" s="31"/>
      <c r="LA310" s="31"/>
      <c r="LB310" s="31"/>
      <c r="LC310" s="31"/>
      <c r="LD310" s="31"/>
      <c r="LE310" s="31"/>
      <c r="LF310" s="31"/>
      <c r="LG310" s="31"/>
      <c r="LH310" s="31"/>
      <c r="LI310" s="31"/>
      <c r="LJ310" s="31"/>
      <c r="LK310" s="31"/>
      <c r="LL310" s="31"/>
      <c r="LM310" s="31"/>
      <c r="LN310" s="31"/>
      <c r="LO310" s="31"/>
      <c r="LP310" s="31"/>
      <c r="LQ310" s="31"/>
      <c r="LR310" s="31"/>
      <c r="LS310" s="31"/>
      <c r="LT310" s="31"/>
      <c r="LU310" s="31"/>
      <c r="LV310" s="31"/>
      <c r="LW310" s="31"/>
      <c r="LX310" s="31"/>
      <c r="LY310" s="31"/>
      <c r="LZ310" s="31"/>
      <c r="MA310" s="31"/>
      <c r="MB310" s="31"/>
      <c r="MC310" s="31"/>
      <c r="MD310" s="31"/>
      <c r="ME310" s="31"/>
      <c r="MF310" s="31"/>
      <c r="MG310" s="31"/>
      <c r="MH310" s="31"/>
      <c r="MI310" s="31"/>
      <c r="MJ310" s="31"/>
      <c r="MK310" s="31"/>
      <c r="ML310" s="31"/>
      <c r="MM310" s="31"/>
      <c r="MN310" s="31"/>
      <c r="MO310" s="31"/>
      <c r="MP310" s="31"/>
      <c r="MQ310" s="31"/>
      <c r="MR310" s="31"/>
      <c r="MS310" s="31"/>
      <c r="MT310" s="31"/>
      <c r="MU310" s="31"/>
      <c r="MV310" s="31"/>
      <c r="MW310" s="31"/>
      <c r="MX310" s="31"/>
      <c r="MY310" s="31"/>
      <c r="MZ310" s="31"/>
      <c r="NA310" s="31"/>
      <c r="NB310" s="31"/>
      <c r="NC310" s="31"/>
      <c r="ND310" s="31"/>
      <c r="NE310" s="31"/>
      <c r="NF310" s="31"/>
      <c r="NG310" s="31"/>
      <c r="NH310" s="31"/>
      <c r="NI310" s="31"/>
      <c r="NJ310" s="31"/>
      <c r="NK310" s="31"/>
      <c r="NL310" s="31"/>
      <c r="NM310" s="31"/>
      <c r="NN310" s="31"/>
      <c r="NO310" s="31"/>
      <c r="NP310" s="31"/>
      <c r="NQ310" s="31"/>
      <c r="NR310" s="31"/>
      <c r="NS310" s="31"/>
      <c r="NT310" s="31"/>
      <c r="NU310" s="31"/>
      <c r="NV310" s="31"/>
      <c r="NW310" s="31"/>
      <c r="NX310" s="31"/>
      <c r="NY310" s="31"/>
      <c r="NZ310" s="31"/>
      <c r="OA310" s="31"/>
      <c r="OB310" s="31"/>
      <c r="OC310" s="31"/>
      <c r="OD310" s="31"/>
      <c r="OE310" s="31"/>
      <c r="OF310" s="31"/>
      <c r="OG310" s="31"/>
      <c r="OH310" s="31"/>
      <c r="OI310" s="31"/>
      <c r="OJ310" s="31"/>
      <c r="OK310" s="31"/>
      <c r="OL310" s="31"/>
      <c r="OM310" s="31"/>
      <c r="ON310" s="31"/>
      <c r="OO310" s="31"/>
      <c r="OP310" s="31"/>
      <c r="OQ310" s="31"/>
      <c r="OR310" s="31"/>
      <c r="OS310" s="31"/>
      <c r="OT310" s="31"/>
      <c r="OU310" s="31"/>
      <c r="OV310" s="31"/>
      <c r="OW310" s="31"/>
      <c r="OX310" s="31"/>
    </row>
    <row r="311" spans="2:414" s="25" customFormat="1" ht="15.6">
      <c r="B311" s="25" t="s">
        <v>474</v>
      </c>
      <c r="C311" s="27" t="s">
        <v>475</v>
      </c>
      <c r="D311" s="30" t="s">
        <v>465</v>
      </c>
      <c r="G311" s="42">
        <v>500</v>
      </c>
      <c r="H311" s="89">
        <v>26.109000000000002</v>
      </c>
      <c r="I311" s="38">
        <f t="shared" si="96"/>
        <v>13054.5</v>
      </c>
      <c r="K311" s="42">
        <v>500</v>
      </c>
      <c r="L311" s="90">
        <v>26.849599999999999</v>
      </c>
      <c r="M311" s="38">
        <f t="shared" si="97"/>
        <v>13424.8</v>
      </c>
      <c r="O311" s="38">
        <v>80</v>
      </c>
      <c r="P311" s="38">
        <v>26.728300000000001</v>
      </c>
      <c r="Q311" s="38">
        <f t="shared" si="98"/>
        <v>2138.2640000000001</v>
      </c>
      <c r="R311" s="43">
        <f t="shared" si="94"/>
        <v>1080</v>
      </c>
      <c r="S311" s="38">
        <f t="shared" si="99"/>
        <v>28617.563999999998</v>
      </c>
      <c r="T311" s="49">
        <v>500</v>
      </c>
      <c r="U311" s="42">
        <v>26.261399999999998</v>
      </c>
      <c r="V311" s="38">
        <f t="shared" si="107"/>
        <v>13130.699999999999</v>
      </c>
      <c r="W311" s="42">
        <v>250</v>
      </c>
      <c r="X311" s="42">
        <v>26.885300000000001</v>
      </c>
      <c r="Y311" s="42">
        <f t="shared" si="110"/>
        <v>6721.3249999999998</v>
      </c>
      <c r="Z311" s="42">
        <v>100</v>
      </c>
      <c r="AA311" s="42">
        <v>26.9312</v>
      </c>
      <c r="AB311" s="42">
        <f t="shared" si="108"/>
        <v>2693.12</v>
      </c>
      <c r="AD311" s="42">
        <v>150</v>
      </c>
      <c r="AE311" s="42">
        <v>26.9312</v>
      </c>
      <c r="AF311" s="42">
        <f t="shared" si="109"/>
        <v>4039.6800000000003</v>
      </c>
      <c r="AG311" s="42"/>
      <c r="AH311" s="42"/>
      <c r="AI311" s="42"/>
      <c r="AJ311" s="42">
        <f t="shared" si="106"/>
        <v>0</v>
      </c>
      <c r="AL311" s="42"/>
      <c r="AM311" s="42"/>
      <c r="AN311" s="42">
        <f t="shared" si="105"/>
        <v>0</v>
      </c>
      <c r="AO311" s="44"/>
      <c r="AP311" s="42"/>
      <c r="AQ311" s="42"/>
      <c r="AR311" s="42"/>
      <c r="AU311" s="98"/>
      <c r="AV311" s="35">
        <f t="shared" si="111"/>
        <v>0</v>
      </c>
      <c r="AW311" s="104"/>
      <c r="AX311" s="42"/>
      <c r="AY311" s="42"/>
      <c r="AZ311" s="42">
        <f t="shared" si="92"/>
        <v>0</v>
      </c>
      <c r="BA311" s="42"/>
      <c r="BB311" s="42"/>
      <c r="BC311" s="42"/>
      <c r="BD311" s="38">
        <f t="shared" si="100"/>
        <v>0</v>
      </c>
      <c r="BE311" s="42"/>
      <c r="BF311" s="42"/>
      <c r="BG311" s="42"/>
      <c r="BH311" s="38">
        <f t="shared" si="101"/>
        <v>0</v>
      </c>
      <c r="BI311" s="42"/>
      <c r="BJ311" s="42"/>
      <c r="BK311" s="42"/>
      <c r="BL311" s="38">
        <f t="shared" si="102"/>
        <v>0</v>
      </c>
      <c r="BM311" s="42"/>
      <c r="BN311" s="42"/>
      <c r="BO311" s="42"/>
      <c r="BP311" s="42"/>
      <c r="BR311" s="42">
        <f t="shared" si="103"/>
        <v>26584.824999999997</v>
      </c>
      <c r="BS311" s="43">
        <f t="shared" si="104"/>
        <v>2032.7390000000014</v>
      </c>
      <c r="BT311" s="42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  <c r="FM311" s="31"/>
      <c r="FN311" s="31"/>
      <c r="FO311" s="31"/>
      <c r="FP311" s="31"/>
      <c r="FQ311" s="31"/>
      <c r="FR311" s="31"/>
      <c r="FS311" s="31"/>
      <c r="FT311" s="31"/>
      <c r="FU311" s="31"/>
      <c r="FV311" s="31"/>
      <c r="FW311" s="31"/>
      <c r="FX311" s="31"/>
      <c r="FY311" s="31"/>
      <c r="FZ311" s="31"/>
      <c r="GA311" s="31"/>
      <c r="GB311" s="31"/>
      <c r="GC311" s="31"/>
      <c r="GD311" s="31"/>
      <c r="GE311" s="31"/>
      <c r="GF311" s="31"/>
      <c r="GG311" s="31"/>
      <c r="GH311" s="31"/>
      <c r="GI311" s="31"/>
      <c r="GJ311" s="31"/>
      <c r="GK311" s="31"/>
      <c r="GL311" s="31"/>
      <c r="GM311" s="31"/>
      <c r="GN311" s="31"/>
      <c r="GO311" s="31"/>
      <c r="GP311" s="31"/>
      <c r="GQ311" s="31"/>
      <c r="GR311" s="31"/>
      <c r="GS311" s="31"/>
      <c r="GT311" s="31"/>
      <c r="GU311" s="31"/>
      <c r="GV311" s="31"/>
      <c r="GW311" s="31"/>
      <c r="GX311" s="31"/>
      <c r="GY311" s="31"/>
      <c r="GZ311" s="31"/>
      <c r="HA311" s="31"/>
      <c r="HB311" s="31"/>
      <c r="HC311" s="31"/>
      <c r="HD311" s="31"/>
      <c r="HE311" s="31"/>
      <c r="HF311" s="31"/>
      <c r="HG311" s="31"/>
      <c r="HH311" s="31"/>
      <c r="HI311" s="31"/>
      <c r="HJ311" s="31"/>
      <c r="HK311" s="31"/>
      <c r="HL311" s="31"/>
      <c r="HM311" s="31"/>
      <c r="HN311" s="31"/>
      <c r="HO311" s="31"/>
      <c r="HP311" s="31"/>
      <c r="HQ311" s="31"/>
      <c r="HR311" s="31"/>
      <c r="HS311" s="31"/>
      <c r="HT311" s="31"/>
      <c r="HU311" s="31"/>
      <c r="HV311" s="31"/>
      <c r="HW311" s="31"/>
      <c r="HX311" s="31"/>
      <c r="HY311" s="31"/>
      <c r="HZ311" s="31"/>
      <c r="IA311" s="31"/>
      <c r="IB311" s="31"/>
      <c r="IC311" s="31"/>
      <c r="ID311" s="31"/>
      <c r="IE311" s="31"/>
      <c r="IF311" s="31"/>
      <c r="IG311" s="31"/>
      <c r="IH311" s="31"/>
      <c r="II311" s="31"/>
      <c r="IJ311" s="31"/>
      <c r="IK311" s="31"/>
      <c r="IL311" s="31"/>
      <c r="IM311" s="31"/>
      <c r="IN311" s="31"/>
      <c r="IO311" s="31"/>
      <c r="IP311" s="31"/>
      <c r="IQ311" s="31"/>
      <c r="IR311" s="31"/>
      <c r="IS311" s="31"/>
      <c r="IT311" s="31"/>
      <c r="IU311" s="31"/>
      <c r="IV311" s="31"/>
      <c r="IW311" s="31"/>
      <c r="IX311" s="31"/>
      <c r="IY311" s="31"/>
      <c r="IZ311" s="31"/>
      <c r="JA311" s="31"/>
      <c r="JB311" s="31"/>
      <c r="JC311" s="31"/>
      <c r="JD311" s="31"/>
      <c r="JE311" s="31"/>
      <c r="JF311" s="31"/>
      <c r="JG311" s="31"/>
      <c r="JH311" s="31"/>
      <c r="JI311" s="31"/>
      <c r="JJ311" s="31"/>
      <c r="JK311" s="31"/>
      <c r="JL311" s="31"/>
      <c r="JM311" s="31"/>
      <c r="JN311" s="31"/>
      <c r="JO311" s="31"/>
      <c r="JP311" s="31"/>
      <c r="JQ311" s="31"/>
      <c r="JR311" s="31"/>
      <c r="JS311" s="31"/>
      <c r="JT311" s="31"/>
      <c r="JU311" s="31"/>
      <c r="JV311" s="31"/>
      <c r="JW311" s="31"/>
      <c r="JX311" s="31"/>
      <c r="JY311" s="31"/>
      <c r="JZ311" s="31"/>
      <c r="KA311" s="31"/>
      <c r="KB311" s="31"/>
      <c r="KC311" s="31"/>
      <c r="KD311" s="31"/>
      <c r="KE311" s="31"/>
      <c r="KF311" s="31"/>
      <c r="KG311" s="31"/>
      <c r="KH311" s="31"/>
      <c r="KI311" s="31"/>
      <c r="KJ311" s="31"/>
      <c r="KK311" s="31"/>
      <c r="KL311" s="31"/>
      <c r="KM311" s="31"/>
      <c r="KN311" s="31"/>
      <c r="KO311" s="31"/>
      <c r="KP311" s="31"/>
      <c r="KQ311" s="31"/>
      <c r="KR311" s="31"/>
      <c r="KS311" s="31"/>
      <c r="KT311" s="31"/>
      <c r="KU311" s="31"/>
      <c r="KV311" s="31"/>
      <c r="KW311" s="31"/>
      <c r="KX311" s="31"/>
      <c r="KY311" s="31"/>
      <c r="KZ311" s="31"/>
      <c r="LA311" s="31"/>
      <c r="LB311" s="31"/>
      <c r="LC311" s="31"/>
      <c r="LD311" s="31"/>
      <c r="LE311" s="31"/>
      <c r="LF311" s="31"/>
      <c r="LG311" s="31"/>
      <c r="LH311" s="31"/>
      <c r="LI311" s="31"/>
      <c r="LJ311" s="31"/>
      <c r="LK311" s="31"/>
      <c r="LL311" s="31"/>
      <c r="LM311" s="31"/>
      <c r="LN311" s="31"/>
      <c r="LO311" s="31"/>
      <c r="LP311" s="31"/>
      <c r="LQ311" s="31"/>
      <c r="LR311" s="31"/>
      <c r="LS311" s="31"/>
      <c r="LT311" s="31"/>
      <c r="LU311" s="31"/>
      <c r="LV311" s="31"/>
      <c r="LW311" s="31"/>
      <c r="LX311" s="31"/>
      <c r="LY311" s="31"/>
      <c r="LZ311" s="31"/>
      <c r="MA311" s="31"/>
      <c r="MB311" s="31"/>
      <c r="MC311" s="31"/>
      <c r="MD311" s="31"/>
      <c r="ME311" s="31"/>
      <c r="MF311" s="31"/>
      <c r="MG311" s="31"/>
      <c r="MH311" s="31"/>
      <c r="MI311" s="31"/>
      <c r="MJ311" s="31"/>
      <c r="MK311" s="31"/>
      <c r="ML311" s="31"/>
      <c r="MM311" s="31"/>
      <c r="MN311" s="31"/>
      <c r="MO311" s="31"/>
      <c r="MP311" s="31"/>
      <c r="MQ311" s="31"/>
      <c r="MR311" s="31"/>
      <c r="MS311" s="31"/>
      <c r="MT311" s="31"/>
      <c r="MU311" s="31"/>
      <c r="MV311" s="31"/>
      <c r="MW311" s="31"/>
      <c r="MX311" s="31"/>
      <c r="MY311" s="31"/>
      <c r="MZ311" s="31"/>
      <c r="NA311" s="31"/>
      <c r="NB311" s="31"/>
      <c r="NC311" s="31"/>
      <c r="ND311" s="31"/>
      <c r="NE311" s="31"/>
      <c r="NF311" s="31"/>
      <c r="NG311" s="31"/>
      <c r="NH311" s="31"/>
      <c r="NI311" s="31"/>
      <c r="NJ311" s="31"/>
      <c r="NK311" s="31"/>
      <c r="NL311" s="31"/>
      <c r="NM311" s="31"/>
      <c r="NN311" s="31"/>
      <c r="NO311" s="31"/>
      <c r="NP311" s="31"/>
      <c r="NQ311" s="31"/>
      <c r="NR311" s="31"/>
      <c r="NS311" s="31"/>
      <c r="NT311" s="31"/>
      <c r="NU311" s="31"/>
      <c r="NV311" s="31"/>
      <c r="NW311" s="31"/>
      <c r="NX311" s="31"/>
      <c r="NY311" s="31"/>
      <c r="NZ311" s="31"/>
      <c r="OA311" s="31"/>
      <c r="OB311" s="31"/>
      <c r="OC311" s="31"/>
      <c r="OD311" s="31"/>
      <c r="OE311" s="31"/>
      <c r="OF311" s="31"/>
      <c r="OG311" s="31"/>
      <c r="OH311" s="31"/>
      <c r="OI311" s="31"/>
      <c r="OJ311" s="31"/>
      <c r="OK311" s="31"/>
      <c r="OL311" s="31"/>
      <c r="OM311" s="31"/>
      <c r="ON311" s="31"/>
      <c r="OO311" s="31"/>
      <c r="OP311" s="31"/>
      <c r="OQ311" s="31"/>
      <c r="OR311" s="31"/>
      <c r="OS311" s="31"/>
      <c r="OT311" s="31"/>
      <c r="OU311" s="31"/>
      <c r="OV311" s="31"/>
      <c r="OW311" s="31"/>
      <c r="OX311" s="31"/>
    </row>
    <row r="312" spans="2:414" s="25" customFormat="1" ht="15.6">
      <c r="B312" s="25" t="s">
        <v>476</v>
      </c>
      <c r="C312" s="27" t="s">
        <v>17</v>
      </c>
      <c r="D312" s="30" t="s">
        <v>465</v>
      </c>
      <c r="G312" s="42">
        <v>360</v>
      </c>
      <c r="H312" s="89">
        <v>26.109000000000002</v>
      </c>
      <c r="I312" s="38">
        <f t="shared" si="96"/>
        <v>9399.24</v>
      </c>
      <c r="K312" s="42">
        <v>360</v>
      </c>
      <c r="L312" s="90">
        <v>26.849599999999999</v>
      </c>
      <c r="M312" s="38">
        <f t="shared" si="97"/>
        <v>9665.8559999999998</v>
      </c>
      <c r="O312" s="38">
        <v>80</v>
      </c>
      <c r="P312" s="38">
        <v>26.728300000000001</v>
      </c>
      <c r="Q312" s="38">
        <f t="shared" si="98"/>
        <v>2138.2640000000001</v>
      </c>
      <c r="R312" s="43">
        <f t="shared" si="94"/>
        <v>800</v>
      </c>
      <c r="S312" s="38">
        <f t="shared" si="99"/>
        <v>21203.359999999997</v>
      </c>
      <c r="T312" s="49">
        <v>30</v>
      </c>
      <c r="U312" s="42">
        <v>26.3004</v>
      </c>
      <c r="V312" s="38">
        <f t="shared" si="107"/>
        <v>789.01199999999994</v>
      </c>
      <c r="W312" s="42">
        <v>70</v>
      </c>
      <c r="X312" s="42">
        <v>26.283100000000001</v>
      </c>
      <c r="Y312" s="42">
        <f t="shared" si="110"/>
        <v>1839.817</v>
      </c>
      <c r="Z312" s="42">
        <v>55</v>
      </c>
      <c r="AA312" s="42">
        <v>26.420999999999999</v>
      </c>
      <c r="AB312" s="42">
        <f t="shared" si="108"/>
        <v>1453.155</v>
      </c>
      <c r="AD312" s="42">
        <v>4000</v>
      </c>
      <c r="AE312" s="42"/>
      <c r="AF312" s="42">
        <f t="shared" si="109"/>
        <v>0</v>
      </c>
      <c r="AG312" s="42"/>
      <c r="AH312" s="42"/>
      <c r="AI312" s="42">
        <v>2456</v>
      </c>
      <c r="AJ312" s="42">
        <f t="shared" si="106"/>
        <v>0</v>
      </c>
      <c r="AL312" s="42"/>
      <c r="AM312" s="42"/>
      <c r="AN312" s="42">
        <v>4000</v>
      </c>
      <c r="AO312" s="44"/>
      <c r="AP312" s="42">
        <v>185</v>
      </c>
      <c r="AQ312" s="42">
        <v>26.974900000000002</v>
      </c>
      <c r="AR312" s="42"/>
      <c r="AT312" s="25">
        <v>87</v>
      </c>
      <c r="AU312" s="98">
        <v>26.974900000000002</v>
      </c>
      <c r="AV312" s="35">
        <f t="shared" si="111"/>
        <v>2346.8163</v>
      </c>
      <c r="AW312" s="104"/>
      <c r="AX312" s="42">
        <v>12</v>
      </c>
      <c r="AY312" s="42">
        <v>26.974900000000002</v>
      </c>
      <c r="AZ312" s="42">
        <f t="shared" si="92"/>
        <v>323.69880000000001</v>
      </c>
      <c r="BA312" s="42"/>
      <c r="BB312" s="42"/>
      <c r="BC312" s="42"/>
      <c r="BD312" s="38">
        <f t="shared" si="100"/>
        <v>0</v>
      </c>
      <c r="BE312" s="42"/>
      <c r="BF312" s="42"/>
      <c r="BG312" s="42"/>
      <c r="BH312" s="38">
        <f t="shared" si="101"/>
        <v>0</v>
      </c>
      <c r="BI312" s="42"/>
      <c r="BJ312" s="42"/>
      <c r="BK312" s="42"/>
      <c r="BL312" s="38">
        <f t="shared" si="102"/>
        <v>0</v>
      </c>
      <c r="BM312" s="42"/>
      <c r="BN312" s="42"/>
      <c r="BO312" s="42"/>
      <c r="BP312" s="42"/>
      <c r="BR312" s="42">
        <f t="shared" si="103"/>
        <v>10752.499099999999</v>
      </c>
      <c r="BS312" s="43">
        <f t="shared" si="104"/>
        <v>10450.860899999998</v>
      </c>
      <c r="BT312" s="42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  <c r="FM312" s="31"/>
      <c r="FN312" s="31"/>
      <c r="FO312" s="31"/>
      <c r="FP312" s="31"/>
      <c r="FQ312" s="31"/>
      <c r="FR312" s="31"/>
      <c r="FS312" s="31"/>
      <c r="FT312" s="31"/>
      <c r="FU312" s="31"/>
      <c r="FV312" s="31"/>
      <c r="FW312" s="31"/>
      <c r="FX312" s="31"/>
      <c r="FY312" s="31"/>
      <c r="FZ312" s="31"/>
      <c r="GA312" s="31"/>
      <c r="GB312" s="31"/>
      <c r="GC312" s="31"/>
      <c r="GD312" s="31"/>
      <c r="GE312" s="31"/>
      <c r="GF312" s="31"/>
      <c r="GG312" s="31"/>
      <c r="GH312" s="31"/>
      <c r="GI312" s="31"/>
      <c r="GJ312" s="31"/>
      <c r="GK312" s="31"/>
      <c r="GL312" s="31"/>
      <c r="GM312" s="31"/>
      <c r="GN312" s="31"/>
      <c r="GO312" s="31"/>
      <c r="GP312" s="31"/>
      <c r="GQ312" s="31"/>
      <c r="GR312" s="31"/>
      <c r="GS312" s="31"/>
      <c r="GT312" s="31"/>
      <c r="GU312" s="31"/>
      <c r="GV312" s="31"/>
      <c r="GW312" s="31"/>
      <c r="GX312" s="31"/>
      <c r="GY312" s="31"/>
      <c r="GZ312" s="31"/>
      <c r="HA312" s="31"/>
      <c r="HB312" s="31"/>
      <c r="HC312" s="31"/>
      <c r="HD312" s="31"/>
      <c r="HE312" s="31"/>
      <c r="HF312" s="31"/>
      <c r="HG312" s="31"/>
      <c r="HH312" s="31"/>
      <c r="HI312" s="31"/>
      <c r="HJ312" s="31"/>
      <c r="HK312" s="31"/>
      <c r="HL312" s="31"/>
      <c r="HM312" s="31"/>
      <c r="HN312" s="31"/>
      <c r="HO312" s="31"/>
      <c r="HP312" s="31"/>
      <c r="HQ312" s="31"/>
      <c r="HR312" s="31"/>
      <c r="HS312" s="31"/>
      <c r="HT312" s="31"/>
      <c r="HU312" s="31"/>
      <c r="HV312" s="31"/>
      <c r="HW312" s="31"/>
      <c r="HX312" s="31"/>
      <c r="HY312" s="31"/>
      <c r="HZ312" s="31"/>
      <c r="IA312" s="31"/>
      <c r="IB312" s="31"/>
      <c r="IC312" s="31"/>
      <c r="ID312" s="31"/>
      <c r="IE312" s="31"/>
      <c r="IF312" s="31"/>
      <c r="IG312" s="31"/>
      <c r="IH312" s="31"/>
      <c r="II312" s="31"/>
      <c r="IJ312" s="31"/>
      <c r="IK312" s="31"/>
      <c r="IL312" s="31"/>
      <c r="IM312" s="31"/>
      <c r="IN312" s="31"/>
      <c r="IO312" s="31"/>
      <c r="IP312" s="31"/>
      <c r="IQ312" s="31"/>
      <c r="IR312" s="31"/>
      <c r="IS312" s="31"/>
      <c r="IT312" s="31"/>
      <c r="IU312" s="31"/>
      <c r="IV312" s="31"/>
      <c r="IW312" s="31"/>
      <c r="IX312" s="31"/>
      <c r="IY312" s="31"/>
      <c r="IZ312" s="31"/>
      <c r="JA312" s="31"/>
      <c r="JB312" s="31"/>
      <c r="JC312" s="31"/>
      <c r="JD312" s="31"/>
      <c r="JE312" s="31"/>
      <c r="JF312" s="31"/>
      <c r="JG312" s="31"/>
      <c r="JH312" s="31"/>
      <c r="JI312" s="31"/>
      <c r="JJ312" s="31"/>
      <c r="JK312" s="31"/>
      <c r="JL312" s="31"/>
      <c r="JM312" s="31"/>
      <c r="JN312" s="31"/>
      <c r="JO312" s="31"/>
      <c r="JP312" s="31"/>
      <c r="JQ312" s="31"/>
      <c r="JR312" s="31"/>
      <c r="JS312" s="31"/>
      <c r="JT312" s="31"/>
      <c r="JU312" s="31"/>
      <c r="JV312" s="31"/>
      <c r="JW312" s="31"/>
      <c r="JX312" s="31"/>
      <c r="JY312" s="31"/>
      <c r="JZ312" s="31"/>
      <c r="KA312" s="31"/>
      <c r="KB312" s="31"/>
      <c r="KC312" s="31"/>
      <c r="KD312" s="31"/>
      <c r="KE312" s="31"/>
      <c r="KF312" s="31"/>
      <c r="KG312" s="31"/>
      <c r="KH312" s="31"/>
      <c r="KI312" s="31"/>
      <c r="KJ312" s="31"/>
      <c r="KK312" s="31"/>
      <c r="KL312" s="31"/>
      <c r="KM312" s="31"/>
      <c r="KN312" s="31"/>
      <c r="KO312" s="31"/>
      <c r="KP312" s="31"/>
      <c r="KQ312" s="31"/>
      <c r="KR312" s="31"/>
      <c r="KS312" s="31"/>
      <c r="KT312" s="31"/>
      <c r="KU312" s="31"/>
      <c r="KV312" s="31"/>
      <c r="KW312" s="31"/>
      <c r="KX312" s="31"/>
      <c r="KY312" s="31"/>
      <c r="KZ312" s="31"/>
      <c r="LA312" s="31"/>
      <c r="LB312" s="31"/>
      <c r="LC312" s="31"/>
      <c r="LD312" s="31"/>
      <c r="LE312" s="31"/>
      <c r="LF312" s="31"/>
      <c r="LG312" s="31"/>
      <c r="LH312" s="31"/>
      <c r="LI312" s="31"/>
      <c r="LJ312" s="31"/>
      <c r="LK312" s="31"/>
      <c r="LL312" s="31"/>
      <c r="LM312" s="31"/>
      <c r="LN312" s="31"/>
      <c r="LO312" s="31"/>
      <c r="LP312" s="31"/>
      <c r="LQ312" s="31"/>
      <c r="LR312" s="31"/>
      <c r="LS312" s="31"/>
      <c r="LT312" s="31"/>
      <c r="LU312" s="31"/>
      <c r="LV312" s="31"/>
      <c r="LW312" s="31"/>
      <c r="LX312" s="31"/>
      <c r="LY312" s="31"/>
      <c r="LZ312" s="31"/>
      <c r="MA312" s="31"/>
      <c r="MB312" s="31"/>
      <c r="MC312" s="31"/>
      <c r="MD312" s="31"/>
      <c r="ME312" s="31"/>
      <c r="MF312" s="31"/>
      <c r="MG312" s="31"/>
      <c r="MH312" s="31"/>
      <c r="MI312" s="31"/>
      <c r="MJ312" s="31"/>
      <c r="MK312" s="31"/>
      <c r="ML312" s="31"/>
      <c r="MM312" s="31"/>
      <c r="MN312" s="31"/>
      <c r="MO312" s="31"/>
      <c r="MP312" s="31"/>
      <c r="MQ312" s="31"/>
      <c r="MR312" s="31"/>
      <c r="MS312" s="31"/>
      <c r="MT312" s="31"/>
      <c r="MU312" s="31"/>
      <c r="MV312" s="31"/>
      <c r="MW312" s="31"/>
      <c r="MX312" s="31"/>
      <c r="MY312" s="31"/>
      <c r="MZ312" s="31"/>
      <c r="NA312" s="31"/>
      <c r="NB312" s="31"/>
      <c r="NC312" s="31"/>
      <c r="ND312" s="31"/>
      <c r="NE312" s="31"/>
      <c r="NF312" s="31"/>
      <c r="NG312" s="31"/>
      <c r="NH312" s="31"/>
      <c r="NI312" s="31"/>
      <c r="NJ312" s="31"/>
      <c r="NK312" s="31"/>
      <c r="NL312" s="31"/>
      <c r="NM312" s="31"/>
      <c r="NN312" s="31"/>
      <c r="NO312" s="31"/>
      <c r="NP312" s="31"/>
      <c r="NQ312" s="31"/>
      <c r="NR312" s="31"/>
      <c r="NS312" s="31"/>
      <c r="NT312" s="31"/>
      <c r="NU312" s="31"/>
      <c r="NV312" s="31"/>
      <c r="NW312" s="31"/>
      <c r="NX312" s="31"/>
      <c r="NY312" s="31"/>
      <c r="NZ312" s="31"/>
      <c r="OA312" s="31"/>
      <c r="OB312" s="31"/>
      <c r="OC312" s="31"/>
      <c r="OD312" s="31"/>
      <c r="OE312" s="31"/>
      <c r="OF312" s="31"/>
      <c r="OG312" s="31"/>
      <c r="OH312" s="31"/>
      <c r="OI312" s="31"/>
      <c r="OJ312" s="31"/>
      <c r="OK312" s="31"/>
      <c r="OL312" s="31"/>
      <c r="OM312" s="31"/>
      <c r="ON312" s="31"/>
      <c r="OO312" s="31"/>
      <c r="OP312" s="31"/>
      <c r="OQ312" s="31"/>
      <c r="OR312" s="31"/>
      <c r="OS312" s="31"/>
      <c r="OT312" s="31"/>
      <c r="OU312" s="31"/>
      <c r="OV312" s="31"/>
      <c r="OW312" s="31"/>
      <c r="OX312" s="31"/>
    </row>
    <row r="313" spans="2:414" s="25" customFormat="1" ht="15.6">
      <c r="B313" s="25" t="s">
        <v>477</v>
      </c>
      <c r="C313" s="27" t="s">
        <v>131</v>
      </c>
      <c r="D313" s="30" t="s">
        <v>465</v>
      </c>
      <c r="G313" s="42">
        <v>500</v>
      </c>
      <c r="H313" s="89">
        <v>26.109000000000002</v>
      </c>
      <c r="I313" s="38">
        <f t="shared" si="96"/>
        <v>13054.5</v>
      </c>
      <c r="K313" s="42">
        <v>500</v>
      </c>
      <c r="L313" s="90">
        <v>26.849599999999999</v>
      </c>
      <c r="M313" s="38">
        <f t="shared" si="97"/>
        <v>13424.8</v>
      </c>
      <c r="O313" s="38">
        <v>80</v>
      </c>
      <c r="P313" s="38">
        <v>26.728300000000001</v>
      </c>
      <c r="Q313" s="38">
        <f t="shared" si="98"/>
        <v>2138.2640000000001</v>
      </c>
      <c r="R313" s="43">
        <f t="shared" si="94"/>
        <v>1080</v>
      </c>
      <c r="S313" s="38">
        <f t="shared" si="99"/>
        <v>28617.563999999998</v>
      </c>
      <c r="T313" s="49">
        <v>85</v>
      </c>
      <c r="U313" s="42">
        <v>26.267499999999998</v>
      </c>
      <c r="V313" s="38">
        <f t="shared" si="107"/>
        <v>2232.7374999999997</v>
      </c>
      <c r="W313" s="42">
        <v>50</v>
      </c>
      <c r="X313" s="42">
        <v>26.298200000000001</v>
      </c>
      <c r="Y313" s="42">
        <f t="shared" si="110"/>
        <v>1314.91</v>
      </c>
      <c r="Z313" s="42">
        <v>250</v>
      </c>
      <c r="AA313" s="42">
        <v>26.298200000000001</v>
      </c>
      <c r="AB313" s="42">
        <f t="shared" si="108"/>
        <v>6574.55</v>
      </c>
      <c r="AD313" s="42">
        <v>90</v>
      </c>
      <c r="AE313" s="42">
        <v>26.262716000000001</v>
      </c>
      <c r="AF313" s="42">
        <f t="shared" si="109"/>
        <v>2363.64444</v>
      </c>
      <c r="AG313" s="42"/>
      <c r="AH313" s="42">
        <v>130</v>
      </c>
      <c r="AI313" s="42">
        <v>26.9907</v>
      </c>
      <c r="AJ313" s="42">
        <f t="shared" si="106"/>
        <v>3508.7910000000002</v>
      </c>
      <c r="AL313" s="42">
        <v>117.19</v>
      </c>
      <c r="AM313" s="42">
        <v>26.9907</v>
      </c>
      <c r="AN313" s="42">
        <f>AL313*AM313</f>
        <v>3163.040133</v>
      </c>
      <c r="AO313" s="44"/>
      <c r="AP313" s="42"/>
      <c r="AQ313" s="42"/>
      <c r="AR313" s="42"/>
      <c r="AU313" s="98"/>
      <c r="AV313" s="35">
        <f t="shared" si="111"/>
        <v>0</v>
      </c>
      <c r="AW313" s="104"/>
      <c r="AX313" s="42"/>
      <c r="AY313" s="42"/>
      <c r="AZ313" s="42">
        <f t="shared" si="92"/>
        <v>0</v>
      </c>
      <c r="BA313" s="42"/>
      <c r="BB313" s="42"/>
      <c r="BC313" s="42"/>
      <c r="BD313" s="38">
        <f t="shared" si="100"/>
        <v>0</v>
      </c>
      <c r="BE313" s="42"/>
      <c r="BF313" s="42"/>
      <c r="BG313" s="42"/>
      <c r="BH313" s="38">
        <f t="shared" si="101"/>
        <v>0</v>
      </c>
      <c r="BI313" s="42"/>
      <c r="BJ313" s="42"/>
      <c r="BK313" s="42"/>
      <c r="BL313" s="38">
        <f t="shared" si="102"/>
        <v>0</v>
      </c>
      <c r="BM313" s="42"/>
      <c r="BN313" s="42"/>
      <c r="BO313" s="42"/>
      <c r="BP313" s="42"/>
      <c r="BR313" s="42">
        <f t="shared" si="103"/>
        <v>19157.673072999998</v>
      </c>
      <c r="BS313" s="43">
        <f t="shared" si="104"/>
        <v>9459.8909270000004</v>
      </c>
      <c r="BT313" s="42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  <c r="FM313" s="31"/>
      <c r="FN313" s="31"/>
      <c r="FO313" s="31"/>
      <c r="FP313" s="31"/>
      <c r="FQ313" s="31"/>
      <c r="FR313" s="31"/>
      <c r="FS313" s="31"/>
      <c r="FT313" s="31"/>
      <c r="FU313" s="31"/>
      <c r="FV313" s="31"/>
      <c r="FW313" s="31"/>
      <c r="FX313" s="31"/>
      <c r="FY313" s="31"/>
      <c r="FZ313" s="31"/>
      <c r="GA313" s="31"/>
      <c r="GB313" s="31"/>
      <c r="GC313" s="31"/>
      <c r="GD313" s="31"/>
      <c r="GE313" s="31"/>
      <c r="GF313" s="31"/>
      <c r="GG313" s="31"/>
      <c r="GH313" s="31"/>
      <c r="GI313" s="31"/>
      <c r="GJ313" s="31"/>
      <c r="GK313" s="31"/>
      <c r="GL313" s="31"/>
      <c r="GM313" s="31"/>
      <c r="GN313" s="31"/>
      <c r="GO313" s="31"/>
      <c r="GP313" s="31"/>
      <c r="GQ313" s="31"/>
      <c r="GR313" s="31"/>
      <c r="GS313" s="31"/>
      <c r="GT313" s="31"/>
      <c r="GU313" s="31"/>
      <c r="GV313" s="31"/>
      <c r="GW313" s="31"/>
      <c r="GX313" s="31"/>
      <c r="GY313" s="31"/>
      <c r="GZ313" s="31"/>
      <c r="HA313" s="31"/>
      <c r="HB313" s="31"/>
      <c r="HC313" s="31"/>
      <c r="HD313" s="31"/>
      <c r="HE313" s="31"/>
      <c r="HF313" s="31"/>
      <c r="HG313" s="31"/>
      <c r="HH313" s="31"/>
      <c r="HI313" s="31"/>
      <c r="HJ313" s="31"/>
      <c r="HK313" s="31"/>
      <c r="HL313" s="31"/>
      <c r="HM313" s="31"/>
      <c r="HN313" s="31"/>
      <c r="HO313" s="31"/>
      <c r="HP313" s="31"/>
      <c r="HQ313" s="31"/>
      <c r="HR313" s="31"/>
      <c r="HS313" s="31"/>
      <c r="HT313" s="31"/>
      <c r="HU313" s="31"/>
      <c r="HV313" s="31"/>
      <c r="HW313" s="31"/>
      <c r="HX313" s="31"/>
      <c r="HY313" s="31"/>
      <c r="HZ313" s="31"/>
      <c r="IA313" s="31"/>
      <c r="IB313" s="31"/>
      <c r="IC313" s="31"/>
      <c r="ID313" s="31"/>
      <c r="IE313" s="31"/>
      <c r="IF313" s="31"/>
      <c r="IG313" s="31"/>
      <c r="IH313" s="31"/>
      <c r="II313" s="31"/>
      <c r="IJ313" s="31"/>
      <c r="IK313" s="31"/>
      <c r="IL313" s="31"/>
      <c r="IM313" s="31"/>
      <c r="IN313" s="31"/>
      <c r="IO313" s="31"/>
      <c r="IP313" s="31"/>
      <c r="IQ313" s="31"/>
      <c r="IR313" s="31"/>
      <c r="IS313" s="31"/>
      <c r="IT313" s="31"/>
      <c r="IU313" s="31"/>
      <c r="IV313" s="31"/>
      <c r="IW313" s="31"/>
      <c r="IX313" s="31"/>
      <c r="IY313" s="31"/>
      <c r="IZ313" s="31"/>
      <c r="JA313" s="31"/>
      <c r="JB313" s="31"/>
      <c r="JC313" s="31"/>
      <c r="JD313" s="31"/>
      <c r="JE313" s="31"/>
      <c r="JF313" s="31"/>
      <c r="JG313" s="31"/>
      <c r="JH313" s="31"/>
      <c r="JI313" s="31"/>
      <c r="JJ313" s="31"/>
      <c r="JK313" s="31"/>
      <c r="JL313" s="31"/>
      <c r="JM313" s="31"/>
      <c r="JN313" s="31"/>
      <c r="JO313" s="31"/>
      <c r="JP313" s="31"/>
      <c r="JQ313" s="31"/>
      <c r="JR313" s="31"/>
      <c r="JS313" s="31"/>
      <c r="JT313" s="31"/>
      <c r="JU313" s="31"/>
      <c r="JV313" s="31"/>
      <c r="JW313" s="31"/>
      <c r="JX313" s="31"/>
      <c r="JY313" s="31"/>
      <c r="JZ313" s="31"/>
      <c r="KA313" s="31"/>
      <c r="KB313" s="31"/>
      <c r="KC313" s="31"/>
      <c r="KD313" s="31"/>
      <c r="KE313" s="31"/>
      <c r="KF313" s="31"/>
      <c r="KG313" s="31"/>
      <c r="KH313" s="31"/>
      <c r="KI313" s="31"/>
      <c r="KJ313" s="31"/>
      <c r="KK313" s="31"/>
      <c r="KL313" s="31"/>
      <c r="KM313" s="31"/>
      <c r="KN313" s="31"/>
      <c r="KO313" s="31"/>
      <c r="KP313" s="31"/>
      <c r="KQ313" s="31"/>
      <c r="KR313" s="31"/>
      <c r="KS313" s="31"/>
      <c r="KT313" s="31"/>
      <c r="KU313" s="31"/>
      <c r="KV313" s="31"/>
      <c r="KW313" s="31"/>
      <c r="KX313" s="31"/>
      <c r="KY313" s="31"/>
      <c r="KZ313" s="31"/>
      <c r="LA313" s="31"/>
      <c r="LB313" s="31"/>
      <c r="LC313" s="31"/>
      <c r="LD313" s="31"/>
      <c r="LE313" s="31"/>
      <c r="LF313" s="31"/>
      <c r="LG313" s="31"/>
      <c r="LH313" s="31"/>
      <c r="LI313" s="31"/>
      <c r="LJ313" s="31"/>
      <c r="LK313" s="31"/>
      <c r="LL313" s="31"/>
      <c r="LM313" s="31"/>
      <c r="LN313" s="31"/>
      <c r="LO313" s="31"/>
      <c r="LP313" s="31"/>
      <c r="LQ313" s="31"/>
      <c r="LR313" s="31"/>
      <c r="LS313" s="31"/>
      <c r="LT313" s="31"/>
      <c r="LU313" s="31"/>
      <c r="LV313" s="31"/>
      <c r="LW313" s="31"/>
      <c r="LX313" s="31"/>
      <c r="LY313" s="31"/>
      <c r="LZ313" s="31"/>
      <c r="MA313" s="31"/>
      <c r="MB313" s="31"/>
      <c r="MC313" s="31"/>
      <c r="MD313" s="31"/>
      <c r="ME313" s="31"/>
      <c r="MF313" s="31"/>
      <c r="MG313" s="31"/>
      <c r="MH313" s="31"/>
      <c r="MI313" s="31"/>
      <c r="MJ313" s="31"/>
      <c r="MK313" s="31"/>
      <c r="ML313" s="31"/>
      <c r="MM313" s="31"/>
      <c r="MN313" s="31"/>
      <c r="MO313" s="31"/>
      <c r="MP313" s="31"/>
      <c r="MQ313" s="31"/>
      <c r="MR313" s="31"/>
      <c r="MS313" s="31"/>
      <c r="MT313" s="31"/>
      <c r="MU313" s="31"/>
      <c r="MV313" s="31"/>
      <c r="MW313" s="31"/>
      <c r="MX313" s="31"/>
      <c r="MY313" s="31"/>
      <c r="MZ313" s="31"/>
      <c r="NA313" s="31"/>
      <c r="NB313" s="31"/>
      <c r="NC313" s="31"/>
      <c r="ND313" s="31"/>
      <c r="NE313" s="31"/>
      <c r="NF313" s="31"/>
      <c r="NG313" s="31"/>
      <c r="NH313" s="31"/>
      <c r="NI313" s="31"/>
      <c r="NJ313" s="31"/>
      <c r="NK313" s="31"/>
      <c r="NL313" s="31"/>
      <c r="NM313" s="31"/>
      <c r="NN313" s="31"/>
      <c r="NO313" s="31"/>
      <c r="NP313" s="31"/>
      <c r="NQ313" s="31"/>
      <c r="NR313" s="31"/>
      <c r="NS313" s="31"/>
      <c r="NT313" s="31"/>
      <c r="NU313" s="31"/>
      <c r="NV313" s="31"/>
      <c r="NW313" s="31"/>
      <c r="NX313" s="31"/>
      <c r="NY313" s="31"/>
      <c r="NZ313" s="31"/>
      <c r="OA313" s="31"/>
      <c r="OB313" s="31"/>
      <c r="OC313" s="31"/>
      <c r="OD313" s="31"/>
      <c r="OE313" s="31"/>
      <c r="OF313" s="31"/>
      <c r="OG313" s="31"/>
      <c r="OH313" s="31"/>
      <c r="OI313" s="31"/>
      <c r="OJ313" s="31"/>
      <c r="OK313" s="31"/>
      <c r="OL313" s="31"/>
      <c r="OM313" s="31"/>
      <c r="ON313" s="31"/>
      <c r="OO313" s="31"/>
      <c r="OP313" s="31"/>
      <c r="OQ313" s="31"/>
      <c r="OR313" s="31"/>
      <c r="OS313" s="31"/>
      <c r="OT313" s="31"/>
      <c r="OU313" s="31"/>
      <c r="OV313" s="31"/>
      <c r="OW313" s="31"/>
      <c r="OX313" s="31"/>
    </row>
    <row r="314" spans="2:414" s="25" customFormat="1" ht="15.6">
      <c r="B314" s="25" t="s">
        <v>478</v>
      </c>
      <c r="C314" s="27" t="s">
        <v>479</v>
      </c>
      <c r="D314" s="30" t="s">
        <v>465</v>
      </c>
      <c r="G314" s="42">
        <v>500</v>
      </c>
      <c r="H314" s="89">
        <v>26.109000000000002</v>
      </c>
      <c r="I314" s="38">
        <f t="shared" si="96"/>
        <v>13054.5</v>
      </c>
      <c r="K314" s="42">
        <v>500</v>
      </c>
      <c r="L314" s="90">
        <v>26.849599999999999</v>
      </c>
      <c r="M314" s="38">
        <f t="shared" si="97"/>
        <v>13424.8</v>
      </c>
      <c r="O314" s="38">
        <v>80</v>
      </c>
      <c r="P314" s="38">
        <v>26.728300000000001</v>
      </c>
      <c r="Q314" s="38">
        <f t="shared" si="98"/>
        <v>2138.2640000000001</v>
      </c>
      <c r="R314" s="43">
        <f t="shared" si="94"/>
        <v>1080</v>
      </c>
      <c r="S314" s="38">
        <f t="shared" si="99"/>
        <v>28617.563999999998</v>
      </c>
      <c r="T314" s="49">
        <v>85</v>
      </c>
      <c r="U314" s="42">
        <v>26.3004</v>
      </c>
      <c r="V314" s="38">
        <f t="shared" si="107"/>
        <v>2235.5340000000001</v>
      </c>
      <c r="W314" s="42">
        <v>280</v>
      </c>
      <c r="X314" s="42">
        <v>26.3004</v>
      </c>
      <c r="Y314" s="42">
        <f t="shared" si="110"/>
        <v>7364.1120000000001</v>
      </c>
      <c r="Z314" s="42">
        <v>125</v>
      </c>
      <c r="AA314" s="42">
        <v>26.321200000000001</v>
      </c>
      <c r="AB314" s="42">
        <f t="shared" si="108"/>
        <v>3290.15</v>
      </c>
      <c r="AD314" s="42">
        <v>270</v>
      </c>
      <c r="AE314" s="42">
        <v>26.869499999999999</v>
      </c>
      <c r="AF314" s="42">
        <f t="shared" si="109"/>
        <v>7254.7649999999994</v>
      </c>
      <c r="AG314" s="42"/>
      <c r="AH314" s="42">
        <v>230</v>
      </c>
      <c r="AI314" s="42">
        <v>26.952500000000001</v>
      </c>
      <c r="AJ314" s="42">
        <f t="shared" si="106"/>
        <v>6199.0749999999998</v>
      </c>
      <c r="AL314" s="42"/>
      <c r="AM314" s="42"/>
      <c r="AN314" s="42">
        <f t="shared" ref="AN314:AN326" si="112">AL314*AM314</f>
        <v>0</v>
      </c>
      <c r="AO314" s="44"/>
      <c r="AP314" s="42"/>
      <c r="AQ314" s="42"/>
      <c r="AR314" s="42"/>
      <c r="AU314" s="98"/>
      <c r="AV314" s="35">
        <f t="shared" si="111"/>
        <v>0</v>
      </c>
      <c r="AW314" s="104"/>
      <c r="AX314" s="42"/>
      <c r="AY314" s="42"/>
      <c r="AZ314" s="42">
        <f t="shared" ref="AZ314:AZ377" si="113">AX314*AY314</f>
        <v>0</v>
      </c>
      <c r="BA314" s="42"/>
      <c r="BB314" s="42"/>
      <c r="BC314" s="42"/>
      <c r="BD314" s="38">
        <f t="shared" si="100"/>
        <v>0</v>
      </c>
      <c r="BE314" s="42"/>
      <c r="BF314" s="42"/>
      <c r="BG314" s="42"/>
      <c r="BH314" s="38">
        <f t="shared" si="101"/>
        <v>0</v>
      </c>
      <c r="BI314" s="42"/>
      <c r="BJ314" s="42"/>
      <c r="BK314" s="42"/>
      <c r="BL314" s="38">
        <f t="shared" si="102"/>
        <v>0</v>
      </c>
      <c r="BM314" s="42"/>
      <c r="BN314" s="42"/>
      <c r="BO314" s="42"/>
      <c r="BP314" s="42"/>
      <c r="BR314" s="42">
        <f t="shared" si="103"/>
        <v>26343.636000000002</v>
      </c>
      <c r="BS314" s="43">
        <f t="shared" si="104"/>
        <v>2273.9279999999962</v>
      </c>
      <c r="BT314" s="42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  <c r="FM314" s="31"/>
      <c r="FN314" s="31"/>
      <c r="FO314" s="31"/>
      <c r="FP314" s="31"/>
      <c r="FQ314" s="31"/>
      <c r="FR314" s="31"/>
      <c r="FS314" s="31"/>
      <c r="FT314" s="31"/>
      <c r="FU314" s="31"/>
      <c r="FV314" s="31"/>
      <c r="FW314" s="31"/>
      <c r="FX314" s="31"/>
      <c r="FY314" s="31"/>
      <c r="FZ314" s="31"/>
      <c r="GA314" s="31"/>
      <c r="GB314" s="31"/>
      <c r="GC314" s="31"/>
      <c r="GD314" s="31"/>
      <c r="GE314" s="31"/>
      <c r="GF314" s="31"/>
      <c r="GG314" s="31"/>
      <c r="GH314" s="31"/>
      <c r="GI314" s="31"/>
      <c r="GJ314" s="31"/>
      <c r="GK314" s="31"/>
      <c r="GL314" s="31"/>
      <c r="GM314" s="31"/>
      <c r="GN314" s="31"/>
      <c r="GO314" s="31"/>
      <c r="GP314" s="31"/>
      <c r="GQ314" s="31"/>
      <c r="GR314" s="31"/>
      <c r="GS314" s="31"/>
      <c r="GT314" s="31"/>
      <c r="GU314" s="31"/>
      <c r="GV314" s="31"/>
      <c r="GW314" s="31"/>
      <c r="GX314" s="31"/>
      <c r="GY314" s="31"/>
      <c r="GZ314" s="31"/>
      <c r="HA314" s="31"/>
      <c r="HB314" s="31"/>
      <c r="HC314" s="31"/>
      <c r="HD314" s="31"/>
      <c r="HE314" s="31"/>
      <c r="HF314" s="31"/>
      <c r="HG314" s="31"/>
      <c r="HH314" s="31"/>
      <c r="HI314" s="31"/>
      <c r="HJ314" s="31"/>
      <c r="HK314" s="31"/>
      <c r="HL314" s="31"/>
      <c r="HM314" s="31"/>
      <c r="HN314" s="31"/>
      <c r="HO314" s="31"/>
      <c r="HP314" s="31"/>
      <c r="HQ314" s="31"/>
      <c r="HR314" s="31"/>
      <c r="HS314" s="31"/>
      <c r="HT314" s="31"/>
      <c r="HU314" s="31"/>
      <c r="HV314" s="31"/>
      <c r="HW314" s="31"/>
      <c r="HX314" s="31"/>
      <c r="HY314" s="31"/>
      <c r="HZ314" s="31"/>
      <c r="IA314" s="31"/>
      <c r="IB314" s="31"/>
      <c r="IC314" s="31"/>
      <c r="ID314" s="31"/>
      <c r="IE314" s="31"/>
      <c r="IF314" s="31"/>
      <c r="IG314" s="31"/>
      <c r="IH314" s="31"/>
      <c r="II314" s="31"/>
      <c r="IJ314" s="31"/>
      <c r="IK314" s="31"/>
      <c r="IL314" s="31"/>
      <c r="IM314" s="31"/>
      <c r="IN314" s="31"/>
      <c r="IO314" s="31"/>
      <c r="IP314" s="31"/>
      <c r="IQ314" s="31"/>
      <c r="IR314" s="31"/>
      <c r="IS314" s="31"/>
      <c r="IT314" s="31"/>
      <c r="IU314" s="31"/>
      <c r="IV314" s="31"/>
      <c r="IW314" s="31"/>
      <c r="IX314" s="31"/>
      <c r="IY314" s="31"/>
      <c r="IZ314" s="31"/>
      <c r="JA314" s="31"/>
      <c r="JB314" s="31"/>
      <c r="JC314" s="31"/>
      <c r="JD314" s="31"/>
      <c r="JE314" s="31"/>
      <c r="JF314" s="31"/>
      <c r="JG314" s="31"/>
      <c r="JH314" s="31"/>
      <c r="JI314" s="31"/>
      <c r="JJ314" s="31"/>
      <c r="JK314" s="31"/>
      <c r="JL314" s="31"/>
      <c r="JM314" s="31"/>
      <c r="JN314" s="31"/>
      <c r="JO314" s="31"/>
      <c r="JP314" s="31"/>
      <c r="JQ314" s="31"/>
      <c r="JR314" s="31"/>
      <c r="JS314" s="31"/>
      <c r="JT314" s="31"/>
      <c r="JU314" s="31"/>
      <c r="JV314" s="31"/>
      <c r="JW314" s="31"/>
      <c r="JX314" s="31"/>
      <c r="JY314" s="31"/>
      <c r="JZ314" s="31"/>
      <c r="KA314" s="31"/>
      <c r="KB314" s="31"/>
      <c r="KC314" s="31"/>
      <c r="KD314" s="31"/>
      <c r="KE314" s="31"/>
      <c r="KF314" s="31"/>
      <c r="KG314" s="31"/>
      <c r="KH314" s="31"/>
      <c r="KI314" s="31"/>
      <c r="KJ314" s="31"/>
      <c r="KK314" s="31"/>
      <c r="KL314" s="31"/>
      <c r="KM314" s="31"/>
      <c r="KN314" s="31"/>
      <c r="KO314" s="31"/>
      <c r="KP314" s="31"/>
      <c r="KQ314" s="31"/>
      <c r="KR314" s="31"/>
      <c r="KS314" s="31"/>
      <c r="KT314" s="31"/>
      <c r="KU314" s="31"/>
      <c r="KV314" s="31"/>
      <c r="KW314" s="31"/>
      <c r="KX314" s="31"/>
      <c r="KY314" s="31"/>
      <c r="KZ314" s="31"/>
      <c r="LA314" s="31"/>
      <c r="LB314" s="31"/>
      <c r="LC314" s="31"/>
      <c r="LD314" s="31"/>
      <c r="LE314" s="31"/>
      <c r="LF314" s="31"/>
      <c r="LG314" s="31"/>
      <c r="LH314" s="31"/>
      <c r="LI314" s="31"/>
      <c r="LJ314" s="31"/>
      <c r="LK314" s="31"/>
      <c r="LL314" s="31"/>
      <c r="LM314" s="31"/>
      <c r="LN314" s="31"/>
      <c r="LO314" s="31"/>
      <c r="LP314" s="31"/>
      <c r="LQ314" s="31"/>
      <c r="LR314" s="31"/>
      <c r="LS314" s="31"/>
      <c r="LT314" s="31"/>
      <c r="LU314" s="31"/>
      <c r="LV314" s="31"/>
      <c r="LW314" s="31"/>
      <c r="LX314" s="31"/>
      <c r="LY314" s="31"/>
      <c r="LZ314" s="31"/>
      <c r="MA314" s="31"/>
      <c r="MB314" s="31"/>
      <c r="MC314" s="31"/>
      <c r="MD314" s="31"/>
      <c r="ME314" s="31"/>
      <c r="MF314" s="31"/>
      <c r="MG314" s="31"/>
      <c r="MH314" s="31"/>
      <c r="MI314" s="31"/>
      <c r="MJ314" s="31"/>
      <c r="MK314" s="31"/>
      <c r="ML314" s="31"/>
      <c r="MM314" s="31"/>
      <c r="MN314" s="31"/>
      <c r="MO314" s="31"/>
      <c r="MP314" s="31"/>
      <c r="MQ314" s="31"/>
      <c r="MR314" s="31"/>
      <c r="MS314" s="31"/>
      <c r="MT314" s="31"/>
      <c r="MU314" s="31"/>
      <c r="MV314" s="31"/>
      <c r="MW314" s="31"/>
      <c r="MX314" s="31"/>
      <c r="MY314" s="31"/>
      <c r="MZ314" s="31"/>
      <c r="NA314" s="31"/>
      <c r="NB314" s="31"/>
      <c r="NC314" s="31"/>
      <c r="ND314" s="31"/>
      <c r="NE314" s="31"/>
      <c r="NF314" s="31"/>
      <c r="NG314" s="31"/>
      <c r="NH314" s="31"/>
      <c r="NI314" s="31"/>
      <c r="NJ314" s="31"/>
      <c r="NK314" s="31"/>
      <c r="NL314" s="31"/>
      <c r="NM314" s="31"/>
      <c r="NN314" s="31"/>
      <c r="NO314" s="31"/>
      <c r="NP314" s="31"/>
      <c r="NQ314" s="31"/>
      <c r="NR314" s="31"/>
      <c r="NS314" s="31"/>
      <c r="NT314" s="31"/>
      <c r="NU314" s="31"/>
      <c r="NV314" s="31"/>
      <c r="NW314" s="31"/>
      <c r="NX314" s="31"/>
      <c r="NY314" s="31"/>
      <c r="NZ314" s="31"/>
      <c r="OA314" s="31"/>
      <c r="OB314" s="31"/>
      <c r="OC314" s="31"/>
      <c r="OD314" s="31"/>
      <c r="OE314" s="31"/>
      <c r="OF314" s="31"/>
      <c r="OG314" s="31"/>
      <c r="OH314" s="31"/>
      <c r="OI314" s="31"/>
      <c r="OJ314" s="31"/>
      <c r="OK314" s="31"/>
      <c r="OL314" s="31"/>
      <c r="OM314" s="31"/>
      <c r="ON314" s="31"/>
      <c r="OO314" s="31"/>
      <c r="OP314" s="31"/>
      <c r="OQ314" s="31"/>
      <c r="OR314" s="31"/>
      <c r="OS314" s="31"/>
      <c r="OT314" s="31"/>
      <c r="OU314" s="31"/>
      <c r="OV314" s="31"/>
      <c r="OW314" s="31"/>
      <c r="OX314" s="31"/>
    </row>
    <row r="315" spans="2:414" s="25" customFormat="1" ht="15.6">
      <c r="B315" s="25" t="s">
        <v>480</v>
      </c>
      <c r="C315" s="27" t="s">
        <v>44</v>
      </c>
      <c r="D315" s="30" t="s">
        <v>465</v>
      </c>
      <c r="G315" s="42">
        <v>500</v>
      </c>
      <c r="H315" s="89">
        <v>26.109000000000002</v>
      </c>
      <c r="I315" s="38">
        <f t="shared" si="96"/>
        <v>13054.5</v>
      </c>
      <c r="K315" s="42">
        <v>500</v>
      </c>
      <c r="L315" s="90">
        <v>26.849599999999999</v>
      </c>
      <c r="M315" s="38">
        <f t="shared" si="97"/>
        <v>13424.8</v>
      </c>
      <c r="O315" s="38">
        <v>80</v>
      </c>
      <c r="P315" s="38">
        <v>26.728300000000001</v>
      </c>
      <c r="Q315" s="38">
        <f t="shared" si="98"/>
        <v>2138.2640000000001</v>
      </c>
      <c r="R315" s="43">
        <f t="shared" si="94"/>
        <v>1080</v>
      </c>
      <c r="S315" s="38">
        <f t="shared" si="99"/>
        <v>28617.563999999998</v>
      </c>
      <c r="T315" s="49">
        <v>415</v>
      </c>
      <c r="U315" s="42">
        <v>26.321200000000001</v>
      </c>
      <c r="V315" s="38">
        <f t="shared" si="107"/>
        <v>10923.298000000001</v>
      </c>
      <c r="W315" s="42">
        <v>85</v>
      </c>
      <c r="X315" s="42">
        <v>26.321200000000001</v>
      </c>
      <c r="Y315" s="42">
        <f t="shared" si="110"/>
        <v>2237.3020000000001</v>
      </c>
      <c r="Z315" s="42">
        <v>415</v>
      </c>
      <c r="AA315" s="42">
        <v>26.950199999999999</v>
      </c>
      <c r="AB315" s="42">
        <f t="shared" si="108"/>
        <v>11184.332999999999</v>
      </c>
      <c r="AD315" s="42">
        <v>85</v>
      </c>
      <c r="AE315" s="42">
        <v>26.950199999999999</v>
      </c>
      <c r="AF315" s="42">
        <f t="shared" si="109"/>
        <v>2290.7669999999998</v>
      </c>
      <c r="AG315" s="42"/>
      <c r="AH315" s="42"/>
      <c r="AI315" s="42"/>
      <c r="AJ315" s="42">
        <f t="shared" si="106"/>
        <v>0</v>
      </c>
      <c r="AL315" s="42"/>
      <c r="AM315" s="42"/>
      <c r="AN315" s="42">
        <f t="shared" si="112"/>
        <v>0</v>
      </c>
      <c r="AO315" s="44"/>
      <c r="AP315" s="42"/>
      <c r="AQ315" s="42"/>
      <c r="AR315" s="42"/>
      <c r="AU315" s="98"/>
      <c r="AV315" s="35">
        <f t="shared" si="111"/>
        <v>0</v>
      </c>
      <c r="AW315" s="104"/>
      <c r="AX315" s="42"/>
      <c r="AY315" s="42"/>
      <c r="AZ315" s="42">
        <f t="shared" si="113"/>
        <v>0</v>
      </c>
      <c r="BA315" s="42"/>
      <c r="BB315" s="42"/>
      <c r="BC315" s="42"/>
      <c r="BD315" s="38">
        <f t="shared" si="100"/>
        <v>0</v>
      </c>
      <c r="BE315" s="42"/>
      <c r="BF315" s="42"/>
      <c r="BG315" s="42"/>
      <c r="BH315" s="38">
        <f t="shared" si="101"/>
        <v>0</v>
      </c>
      <c r="BI315" s="42"/>
      <c r="BJ315" s="42"/>
      <c r="BK315" s="42"/>
      <c r="BL315" s="38">
        <f t="shared" si="102"/>
        <v>0</v>
      </c>
      <c r="BM315" s="42"/>
      <c r="BN315" s="42"/>
      <c r="BO315" s="42"/>
      <c r="BP315" s="42"/>
      <c r="BR315" s="42">
        <f t="shared" si="103"/>
        <v>26635.699999999997</v>
      </c>
      <c r="BS315" s="43">
        <f t="shared" si="104"/>
        <v>1981.8640000000014</v>
      </c>
      <c r="BT315" s="42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  <c r="FM315" s="31"/>
      <c r="FN315" s="31"/>
      <c r="FO315" s="31"/>
      <c r="FP315" s="31"/>
      <c r="FQ315" s="31"/>
      <c r="FR315" s="31"/>
      <c r="FS315" s="31"/>
      <c r="FT315" s="31"/>
      <c r="FU315" s="31"/>
      <c r="FV315" s="31"/>
      <c r="FW315" s="31"/>
      <c r="FX315" s="31"/>
      <c r="FY315" s="31"/>
      <c r="FZ315" s="31"/>
      <c r="GA315" s="31"/>
      <c r="GB315" s="31"/>
      <c r="GC315" s="31"/>
      <c r="GD315" s="31"/>
      <c r="GE315" s="31"/>
      <c r="GF315" s="31"/>
      <c r="GG315" s="31"/>
      <c r="GH315" s="31"/>
      <c r="GI315" s="31"/>
      <c r="GJ315" s="31"/>
      <c r="GK315" s="31"/>
      <c r="GL315" s="31"/>
      <c r="GM315" s="31"/>
      <c r="GN315" s="31"/>
      <c r="GO315" s="31"/>
      <c r="GP315" s="31"/>
      <c r="GQ315" s="31"/>
      <c r="GR315" s="31"/>
      <c r="GS315" s="31"/>
      <c r="GT315" s="31"/>
      <c r="GU315" s="31"/>
      <c r="GV315" s="31"/>
      <c r="GW315" s="31"/>
      <c r="GX315" s="31"/>
      <c r="GY315" s="31"/>
      <c r="GZ315" s="31"/>
      <c r="HA315" s="31"/>
      <c r="HB315" s="31"/>
      <c r="HC315" s="31"/>
      <c r="HD315" s="31"/>
      <c r="HE315" s="31"/>
      <c r="HF315" s="31"/>
      <c r="HG315" s="31"/>
      <c r="HH315" s="31"/>
      <c r="HI315" s="31"/>
      <c r="HJ315" s="31"/>
      <c r="HK315" s="31"/>
      <c r="HL315" s="31"/>
      <c r="HM315" s="31"/>
      <c r="HN315" s="31"/>
      <c r="HO315" s="31"/>
      <c r="HP315" s="31"/>
      <c r="HQ315" s="31"/>
      <c r="HR315" s="31"/>
      <c r="HS315" s="31"/>
      <c r="HT315" s="31"/>
      <c r="HU315" s="31"/>
      <c r="HV315" s="31"/>
      <c r="HW315" s="31"/>
      <c r="HX315" s="31"/>
      <c r="HY315" s="31"/>
      <c r="HZ315" s="31"/>
      <c r="IA315" s="31"/>
      <c r="IB315" s="31"/>
      <c r="IC315" s="31"/>
      <c r="ID315" s="31"/>
      <c r="IE315" s="31"/>
      <c r="IF315" s="31"/>
      <c r="IG315" s="31"/>
      <c r="IH315" s="31"/>
      <c r="II315" s="31"/>
      <c r="IJ315" s="31"/>
      <c r="IK315" s="31"/>
      <c r="IL315" s="31"/>
      <c r="IM315" s="31"/>
      <c r="IN315" s="31"/>
      <c r="IO315" s="31"/>
      <c r="IP315" s="31"/>
      <c r="IQ315" s="31"/>
      <c r="IR315" s="31"/>
      <c r="IS315" s="31"/>
      <c r="IT315" s="31"/>
      <c r="IU315" s="31"/>
      <c r="IV315" s="31"/>
      <c r="IW315" s="31"/>
      <c r="IX315" s="31"/>
      <c r="IY315" s="31"/>
      <c r="IZ315" s="31"/>
      <c r="JA315" s="31"/>
      <c r="JB315" s="31"/>
      <c r="JC315" s="31"/>
      <c r="JD315" s="31"/>
      <c r="JE315" s="31"/>
      <c r="JF315" s="31"/>
      <c r="JG315" s="31"/>
      <c r="JH315" s="31"/>
      <c r="JI315" s="31"/>
      <c r="JJ315" s="31"/>
      <c r="JK315" s="31"/>
      <c r="JL315" s="31"/>
      <c r="JM315" s="31"/>
      <c r="JN315" s="31"/>
      <c r="JO315" s="31"/>
      <c r="JP315" s="31"/>
      <c r="JQ315" s="31"/>
      <c r="JR315" s="31"/>
      <c r="JS315" s="31"/>
      <c r="JT315" s="31"/>
      <c r="JU315" s="31"/>
      <c r="JV315" s="31"/>
      <c r="JW315" s="31"/>
      <c r="JX315" s="31"/>
      <c r="JY315" s="31"/>
      <c r="JZ315" s="31"/>
      <c r="KA315" s="31"/>
      <c r="KB315" s="31"/>
      <c r="KC315" s="31"/>
      <c r="KD315" s="31"/>
      <c r="KE315" s="31"/>
      <c r="KF315" s="31"/>
      <c r="KG315" s="31"/>
      <c r="KH315" s="31"/>
      <c r="KI315" s="31"/>
      <c r="KJ315" s="31"/>
      <c r="KK315" s="31"/>
      <c r="KL315" s="31"/>
      <c r="KM315" s="31"/>
      <c r="KN315" s="31"/>
      <c r="KO315" s="31"/>
      <c r="KP315" s="31"/>
      <c r="KQ315" s="31"/>
      <c r="KR315" s="31"/>
      <c r="KS315" s="31"/>
      <c r="KT315" s="31"/>
      <c r="KU315" s="31"/>
      <c r="KV315" s="31"/>
      <c r="KW315" s="31"/>
      <c r="KX315" s="31"/>
      <c r="KY315" s="31"/>
      <c r="KZ315" s="31"/>
      <c r="LA315" s="31"/>
      <c r="LB315" s="31"/>
      <c r="LC315" s="31"/>
      <c r="LD315" s="31"/>
      <c r="LE315" s="31"/>
      <c r="LF315" s="31"/>
      <c r="LG315" s="31"/>
      <c r="LH315" s="31"/>
      <c r="LI315" s="31"/>
      <c r="LJ315" s="31"/>
      <c r="LK315" s="31"/>
      <c r="LL315" s="31"/>
      <c r="LM315" s="31"/>
      <c r="LN315" s="31"/>
      <c r="LO315" s="31"/>
      <c r="LP315" s="31"/>
      <c r="LQ315" s="31"/>
      <c r="LR315" s="31"/>
      <c r="LS315" s="31"/>
      <c r="LT315" s="31"/>
      <c r="LU315" s="31"/>
      <c r="LV315" s="31"/>
      <c r="LW315" s="31"/>
      <c r="LX315" s="31"/>
      <c r="LY315" s="31"/>
      <c r="LZ315" s="31"/>
      <c r="MA315" s="31"/>
      <c r="MB315" s="31"/>
      <c r="MC315" s="31"/>
      <c r="MD315" s="31"/>
      <c r="ME315" s="31"/>
      <c r="MF315" s="31"/>
      <c r="MG315" s="31"/>
      <c r="MH315" s="31"/>
      <c r="MI315" s="31"/>
      <c r="MJ315" s="31"/>
      <c r="MK315" s="31"/>
      <c r="ML315" s="31"/>
      <c r="MM315" s="31"/>
      <c r="MN315" s="31"/>
      <c r="MO315" s="31"/>
      <c r="MP315" s="31"/>
      <c r="MQ315" s="31"/>
      <c r="MR315" s="31"/>
      <c r="MS315" s="31"/>
      <c r="MT315" s="31"/>
      <c r="MU315" s="31"/>
      <c r="MV315" s="31"/>
      <c r="MW315" s="31"/>
      <c r="MX315" s="31"/>
      <c r="MY315" s="31"/>
      <c r="MZ315" s="31"/>
      <c r="NA315" s="31"/>
      <c r="NB315" s="31"/>
      <c r="NC315" s="31"/>
      <c r="ND315" s="31"/>
      <c r="NE315" s="31"/>
      <c r="NF315" s="31"/>
      <c r="NG315" s="31"/>
      <c r="NH315" s="31"/>
      <c r="NI315" s="31"/>
      <c r="NJ315" s="31"/>
      <c r="NK315" s="31"/>
      <c r="NL315" s="31"/>
      <c r="NM315" s="31"/>
      <c r="NN315" s="31"/>
      <c r="NO315" s="31"/>
      <c r="NP315" s="31"/>
      <c r="NQ315" s="31"/>
      <c r="NR315" s="31"/>
      <c r="NS315" s="31"/>
      <c r="NT315" s="31"/>
      <c r="NU315" s="31"/>
      <c r="NV315" s="31"/>
      <c r="NW315" s="31"/>
      <c r="NX315" s="31"/>
      <c r="NY315" s="31"/>
      <c r="NZ315" s="31"/>
      <c r="OA315" s="31"/>
      <c r="OB315" s="31"/>
      <c r="OC315" s="31"/>
      <c r="OD315" s="31"/>
      <c r="OE315" s="31"/>
      <c r="OF315" s="31"/>
      <c r="OG315" s="31"/>
      <c r="OH315" s="31"/>
      <c r="OI315" s="31"/>
      <c r="OJ315" s="31"/>
      <c r="OK315" s="31"/>
      <c r="OL315" s="31"/>
      <c r="OM315" s="31"/>
      <c r="ON315" s="31"/>
      <c r="OO315" s="31"/>
      <c r="OP315" s="31"/>
      <c r="OQ315" s="31"/>
      <c r="OR315" s="31"/>
      <c r="OS315" s="31"/>
      <c r="OT315" s="31"/>
      <c r="OU315" s="31"/>
      <c r="OV315" s="31"/>
      <c r="OW315" s="31"/>
      <c r="OX315" s="31"/>
    </row>
    <row r="316" spans="2:414" s="25" customFormat="1" ht="15.6">
      <c r="B316" s="25" t="s">
        <v>481</v>
      </c>
      <c r="C316" s="27" t="s">
        <v>352</v>
      </c>
      <c r="D316" s="30" t="s">
        <v>465</v>
      </c>
      <c r="G316" s="42">
        <v>500</v>
      </c>
      <c r="H316" s="89">
        <v>26.109000000000002</v>
      </c>
      <c r="I316" s="38">
        <f t="shared" si="96"/>
        <v>13054.5</v>
      </c>
      <c r="K316" s="42">
        <v>500</v>
      </c>
      <c r="L316" s="90">
        <v>26.849599999999999</v>
      </c>
      <c r="M316" s="38">
        <f t="shared" si="97"/>
        <v>13424.8</v>
      </c>
      <c r="O316" s="38">
        <v>80</v>
      </c>
      <c r="P316" s="38">
        <v>26.728300000000001</v>
      </c>
      <c r="Q316" s="38">
        <f t="shared" si="98"/>
        <v>2138.2640000000001</v>
      </c>
      <c r="R316" s="43">
        <f t="shared" si="94"/>
        <v>1080</v>
      </c>
      <c r="S316" s="38">
        <f t="shared" si="99"/>
        <v>28617.563999999998</v>
      </c>
      <c r="T316" s="49">
        <v>415</v>
      </c>
      <c r="U316" s="42"/>
      <c r="V316" s="38">
        <f t="shared" si="107"/>
        <v>0</v>
      </c>
      <c r="W316" s="42">
        <v>85</v>
      </c>
      <c r="X316" s="42"/>
      <c r="Y316" s="42">
        <f t="shared" si="110"/>
        <v>0</v>
      </c>
      <c r="Z316" s="42"/>
      <c r="AA316" s="42"/>
      <c r="AB316" s="42">
        <f t="shared" si="108"/>
        <v>0</v>
      </c>
      <c r="AD316" s="42"/>
      <c r="AE316" s="42"/>
      <c r="AF316" s="42">
        <f t="shared" si="109"/>
        <v>0</v>
      </c>
      <c r="AG316" s="42"/>
      <c r="AH316" s="42"/>
      <c r="AI316" s="42"/>
      <c r="AJ316" s="42">
        <f t="shared" si="106"/>
        <v>0</v>
      </c>
      <c r="AL316" s="42"/>
      <c r="AM316" s="42"/>
      <c r="AN316" s="42">
        <f t="shared" si="112"/>
        <v>0</v>
      </c>
      <c r="AO316" s="44"/>
      <c r="AP316" s="42"/>
      <c r="AQ316" s="42"/>
      <c r="AR316" s="42"/>
      <c r="AU316" s="98"/>
      <c r="AV316" s="35">
        <f t="shared" si="111"/>
        <v>0</v>
      </c>
      <c r="AW316" s="104"/>
      <c r="AX316" s="42"/>
      <c r="AY316" s="42"/>
      <c r="AZ316" s="42">
        <f t="shared" si="113"/>
        <v>0</v>
      </c>
      <c r="BA316" s="42"/>
      <c r="BB316" s="42"/>
      <c r="BC316" s="42"/>
      <c r="BD316" s="38">
        <f t="shared" si="100"/>
        <v>0</v>
      </c>
      <c r="BE316" s="42"/>
      <c r="BF316" s="42"/>
      <c r="BG316" s="42"/>
      <c r="BH316" s="38">
        <f t="shared" si="101"/>
        <v>0</v>
      </c>
      <c r="BI316" s="42"/>
      <c r="BJ316" s="42"/>
      <c r="BK316" s="42"/>
      <c r="BL316" s="38">
        <f t="shared" si="102"/>
        <v>0</v>
      </c>
      <c r="BM316" s="42"/>
      <c r="BN316" s="42"/>
      <c r="BO316" s="42"/>
      <c r="BP316" s="42"/>
      <c r="BR316" s="42">
        <f t="shared" si="103"/>
        <v>0</v>
      </c>
      <c r="BS316" s="43">
        <f t="shared" si="104"/>
        <v>28617.563999999998</v>
      </c>
      <c r="BT316" s="42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  <c r="FM316" s="31"/>
      <c r="FN316" s="31"/>
      <c r="FO316" s="31"/>
      <c r="FP316" s="31"/>
      <c r="FQ316" s="31"/>
      <c r="FR316" s="31"/>
      <c r="FS316" s="31"/>
      <c r="FT316" s="31"/>
      <c r="FU316" s="31"/>
      <c r="FV316" s="31"/>
      <c r="FW316" s="31"/>
      <c r="FX316" s="31"/>
      <c r="FY316" s="31"/>
      <c r="FZ316" s="31"/>
      <c r="GA316" s="31"/>
      <c r="GB316" s="31"/>
      <c r="GC316" s="31"/>
      <c r="GD316" s="31"/>
      <c r="GE316" s="31"/>
      <c r="GF316" s="31"/>
      <c r="GG316" s="31"/>
      <c r="GH316" s="31"/>
      <c r="GI316" s="31"/>
      <c r="GJ316" s="31"/>
      <c r="GK316" s="31"/>
      <c r="GL316" s="31"/>
      <c r="GM316" s="31"/>
      <c r="GN316" s="31"/>
      <c r="GO316" s="31"/>
      <c r="GP316" s="31"/>
      <c r="GQ316" s="31"/>
      <c r="GR316" s="31"/>
      <c r="GS316" s="31"/>
      <c r="GT316" s="31"/>
      <c r="GU316" s="31"/>
      <c r="GV316" s="31"/>
      <c r="GW316" s="31"/>
      <c r="GX316" s="31"/>
      <c r="GY316" s="31"/>
      <c r="GZ316" s="31"/>
      <c r="HA316" s="31"/>
      <c r="HB316" s="31"/>
      <c r="HC316" s="31"/>
      <c r="HD316" s="31"/>
      <c r="HE316" s="31"/>
      <c r="HF316" s="31"/>
      <c r="HG316" s="31"/>
      <c r="HH316" s="31"/>
      <c r="HI316" s="31"/>
      <c r="HJ316" s="31"/>
      <c r="HK316" s="31"/>
      <c r="HL316" s="31"/>
      <c r="HM316" s="31"/>
      <c r="HN316" s="31"/>
      <c r="HO316" s="31"/>
      <c r="HP316" s="31"/>
      <c r="HQ316" s="31"/>
      <c r="HR316" s="31"/>
      <c r="HS316" s="31"/>
      <c r="HT316" s="31"/>
      <c r="HU316" s="31"/>
      <c r="HV316" s="31"/>
      <c r="HW316" s="31"/>
      <c r="HX316" s="31"/>
      <c r="HY316" s="31"/>
      <c r="HZ316" s="31"/>
      <c r="IA316" s="31"/>
      <c r="IB316" s="31"/>
      <c r="IC316" s="31"/>
      <c r="ID316" s="31"/>
      <c r="IE316" s="31"/>
      <c r="IF316" s="31"/>
      <c r="IG316" s="31"/>
      <c r="IH316" s="31"/>
      <c r="II316" s="31"/>
      <c r="IJ316" s="31"/>
      <c r="IK316" s="31"/>
      <c r="IL316" s="31"/>
      <c r="IM316" s="31"/>
      <c r="IN316" s="31"/>
      <c r="IO316" s="31"/>
      <c r="IP316" s="31"/>
      <c r="IQ316" s="31"/>
      <c r="IR316" s="31"/>
      <c r="IS316" s="31"/>
      <c r="IT316" s="31"/>
      <c r="IU316" s="31"/>
      <c r="IV316" s="31"/>
      <c r="IW316" s="31"/>
      <c r="IX316" s="31"/>
      <c r="IY316" s="31"/>
      <c r="IZ316" s="31"/>
      <c r="JA316" s="31"/>
      <c r="JB316" s="31"/>
      <c r="JC316" s="31"/>
      <c r="JD316" s="31"/>
      <c r="JE316" s="31"/>
      <c r="JF316" s="31"/>
      <c r="JG316" s="31"/>
      <c r="JH316" s="31"/>
      <c r="JI316" s="31"/>
      <c r="JJ316" s="31"/>
      <c r="JK316" s="31"/>
      <c r="JL316" s="31"/>
      <c r="JM316" s="31"/>
      <c r="JN316" s="31"/>
      <c r="JO316" s="31"/>
      <c r="JP316" s="31"/>
      <c r="JQ316" s="31"/>
      <c r="JR316" s="31"/>
      <c r="JS316" s="31"/>
      <c r="JT316" s="31"/>
      <c r="JU316" s="31"/>
      <c r="JV316" s="31"/>
      <c r="JW316" s="31"/>
      <c r="JX316" s="31"/>
      <c r="JY316" s="31"/>
      <c r="JZ316" s="31"/>
      <c r="KA316" s="31"/>
      <c r="KB316" s="31"/>
      <c r="KC316" s="31"/>
      <c r="KD316" s="31"/>
      <c r="KE316" s="31"/>
      <c r="KF316" s="31"/>
      <c r="KG316" s="31"/>
      <c r="KH316" s="31"/>
      <c r="KI316" s="31"/>
      <c r="KJ316" s="31"/>
      <c r="KK316" s="31"/>
      <c r="KL316" s="31"/>
      <c r="KM316" s="31"/>
      <c r="KN316" s="31"/>
      <c r="KO316" s="31"/>
      <c r="KP316" s="31"/>
      <c r="KQ316" s="31"/>
      <c r="KR316" s="31"/>
      <c r="KS316" s="31"/>
      <c r="KT316" s="31"/>
      <c r="KU316" s="31"/>
      <c r="KV316" s="31"/>
      <c r="KW316" s="31"/>
      <c r="KX316" s="31"/>
      <c r="KY316" s="31"/>
      <c r="KZ316" s="31"/>
      <c r="LA316" s="31"/>
      <c r="LB316" s="31"/>
      <c r="LC316" s="31"/>
      <c r="LD316" s="31"/>
      <c r="LE316" s="31"/>
      <c r="LF316" s="31"/>
      <c r="LG316" s="31"/>
      <c r="LH316" s="31"/>
      <c r="LI316" s="31"/>
      <c r="LJ316" s="31"/>
      <c r="LK316" s="31"/>
      <c r="LL316" s="31"/>
      <c r="LM316" s="31"/>
      <c r="LN316" s="31"/>
      <c r="LO316" s="31"/>
      <c r="LP316" s="31"/>
      <c r="LQ316" s="31"/>
      <c r="LR316" s="31"/>
      <c r="LS316" s="31"/>
      <c r="LT316" s="31"/>
      <c r="LU316" s="31"/>
      <c r="LV316" s="31"/>
      <c r="LW316" s="31"/>
      <c r="LX316" s="31"/>
      <c r="LY316" s="31"/>
      <c r="LZ316" s="31"/>
      <c r="MA316" s="31"/>
      <c r="MB316" s="31"/>
      <c r="MC316" s="31"/>
      <c r="MD316" s="31"/>
      <c r="ME316" s="31"/>
      <c r="MF316" s="31"/>
      <c r="MG316" s="31"/>
      <c r="MH316" s="31"/>
      <c r="MI316" s="31"/>
      <c r="MJ316" s="31"/>
      <c r="MK316" s="31"/>
      <c r="ML316" s="31"/>
      <c r="MM316" s="31"/>
      <c r="MN316" s="31"/>
      <c r="MO316" s="31"/>
      <c r="MP316" s="31"/>
      <c r="MQ316" s="31"/>
      <c r="MR316" s="31"/>
      <c r="MS316" s="31"/>
      <c r="MT316" s="31"/>
      <c r="MU316" s="31"/>
      <c r="MV316" s="31"/>
      <c r="MW316" s="31"/>
      <c r="MX316" s="31"/>
      <c r="MY316" s="31"/>
      <c r="MZ316" s="31"/>
      <c r="NA316" s="31"/>
      <c r="NB316" s="31"/>
      <c r="NC316" s="31"/>
      <c r="ND316" s="31"/>
      <c r="NE316" s="31"/>
      <c r="NF316" s="31"/>
      <c r="NG316" s="31"/>
      <c r="NH316" s="31"/>
      <c r="NI316" s="31"/>
      <c r="NJ316" s="31"/>
      <c r="NK316" s="31"/>
      <c r="NL316" s="31"/>
      <c r="NM316" s="31"/>
      <c r="NN316" s="31"/>
      <c r="NO316" s="31"/>
      <c r="NP316" s="31"/>
      <c r="NQ316" s="31"/>
      <c r="NR316" s="31"/>
      <c r="NS316" s="31"/>
      <c r="NT316" s="31"/>
      <c r="NU316" s="31"/>
      <c r="NV316" s="31"/>
      <c r="NW316" s="31"/>
      <c r="NX316" s="31"/>
      <c r="NY316" s="31"/>
      <c r="NZ316" s="31"/>
      <c r="OA316" s="31"/>
      <c r="OB316" s="31"/>
      <c r="OC316" s="31"/>
      <c r="OD316" s="31"/>
      <c r="OE316" s="31"/>
      <c r="OF316" s="31"/>
      <c r="OG316" s="31"/>
      <c r="OH316" s="31"/>
      <c r="OI316" s="31"/>
      <c r="OJ316" s="31"/>
      <c r="OK316" s="31"/>
      <c r="OL316" s="31"/>
      <c r="OM316" s="31"/>
      <c r="ON316" s="31"/>
      <c r="OO316" s="31"/>
      <c r="OP316" s="31"/>
      <c r="OQ316" s="31"/>
      <c r="OR316" s="31"/>
      <c r="OS316" s="31"/>
      <c r="OT316" s="31"/>
      <c r="OU316" s="31"/>
      <c r="OV316" s="31"/>
      <c r="OW316" s="31"/>
      <c r="OX316" s="31"/>
    </row>
    <row r="317" spans="2:414" s="25" customFormat="1" ht="15.6">
      <c r="B317" s="25" t="s">
        <v>482</v>
      </c>
      <c r="C317" s="27" t="s">
        <v>271</v>
      </c>
      <c r="D317" s="30" t="s">
        <v>465</v>
      </c>
      <c r="G317" s="42">
        <v>500</v>
      </c>
      <c r="H317" s="89">
        <v>26.109000000000002</v>
      </c>
      <c r="I317" s="38">
        <f t="shared" si="96"/>
        <v>13054.5</v>
      </c>
      <c r="K317" s="42">
        <v>500</v>
      </c>
      <c r="L317" s="90">
        <v>26.849599999999999</v>
      </c>
      <c r="M317" s="38">
        <f t="shared" si="97"/>
        <v>13424.8</v>
      </c>
      <c r="O317" s="38">
        <v>80</v>
      </c>
      <c r="P317" s="38">
        <v>26.728300000000001</v>
      </c>
      <c r="Q317" s="38">
        <f t="shared" si="98"/>
        <v>2138.2640000000001</v>
      </c>
      <c r="R317" s="43">
        <f t="shared" si="94"/>
        <v>1080</v>
      </c>
      <c r="S317" s="38">
        <f t="shared" si="99"/>
        <v>28617.563999999998</v>
      </c>
      <c r="T317" s="49">
        <v>85</v>
      </c>
      <c r="U317" s="42">
        <v>26.3461</v>
      </c>
      <c r="V317" s="38">
        <f t="shared" si="107"/>
        <v>2239.4184999999998</v>
      </c>
      <c r="W317" s="42">
        <v>215</v>
      </c>
      <c r="X317" s="42">
        <v>26.3386</v>
      </c>
      <c r="Y317" s="42">
        <f t="shared" si="110"/>
        <v>5662.799</v>
      </c>
      <c r="Z317" s="42">
        <v>100</v>
      </c>
      <c r="AA317" s="42">
        <v>26.267499999999998</v>
      </c>
      <c r="AB317" s="42">
        <f t="shared" si="108"/>
        <v>2626.75</v>
      </c>
      <c r="AD317" s="42">
        <v>100</v>
      </c>
      <c r="AE317" s="42">
        <v>26.267499999999998</v>
      </c>
      <c r="AF317" s="42">
        <f t="shared" si="109"/>
        <v>2626.75</v>
      </c>
      <c r="AG317" s="42"/>
      <c r="AH317" s="42">
        <v>200</v>
      </c>
      <c r="AI317" s="42">
        <v>26.799399999999999</v>
      </c>
      <c r="AJ317" s="42">
        <f t="shared" si="106"/>
        <v>5359.88</v>
      </c>
      <c r="AL317" s="42">
        <v>215</v>
      </c>
      <c r="AM317" s="42">
        <v>26.9239</v>
      </c>
      <c r="AN317" s="42">
        <f t="shared" si="112"/>
        <v>5788.6385</v>
      </c>
      <c r="AO317" s="44"/>
      <c r="AP317" s="42">
        <v>85</v>
      </c>
      <c r="AQ317" s="42">
        <v>26.650300000000001</v>
      </c>
      <c r="AR317" s="42"/>
      <c r="AU317" s="98"/>
      <c r="AV317" s="35">
        <f t="shared" si="111"/>
        <v>0</v>
      </c>
      <c r="AW317" s="104"/>
      <c r="AX317" s="42"/>
      <c r="AY317" s="42"/>
      <c r="AZ317" s="42">
        <f t="shared" si="113"/>
        <v>0</v>
      </c>
      <c r="BA317" s="42"/>
      <c r="BB317" s="42"/>
      <c r="BC317" s="42"/>
      <c r="BD317" s="38">
        <f t="shared" si="100"/>
        <v>0</v>
      </c>
      <c r="BE317" s="42"/>
      <c r="BF317" s="42"/>
      <c r="BG317" s="42"/>
      <c r="BH317" s="38">
        <f t="shared" si="101"/>
        <v>0</v>
      </c>
      <c r="BI317" s="42"/>
      <c r="BJ317" s="42"/>
      <c r="BK317" s="42"/>
      <c r="BL317" s="38">
        <f t="shared" si="102"/>
        <v>0</v>
      </c>
      <c r="BM317" s="42"/>
      <c r="BN317" s="42"/>
      <c r="BO317" s="42"/>
      <c r="BP317" s="42"/>
      <c r="BR317" s="42">
        <f t="shared" si="103"/>
        <v>24304.236000000001</v>
      </c>
      <c r="BS317" s="43">
        <f t="shared" si="104"/>
        <v>4313.3279999999977</v>
      </c>
      <c r="BT317" s="42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  <c r="FM317" s="31"/>
      <c r="FN317" s="31"/>
      <c r="FO317" s="31"/>
      <c r="FP317" s="31"/>
      <c r="FQ317" s="31"/>
      <c r="FR317" s="31"/>
      <c r="FS317" s="31"/>
      <c r="FT317" s="31"/>
      <c r="FU317" s="31"/>
      <c r="FV317" s="31"/>
      <c r="FW317" s="31"/>
      <c r="FX317" s="31"/>
      <c r="FY317" s="31"/>
      <c r="FZ317" s="31"/>
      <c r="GA317" s="31"/>
      <c r="GB317" s="31"/>
      <c r="GC317" s="31"/>
      <c r="GD317" s="31"/>
      <c r="GE317" s="31"/>
      <c r="GF317" s="31"/>
      <c r="GG317" s="31"/>
      <c r="GH317" s="31"/>
      <c r="GI317" s="31"/>
      <c r="GJ317" s="31"/>
      <c r="GK317" s="31"/>
      <c r="GL317" s="31"/>
      <c r="GM317" s="31"/>
      <c r="GN317" s="31"/>
      <c r="GO317" s="31"/>
      <c r="GP317" s="31"/>
      <c r="GQ317" s="31"/>
      <c r="GR317" s="31"/>
      <c r="GS317" s="31"/>
      <c r="GT317" s="31"/>
      <c r="GU317" s="31"/>
      <c r="GV317" s="31"/>
      <c r="GW317" s="31"/>
      <c r="GX317" s="31"/>
      <c r="GY317" s="31"/>
      <c r="GZ317" s="31"/>
      <c r="HA317" s="31"/>
      <c r="HB317" s="31"/>
      <c r="HC317" s="31"/>
      <c r="HD317" s="31"/>
      <c r="HE317" s="31"/>
      <c r="HF317" s="31"/>
      <c r="HG317" s="31"/>
      <c r="HH317" s="31"/>
      <c r="HI317" s="31"/>
      <c r="HJ317" s="31"/>
      <c r="HK317" s="31"/>
      <c r="HL317" s="31"/>
      <c r="HM317" s="31"/>
      <c r="HN317" s="31"/>
      <c r="HO317" s="31"/>
      <c r="HP317" s="31"/>
      <c r="HQ317" s="31"/>
      <c r="HR317" s="31"/>
      <c r="HS317" s="31"/>
      <c r="HT317" s="31"/>
      <c r="HU317" s="31"/>
      <c r="HV317" s="31"/>
      <c r="HW317" s="31"/>
      <c r="HX317" s="31"/>
      <c r="HY317" s="31"/>
      <c r="HZ317" s="31"/>
      <c r="IA317" s="31"/>
      <c r="IB317" s="31"/>
      <c r="IC317" s="31"/>
      <c r="ID317" s="31"/>
      <c r="IE317" s="31"/>
      <c r="IF317" s="31"/>
      <c r="IG317" s="31"/>
      <c r="IH317" s="31"/>
      <c r="II317" s="31"/>
      <c r="IJ317" s="31"/>
      <c r="IK317" s="31"/>
      <c r="IL317" s="31"/>
      <c r="IM317" s="31"/>
      <c r="IN317" s="31"/>
      <c r="IO317" s="31"/>
      <c r="IP317" s="31"/>
      <c r="IQ317" s="31"/>
      <c r="IR317" s="31"/>
      <c r="IS317" s="31"/>
      <c r="IT317" s="31"/>
      <c r="IU317" s="31"/>
      <c r="IV317" s="31"/>
      <c r="IW317" s="31"/>
      <c r="IX317" s="31"/>
      <c r="IY317" s="31"/>
      <c r="IZ317" s="31"/>
      <c r="JA317" s="31"/>
      <c r="JB317" s="31"/>
      <c r="JC317" s="31"/>
      <c r="JD317" s="31"/>
      <c r="JE317" s="31"/>
      <c r="JF317" s="31"/>
      <c r="JG317" s="31"/>
      <c r="JH317" s="31"/>
      <c r="JI317" s="31"/>
      <c r="JJ317" s="31"/>
      <c r="JK317" s="31"/>
      <c r="JL317" s="31"/>
      <c r="JM317" s="31"/>
      <c r="JN317" s="31"/>
      <c r="JO317" s="31"/>
      <c r="JP317" s="31"/>
      <c r="JQ317" s="31"/>
      <c r="JR317" s="31"/>
      <c r="JS317" s="31"/>
      <c r="JT317" s="31"/>
      <c r="JU317" s="31"/>
      <c r="JV317" s="31"/>
      <c r="JW317" s="31"/>
      <c r="JX317" s="31"/>
      <c r="JY317" s="31"/>
      <c r="JZ317" s="31"/>
      <c r="KA317" s="31"/>
      <c r="KB317" s="31"/>
      <c r="KC317" s="31"/>
      <c r="KD317" s="31"/>
      <c r="KE317" s="31"/>
      <c r="KF317" s="31"/>
      <c r="KG317" s="31"/>
      <c r="KH317" s="31"/>
      <c r="KI317" s="31"/>
      <c r="KJ317" s="31"/>
      <c r="KK317" s="31"/>
      <c r="KL317" s="31"/>
      <c r="KM317" s="31"/>
      <c r="KN317" s="31"/>
      <c r="KO317" s="31"/>
      <c r="KP317" s="31"/>
      <c r="KQ317" s="31"/>
      <c r="KR317" s="31"/>
      <c r="KS317" s="31"/>
      <c r="KT317" s="31"/>
      <c r="KU317" s="31"/>
      <c r="KV317" s="31"/>
      <c r="KW317" s="31"/>
      <c r="KX317" s="31"/>
      <c r="KY317" s="31"/>
      <c r="KZ317" s="31"/>
      <c r="LA317" s="31"/>
      <c r="LB317" s="31"/>
      <c r="LC317" s="31"/>
      <c r="LD317" s="31"/>
      <c r="LE317" s="31"/>
      <c r="LF317" s="31"/>
      <c r="LG317" s="31"/>
      <c r="LH317" s="31"/>
      <c r="LI317" s="31"/>
      <c r="LJ317" s="31"/>
      <c r="LK317" s="31"/>
      <c r="LL317" s="31"/>
      <c r="LM317" s="31"/>
      <c r="LN317" s="31"/>
      <c r="LO317" s="31"/>
      <c r="LP317" s="31"/>
      <c r="LQ317" s="31"/>
      <c r="LR317" s="31"/>
      <c r="LS317" s="31"/>
      <c r="LT317" s="31"/>
      <c r="LU317" s="31"/>
      <c r="LV317" s="31"/>
      <c r="LW317" s="31"/>
      <c r="LX317" s="31"/>
      <c r="LY317" s="31"/>
      <c r="LZ317" s="31"/>
      <c r="MA317" s="31"/>
      <c r="MB317" s="31"/>
      <c r="MC317" s="31"/>
      <c r="MD317" s="31"/>
      <c r="ME317" s="31"/>
      <c r="MF317" s="31"/>
      <c r="MG317" s="31"/>
      <c r="MH317" s="31"/>
      <c r="MI317" s="31"/>
      <c r="MJ317" s="31"/>
      <c r="MK317" s="31"/>
      <c r="ML317" s="31"/>
      <c r="MM317" s="31"/>
      <c r="MN317" s="31"/>
      <c r="MO317" s="31"/>
      <c r="MP317" s="31"/>
      <c r="MQ317" s="31"/>
      <c r="MR317" s="31"/>
      <c r="MS317" s="31"/>
      <c r="MT317" s="31"/>
      <c r="MU317" s="31"/>
      <c r="MV317" s="31"/>
      <c r="MW317" s="31"/>
      <c r="MX317" s="31"/>
      <c r="MY317" s="31"/>
      <c r="MZ317" s="31"/>
      <c r="NA317" s="31"/>
      <c r="NB317" s="31"/>
      <c r="NC317" s="31"/>
      <c r="ND317" s="31"/>
      <c r="NE317" s="31"/>
      <c r="NF317" s="31"/>
      <c r="NG317" s="31"/>
      <c r="NH317" s="31"/>
      <c r="NI317" s="31"/>
      <c r="NJ317" s="31"/>
      <c r="NK317" s="31"/>
      <c r="NL317" s="31"/>
      <c r="NM317" s="31"/>
      <c r="NN317" s="31"/>
      <c r="NO317" s="31"/>
      <c r="NP317" s="31"/>
      <c r="NQ317" s="31"/>
      <c r="NR317" s="31"/>
      <c r="NS317" s="31"/>
      <c r="NT317" s="31"/>
      <c r="NU317" s="31"/>
      <c r="NV317" s="31"/>
      <c r="NW317" s="31"/>
      <c r="NX317" s="31"/>
      <c r="NY317" s="31"/>
      <c r="NZ317" s="31"/>
      <c r="OA317" s="31"/>
      <c r="OB317" s="31"/>
      <c r="OC317" s="31"/>
      <c r="OD317" s="31"/>
      <c r="OE317" s="31"/>
      <c r="OF317" s="31"/>
      <c r="OG317" s="31"/>
      <c r="OH317" s="31"/>
      <c r="OI317" s="31"/>
      <c r="OJ317" s="31"/>
      <c r="OK317" s="31"/>
      <c r="OL317" s="31"/>
      <c r="OM317" s="31"/>
      <c r="ON317" s="31"/>
      <c r="OO317" s="31"/>
      <c r="OP317" s="31"/>
      <c r="OQ317" s="31"/>
      <c r="OR317" s="31"/>
      <c r="OS317" s="31"/>
      <c r="OT317" s="31"/>
      <c r="OU317" s="31"/>
      <c r="OV317" s="31"/>
      <c r="OW317" s="31"/>
      <c r="OX317" s="31"/>
    </row>
    <row r="318" spans="2:414" s="25" customFormat="1" ht="15.6">
      <c r="B318" s="25" t="s">
        <v>42</v>
      </c>
      <c r="C318" s="27" t="s">
        <v>483</v>
      </c>
      <c r="D318" s="30" t="s">
        <v>465</v>
      </c>
      <c r="G318" s="42">
        <v>500</v>
      </c>
      <c r="H318" s="89">
        <v>26.109000000000002</v>
      </c>
      <c r="I318" s="38">
        <f t="shared" si="96"/>
        <v>13054.5</v>
      </c>
      <c r="K318" s="42">
        <v>500</v>
      </c>
      <c r="L318" s="90">
        <v>26.849599999999999</v>
      </c>
      <c r="M318" s="38">
        <f t="shared" si="97"/>
        <v>13424.8</v>
      </c>
      <c r="O318" s="38">
        <v>80</v>
      </c>
      <c r="P318" s="38">
        <v>26.728300000000001</v>
      </c>
      <c r="Q318" s="38">
        <f t="shared" si="98"/>
        <v>2138.2640000000001</v>
      </c>
      <c r="R318" s="43">
        <f t="shared" si="94"/>
        <v>1080</v>
      </c>
      <c r="S318" s="38">
        <f t="shared" si="99"/>
        <v>28617.563999999998</v>
      </c>
      <c r="T318" s="49">
        <v>315</v>
      </c>
      <c r="U318" s="42">
        <v>25.822600000000001</v>
      </c>
      <c r="V318" s="38">
        <f t="shared" si="107"/>
        <v>8134.1190000000006</v>
      </c>
      <c r="W318" s="42">
        <v>85</v>
      </c>
      <c r="X318" s="42">
        <v>25.822600000000001</v>
      </c>
      <c r="Y318" s="42">
        <f t="shared" si="110"/>
        <v>2194.9210000000003</v>
      </c>
      <c r="Z318" s="42">
        <v>90</v>
      </c>
      <c r="AA318" s="42">
        <v>26.603200000000001</v>
      </c>
      <c r="AB318" s="42">
        <f t="shared" si="108"/>
        <v>2394.288</v>
      </c>
      <c r="AD318" s="42">
        <v>10</v>
      </c>
      <c r="AE318" s="42">
        <v>26.849599999999999</v>
      </c>
      <c r="AF318" s="42">
        <f t="shared" si="109"/>
        <v>268.49599999999998</v>
      </c>
      <c r="AG318" s="42"/>
      <c r="AH318" s="42">
        <v>215</v>
      </c>
      <c r="AI318" s="42">
        <v>26.849599999999999</v>
      </c>
      <c r="AJ318" s="42">
        <f t="shared" si="106"/>
        <v>5772.6639999999998</v>
      </c>
      <c r="AL318" s="42">
        <v>200</v>
      </c>
      <c r="AM318" s="42">
        <v>26.849599999999999</v>
      </c>
      <c r="AN318" s="42">
        <f t="shared" si="112"/>
        <v>5369.92</v>
      </c>
      <c r="AO318" s="44"/>
      <c r="AP318" s="42">
        <v>100</v>
      </c>
      <c r="AQ318" s="42">
        <v>26.952500000000001</v>
      </c>
      <c r="AR318" s="42"/>
      <c r="AU318" s="98"/>
      <c r="AV318" s="35">
        <f t="shared" si="111"/>
        <v>0</v>
      </c>
      <c r="AW318" s="104"/>
      <c r="AX318" s="42"/>
      <c r="AY318" s="42"/>
      <c r="AZ318" s="42">
        <f t="shared" si="113"/>
        <v>0</v>
      </c>
      <c r="BA318" s="42"/>
      <c r="BB318" s="42"/>
      <c r="BC318" s="42"/>
      <c r="BD318" s="38">
        <f t="shared" si="100"/>
        <v>0</v>
      </c>
      <c r="BE318" s="42"/>
      <c r="BF318" s="42"/>
      <c r="BG318" s="42"/>
      <c r="BH318" s="38">
        <f t="shared" si="101"/>
        <v>0</v>
      </c>
      <c r="BI318" s="42"/>
      <c r="BJ318" s="42"/>
      <c r="BK318" s="42"/>
      <c r="BL318" s="38">
        <f t="shared" si="102"/>
        <v>0</v>
      </c>
      <c r="BM318" s="42"/>
      <c r="BN318" s="42"/>
      <c r="BO318" s="42"/>
      <c r="BP318" s="42"/>
      <c r="BR318" s="42">
        <f t="shared" si="103"/>
        <v>24134.408000000003</v>
      </c>
      <c r="BS318" s="43">
        <f t="shared" si="104"/>
        <v>4483.1559999999954</v>
      </c>
      <c r="BT318" s="42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  <c r="FM318" s="31"/>
      <c r="FN318" s="31"/>
      <c r="FO318" s="31"/>
      <c r="FP318" s="31"/>
      <c r="FQ318" s="31"/>
      <c r="FR318" s="31"/>
      <c r="FS318" s="31"/>
      <c r="FT318" s="31"/>
      <c r="FU318" s="31"/>
      <c r="FV318" s="31"/>
      <c r="FW318" s="31"/>
      <c r="FX318" s="31"/>
      <c r="FY318" s="31"/>
      <c r="FZ318" s="31"/>
      <c r="GA318" s="31"/>
      <c r="GB318" s="31"/>
      <c r="GC318" s="31"/>
      <c r="GD318" s="31"/>
      <c r="GE318" s="31"/>
      <c r="GF318" s="31"/>
      <c r="GG318" s="31"/>
      <c r="GH318" s="31"/>
      <c r="GI318" s="31"/>
      <c r="GJ318" s="31"/>
      <c r="GK318" s="31"/>
      <c r="GL318" s="31"/>
      <c r="GM318" s="31"/>
      <c r="GN318" s="31"/>
      <c r="GO318" s="31"/>
      <c r="GP318" s="31"/>
      <c r="GQ318" s="31"/>
      <c r="GR318" s="31"/>
      <c r="GS318" s="31"/>
      <c r="GT318" s="31"/>
      <c r="GU318" s="31"/>
      <c r="GV318" s="31"/>
      <c r="GW318" s="31"/>
      <c r="GX318" s="31"/>
      <c r="GY318" s="31"/>
      <c r="GZ318" s="31"/>
      <c r="HA318" s="31"/>
      <c r="HB318" s="31"/>
      <c r="HC318" s="31"/>
      <c r="HD318" s="31"/>
      <c r="HE318" s="31"/>
      <c r="HF318" s="31"/>
      <c r="HG318" s="31"/>
      <c r="HH318" s="31"/>
      <c r="HI318" s="31"/>
      <c r="HJ318" s="31"/>
      <c r="HK318" s="31"/>
      <c r="HL318" s="31"/>
      <c r="HM318" s="31"/>
      <c r="HN318" s="31"/>
      <c r="HO318" s="31"/>
      <c r="HP318" s="31"/>
      <c r="HQ318" s="31"/>
      <c r="HR318" s="31"/>
      <c r="HS318" s="31"/>
      <c r="HT318" s="31"/>
      <c r="HU318" s="31"/>
      <c r="HV318" s="31"/>
      <c r="HW318" s="31"/>
      <c r="HX318" s="31"/>
      <c r="HY318" s="31"/>
      <c r="HZ318" s="31"/>
      <c r="IA318" s="31"/>
      <c r="IB318" s="31"/>
      <c r="IC318" s="31"/>
      <c r="ID318" s="31"/>
      <c r="IE318" s="31"/>
      <c r="IF318" s="31"/>
      <c r="IG318" s="31"/>
      <c r="IH318" s="31"/>
      <c r="II318" s="31"/>
      <c r="IJ318" s="31"/>
      <c r="IK318" s="31"/>
      <c r="IL318" s="31"/>
      <c r="IM318" s="31"/>
      <c r="IN318" s="31"/>
      <c r="IO318" s="31"/>
      <c r="IP318" s="31"/>
      <c r="IQ318" s="31"/>
      <c r="IR318" s="31"/>
      <c r="IS318" s="31"/>
      <c r="IT318" s="31"/>
      <c r="IU318" s="31"/>
      <c r="IV318" s="31"/>
      <c r="IW318" s="31"/>
      <c r="IX318" s="31"/>
      <c r="IY318" s="31"/>
      <c r="IZ318" s="31"/>
      <c r="JA318" s="31"/>
      <c r="JB318" s="31"/>
      <c r="JC318" s="31"/>
      <c r="JD318" s="31"/>
      <c r="JE318" s="31"/>
      <c r="JF318" s="31"/>
      <c r="JG318" s="31"/>
      <c r="JH318" s="31"/>
      <c r="JI318" s="31"/>
      <c r="JJ318" s="31"/>
      <c r="JK318" s="31"/>
      <c r="JL318" s="31"/>
      <c r="JM318" s="31"/>
      <c r="JN318" s="31"/>
      <c r="JO318" s="31"/>
      <c r="JP318" s="31"/>
      <c r="JQ318" s="31"/>
      <c r="JR318" s="31"/>
      <c r="JS318" s="31"/>
      <c r="JT318" s="31"/>
      <c r="JU318" s="31"/>
      <c r="JV318" s="31"/>
      <c r="JW318" s="31"/>
      <c r="JX318" s="31"/>
      <c r="JY318" s="31"/>
      <c r="JZ318" s="31"/>
      <c r="KA318" s="31"/>
      <c r="KB318" s="31"/>
      <c r="KC318" s="31"/>
      <c r="KD318" s="31"/>
      <c r="KE318" s="31"/>
      <c r="KF318" s="31"/>
      <c r="KG318" s="31"/>
      <c r="KH318" s="31"/>
      <c r="KI318" s="31"/>
      <c r="KJ318" s="31"/>
      <c r="KK318" s="31"/>
      <c r="KL318" s="31"/>
      <c r="KM318" s="31"/>
      <c r="KN318" s="31"/>
      <c r="KO318" s="31"/>
      <c r="KP318" s="31"/>
      <c r="KQ318" s="31"/>
      <c r="KR318" s="31"/>
      <c r="KS318" s="31"/>
      <c r="KT318" s="31"/>
      <c r="KU318" s="31"/>
      <c r="KV318" s="31"/>
      <c r="KW318" s="31"/>
      <c r="KX318" s="31"/>
      <c r="KY318" s="31"/>
      <c r="KZ318" s="31"/>
      <c r="LA318" s="31"/>
      <c r="LB318" s="31"/>
      <c r="LC318" s="31"/>
      <c r="LD318" s="31"/>
      <c r="LE318" s="31"/>
      <c r="LF318" s="31"/>
      <c r="LG318" s="31"/>
      <c r="LH318" s="31"/>
      <c r="LI318" s="31"/>
      <c r="LJ318" s="31"/>
      <c r="LK318" s="31"/>
      <c r="LL318" s="31"/>
      <c r="LM318" s="31"/>
      <c r="LN318" s="31"/>
      <c r="LO318" s="31"/>
      <c r="LP318" s="31"/>
      <c r="LQ318" s="31"/>
      <c r="LR318" s="31"/>
      <c r="LS318" s="31"/>
      <c r="LT318" s="31"/>
      <c r="LU318" s="31"/>
      <c r="LV318" s="31"/>
      <c r="LW318" s="31"/>
      <c r="LX318" s="31"/>
      <c r="LY318" s="31"/>
      <c r="LZ318" s="31"/>
      <c r="MA318" s="31"/>
      <c r="MB318" s="31"/>
      <c r="MC318" s="31"/>
      <c r="MD318" s="31"/>
      <c r="ME318" s="31"/>
      <c r="MF318" s="31"/>
      <c r="MG318" s="31"/>
      <c r="MH318" s="31"/>
      <c r="MI318" s="31"/>
      <c r="MJ318" s="31"/>
      <c r="MK318" s="31"/>
      <c r="ML318" s="31"/>
      <c r="MM318" s="31"/>
      <c r="MN318" s="31"/>
      <c r="MO318" s="31"/>
      <c r="MP318" s="31"/>
      <c r="MQ318" s="31"/>
      <c r="MR318" s="31"/>
      <c r="MS318" s="31"/>
      <c r="MT318" s="31"/>
      <c r="MU318" s="31"/>
      <c r="MV318" s="31"/>
      <c r="MW318" s="31"/>
      <c r="MX318" s="31"/>
      <c r="MY318" s="31"/>
      <c r="MZ318" s="31"/>
      <c r="NA318" s="31"/>
      <c r="NB318" s="31"/>
      <c r="NC318" s="31"/>
      <c r="ND318" s="31"/>
      <c r="NE318" s="31"/>
      <c r="NF318" s="31"/>
      <c r="NG318" s="31"/>
      <c r="NH318" s="31"/>
      <c r="NI318" s="31"/>
      <c r="NJ318" s="31"/>
      <c r="NK318" s="31"/>
      <c r="NL318" s="31"/>
      <c r="NM318" s="31"/>
      <c r="NN318" s="31"/>
      <c r="NO318" s="31"/>
      <c r="NP318" s="31"/>
      <c r="NQ318" s="31"/>
      <c r="NR318" s="31"/>
      <c r="NS318" s="31"/>
      <c r="NT318" s="31"/>
      <c r="NU318" s="31"/>
      <c r="NV318" s="31"/>
      <c r="NW318" s="31"/>
      <c r="NX318" s="31"/>
      <c r="NY318" s="31"/>
      <c r="NZ318" s="31"/>
      <c r="OA318" s="31"/>
      <c r="OB318" s="31"/>
      <c r="OC318" s="31"/>
      <c r="OD318" s="31"/>
      <c r="OE318" s="31"/>
      <c r="OF318" s="31"/>
      <c r="OG318" s="31"/>
      <c r="OH318" s="31"/>
      <c r="OI318" s="31"/>
      <c r="OJ318" s="31"/>
      <c r="OK318" s="31"/>
      <c r="OL318" s="31"/>
      <c r="OM318" s="31"/>
      <c r="ON318" s="31"/>
      <c r="OO318" s="31"/>
      <c r="OP318" s="31"/>
      <c r="OQ318" s="31"/>
      <c r="OR318" s="31"/>
      <c r="OS318" s="31"/>
      <c r="OT318" s="31"/>
      <c r="OU318" s="31"/>
      <c r="OV318" s="31"/>
      <c r="OW318" s="31"/>
      <c r="OX318" s="31"/>
    </row>
    <row r="319" spans="2:414" s="25" customFormat="1" ht="15.6">
      <c r="B319" s="25" t="s">
        <v>484</v>
      </c>
      <c r="C319" s="27" t="s">
        <v>485</v>
      </c>
      <c r="D319" s="30" t="s">
        <v>465</v>
      </c>
      <c r="G319" s="42">
        <v>500</v>
      </c>
      <c r="H319" s="89">
        <v>26.109000000000002</v>
      </c>
      <c r="I319" s="38">
        <f t="shared" si="96"/>
        <v>13054.5</v>
      </c>
      <c r="K319" s="42">
        <v>500</v>
      </c>
      <c r="L319" s="90">
        <v>26.849599999999999</v>
      </c>
      <c r="M319" s="38">
        <f t="shared" si="97"/>
        <v>13424.8</v>
      </c>
      <c r="O319" s="38">
        <v>80</v>
      </c>
      <c r="P319" s="38">
        <v>26.728300000000001</v>
      </c>
      <c r="Q319" s="38">
        <f t="shared" si="98"/>
        <v>2138.2640000000001</v>
      </c>
      <c r="R319" s="43">
        <f t="shared" si="94"/>
        <v>1080</v>
      </c>
      <c r="S319" s="38">
        <f t="shared" si="99"/>
        <v>28617.563999999998</v>
      </c>
      <c r="T319" s="49">
        <v>215</v>
      </c>
      <c r="U319" s="42">
        <v>26.596299999999999</v>
      </c>
      <c r="V319" s="38">
        <f t="shared" si="107"/>
        <v>5718.2044999999998</v>
      </c>
      <c r="W319" s="42">
        <v>85</v>
      </c>
      <c r="X319" s="42">
        <v>26.596299999999999</v>
      </c>
      <c r="Y319" s="42">
        <f t="shared" si="110"/>
        <v>2260.6855</v>
      </c>
      <c r="Z319" s="42">
        <v>315</v>
      </c>
      <c r="AA319" s="42">
        <v>26.901399999999999</v>
      </c>
      <c r="AB319" s="42">
        <f t="shared" si="108"/>
        <v>8473.9409999999989</v>
      </c>
      <c r="AD319" s="42">
        <v>85</v>
      </c>
      <c r="AE319" s="42">
        <v>26.901399999999999</v>
      </c>
      <c r="AF319" s="42">
        <f t="shared" si="109"/>
        <v>2286.6189999999997</v>
      </c>
      <c r="AG319" s="42"/>
      <c r="AH319" s="42">
        <v>200</v>
      </c>
      <c r="AI319" s="42">
        <v>26.967199999999998</v>
      </c>
      <c r="AJ319" s="42">
        <f t="shared" si="106"/>
        <v>5393.44</v>
      </c>
      <c r="AL319" s="42">
        <v>100</v>
      </c>
      <c r="AM319" s="42">
        <v>26.840599999999998</v>
      </c>
      <c r="AN319" s="42">
        <f t="shared" si="112"/>
        <v>2684.06</v>
      </c>
      <c r="AO319" s="44"/>
      <c r="AP319" s="42"/>
      <c r="AQ319" s="42"/>
      <c r="AR319" s="42"/>
      <c r="AU319" s="98"/>
      <c r="AV319" s="35">
        <f t="shared" si="111"/>
        <v>0</v>
      </c>
      <c r="AW319" s="104"/>
      <c r="AX319" s="42"/>
      <c r="AY319" s="42"/>
      <c r="AZ319" s="42">
        <f t="shared" si="113"/>
        <v>0</v>
      </c>
      <c r="BA319" s="42"/>
      <c r="BB319" s="42"/>
      <c r="BC319" s="42"/>
      <c r="BD319" s="38">
        <f t="shared" si="100"/>
        <v>0</v>
      </c>
      <c r="BE319" s="42"/>
      <c r="BF319" s="42"/>
      <c r="BG319" s="42"/>
      <c r="BH319" s="38">
        <f t="shared" si="101"/>
        <v>0</v>
      </c>
      <c r="BI319" s="42"/>
      <c r="BJ319" s="42"/>
      <c r="BK319" s="42"/>
      <c r="BL319" s="38">
        <f t="shared" si="102"/>
        <v>0</v>
      </c>
      <c r="BM319" s="42"/>
      <c r="BN319" s="42"/>
      <c r="BO319" s="42"/>
      <c r="BP319" s="42"/>
      <c r="BR319" s="42">
        <f t="shared" si="103"/>
        <v>26816.949999999997</v>
      </c>
      <c r="BS319" s="43">
        <f t="shared" si="104"/>
        <v>1800.6140000000014</v>
      </c>
      <c r="BT319" s="42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  <c r="FM319" s="31"/>
      <c r="FN319" s="31"/>
      <c r="FO319" s="31"/>
      <c r="FP319" s="31"/>
      <c r="FQ319" s="31"/>
      <c r="FR319" s="31"/>
      <c r="FS319" s="31"/>
      <c r="FT319" s="31"/>
      <c r="FU319" s="31"/>
      <c r="FV319" s="31"/>
      <c r="FW319" s="31"/>
      <c r="FX319" s="31"/>
      <c r="FY319" s="31"/>
      <c r="FZ319" s="31"/>
      <c r="GA319" s="31"/>
      <c r="GB319" s="31"/>
      <c r="GC319" s="31"/>
      <c r="GD319" s="31"/>
      <c r="GE319" s="31"/>
      <c r="GF319" s="31"/>
      <c r="GG319" s="31"/>
      <c r="GH319" s="31"/>
      <c r="GI319" s="31"/>
      <c r="GJ319" s="31"/>
      <c r="GK319" s="31"/>
      <c r="GL319" s="31"/>
      <c r="GM319" s="31"/>
      <c r="GN319" s="31"/>
      <c r="GO319" s="31"/>
      <c r="GP319" s="31"/>
      <c r="GQ319" s="31"/>
      <c r="GR319" s="31"/>
      <c r="GS319" s="31"/>
      <c r="GT319" s="31"/>
      <c r="GU319" s="31"/>
      <c r="GV319" s="31"/>
      <c r="GW319" s="31"/>
      <c r="GX319" s="31"/>
      <c r="GY319" s="31"/>
      <c r="GZ319" s="31"/>
      <c r="HA319" s="31"/>
      <c r="HB319" s="31"/>
      <c r="HC319" s="31"/>
      <c r="HD319" s="31"/>
      <c r="HE319" s="31"/>
      <c r="HF319" s="31"/>
      <c r="HG319" s="31"/>
      <c r="HH319" s="31"/>
      <c r="HI319" s="31"/>
      <c r="HJ319" s="31"/>
      <c r="HK319" s="31"/>
      <c r="HL319" s="31"/>
      <c r="HM319" s="31"/>
      <c r="HN319" s="31"/>
      <c r="HO319" s="31"/>
      <c r="HP319" s="31"/>
      <c r="HQ319" s="31"/>
      <c r="HR319" s="31"/>
      <c r="HS319" s="31"/>
      <c r="HT319" s="31"/>
      <c r="HU319" s="31"/>
      <c r="HV319" s="31"/>
      <c r="HW319" s="31"/>
      <c r="HX319" s="31"/>
      <c r="HY319" s="31"/>
      <c r="HZ319" s="31"/>
      <c r="IA319" s="31"/>
      <c r="IB319" s="31"/>
      <c r="IC319" s="31"/>
      <c r="ID319" s="31"/>
      <c r="IE319" s="31"/>
      <c r="IF319" s="31"/>
      <c r="IG319" s="31"/>
      <c r="IH319" s="31"/>
      <c r="II319" s="31"/>
      <c r="IJ319" s="31"/>
      <c r="IK319" s="31"/>
      <c r="IL319" s="31"/>
      <c r="IM319" s="31"/>
      <c r="IN319" s="31"/>
      <c r="IO319" s="31"/>
      <c r="IP319" s="31"/>
      <c r="IQ319" s="31"/>
      <c r="IR319" s="31"/>
      <c r="IS319" s="31"/>
      <c r="IT319" s="31"/>
      <c r="IU319" s="31"/>
      <c r="IV319" s="31"/>
      <c r="IW319" s="31"/>
      <c r="IX319" s="31"/>
      <c r="IY319" s="31"/>
      <c r="IZ319" s="31"/>
      <c r="JA319" s="31"/>
      <c r="JB319" s="31"/>
      <c r="JC319" s="31"/>
      <c r="JD319" s="31"/>
      <c r="JE319" s="31"/>
      <c r="JF319" s="31"/>
      <c r="JG319" s="31"/>
      <c r="JH319" s="31"/>
      <c r="JI319" s="31"/>
      <c r="JJ319" s="31"/>
      <c r="JK319" s="31"/>
      <c r="JL319" s="31"/>
      <c r="JM319" s="31"/>
      <c r="JN319" s="31"/>
      <c r="JO319" s="31"/>
      <c r="JP319" s="31"/>
      <c r="JQ319" s="31"/>
      <c r="JR319" s="31"/>
      <c r="JS319" s="31"/>
      <c r="JT319" s="31"/>
      <c r="JU319" s="31"/>
      <c r="JV319" s="31"/>
      <c r="JW319" s="31"/>
      <c r="JX319" s="31"/>
      <c r="JY319" s="31"/>
      <c r="JZ319" s="31"/>
      <c r="KA319" s="31"/>
      <c r="KB319" s="31"/>
      <c r="KC319" s="31"/>
      <c r="KD319" s="31"/>
      <c r="KE319" s="31"/>
      <c r="KF319" s="31"/>
      <c r="KG319" s="31"/>
      <c r="KH319" s="31"/>
      <c r="KI319" s="31"/>
      <c r="KJ319" s="31"/>
      <c r="KK319" s="31"/>
      <c r="KL319" s="31"/>
      <c r="KM319" s="31"/>
      <c r="KN319" s="31"/>
      <c r="KO319" s="31"/>
      <c r="KP319" s="31"/>
      <c r="KQ319" s="31"/>
      <c r="KR319" s="31"/>
      <c r="KS319" s="31"/>
      <c r="KT319" s="31"/>
      <c r="KU319" s="31"/>
      <c r="KV319" s="31"/>
      <c r="KW319" s="31"/>
      <c r="KX319" s="31"/>
      <c r="KY319" s="31"/>
      <c r="KZ319" s="31"/>
      <c r="LA319" s="31"/>
      <c r="LB319" s="31"/>
      <c r="LC319" s="31"/>
      <c r="LD319" s="31"/>
      <c r="LE319" s="31"/>
      <c r="LF319" s="31"/>
      <c r="LG319" s="31"/>
      <c r="LH319" s="31"/>
      <c r="LI319" s="31"/>
      <c r="LJ319" s="31"/>
      <c r="LK319" s="31"/>
      <c r="LL319" s="31"/>
      <c r="LM319" s="31"/>
      <c r="LN319" s="31"/>
      <c r="LO319" s="31"/>
      <c r="LP319" s="31"/>
      <c r="LQ319" s="31"/>
      <c r="LR319" s="31"/>
      <c r="LS319" s="31"/>
      <c r="LT319" s="31"/>
      <c r="LU319" s="31"/>
      <c r="LV319" s="31"/>
      <c r="LW319" s="31"/>
      <c r="LX319" s="31"/>
      <c r="LY319" s="31"/>
      <c r="LZ319" s="31"/>
      <c r="MA319" s="31"/>
      <c r="MB319" s="31"/>
      <c r="MC319" s="31"/>
      <c r="MD319" s="31"/>
      <c r="ME319" s="31"/>
      <c r="MF319" s="31"/>
      <c r="MG319" s="31"/>
      <c r="MH319" s="31"/>
      <c r="MI319" s="31"/>
      <c r="MJ319" s="31"/>
      <c r="MK319" s="31"/>
      <c r="ML319" s="31"/>
      <c r="MM319" s="31"/>
      <c r="MN319" s="31"/>
      <c r="MO319" s="31"/>
      <c r="MP319" s="31"/>
      <c r="MQ319" s="31"/>
      <c r="MR319" s="31"/>
      <c r="MS319" s="31"/>
      <c r="MT319" s="31"/>
      <c r="MU319" s="31"/>
      <c r="MV319" s="31"/>
      <c r="MW319" s="31"/>
      <c r="MX319" s="31"/>
      <c r="MY319" s="31"/>
      <c r="MZ319" s="31"/>
      <c r="NA319" s="31"/>
      <c r="NB319" s="31"/>
      <c r="NC319" s="31"/>
      <c r="ND319" s="31"/>
      <c r="NE319" s="31"/>
      <c r="NF319" s="31"/>
      <c r="NG319" s="31"/>
      <c r="NH319" s="31"/>
      <c r="NI319" s="31"/>
      <c r="NJ319" s="31"/>
      <c r="NK319" s="31"/>
      <c r="NL319" s="31"/>
      <c r="NM319" s="31"/>
      <c r="NN319" s="31"/>
      <c r="NO319" s="31"/>
      <c r="NP319" s="31"/>
      <c r="NQ319" s="31"/>
      <c r="NR319" s="31"/>
      <c r="NS319" s="31"/>
      <c r="NT319" s="31"/>
      <c r="NU319" s="31"/>
      <c r="NV319" s="31"/>
      <c r="NW319" s="31"/>
      <c r="NX319" s="31"/>
      <c r="NY319" s="31"/>
      <c r="NZ319" s="31"/>
      <c r="OA319" s="31"/>
      <c r="OB319" s="31"/>
      <c r="OC319" s="31"/>
      <c r="OD319" s="31"/>
      <c r="OE319" s="31"/>
      <c r="OF319" s="31"/>
      <c r="OG319" s="31"/>
      <c r="OH319" s="31"/>
      <c r="OI319" s="31"/>
      <c r="OJ319" s="31"/>
      <c r="OK319" s="31"/>
      <c r="OL319" s="31"/>
      <c r="OM319" s="31"/>
      <c r="ON319" s="31"/>
      <c r="OO319" s="31"/>
      <c r="OP319" s="31"/>
      <c r="OQ319" s="31"/>
      <c r="OR319" s="31"/>
      <c r="OS319" s="31"/>
      <c r="OT319" s="31"/>
      <c r="OU319" s="31"/>
      <c r="OV319" s="31"/>
      <c r="OW319" s="31"/>
      <c r="OX319" s="31"/>
    </row>
    <row r="320" spans="2:414" s="25" customFormat="1" ht="15.6">
      <c r="B320" s="25" t="s">
        <v>486</v>
      </c>
      <c r="C320" s="27" t="s">
        <v>131</v>
      </c>
      <c r="D320" s="30" t="s">
        <v>465</v>
      </c>
      <c r="G320" s="42">
        <v>500</v>
      </c>
      <c r="H320" s="89">
        <v>26.109000000000002</v>
      </c>
      <c r="I320" s="38">
        <f t="shared" si="96"/>
        <v>13054.5</v>
      </c>
      <c r="K320" s="42">
        <v>500</v>
      </c>
      <c r="L320" s="90">
        <v>26.849599999999999</v>
      </c>
      <c r="M320" s="38">
        <f t="shared" si="97"/>
        <v>13424.8</v>
      </c>
      <c r="O320" s="38">
        <v>80</v>
      </c>
      <c r="P320" s="38">
        <v>26.728300000000001</v>
      </c>
      <c r="Q320" s="38">
        <f t="shared" si="98"/>
        <v>2138.2640000000001</v>
      </c>
      <c r="R320" s="43">
        <f t="shared" si="94"/>
        <v>1080</v>
      </c>
      <c r="S320" s="38">
        <f t="shared" si="99"/>
        <v>28617.563999999998</v>
      </c>
      <c r="T320" s="49">
        <v>415</v>
      </c>
      <c r="U320" s="42">
        <v>26.706900000000001</v>
      </c>
      <c r="V320" s="38">
        <f t="shared" si="107"/>
        <v>11083.363500000001</v>
      </c>
      <c r="W320" s="42">
        <v>85</v>
      </c>
      <c r="X320" s="42">
        <v>26.706900000000001</v>
      </c>
      <c r="Y320" s="42">
        <f t="shared" si="110"/>
        <v>2270.0864999999999</v>
      </c>
      <c r="Z320" s="42">
        <v>415</v>
      </c>
      <c r="AA320" s="42">
        <v>26.864000000000001</v>
      </c>
      <c r="AB320" s="42">
        <f t="shared" si="108"/>
        <v>11148.56</v>
      </c>
      <c r="AD320" s="42">
        <v>85</v>
      </c>
      <c r="AE320" s="42">
        <v>26.864000000000001</v>
      </c>
      <c r="AF320" s="42">
        <f t="shared" si="109"/>
        <v>2283.44</v>
      </c>
      <c r="AG320" s="42"/>
      <c r="AH320" s="42"/>
      <c r="AI320" s="42"/>
      <c r="AJ320" s="42">
        <f t="shared" si="106"/>
        <v>0</v>
      </c>
      <c r="AL320" s="42"/>
      <c r="AM320" s="42"/>
      <c r="AN320" s="42">
        <f t="shared" si="112"/>
        <v>0</v>
      </c>
      <c r="AO320" s="44"/>
      <c r="AP320" s="42"/>
      <c r="AQ320" s="42"/>
      <c r="AR320" s="42"/>
      <c r="AU320" s="98"/>
      <c r="AV320" s="35">
        <f t="shared" si="111"/>
        <v>0</v>
      </c>
      <c r="AW320" s="104"/>
      <c r="AX320" s="42"/>
      <c r="AY320" s="42"/>
      <c r="AZ320" s="42">
        <f t="shared" si="113"/>
        <v>0</v>
      </c>
      <c r="BA320" s="42"/>
      <c r="BB320" s="42"/>
      <c r="BC320" s="42"/>
      <c r="BD320" s="38">
        <f t="shared" si="100"/>
        <v>0</v>
      </c>
      <c r="BE320" s="42"/>
      <c r="BF320" s="42"/>
      <c r="BG320" s="42"/>
      <c r="BH320" s="38">
        <f t="shared" si="101"/>
        <v>0</v>
      </c>
      <c r="BI320" s="42"/>
      <c r="BJ320" s="42"/>
      <c r="BK320" s="42"/>
      <c r="BL320" s="38">
        <f t="shared" si="102"/>
        <v>0</v>
      </c>
      <c r="BM320" s="42"/>
      <c r="BN320" s="42"/>
      <c r="BO320" s="42"/>
      <c r="BP320" s="42"/>
      <c r="BR320" s="42">
        <f t="shared" si="103"/>
        <v>26785.45</v>
      </c>
      <c r="BS320" s="43">
        <f t="shared" si="104"/>
        <v>1832.1139999999978</v>
      </c>
      <c r="BT320" s="42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  <c r="FM320" s="31"/>
      <c r="FN320" s="31"/>
      <c r="FO320" s="31"/>
      <c r="FP320" s="31"/>
      <c r="FQ320" s="31"/>
      <c r="FR320" s="31"/>
      <c r="FS320" s="31"/>
      <c r="FT320" s="31"/>
      <c r="FU320" s="31"/>
      <c r="FV320" s="31"/>
      <c r="FW320" s="31"/>
      <c r="FX320" s="31"/>
      <c r="FY320" s="31"/>
      <c r="FZ320" s="31"/>
      <c r="GA320" s="31"/>
      <c r="GB320" s="31"/>
      <c r="GC320" s="31"/>
      <c r="GD320" s="31"/>
      <c r="GE320" s="31"/>
      <c r="GF320" s="31"/>
      <c r="GG320" s="31"/>
      <c r="GH320" s="31"/>
      <c r="GI320" s="31"/>
      <c r="GJ320" s="31"/>
      <c r="GK320" s="31"/>
      <c r="GL320" s="31"/>
      <c r="GM320" s="31"/>
      <c r="GN320" s="31"/>
      <c r="GO320" s="31"/>
      <c r="GP320" s="31"/>
      <c r="GQ320" s="31"/>
      <c r="GR320" s="31"/>
      <c r="GS320" s="31"/>
      <c r="GT320" s="31"/>
      <c r="GU320" s="31"/>
      <c r="GV320" s="31"/>
      <c r="GW320" s="31"/>
      <c r="GX320" s="31"/>
      <c r="GY320" s="31"/>
      <c r="GZ320" s="31"/>
      <c r="HA320" s="31"/>
      <c r="HB320" s="31"/>
      <c r="HC320" s="31"/>
      <c r="HD320" s="31"/>
      <c r="HE320" s="31"/>
      <c r="HF320" s="31"/>
      <c r="HG320" s="31"/>
      <c r="HH320" s="31"/>
      <c r="HI320" s="31"/>
      <c r="HJ320" s="31"/>
      <c r="HK320" s="31"/>
      <c r="HL320" s="31"/>
      <c r="HM320" s="31"/>
      <c r="HN320" s="31"/>
      <c r="HO320" s="31"/>
      <c r="HP320" s="31"/>
      <c r="HQ320" s="31"/>
      <c r="HR320" s="31"/>
      <c r="HS320" s="31"/>
      <c r="HT320" s="31"/>
      <c r="HU320" s="31"/>
      <c r="HV320" s="31"/>
      <c r="HW320" s="31"/>
      <c r="HX320" s="31"/>
      <c r="HY320" s="31"/>
      <c r="HZ320" s="31"/>
      <c r="IA320" s="31"/>
      <c r="IB320" s="31"/>
      <c r="IC320" s="31"/>
      <c r="ID320" s="31"/>
      <c r="IE320" s="31"/>
      <c r="IF320" s="31"/>
      <c r="IG320" s="31"/>
      <c r="IH320" s="31"/>
      <c r="II320" s="31"/>
      <c r="IJ320" s="31"/>
      <c r="IK320" s="31"/>
      <c r="IL320" s="31"/>
      <c r="IM320" s="31"/>
      <c r="IN320" s="31"/>
      <c r="IO320" s="31"/>
      <c r="IP320" s="31"/>
      <c r="IQ320" s="31"/>
      <c r="IR320" s="31"/>
      <c r="IS320" s="31"/>
      <c r="IT320" s="31"/>
      <c r="IU320" s="31"/>
      <c r="IV320" s="31"/>
      <c r="IW320" s="31"/>
      <c r="IX320" s="31"/>
      <c r="IY320" s="31"/>
      <c r="IZ320" s="31"/>
      <c r="JA320" s="31"/>
      <c r="JB320" s="31"/>
      <c r="JC320" s="31"/>
      <c r="JD320" s="31"/>
      <c r="JE320" s="31"/>
      <c r="JF320" s="31"/>
      <c r="JG320" s="31"/>
      <c r="JH320" s="31"/>
      <c r="JI320" s="31"/>
      <c r="JJ320" s="31"/>
      <c r="JK320" s="31"/>
      <c r="JL320" s="31"/>
      <c r="JM320" s="31"/>
      <c r="JN320" s="31"/>
      <c r="JO320" s="31"/>
      <c r="JP320" s="31"/>
      <c r="JQ320" s="31"/>
      <c r="JR320" s="31"/>
      <c r="JS320" s="31"/>
      <c r="JT320" s="31"/>
      <c r="JU320" s="31"/>
      <c r="JV320" s="31"/>
      <c r="JW320" s="31"/>
      <c r="JX320" s="31"/>
      <c r="JY320" s="31"/>
      <c r="JZ320" s="31"/>
      <c r="KA320" s="31"/>
      <c r="KB320" s="31"/>
      <c r="KC320" s="31"/>
      <c r="KD320" s="31"/>
      <c r="KE320" s="31"/>
      <c r="KF320" s="31"/>
      <c r="KG320" s="31"/>
      <c r="KH320" s="31"/>
      <c r="KI320" s="31"/>
      <c r="KJ320" s="31"/>
      <c r="KK320" s="31"/>
      <c r="KL320" s="31"/>
      <c r="KM320" s="31"/>
      <c r="KN320" s="31"/>
      <c r="KO320" s="31"/>
      <c r="KP320" s="31"/>
      <c r="KQ320" s="31"/>
      <c r="KR320" s="31"/>
      <c r="KS320" s="31"/>
      <c r="KT320" s="31"/>
      <c r="KU320" s="31"/>
      <c r="KV320" s="31"/>
      <c r="KW320" s="31"/>
      <c r="KX320" s="31"/>
      <c r="KY320" s="31"/>
      <c r="KZ320" s="31"/>
      <c r="LA320" s="31"/>
      <c r="LB320" s="31"/>
      <c r="LC320" s="31"/>
      <c r="LD320" s="31"/>
      <c r="LE320" s="31"/>
      <c r="LF320" s="31"/>
      <c r="LG320" s="31"/>
      <c r="LH320" s="31"/>
      <c r="LI320" s="31"/>
      <c r="LJ320" s="31"/>
      <c r="LK320" s="31"/>
      <c r="LL320" s="31"/>
      <c r="LM320" s="31"/>
      <c r="LN320" s="31"/>
      <c r="LO320" s="31"/>
      <c r="LP320" s="31"/>
      <c r="LQ320" s="31"/>
      <c r="LR320" s="31"/>
      <c r="LS320" s="31"/>
      <c r="LT320" s="31"/>
      <c r="LU320" s="31"/>
      <c r="LV320" s="31"/>
      <c r="LW320" s="31"/>
      <c r="LX320" s="31"/>
      <c r="LY320" s="31"/>
      <c r="LZ320" s="31"/>
      <c r="MA320" s="31"/>
      <c r="MB320" s="31"/>
      <c r="MC320" s="31"/>
      <c r="MD320" s="31"/>
      <c r="ME320" s="31"/>
      <c r="MF320" s="31"/>
      <c r="MG320" s="31"/>
      <c r="MH320" s="31"/>
      <c r="MI320" s="31"/>
      <c r="MJ320" s="31"/>
      <c r="MK320" s="31"/>
      <c r="ML320" s="31"/>
      <c r="MM320" s="31"/>
      <c r="MN320" s="31"/>
      <c r="MO320" s="31"/>
      <c r="MP320" s="31"/>
      <c r="MQ320" s="31"/>
      <c r="MR320" s="31"/>
      <c r="MS320" s="31"/>
      <c r="MT320" s="31"/>
      <c r="MU320" s="31"/>
      <c r="MV320" s="31"/>
      <c r="MW320" s="31"/>
      <c r="MX320" s="31"/>
      <c r="MY320" s="31"/>
      <c r="MZ320" s="31"/>
      <c r="NA320" s="31"/>
      <c r="NB320" s="31"/>
      <c r="NC320" s="31"/>
      <c r="ND320" s="31"/>
      <c r="NE320" s="31"/>
      <c r="NF320" s="31"/>
      <c r="NG320" s="31"/>
      <c r="NH320" s="31"/>
      <c r="NI320" s="31"/>
      <c r="NJ320" s="31"/>
      <c r="NK320" s="31"/>
      <c r="NL320" s="31"/>
      <c r="NM320" s="31"/>
      <c r="NN320" s="31"/>
      <c r="NO320" s="31"/>
      <c r="NP320" s="31"/>
      <c r="NQ320" s="31"/>
      <c r="NR320" s="31"/>
      <c r="NS320" s="31"/>
      <c r="NT320" s="31"/>
      <c r="NU320" s="31"/>
      <c r="NV320" s="31"/>
      <c r="NW320" s="31"/>
      <c r="NX320" s="31"/>
      <c r="NY320" s="31"/>
      <c r="NZ320" s="31"/>
      <c r="OA320" s="31"/>
      <c r="OB320" s="31"/>
      <c r="OC320" s="31"/>
      <c r="OD320" s="31"/>
      <c r="OE320" s="31"/>
      <c r="OF320" s="31"/>
      <c r="OG320" s="31"/>
      <c r="OH320" s="31"/>
      <c r="OI320" s="31"/>
      <c r="OJ320" s="31"/>
      <c r="OK320" s="31"/>
      <c r="OL320" s="31"/>
      <c r="OM320" s="31"/>
      <c r="ON320" s="31"/>
      <c r="OO320" s="31"/>
      <c r="OP320" s="31"/>
      <c r="OQ320" s="31"/>
      <c r="OR320" s="31"/>
      <c r="OS320" s="31"/>
      <c r="OT320" s="31"/>
      <c r="OU320" s="31"/>
      <c r="OV320" s="31"/>
      <c r="OW320" s="31"/>
      <c r="OX320" s="31"/>
    </row>
    <row r="321" spans="2:414" s="25" customFormat="1" ht="15.6">
      <c r="B321" s="25" t="s">
        <v>487</v>
      </c>
      <c r="C321" s="27" t="s">
        <v>488</v>
      </c>
      <c r="D321" s="30" t="s">
        <v>489</v>
      </c>
      <c r="G321" s="42">
        <v>500</v>
      </c>
      <c r="H321" s="89">
        <v>26.109000000000002</v>
      </c>
      <c r="I321" s="38">
        <f t="shared" si="96"/>
        <v>13054.5</v>
      </c>
      <c r="K321" s="42">
        <v>500</v>
      </c>
      <c r="L321" s="90">
        <v>26.849599999999999</v>
      </c>
      <c r="M321" s="38">
        <f t="shared" si="97"/>
        <v>13424.8</v>
      </c>
      <c r="O321" s="38">
        <v>80</v>
      </c>
      <c r="P321" s="38">
        <v>26.728300000000001</v>
      </c>
      <c r="Q321" s="38">
        <f t="shared" si="98"/>
        <v>2138.2640000000001</v>
      </c>
      <c r="R321" s="43">
        <f t="shared" si="94"/>
        <v>1080</v>
      </c>
      <c r="S321" s="38">
        <f t="shared" si="99"/>
        <v>28617.563999999998</v>
      </c>
      <c r="T321" s="49">
        <v>320</v>
      </c>
      <c r="U321" s="42">
        <v>25.834800000000001</v>
      </c>
      <c r="V321" s="38">
        <f t="shared" si="107"/>
        <v>8267.1360000000004</v>
      </c>
      <c r="W321" s="42">
        <v>95</v>
      </c>
      <c r="X321" s="42"/>
      <c r="Y321" s="42">
        <f t="shared" si="110"/>
        <v>0</v>
      </c>
      <c r="Z321" s="42">
        <v>85</v>
      </c>
      <c r="AA321" s="42"/>
      <c r="AB321" s="42">
        <f t="shared" si="108"/>
        <v>0</v>
      </c>
      <c r="AD321" s="42">
        <v>215</v>
      </c>
      <c r="AE321" s="42">
        <v>26.819299999999998</v>
      </c>
      <c r="AF321" s="42">
        <f t="shared" si="109"/>
        <v>5766.1494999999995</v>
      </c>
      <c r="AG321" s="42"/>
      <c r="AH321" s="42">
        <v>85</v>
      </c>
      <c r="AI321" s="42">
        <v>26.864000000000001</v>
      </c>
      <c r="AJ321" s="42">
        <f t="shared" si="106"/>
        <v>2283.44</v>
      </c>
      <c r="AL321" s="42">
        <v>100</v>
      </c>
      <c r="AM321" s="42">
        <v>26.9312</v>
      </c>
      <c r="AN321" s="42">
        <f t="shared" si="112"/>
        <v>2693.12</v>
      </c>
      <c r="AO321" s="44"/>
      <c r="AP321" s="42">
        <v>100</v>
      </c>
      <c r="AQ321" s="42">
        <v>26.903700000000001</v>
      </c>
      <c r="AR321" s="42"/>
      <c r="AU321" s="98"/>
      <c r="AV321" s="35">
        <f t="shared" si="111"/>
        <v>0</v>
      </c>
      <c r="AW321" s="104"/>
      <c r="AX321" s="42"/>
      <c r="AY321" s="42"/>
      <c r="AZ321" s="42">
        <f t="shared" si="113"/>
        <v>0</v>
      </c>
      <c r="BA321" s="42"/>
      <c r="BB321" s="42"/>
      <c r="BC321" s="42"/>
      <c r="BD321" s="38">
        <f t="shared" si="100"/>
        <v>0</v>
      </c>
      <c r="BE321" s="42"/>
      <c r="BF321" s="42"/>
      <c r="BG321" s="42"/>
      <c r="BH321" s="38">
        <f t="shared" si="101"/>
        <v>0</v>
      </c>
      <c r="BI321" s="42"/>
      <c r="BJ321" s="42"/>
      <c r="BK321" s="42"/>
      <c r="BL321" s="38">
        <f t="shared" si="102"/>
        <v>0</v>
      </c>
      <c r="BM321" s="42"/>
      <c r="BN321" s="42"/>
      <c r="BO321" s="42"/>
      <c r="BP321" s="42"/>
      <c r="BR321" s="42">
        <f t="shared" si="103"/>
        <v>19009.845499999999</v>
      </c>
      <c r="BS321" s="43">
        <f t="shared" si="104"/>
        <v>9607.718499999999</v>
      </c>
      <c r="BT321" s="42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  <c r="FM321" s="31"/>
      <c r="FN321" s="31"/>
      <c r="FO321" s="31"/>
      <c r="FP321" s="31"/>
      <c r="FQ321" s="31"/>
      <c r="FR321" s="31"/>
      <c r="FS321" s="31"/>
      <c r="FT321" s="31"/>
      <c r="FU321" s="31"/>
      <c r="FV321" s="31"/>
      <c r="FW321" s="31"/>
      <c r="FX321" s="31"/>
      <c r="FY321" s="31"/>
      <c r="FZ321" s="31"/>
      <c r="GA321" s="31"/>
      <c r="GB321" s="31"/>
      <c r="GC321" s="31"/>
      <c r="GD321" s="31"/>
      <c r="GE321" s="31"/>
      <c r="GF321" s="31"/>
      <c r="GG321" s="31"/>
      <c r="GH321" s="31"/>
      <c r="GI321" s="31"/>
      <c r="GJ321" s="31"/>
      <c r="GK321" s="31"/>
      <c r="GL321" s="31"/>
      <c r="GM321" s="31"/>
      <c r="GN321" s="31"/>
      <c r="GO321" s="31"/>
      <c r="GP321" s="31"/>
      <c r="GQ321" s="31"/>
      <c r="GR321" s="31"/>
      <c r="GS321" s="31"/>
      <c r="GT321" s="31"/>
      <c r="GU321" s="31"/>
      <c r="GV321" s="31"/>
      <c r="GW321" s="31"/>
      <c r="GX321" s="31"/>
      <c r="GY321" s="31"/>
      <c r="GZ321" s="31"/>
      <c r="HA321" s="31"/>
      <c r="HB321" s="31"/>
      <c r="HC321" s="31"/>
      <c r="HD321" s="31"/>
      <c r="HE321" s="31"/>
      <c r="HF321" s="31"/>
      <c r="HG321" s="31"/>
      <c r="HH321" s="31"/>
      <c r="HI321" s="31"/>
      <c r="HJ321" s="31"/>
      <c r="HK321" s="31"/>
      <c r="HL321" s="31"/>
      <c r="HM321" s="31"/>
      <c r="HN321" s="31"/>
      <c r="HO321" s="31"/>
      <c r="HP321" s="31"/>
      <c r="HQ321" s="31"/>
      <c r="HR321" s="31"/>
      <c r="HS321" s="31"/>
      <c r="HT321" s="31"/>
      <c r="HU321" s="31"/>
      <c r="HV321" s="31"/>
      <c r="HW321" s="31"/>
      <c r="HX321" s="31"/>
      <c r="HY321" s="31"/>
      <c r="HZ321" s="31"/>
      <c r="IA321" s="31"/>
      <c r="IB321" s="31"/>
      <c r="IC321" s="31"/>
      <c r="ID321" s="31"/>
      <c r="IE321" s="31"/>
      <c r="IF321" s="31"/>
      <c r="IG321" s="31"/>
      <c r="IH321" s="31"/>
      <c r="II321" s="31"/>
      <c r="IJ321" s="31"/>
      <c r="IK321" s="31"/>
      <c r="IL321" s="31"/>
      <c r="IM321" s="31"/>
      <c r="IN321" s="31"/>
      <c r="IO321" s="31"/>
      <c r="IP321" s="31"/>
      <c r="IQ321" s="31"/>
      <c r="IR321" s="31"/>
      <c r="IS321" s="31"/>
      <c r="IT321" s="31"/>
      <c r="IU321" s="31"/>
      <c r="IV321" s="31"/>
      <c r="IW321" s="31"/>
      <c r="IX321" s="31"/>
      <c r="IY321" s="31"/>
      <c r="IZ321" s="31"/>
      <c r="JA321" s="31"/>
      <c r="JB321" s="31"/>
      <c r="JC321" s="31"/>
      <c r="JD321" s="31"/>
      <c r="JE321" s="31"/>
      <c r="JF321" s="31"/>
      <c r="JG321" s="31"/>
      <c r="JH321" s="31"/>
      <c r="JI321" s="31"/>
      <c r="JJ321" s="31"/>
      <c r="JK321" s="31"/>
      <c r="JL321" s="31"/>
      <c r="JM321" s="31"/>
      <c r="JN321" s="31"/>
      <c r="JO321" s="31"/>
      <c r="JP321" s="31"/>
      <c r="JQ321" s="31"/>
      <c r="JR321" s="31"/>
      <c r="JS321" s="31"/>
      <c r="JT321" s="31"/>
      <c r="JU321" s="31"/>
      <c r="JV321" s="31"/>
      <c r="JW321" s="31"/>
      <c r="JX321" s="31"/>
      <c r="JY321" s="31"/>
      <c r="JZ321" s="31"/>
      <c r="KA321" s="31"/>
      <c r="KB321" s="31"/>
      <c r="KC321" s="31"/>
      <c r="KD321" s="31"/>
      <c r="KE321" s="31"/>
      <c r="KF321" s="31"/>
      <c r="KG321" s="31"/>
      <c r="KH321" s="31"/>
      <c r="KI321" s="31"/>
      <c r="KJ321" s="31"/>
      <c r="KK321" s="31"/>
      <c r="KL321" s="31"/>
      <c r="KM321" s="31"/>
      <c r="KN321" s="31"/>
      <c r="KO321" s="31"/>
      <c r="KP321" s="31"/>
      <c r="KQ321" s="31"/>
      <c r="KR321" s="31"/>
      <c r="KS321" s="31"/>
      <c r="KT321" s="31"/>
      <c r="KU321" s="31"/>
      <c r="KV321" s="31"/>
      <c r="KW321" s="31"/>
      <c r="KX321" s="31"/>
      <c r="KY321" s="31"/>
      <c r="KZ321" s="31"/>
      <c r="LA321" s="31"/>
      <c r="LB321" s="31"/>
      <c r="LC321" s="31"/>
      <c r="LD321" s="31"/>
      <c r="LE321" s="31"/>
      <c r="LF321" s="31"/>
      <c r="LG321" s="31"/>
      <c r="LH321" s="31"/>
      <c r="LI321" s="31"/>
      <c r="LJ321" s="31"/>
      <c r="LK321" s="31"/>
      <c r="LL321" s="31"/>
      <c r="LM321" s="31"/>
      <c r="LN321" s="31"/>
      <c r="LO321" s="31"/>
      <c r="LP321" s="31"/>
      <c r="LQ321" s="31"/>
      <c r="LR321" s="31"/>
      <c r="LS321" s="31"/>
      <c r="LT321" s="31"/>
      <c r="LU321" s="31"/>
      <c r="LV321" s="31"/>
      <c r="LW321" s="31"/>
      <c r="LX321" s="31"/>
      <c r="LY321" s="31"/>
      <c r="LZ321" s="31"/>
      <c r="MA321" s="31"/>
      <c r="MB321" s="31"/>
      <c r="MC321" s="31"/>
      <c r="MD321" s="31"/>
      <c r="ME321" s="31"/>
      <c r="MF321" s="31"/>
      <c r="MG321" s="31"/>
      <c r="MH321" s="31"/>
      <c r="MI321" s="31"/>
      <c r="MJ321" s="31"/>
      <c r="MK321" s="31"/>
      <c r="ML321" s="31"/>
      <c r="MM321" s="31"/>
      <c r="MN321" s="31"/>
      <c r="MO321" s="31"/>
      <c r="MP321" s="31"/>
      <c r="MQ321" s="31"/>
      <c r="MR321" s="31"/>
      <c r="MS321" s="31"/>
      <c r="MT321" s="31"/>
      <c r="MU321" s="31"/>
      <c r="MV321" s="31"/>
      <c r="MW321" s="31"/>
      <c r="MX321" s="31"/>
      <c r="MY321" s="31"/>
      <c r="MZ321" s="31"/>
      <c r="NA321" s="31"/>
      <c r="NB321" s="31"/>
      <c r="NC321" s="31"/>
      <c r="ND321" s="31"/>
      <c r="NE321" s="31"/>
      <c r="NF321" s="31"/>
      <c r="NG321" s="31"/>
      <c r="NH321" s="31"/>
      <c r="NI321" s="31"/>
      <c r="NJ321" s="31"/>
      <c r="NK321" s="31"/>
      <c r="NL321" s="31"/>
      <c r="NM321" s="31"/>
      <c r="NN321" s="31"/>
      <c r="NO321" s="31"/>
      <c r="NP321" s="31"/>
      <c r="NQ321" s="31"/>
      <c r="NR321" s="31"/>
      <c r="NS321" s="31"/>
      <c r="NT321" s="31"/>
      <c r="NU321" s="31"/>
      <c r="NV321" s="31"/>
      <c r="NW321" s="31"/>
      <c r="NX321" s="31"/>
      <c r="NY321" s="31"/>
      <c r="NZ321" s="31"/>
      <c r="OA321" s="31"/>
      <c r="OB321" s="31"/>
      <c r="OC321" s="31"/>
      <c r="OD321" s="31"/>
      <c r="OE321" s="31"/>
      <c r="OF321" s="31"/>
      <c r="OG321" s="31"/>
      <c r="OH321" s="31"/>
      <c r="OI321" s="31"/>
      <c r="OJ321" s="31"/>
      <c r="OK321" s="31"/>
      <c r="OL321" s="31"/>
      <c r="OM321" s="31"/>
      <c r="ON321" s="31"/>
      <c r="OO321" s="31"/>
      <c r="OP321" s="31"/>
      <c r="OQ321" s="31"/>
      <c r="OR321" s="31"/>
      <c r="OS321" s="31"/>
      <c r="OT321" s="31"/>
      <c r="OU321" s="31"/>
      <c r="OV321" s="31"/>
      <c r="OW321" s="31"/>
      <c r="OX321" s="31"/>
    </row>
    <row r="322" spans="2:414" s="25" customFormat="1" ht="15.6">
      <c r="B322" s="25" t="s">
        <v>490</v>
      </c>
      <c r="C322" s="27" t="s">
        <v>491</v>
      </c>
      <c r="D322" s="30" t="s">
        <v>489</v>
      </c>
      <c r="G322" s="42">
        <v>500</v>
      </c>
      <c r="H322" s="89">
        <v>26.109000000000002</v>
      </c>
      <c r="I322" s="38">
        <f t="shared" si="96"/>
        <v>13054.5</v>
      </c>
      <c r="K322" s="42">
        <v>500</v>
      </c>
      <c r="L322" s="90">
        <v>26.849599999999999</v>
      </c>
      <c r="M322" s="38">
        <f t="shared" si="97"/>
        <v>13424.8</v>
      </c>
      <c r="O322" s="38">
        <v>80</v>
      </c>
      <c r="P322" s="38">
        <v>26.728300000000001</v>
      </c>
      <c r="Q322" s="38">
        <f t="shared" si="98"/>
        <v>2138.2640000000001</v>
      </c>
      <c r="R322" s="43">
        <f t="shared" si="94"/>
        <v>1080</v>
      </c>
      <c r="S322" s="38">
        <f t="shared" si="99"/>
        <v>28617.563999999998</v>
      </c>
      <c r="T322" s="49">
        <v>415</v>
      </c>
      <c r="U322" s="42">
        <v>26.150300000000001</v>
      </c>
      <c r="V322" s="38">
        <f t="shared" si="107"/>
        <v>10852.3745</v>
      </c>
      <c r="W322" s="42">
        <v>85</v>
      </c>
      <c r="X322" s="42">
        <v>26.150300000000001</v>
      </c>
      <c r="Y322" s="42">
        <f t="shared" si="110"/>
        <v>2222.7755000000002</v>
      </c>
      <c r="Z322" s="42">
        <v>500</v>
      </c>
      <c r="AA322" s="42">
        <v>26.8095</v>
      </c>
      <c r="AB322" s="42">
        <f t="shared" si="108"/>
        <v>13404.75</v>
      </c>
      <c r="AD322" s="42"/>
      <c r="AE322" s="42"/>
      <c r="AF322" s="42">
        <f t="shared" si="109"/>
        <v>0</v>
      </c>
      <c r="AG322" s="42"/>
      <c r="AH322" s="42"/>
      <c r="AI322" s="42"/>
      <c r="AJ322" s="42">
        <f t="shared" si="106"/>
        <v>0</v>
      </c>
      <c r="AL322" s="42"/>
      <c r="AM322" s="42"/>
      <c r="AN322" s="42">
        <f t="shared" si="112"/>
        <v>0</v>
      </c>
      <c r="AO322" s="44"/>
      <c r="AP322" s="42"/>
      <c r="AQ322" s="42"/>
      <c r="AR322" s="42"/>
      <c r="AU322" s="98"/>
      <c r="AV322" s="35">
        <f t="shared" si="111"/>
        <v>0</v>
      </c>
      <c r="AW322" s="104"/>
      <c r="AX322" s="42"/>
      <c r="AY322" s="42"/>
      <c r="AZ322" s="42">
        <f t="shared" si="113"/>
        <v>0</v>
      </c>
      <c r="BA322" s="42"/>
      <c r="BB322" s="42"/>
      <c r="BC322" s="42"/>
      <c r="BD322" s="38">
        <f t="shared" si="100"/>
        <v>0</v>
      </c>
      <c r="BE322" s="42"/>
      <c r="BF322" s="42"/>
      <c r="BG322" s="42"/>
      <c r="BH322" s="38">
        <f t="shared" si="101"/>
        <v>0</v>
      </c>
      <c r="BI322" s="42"/>
      <c r="BJ322" s="42"/>
      <c r="BK322" s="42"/>
      <c r="BL322" s="38">
        <f t="shared" si="102"/>
        <v>0</v>
      </c>
      <c r="BM322" s="42"/>
      <c r="BN322" s="42"/>
      <c r="BO322" s="42"/>
      <c r="BP322" s="42"/>
      <c r="BR322" s="42">
        <f t="shared" si="103"/>
        <v>26479.9</v>
      </c>
      <c r="BS322" s="43">
        <f t="shared" si="104"/>
        <v>2137.663999999997</v>
      </c>
      <c r="BT322" s="42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  <c r="FM322" s="31"/>
      <c r="FN322" s="31"/>
      <c r="FO322" s="31"/>
      <c r="FP322" s="31"/>
      <c r="FQ322" s="31"/>
      <c r="FR322" s="31"/>
      <c r="FS322" s="31"/>
      <c r="FT322" s="31"/>
      <c r="FU322" s="31"/>
      <c r="FV322" s="31"/>
      <c r="FW322" s="31"/>
      <c r="FX322" s="31"/>
      <c r="FY322" s="31"/>
      <c r="FZ322" s="31"/>
      <c r="GA322" s="31"/>
      <c r="GB322" s="31"/>
      <c r="GC322" s="31"/>
      <c r="GD322" s="31"/>
      <c r="GE322" s="31"/>
      <c r="GF322" s="31"/>
      <c r="GG322" s="31"/>
      <c r="GH322" s="31"/>
      <c r="GI322" s="31"/>
      <c r="GJ322" s="31"/>
      <c r="GK322" s="31"/>
      <c r="GL322" s="31"/>
      <c r="GM322" s="31"/>
      <c r="GN322" s="31"/>
      <c r="GO322" s="31"/>
      <c r="GP322" s="31"/>
      <c r="GQ322" s="31"/>
      <c r="GR322" s="31"/>
      <c r="GS322" s="31"/>
      <c r="GT322" s="31"/>
      <c r="GU322" s="31"/>
      <c r="GV322" s="31"/>
      <c r="GW322" s="31"/>
      <c r="GX322" s="31"/>
      <c r="GY322" s="31"/>
      <c r="GZ322" s="31"/>
      <c r="HA322" s="31"/>
      <c r="HB322" s="31"/>
      <c r="HC322" s="31"/>
      <c r="HD322" s="31"/>
      <c r="HE322" s="31"/>
      <c r="HF322" s="31"/>
      <c r="HG322" s="31"/>
      <c r="HH322" s="31"/>
      <c r="HI322" s="31"/>
      <c r="HJ322" s="31"/>
      <c r="HK322" s="31"/>
      <c r="HL322" s="31"/>
      <c r="HM322" s="31"/>
      <c r="HN322" s="31"/>
      <c r="HO322" s="31"/>
      <c r="HP322" s="31"/>
      <c r="HQ322" s="31"/>
      <c r="HR322" s="31"/>
      <c r="HS322" s="31"/>
      <c r="HT322" s="31"/>
      <c r="HU322" s="31"/>
      <c r="HV322" s="31"/>
      <c r="HW322" s="31"/>
      <c r="HX322" s="31"/>
      <c r="HY322" s="31"/>
      <c r="HZ322" s="31"/>
      <c r="IA322" s="31"/>
      <c r="IB322" s="31"/>
      <c r="IC322" s="31"/>
      <c r="ID322" s="31"/>
      <c r="IE322" s="31"/>
      <c r="IF322" s="31"/>
      <c r="IG322" s="31"/>
      <c r="IH322" s="31"/>
      <c r="II322" s="31"/>
      <c r="IJ322" s="31"/>
      <c r="IK322" s="31"/>
      <c r="IL322" s="31"/>
      <c r="IM322" s="31"/>
      <c r="IN322" s="31"/>
      <c r="IO322" s="31"/>
      <c r="IP322" s="31"/>
      <c r="IQ322" s="31"/>
      <c r="IR322" s="31"/>
      <c r="IS322" s="31"/>
      <c r="IT322" s="31"/>
      <c r="IU322" s="31"/>
      <c r="IV322" s="31"/>
      <c r="IW322" s="31"/>
      <c r="IX322" s="31"/>
      <c r="IY322" s="31"/>
      <c r="IZ322" s="31"/>
      <c r="JA322" s="31"/>
      <c r="JB322" s="31"/>
      <c r="JC322" s="31"/>
      <c r="JD322" s="31"/>
      <c r="JE322" s="31"/>
      <c r="JF322" s="31"/>
      <c r="JG322" s="31"/>
      <c r="JH322" s="31"/>
      <c r="JI322" s="31"/>
      <c r="JJ322" s="31"/>
      <c r="JK322" s="31"/>
      <c r="JL322" s="31"/>
      <c r="JM322" s="31"/>
      <c r="JN322" s="31"/>
      <c r="JO322" s="31"/>
      <c r="JP322" s="31"/>
      <c r="JQ322" s="31"/>
      <c r="JR322" s="31"/>
      <c r="JS322" s="31"/>
      <c r="JT322" s="31"/>
      <c r="JU322" s="31"/>
      <c r="JV322" s="31"/>
      <c r="JW322" s="31"/>
      <c r="JX322" s="31"/>
      <c r="JY322" s="31"/>
      <c r="JZ322" s="31"/>
      <c r="KA322" s="31"/>
      <c r="KB322" s="31"/>
      <c r="KC322" s="31"/>
      <c r="KD322" s="31"/>
      <c r="KE322" s="31"/>
      <c r="KF322" s="31"/>
      <c r="KG322" s="31"/>
      <c r="KH322" s="31"/>
      <c r="KI322" s="31"/>
      <c r="KJ322" s="31"/>
      <c r="KK322" s="31"/>
      <c r="KL322" s="31"/>
      <c r="KM322" s="31"/>
      <c r="KN322" s="31"/>
      <c r="KO322" s="31"/>
      <c r="KP322" s="31"/>
      <c r="KQ322" s="31"/>
      <c r="KR322" s="31"/>
      <c r="KS322" s="31"/>
      <c r="KT322" s="31"/>
      <c r="KU322" s="31"/>
      <c r="KV322" s="31"/>
      <c r="KW322" s="31"/>
      <c r="KX322" s="31"/>
      <c r="KY322" s="31"/>
      <c r="KZ322" s="31"/>
      <c r="LA322" s="31"/>
      <c r="LB322" s="31"/>
      <c r="LC322" s="31"/>
      <c r="LD322" s="31"/>
      <c r="LE322" s="31"/>
      <c r="LF322" s="31"/>
      <c r="LG322" s="31"/>
      <c r="LH322" s="31"/>
      <c r="LI322" s="31"/>
      <c r="LJ322" s="31"/>
      <c r="LK322" s="31"/>
      <c r="LL322" s="31"/>
      <c r="LM322" s="31"/>
      <c r="LN322" s="31"/>
      <c r="LO322" s="31"/>
      <c r="LP322" s="31"/>
      <c r="LQ322" s="31"/>
      <c r="LR322" s="31"/>
      <c r="LS322" s="31"/>
      <c r="LT322" s="31"/>
      <c r="LU322" s="31"/>
      <c r="LV322" s="31"/>
      <c r="LW322" s="31"/>
      <c r="LX322" s="31"/>
      <c r="LY322" s="31"/>
      <c r="LZ322" s="31"/>
      <c r="MA322" s="31"/>
      <c r="MB322" s="31"/>
      <c r="MC322" s="31"/>
      <c r="MD322" s="31"/>
      <c r="ME322" s="31"/>
      <c r="MF322" s="31"/>
      <c r="MG322" s="31"/>
      <c r="MH322" s="31"/>
      <c r="MI322" s="31"/>
      <c r="MJ322" s="31"/>
      <c r="MK322" s="31"/>
      <c r="ML322" s="31"/>
      <c r="MM322" s="31"/>
      <c r="MN322" s="31"/>
      <c r="MO322" s="31"/>
      <c r="MP322" s="31"/>
      <c r="MQ322" s="31"/>
      <c r="MR322" s="31"/>
      <c r="MS322" s="31"/>
      <c r="MT322" s="31"/>
      <c r="MU322" s="31"/>
      <c r="MV322" s="31"/>
      <c r="MW322" s="31"/>
      <c r="MX322" s="31"/>
      <c r="MY322" s="31"/>
      <c r="MZ322" s="31"/>
      <c r="NA322" s="31"/>
      <c r="NB322" s="31"/>
      <c r="NC322" s="31"/>
      <c r="ND322" s="31"/>
      <c r="NE322" s="31"/>
      <c r="NF322" s="31"/>
      <c r="NG322" s="31"/>
      <c r="NH322" s="31"/>
      <c r="NI322" s="31"/>
      <c r="NJ322" s="31"/>
      <c r="NK322" s="31"/>
      <c r="NL322" s="31"/>
      <c r="NM322" s="31"/>
      <c r="NN322" s="31"/>
      <c r="NO322" s="31"/>
      <c r="NP322" s="31"/>
      <c r="NQ322" s="31"/>
      <c r="NR322" s="31"/>
      <c r="NS322" s="31"/>
      <c r="NT322" s="31"/>
      <c r="NU322" s="31"/>
      <c r="NV322" s="31"/>
      <c r="NW322" s="31"/>
      <c r="NX322" s="31"/>
      <c r="NY322" s="31"/>
      <c r="NZ322" s="31"/>
      <c r="OA322" s="31"/>
      <c r="OB322" s="31"/>
      <c r="OC322" s="31"/>
      <c r="OD322" s="31"/>
      <c r="OE322" s="31"/>
      <c r="OF322" s="31"/>
      <c r="OG322" s="31"/>
      <c r="OH322" s="31"/>
      <c r="OI322" s="31"/>
      <c r="OJ322" s="31"/>
      <c r="OK322" s="31"/>
      <c r="OL322" s="31"/>
      <c r="OM322" s="31"/>
      <c r="ON322" s="31"/>
      <c r="OO322" s="31"/>
      <c r="OP322" s="31"/>
      <c r="OQ322" s="31"/>
      <c r="OR322" s="31"/>
      <c r="OS322" s="31"/>
      <c r="OT322" s="31"/>
      <c r="OU322" s="31"/>
      <c r="OV322" s="31"/>
      <c r="OW322" s="31"/>
      <c r="OX322" s="31"/>
    </row>
    <row r="323" spans="2:414" s="25" customFormat="1" ht="15.6">
      <c r="B323" s="25" t="s">
        <v>492</v>
      </c>
      <c r="C323" s="27" t="s">
        <v>493</v>
      </c>
      <c r="D323" s="30" t="s">
        <v>489</v>
      </c>
      <c r="G323" s="42">
        <v>500</v>
      </c>
      <c r="H323" s="89">
        <v>26.109000000000002</v>
      </c>
      <c r="I323" s="38">
        <f t="shared" si="96"/>
        <v>13054.5</v>
      </c>
      <c r="K323" s="42">
        <v>500</v>
      </c>
      <c r="L323" s="90">
        <v>26.849599999999999</v>
      </c>
      <c r="M323" s="38">
        <f t="shared" si="97"/>
        <v>13424.8</v>
      </c>
      <c r="O323" s="38">
        <v>80</v>
      </c>
      <c r="P323" s="38">
        <v>26.728300000000001</v>
      </c>
      <c r="Q323" s="38">
        <f t="shared" si="98"/>
        <v>2138.2640000000001</v>
      </c>
      <c r="R323" s="43">
        <f t="shared" si="94"/>
        <v>1080</v>
      </c>
      <c r="S323" s="38">
        <f t="shared" si="99"/>
        <v>28617.563999999998</v>
      </c>
      <c r="T323" s="49"/>
      <c r="U323" s="42"/>
      <c r="V323" s="38">
        <f t="shared" si="107"/>
        <v>0</v>
      </c>
      <c r="W323" s="42"/>
      <c r="X323" s="42"/>
      <c r="Y323" s="42">
        <f t="shared" si="110"/>
        <v>0</v>
      </c>
      <c r="Z323" s="42"/>
      <c r="AA323" s="42"/>
      <c r="AB323" s="42">
        <f t="shared" si="108"/>
        <v>0</v>
      </c>
      <c r="AD323" s="42"/>
      <c r="AE323" s="42"/>
      <c r="AF323" s="42">
        <f t="shared" si="109"/>
        <v>0</v>
      </c>
      <c r="AG323" s="42"/>
      <c r="AH323" s="42"/>
      <c r="AI323" s="42"/>
      <c r="AJ323" s="42">
        <f t="shared" si="106"/>
        <v>0</v>
      </c>
      <c r="AL323" s="42"/>
      <c r="AM323" s="42"/>
      <c r="AN323" s="42">
        <f t="shared" si="112"/>
        <v>0</v>
      </c>
      <c r="AO323" s="44"/>
      <c r="AP323" s="42"/>
      <c r="AQ323" s="42"/>
      <c r="AR323" s="42"/>
      <c r="AU323" s="98"/>
      <c r="AV323" s="35">
        <f t="shared" si="111"/>
        <v>0</v>
      </c>
      <c r="AW323" s="104"/>
      <c r="AX323" s="42"/>
      <c r="AY323" s="42"/>
      <c r="AZ323" s="42">
        <f t="shared" si="113"/>
        <v>0</v>
      </c>
      <c r="BA323" s="42"/>
      <c r="BB323" s="42"/>
      <c r="BC323" s="42"/>
      <c r="BD323" s="38">
        <f t="shared" si="100"/>
        <v>0</v>
      </c>
      <c r="BE323" s="42"/>
      <c r="BF323" s="42"/>
      <c r="BG323" s="42"/>
      <c r="BH323" s="38">
        <f t="shared" si="101"/>
        <v>0</v>
      </c>
      <c r="BI323" s="42"/>
      <c r="BJ323" s="42"/>
      <c r="BK323" s="42"/>
      <c r="BL323" s="38">
        <f t="shared" si="102"/>
        <v>0</v>
      </c>
      <c r="BM323" s="42"/>
      <c r="BN323" s="42"/>
      <c r="BO323" s="42"/>
      <c r="BP323" s="42"/>
      <c r="BR323" s="42">
        <f t="shared" si="103"/>
        <v>0</v>
      </c>
      <c r="BS323" s="43">
        <f t="shared" si="104"/>
        <v>28617.563999999998</v>
      </c>
      <c r="BT323" s="42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  <c r="FM323" s="31"/>
      <c r="FN323" s="31"/>
      <c r="FO323" s="31"/>
      <c r="FP323" s="31"/>
      <c r="FQ323" s="31"/>
      <c r="FR323" s="31"/>
      <c r="FS323" s="31"/>
      <c r="FT323" s="31"/>
      <c r="FU323" s="31"/>
      <c r="FV323" s="31"/>
      <c r="FW323" s="31"/>
      <c r="FX323" s="31"/>
      <c r="FY323" s="31"/>
      <c r="FZ323" s="31"/>
      <c r="GA323" s="31"/>
      <c r="GB323" s="31"/>
      <c r="GC323" s="31"/>
      <c r="GD323" s="31"/>
      <c r="GE323" s="31"/>
      <c r="GF323" s="31"/>
      <c r="GG323" s="31"/>
      <c r="GH323" s="31"/>
      <c r="GI323" s="31"/>
      <c r="GJ323" s="31"/>
      <c r="GK323" s="31"/>
      <c r="GL323" s="31"/>
      <c r="GM323" s="31"/>
      <c r="GN323" s="31"/>
      <c r="GO323" s="31"/>
      <c r="GP323" s="31"/>
      <c r="GQ323" s="31"/>
      <c r="GR323" s="31"/>
      <c r="GS323" s="31"/>
      <c r="GT323" s="31"/>
      <c r="GU323" s="31"/>
      <c r="GV323" s="31"/>
      <c r="GW323" s="31"/>
      <c r="GX323" s="31"/>
      <c r="GY323" s="31"/>
      <c r="GZ323" s="31"/>
      <c r="HA323" s="31"/>
      <c r="HB323" s="31"/>
      <c r="HC323" s="31"/>
      <c r="HD323" s="31"/>
      <c r="HE323" s="31"/>
      <c r="HF323" s="31"/>
      <c r="HG323" s="31"/>
      <c r="HH323" s="31"/>
      <c r="HI323" s="31"/>
      <c r="HJ323" s="31"/>
      <c r="HK323" s="31"/>
      <c r="HL323" s="31"/>
      <c r="HM323" s="31"/>
      <c r="HN323" s="31"/>
      <c r="HO323" s="31"/>
      <c r="HP323" s="31"/>
      <c r="HQ323" s="31"/>
      <c r="HR323" s="31"/>
      <c r="HS323" s="31"/>
      <c r="HT323" s="31"/>
      <c r="HU323" s="31"/>
      <c r="HV323" s="31"/>
      <c r="HW323" s="31"/>
      <c r="HX323" s="31"/>
      <c r="HY323" s="31"/>
      <c r="HZ323" s="31"/>
      <c r="IA323" s="31"/>
      <c r="IB323" s="31"/>
      <c r="IC323" s="31"/>
      <c r="ID323" s="31"/>
      <c r="IE323" s="31"/>
      <c r="IF323" s="31"/>
      <c r="IG323" s="31"/>
      <c r="IH323" s="31"/>
      <c r="II323" s="31"/>
      <c r="IJ323" s="31"/>
      <c r="IK323" s="31"/>
      <c r="IL323" s="31"/>
      <c r="IM323" s="31"/>
      <c r="IN323" s="31"/>
      <c r="IO323" s="31"/>
      <c r="IP323" s="31"/>
      <c r="IQ323" s="31"/>
      <c r="IR323" s="31"/>
      <c r="IS323" s="31"/>
      <c r="IT323" s="31"/>
      <c r="IU323" s="31"/>
      <c r="IV323" s="31"/>
      <c r="IW323" s="31"/>
      <c r="IX323" s="31"/>
      <c r="IY323" s="31"/>
      <c r="IZ323" s="31"/>
      <c r="JA323" s="31"/>
      <c r="JB323" s="31"/>
      <c r="JC323" s="31"/>
      <c r="JD323" s="31"/>
      <c r="JE323" s="31"/>
      <c r="JF323" s="31"/>
      <c r="JG323" s="31"/>
      <c r="JH323" s="31"/>
      <c r="JI323" s="31"/>
      <c r="JJ323" s="31"/>
      <c r="JK323" s="31"/>
      <c r="JL323" s="31"/>
      <c r="JM323" s="31"/>
      <c r="JN323" s="31"/>
      <c r="JO323" s="31"/>
      <c r="JP323" s="31"/>
      <c r="JQ323" s="31"/>
      <c r="JR323" s="31"/>
      <c r="JS323" s="31"/>
      <c r="JT323" s="31"/>
      <c r="JU323" s="31"/>
      <c r="JV323" s="31"/>
      <c r="JW323" s="31"/>
      <c r="JX323" s="31"/>
      <c r="JY323" s="31"/>
      <c r="JZ323" s="31"/>
      <c r="KA323" s="31"/>
      <c r="KB323" s="31"/>
      <c r="KC323" s="31"/>
      <c r="KD323" s="31"/>
      <c r="KE323" s="31"/>
      <c r="KF323" s="31"/>
      <c r="KG323" s="31"/>
      <c r="KH323" s="31"/>
      <c r="KI323" s="31"/>
      <c r="KJ323" s="31"/>
      <c r="KK323" s="31"/>
      <c r="KL323" s="31"/>
      <c r="KM323" s="31"/>
      <c r="KN323" s="31"/>
      <c r="KO323" s="31"/>
      <c r="KP323" s="31"/>
      <c r="KQ323" s="31"/>
      <c r="KR323" s="31"/>
      <c r="KS323" s="31"/>
      <c r="KT323" s="31"/>
      <c r="KU323" s="31"/>
      <c r="KV323" s="31"/>
      <c r="KW323" s="31"/>
      <c r="KX323" s="31"/>
      <c r="KY323" s="31"/>
      <c r="KZ323" s="31"/>
      <c r="LA323" s="31"/>
      <c r="LB323" s="31"/>
      <c r="LC323" s="31"/>
      <c r="LD323" s="31"/>
      <c r="LE323" s="31"/>
      <c r="LF323" s="31"/>
      <c r="LG323" s="31"/>
      <c r="LH323" s="31"/>
      <c r="LI323" s="31"/>
      <c r="LJ323" s="31"/>
      <c r="LK323" s="31"/>
      <c r="LL323" s="31"/>
      <c r="LM323" s="31"/>
      <c r="LN323" s="31"/>
      <c r="LO323" s="31"/>
      <c r="LP323" s="31"/>
      <c r="LQ323" s="31"/>
      <c r="LR323" s="31"/>
      <c r="LS323" s="31"/>
      <c r="LT323" s="31"/>
      <c r="LU323" s="31"/>
      <c r="LV323" s="31"/>
      <c r="LW323" s="31"/>
      <c r="LX323" s="31"/>
      <c r="LY323" s="31"/>
      <c r="LZ323" s="31"/>
      <c r="MA323" s="31"/>
      <c r="MB323" s="31"/>
      <c r="MC323" s="31"/>
      <c r="MD323" s="31"/>
      <c r="ME323" s="31"/>
      <c r="MF323" s="31"/>
      <c r="MG323" s="31"/>
      <c r="MH323" s="31"/>
      <c r="MI323" s="31"/>
      <c r="MJ323" s="31"/>
      <c r="MK323" s="31"/>
      <c r="ML323" s="31"/>
      <c r="MM323" s="31"/>
      <c r="MN323" s="31"/>
      <c r="MO323" s="31"/>
      <c r="MP323" s="31"/>
      <c r="MQ323" s="31"/>
      <c r="MR323" s="31"/>
      <c r="MS323" s="31"/>
      <c r="MT323" s="31"/>
      <c r="MU323" s="31"/>
      <c r="MV323" s="31"/>
      <c r="MW323" s="31"/>
      <c r="MX323" s="31"/>
      <c r="MY323" s="31"/>
      <c r="MZ323" s="31"/>
      <c r="NA323" s="31"/>
      <c r="NB323" s="31"/>
      <c r="NC323" s="31"/>
      <c r="ND323" s="31"/>
      <c r="NE323" s="31"/>
      <c r="NF323" s="31"/>
      <c r="NG323" s="31"/>
      <c r="NH323" s="31"/>
      <c r="NI323" s="31"/>
      <c r="NJ323" s="31"/>
      <c r="NK323" s="31"/>
      <c r="NL323" s="31"/>
      <c r="NM323" s="31"/>
      <c r="NN323" s="31"/>
      <c r="NO323" s="31"/>
      <c r="NP323" s="31"/>
      <c r="NQ323" s="31"/>
      <c r="NR323" s="31"/>
      <c r="NS323" s="31"/>
      <c r="NT323" s="31"/>
      <c r="NU323" s="31"/>
      <c r="NV323" s="31"/>
      <c r="NW323" s="31"/>
      <c r="NX323" s="31"/>
      <c r="NY323" s="31"/>
      <c r="NZ323" s="31"/>
      <c r="OA323" s="31"/>
      <c r="OB323" s="31"/>
      <c r="OC323" s="31"/>
      <c r="OD323" s="31"/>
      <c r="OE323" s="31"/>
      <c r="OF323" s="31"/>
      <c r="OG323" s="31"/>
      <c r="OH323" s="31"/>
      <c r="OI323" s="31"/>
      <c r="OJ323" s="31"/>
      <c r="OK323" s="31"/>
      <c r="OL323" s="31"/>
      <c r="OM323" s="31"/>
      <c r="ON323" s="31"/>
      <c r="OO323" s="31"/>
      <c r="OP323" s="31"/>
      <c r="OQ323" s="31"/>
      <c r="OR323" s="31"/>
      <c r="OS323" s="31"/>
      <c r="OT323" s="31"/>
      <c r="OU323" s="31"/>
      <c r="OV323" s="31"/>
      <c r="OW323" s="31"/>
      <c r="OX323" s="31"/>
    </row>
    <row r="324" spans="2:414" s="25" customFormat="1" ht="15.6">
      <c r="B324" s="25" t="s">
        <v>494</v>
      </c>
      <c r="C324" s="27" t="s">
        <v>167</v>
      </c>
      <c r="D324" s="30" t="s">
        <v>489</v>
      </c>
      <c r="G324" s="42">
        <v>500</v>
      </c>
      <c r="H324" s="89">
        <v>26.109000000000002</v>
      </c>
      <c r="I324" s="38">
        <f t="shared" si="96"/>
        <v>13054.5</v>
      </c>
      <c r="K324" s="42">
        <v>500</v>
      </c>
      <c r="L324" s="90">
        <v>26.849599999999999</v>
      </c>
      <c r="M324" s="38">
        <f t="shared" si="97"/>
        <v>13424.8</v>
      </c>
      <c r="O324" s="38">
        <v>80</v>
      </c>
      <c r="P324" s="38">
        <v>26.728300000000001</v>
      </c>
      <c r="Q324" s="38">
        <f t="shared" si="98"/>
        <v>2138.2640000000001</v>
      </c>
      <c r="R324" s="43">
        <f t="shared" ref="R324:R387" si="114">G324+K324+O324</f>
        <v>1080</v>
      </c>
      <c r="S324" s="38">
        <f t="shared" si="99"/>
        <v>28617.563999999998</v>
      </c>
      <c r="T324" s="49"/>
      <c r="U324" s="42"/>
      <c r="V324" s="38">
        <f t="shared" si="107"/>
        <v>0</v>
      </c>
      <c r="W324" s="42"/>
      <c r="X324" s="42"/>
      <c r="Y324" s="42">
        <f t="shared" si="110"/>
        <v>0</v>
      </c>
      <c r="Z324" s="42"/>
      <c r="AA324" s="42"/>
      <c r="AB324" s="42">
        <f t="shared" si="108"/>
        <v>0</v>
      </c>
      <c r="AD324" s="42"/>
      <c r="AE324" s="42"/>
      <c r="AF324" s="42">
        <f t="shared" si="109"/>
        <v>0</v>
      </c>
      <c r="AG324" s="42"/>
      <c r="AH324" s="42"/>
      <c r="AI324" s="42"/>
      <c r="AJ324" s="42">
        <f t="shared" si="106"/>
        <v>0</v>
      </c>
      <c r="AL324" s="42"/>
      <c r="AM324" s="42"/>
      <c r="AN324" s="42">
        <f t="shared" si="112"/>
        <v>0</v>
      </c>
      <c r="AO324" s="44"/>
      <c r="AP324" s="42"/>
      <c r="AQ324" s="42"/>
      <c r="AR324" s="42"/>
      <c r="AU324" s="98"/>
      <c r="AV324" s="35">
        <f t="shared" si="111"/>
        <v>0</v>
      </c>
      <c r="AW324" s="104"/>
      <c r="AX324" s="42"/>
      <c r="AY324" s="42"/>
      <c r="AZ324" s="42">
        <f t="shared" si="113"/>
        <v>0</v>
      </c>
      <c r="BA324" s="42"/>
      <c r="BB324" s="42"/>
      <c r="BC324" s="42"/>
      <c r="BD324" s="38">
        <f t="shared" si="100"/>
        <v>0</v>
      </c>
      <c r="BE324" s="42"/>
      <c r="BF324" s="42"/>
      <c r="BG324" s="42"/>
      <c r="BH324" s="38">
        <f t="shared" si="101"/>
        <v>0</v>
      </c>
      <c r="BI324" s="42"/>
      <c r="BJ324" s="42"/>
      <c r="BK324" s="42"/>
      <c r="BL324" s="38">
        <f t="shared" si="102"/>
        <v>0</v>
      </c>
      <c r="BM324" s="42"/>
      <c r="BN324" s="42"/>
      <c r="BO324" s="42"/>
      <c r="BP324" s="42"/>
      <c r="BR324" s="42">
        <f t="shared" si="103"/>
        <v>0</v>
      </c>
      <c r="BS324" s="43">
        <f t="shared" si="104"/>
        <v>28617.563999999998</v>
      </c>
      <c r="BT324" s="42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  <c r="FM324" s="31"/>
      <c r="FN324" s="31"/>
      <c r="FO324" s="31"/>
      <c r="FP324" s="31"/>
      <c r="FQ324" s="31"/>
      <c r="FR324" s="31"/>
      <c r="FS324" s="31"/>
      <c r="FT324" s="31"/>
      <c r="FU324" s="31"/>
      <c r="FV324" s="31"/>
      <c r="FW324" s="31"/>
      <c r="FX324" s="31"/>
      <c r="FY324" s="31"/>
      <c r="FZ324" s="31"/>
      <c r="GA324" s="31"/>
      <c r="GB324" s="31"/>
      <c r="GC324" s="31"/>
      <c r="GD324" s="31"/>
      <c r="GE324" s="31"/>
      <c r="GF324" s="31"/>
      <c r="GG324" s="31"/>
      <c r="GH324" s="31"/>
      <c r="GI324" s="31"/>
      <c r="GJ324" s="31"/>
      <c r="GK324" s="31"/>
      <c r="GL324" s="31"/>
      <c r="GM324" s="31"/>
      <c r="GN324" s="31"/>
      <c r="GO324" s="31"/>
      <c r="GP324" s="31"/>
      <c r="GQ324" s="31"/>
      <c r="GR324" s="31"/>
      <c r="GS324" s="31"/>
      <c r="GT324" s="31"/>
      <c r="GU324" s="31"/>
      <c r="GV324" s="31"/>
      <c r="GW324" s="31"/>
      <c r="GX324" s="31"/>
      <c r="GY324" s="31"/>
      <c r="GZ324" s="31"/>
      <c r="HA324" s="31"/>
      <c r="HB324" s="31"/>
      <c r="HC324" s="31"/>
      <c r="HD324" s="31"/>
      <c r="HE324" s="31"/>
      <c r="HF324" s="31"/>
      <c r="HG324" s="31"/>
      <c r="HH324" s="31"/>
      <c r="HI324" s="31"/>
      <c r="HJ324" s="31"/>
      <c r="HK324" s="31"/>
      <c r="HL324" s="31"/>
      <c r="HM324" s="31"/>
      <c r="HN324" s="31"/>
      <c r="HO324" s="31"/>
      <c r="HP324" s="31"/>
      <c r="HQ324" s="31"/>
      <c r="HR324" s="31"/>
      <c r="HS324" s="31"/>
      <c r="HT324" s="31"/>
      <c r="HU324" s="31"/>
      <c r="HV324" s="31"/>
      <c r="HW324" s="31"/>
      <c r="HX324" s="31"/>
      <c r="HY324" s="31"/>
      <c r="HZ324" s="31"/>
      <c r="IA324" s="31"/>
      <c r="IB324" s="31"/>
      <c r="IC324" s="31"/>
      <c r="ID324" s="31"/>
      <c r="IE324" s="31"/>
      <c r="IF324" s="31"/>
      <c r="IG324" s="31"/>
      <c r="IH324" s="31"/>
      <c r="II324" s="31"/>
      <c r="IJ324" s="31"/>
      <c r="IK324" s="31"/>
      <c r="IL324" s="31"/>
      <c r="IM324" s="31"/>
      <c r="IN324" s="31"/>
      <c r="IO324" s="31"/>
      <c r="IP324" s="31"/>
      <c r="IQ324" s="31"/>
      <c r="IR324" s="31"/>
      <c r="IS324" s="31"/>
      <c r="IT324" s="31"/>
      <c r="IU324" s="31"/>
      <c r="IV324" s="31"/>
      <c r="IW324" s="31"/>
      <c r="IX324" s="31"/>
      <c r="IY324" s="31"/>
      <c r="IZ324" s="31"/>
      <c r="JA324" s="31"/>
      <c r="JB324" s="31"/>
      <c r="JC324" s="31"/>
      <c r="JD324" s="31"/>
      <c r="JE324" s="31"/>
      <c r="JF324" s="31"/>
      <c r="JG324" s="31"/>
      <c r="JH324" s="31"/>
      <c r="JI324" s="31"/>
      <c r="JJ324" s="31"/>
      <c r="JK324" s="31"/>
      <c r="JL324" s="31"/>
      <c r="JM324" s="31"/>
      <c r="JN324" s="31"/>
      <c r="JO324" s="31"/>
      <c r="JP324" s="31"/>
      <c r="JQ324" s="31"/>
      <c r="JR324" s="31"/>
      <c r="JS324" s="31"/>
      <c r="JT324" s="31"/>
      <c r="JU324" s="31"/>
      <c r="JV324" s="31"/>
      <c r="JW324" s="31"/>
      <c r="JX324" s="31"/>
      <c r="JY324" s="31"/>
      <c r="JZ324" s="31"/>
      <c r="KA324" s="31"/>
      <c r="KB324" s="31"/>
      <c r="KC324" s="31"/>
      <c r="KD324" s="31"/>
      <c r="KE324" s="31"/>
      <c r="KF324" s="31"/>
      <c r="KG324" s="31"/>
      <c r="KH324" s="31"/>
      <c r="KI324" s="31"/>
      <c r="KJ324" s="31"/>
      <c r="KK324" s="31"/>
      <c r="KL324" s="31"/>
      <c r="KM324" s="31"/>
      <c r="KN324" s="31"/>
      <c r="KO324" s="31"/>
      <c r="KP324" s="31"/>
      <c r="KQ324" s="31"/>
      <c r="KR324" s="31"/>
      <c r="KS324" s="31"/>
      <c r="KT324" s="31"/>
      <c r="KU324" s="31"/>
      <c r="KV324" s="31"/>
      <c r="KW324" s="31"/>
      <c r="KX324" s="31"/>
      <c r="KY324" s="31"/>
      <c r="KZ324" s="31"/>
      <c r="LA324" s="31"/>
      <c r="LB324" s="31"/>
      <c r="LC324" s="31"/>
      <c r="LD324" s="31"/>
      <c r="LE324" s="31"/>
      <c r="LF324" s="31"/>
      <c r="LG324" s="31"/>
      <c r="LH324" s="31"/>
      <c r="LI324" s="31"/>
      <c r="LJ324" s="31"/>
      <c r="LK324" s="31"/>
      <c r="LL324" s="31"/>
      <c r="LM324" s="31"/>
      <c r="LN324" s="31"/>
      <c r="LO324" s="31"/>
      <c r="LP324" s="31"/>
      <c r="LQ324" s="31"/>
      <c r="LR324" s="31"/>
      <c r="LS324" s="31"/>
      <c r="LT324" s="31"/>
      <c r="LU324" s="31"/>
      <c r="LV324" s="31"/>
      <c r="LW324" s="31"/>
      <c r="LX324" s="31"/>
      <c r="LY324" s="31"/>
      <c r="LZ324" s="31"/>
      <c r="MA324" s="31"/>
      <c r="MB324" s="31"/>
      <c r="MC324" s="31"/>
      <c r="MD324" s="31"/>
      <c r="ME324" s="31"/>
      <c r="MF324" s="31"/>
      <c r="MG324" s="31"/>
      <c r="MH324" s="31"/>
      <c r="MI324" s="31"/>
      <c r="MJ324" s="31"/>
      <c r="MK324" s="31"/>
      <c r="ML324" s="31"/>
      <c r="MM324" s="31"/>
      <c r="MN324" s="31"/>
      <c r="MO324" s="31"/>
      <c r="MP324" s="31"/>
      <c r="MQ324" s="31"/>
      <c r="MR324" s="31"/>
      <c r="MS324" s="31"/>
      <c r="MT324" s="31"/>
      <c r="MU324" s="31"/>
      <c r="MV324" s="31"/>
      <c r="MW324" s="31"/>
      <c r="MX324" s="31"/>
      <c r="MY324" s="31"/>
      <c r="MZ324" s="31"/>
      <c r="NA324" s="31"/>
      <c r="NB324" s="31"/>
      <c r="NC324" s="31"/>
      <c r="ND324" s="31"/>
      <c r="NE324" s="31"/>
      <c r="NF324" s="31"/>
      <c r="NG324" s="31"/>
      <c r="NH324" s="31"/>
      <c r="NI324" s="31"/>
      <c r="NJ324" s="31"/>
      <c r="NK324" s="31"/>
      <c r="NL324" s="31"/>
      <c r="NM324" s="31"/>
      <c r="NN324" s="31"/>
      <c r="NO324" s="31"/>
      <c r="NP324" s="31"/>
      <c r="NQ324" s="31"/>
      <c r="NR324" s="31"/>
      <c r="NS324" s="31"/>
      <c r="NT324" s="31"/>
      <c r="NU324" s="31"/>
      <c r="NV324" s="31"/>
      <c r="NW324" s="31"/>
      <c r="NX324" s="31"/>
      <c r="NY324" s="31"/>
      <c r="NZ324" s="31"/>
      <c r="OA324" s="31"/>
      <c r="OB324" s="31"/>
      <c r="OC324" s="31"/>
      <c r="OD324" s="31"/>
      <c r="OE324" s="31"/>
      <c r="OF324" s="31"/>
      <c r="OG324" s="31"/>
      <c r="OH324" s="31"/>
      <c r="OI324" s="31"/>
      <c r="OJ324" s="31"/>
      <c r="OK324" s="31"/>
      <c r="OL324" s="31"/>
      <c r="OM324" s="31"/>
      <c r="ON324" s="31"/>
      <c r="OO324" s="31"/>
      <c r="OP324" s="31"/>
      <c r="OQ324" s="31"/>
      <c r="OR324" s="31"/>
      <c r="OS324" s="31"/>
      <c r="OT324" s="31"/>
      <c r="OU324" s="31"/>
      <c r="OV324" s="31"/>
      <c r="OW324" s="31"/>
      <c r="OX324" s="31"/>
    </row>
    <row r="325" spans="2:414" s="25" customFormat="1" ht="15.6">
      <c r="B325" s="25" t="s">
        <v>495</v>
      </c>
      <c r="C325" s="27" t="s">
        <v>496</v>
      </c>
      <c r="D325" s="30" t="s">
        <v>489</v>
      </c>
      <c r="G325" s="42">
        <v>500</v>
      </c>
      <c r="H325" s="89">
        <v>26.109000000000002</v>
      </c>
      <c r="I325" s="38">
        <f t="shared" si="96"/>
        <v>13054.5</v>
      </c>
      <c r="K325" s="42">
        <v>500</v>
      </c>
      <c r="L325" s="90">
        <v>26.849599999999999</v>
      </c>
      <c r="M325" s="38">
        <f t="shared" si="97"/>
        <v>13424.8</v>
      </c>
      <c r="O325" s="38">
        <v>80</v>
      </c>
      <c r="P325" s="38">
        <v>26.728300000000001</v>
      </c>
      <c r="Q325" s="38">
        <f t="shared" si="98"/>
        <v>2138.2640000000001</v>
      </c>
      <c r="R325" s="43">
        <f t="shared" si="114"/>
        <v>1080</v>
      </c>
      <c r="S325" s="38">
        <f t="shared" si="99"/>
        <v>28617.563999999998</v>
      </c>
      <c r="T325" s="49">
        <v>415</v>
      </c>
      <c r="U325" s="42">
        <v>26.298200000000001</v>
      </c>
      <c r="V325" s="38">
        <f t="shared" si="107"/>
        <v>10913.753000000001</v>
      </c>
      <c r="W325" s="42">
        <v>85</v>
      </c>
      <c r="X325" s="42">
        <v>26.298200000000001</v>
      </c>
      <c r="Y325" s="42">
        <f t="shared" si="110"/>
        <v>2235.3470000000002</v>
      </c>
      <c r="Z325" s="42">
        <v>415</v>
      </c>
      <c r="AA325" s="42">
        <v>26.869499999999999</v>
      </c>
      <c r="AB325" s="42">
        <f t="shared" si="108"/>
        <v>11150.842499999999</v>
      </c>
      <c r="AD325" s="42">
        <v>85</v>
      </c>
      <c r="AE325" s="42">
        <v>26.869499999999999</v>
      </c>
      <c r="AF325" s="42">
        <f t="shared" si="109"/>
        <v>2283.9074999999998</v>
      </c>
      <c r="AG325" s="42"/>
      <c r="AH325" s="42"/>
      <c r="AI325" s="42"/>
      <c r="AJ325" s="42">
        <f t="shared" si="106"/>
        <v>0</v>
      </c>
      <c r="AL325" s="42"/>
      <c r="AM325" s="42"/>
      <c r="AN325" s="42">
        <f t="shared" si="112"/>
        <v>0</v>
      </c>
      <c r="AO325" s="44"/>
      <c r="AP325" s="42"/>
      <c r="AQ325" s="42"/>
      <c r="AR325" s="42"/>
      <c r="AU325" s="98"/>
      <c r="AV325" s="35">
        <f t="shared" si="111"/>
        <v>0</v>
      </c>
      <c r="AW325" s="104"/>
      <c r="AX325" s="42"/>
      <c r="AY325" s="42"/>
      <c r="AZ325" s="42">
        <f t="shared" si="113"/>
        <v>0</v>
      </c>
      <c r="BA325" s="42"/>
      <c r="BB325" s="42"/>
      <c r="BC325" s="42"/>
      <c r="BD325" s="38">
        <f t="shared" si="100"/>
        <v>0</v>
      </c>
      <c r="BE325" s="42"/>
      <c r="BF325" s="42"/>
      <c r="BG325" s="42"/>
      <c r="BH325" s="38">
        <f t="shared" si="101"/>
        <v>0</v>
      </c>
      <c r="BI325" s="42"/>
      <c r="BJ325" s="42"/>
      <c r="BK325" s="42"/>
      <c r="BL325" s="38">
        <f t="shared" si="102"/>
        <v>0</v>
      </c>
      <c r="BM325" s="42"/>
      <c r="BN325" s="42"/>
      <c r="BO325" s="42"/>
      <c r="BP325" s="42"/>
      <c r="BR325" s="42">
        <f t="shared" si="103"/>
        <v>26583.85</v>
      </c>
      <c r="BS325" s="43">
        <f t="shared" si="104"/>
        <v>2033.7139999999999</v>
      </c>
      <c r="BT325" s="42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  <c r="FM325" s="31"/>
      <c r="FN325" s="31"/>
      <c r="FO325" s="31"/>
      <c r="FP325" s="31"/>
      <c r="FQ325" s="31"/>
      <c r="FR325" s="31"/>
      <c r="FS325" s="31"/>
      <c r="FT325" s="31"/>
      <c r="FU325" s="31"/>
      <c r="FV325" s="31"/>
      <c r="FW325" s="31"/>
      <c r="FX325" s="31"/>
      <c r="FY325" s="31"/>
      <c r="FZ325" s="31"/>
      <c r="GA325" s="31"/>
      <c r="GB325" s="31"/>
      <c r="GC325" s="31"/>
      <c r="GD325" s="31"/>
      <c r="GE325" s="31"/>
      <c r="GF325" s="31"/>
      <c r="GG325" s="31"/>
      <c r="GH325" s="31"/>
      <c r="GI325" s="31"/>
      <c r="GJ325" s="31"/>
      <c r="GK325" s="31"/>
      <c r="GL325" s="31"/>
      <c r="GM325" s="31"/>
      <c r="GN325" s="31"/>
      <c r="GO325" s="31"/>
      <c r="GP325" s="31"/>
      <c r="GQ325" s="31"/>
      <c r="GR325" s="31"/>
      <c r="GS325" s="31"/>
      <c r="GT325" s="31"/>
      <c r="GU325" s="31"/>
      <c r="GV325" s="31"/>
      <c r="GW325" s="31"/>
      <c r="GX325" s="31"/>
      <c r="GY325" s="31"/>
      <c r="GZ325" s="31"/>
      <c r="HA325" s="31"/>
      <c r="HB325" s="31"/>
      <c r="HC325" s="31"/>
      <c r="HD325" s="31"/>
      <c r="HE325" s="31"/>
      <c r="HF325" s="31"/>
      <c r="HG325" s="31"/>
      <c r="HH325" s="31"/>
      <c r="HI325" s="31"/>
      <c r="HJ325" s="31"/>
      <c r="HK325" s="31"/>
      <c r="HL325" s="31"/>
      <c r="HM325" s="31"/>
      <c r="HN325" s="31"/>
      <c r="HO325" s="31"/>
      <c r="HP325" s="31"/>
      <c r="HQ325" s="31"/>
      <c r="HR325" s="31"/>
      <c r="HS325" s="31"/>
      <c r="HT325" s="31"/>
      <c r="HU325" s="31"/>
      <c r="HV325" s="31"/>
      <c r="HW325" s="31"/>
      <c r="HX325" s="31"/>
      <c r="HY325" s="31"/>
      <c r="HZ325" s="31"/>
      <c r="IA325" s="31"/>
      <c r="IB325" s="31"/>
      <c r="IC325" s="31"/>
      <c r="ID325" s="31"/>
      <c r="IE325" s="31"/>
      <c r="IF325" s="31"/>
      <c r="IG325" s="31"/>
      <c r="IH325" s="31"/>
      <c r="II325" s="31"/>
      <c r="IJ325" s="31"/>
      <c r="IK325" s="31"/>
      <c r="IL325" s="31"/>
      <c r="IM325" s="31"/>
      <c r="IN325" s="31"/>
      <c r="IO325" s="31"/>
      <c r="IP325" s="31"/>
      <c r="IQ325" s="31"/>
      <c r="IR325" s="31"/>
      <c r="IS325" s="31"/>
      <c r="IT325" s="31"/>
      <c r="IU325" s="31"/>
      <c r="IV325" s="31"/>
      <c r="IW325" s="31"/>
      <c r="IX325" s="31"/>
      <c r="IY325" s="31"/>
      <c r="IZ325" s="31"/>
      <c r="JA325" s="31"/>
      <c r="JB325" s="31"/>
      <c r="JC325" s="31"/>
      <c r="JD325" s="31"/>
      <c r="JE325" s="31"/>
      <c r="JF325" s="31"/>
      <c r="JG325" s="31"/>
      <c r="JH325" s="31"/>
      <c r="JI325" s="31"/>
      <c r="JJ325" s="31"/>
      <c r="JK325" s="31"/>
      <c r="JL325" s="31"/>
      <c r="JM325" s="31"/>
      <c r="JN325" s="31"/>
      <c r="JO325" s="31"/>
      <c r="JP325" s="31"/>
      <c r="JQ325" s="31"/>
      <c r="JR325" s="31"/>
      <c r="JS325" s="31"/>
      <c r="JT325" s="31"/>
      <c r="JU325" s="31"/>
      <c r="JV325" s="31"/>
      <c r="JW325" s="31"/>
      <c r="JX325" s="31"/>
      <c r="JY325" s="31"/>
      <c r="JZ325" s="31"/>
      <c r="KA325" s="31"/>
      <c r="KB325" s="31"/>
      <c r="KC325" s="31"/>
      <c r="KD325" s="31"/>
      <c r="KE325" s="31"/>
      <c r="KF325" s="31"/>
      <c r="KG325" s="31"/>
      <c r="KH325" s="31"/>
      <c r="KI325" s="31"/>
      <c r="KJ325" s="31"/>
      <c r="KK325" s="31"/>
      <c r="KL325" s="31"/>
      <c r="KM325" s="31"/>
      <c r="KN325" s="31"/>
      <c r="KO325" s="31"/>
      <c r="KP325" s="31"/>
      <c r="KQ325" s="31"/>
      <c r="KR325" s="31"/>
      <c r="KS325" s="31"/>
      <c r="KT325" s="31"/>
      <c r="KU325" s="31"/>
      <c r="KV325" s="31"/>
      <c r="KW325" s="31"/>
      <c r="KX325" s="31"/>
      <c r="KY325" s="31"/>
      <c r="KZ325" s="31"/>
      <c r="LA325" s="31"/>
      <c r="LB325" s="31"/>
      <c r="LC325" s="31"/>
      <c r="LD325" s="31"/>
      <c r="LE325" s="31"/>
      <c r="LF325" s="31"/>
      <c r="LG325" s="31"/>
      <c r="LH325" s="31"/>
      <c r="LI325" s="31"/>
      <c r="LJ325" s="31"/>
      <c r="LK325" s="31"/>
      <c r="LL325" s="31"/>
      <c r="LM325" s="31"/>
      <c r="LN325" s="31"/>
      <c r="LO325" s="31"/>
      <c r="LP325" s="31"/>
      <c r="LQ325" s="31"/>
      <c r="LR325" s="31"/>
      <c r="LS325" s="31"/>
      <c r="LT325" s="31"/>
      <c r="LU325" s="31"/>
      <c r="LV325" s="31"/>
      <c r="LW325" s="31"/>
      <c r="LX325" s="31"/>
      <c r="LY325" s="31"/>
      <c r="LZ325" s="31"/>
      <c r="MA325" s="31"/>
      <c r="MB325" s="31"/>
      <c r="MC325" s="31"/>
      <c r="MD325" s="31"/>
      <c r="ME325" s="31"/>
      <c r="MF325" s="31"/>
      <c r="MG325" s="31"/>
      <c r="MH325" s="31"/>
      <c r="MI325" s="31"/>
      <c r="MJ325" s="31"/>
      <c r="MK325" s="31"/>
      <c r="ML325" s="31"/>
      <c r="MM325" s="31"/>
      <c r="MN325" s="31"/>
      <c r="MO325" s="31"/>
      <c r="MP325" s="31"/>
      <c r="MQ325" s="31"/>
      <c r="MR325" s="31"/>
      <c r="MS325" s="31"/>
      <c r="MT325" s="31"/>
      <c r="MU325" s="31"/>
      <c r="MV325" s="31"/>
      <c r="MW325" s="31"/>
      <c r="MX325" s="31"/>
      <c r="MY325" s="31"/>
      <c r="MZ325" s="31"/>
      <c r="NA325" s="31"/>
      <c r="NB325" s="31"/>
      <c r="NC325" s="31"/>
      <c r="ND325" s="31"/>
      <c r="NE325" s="31"/>
      <c r="NF325" s="31"/>
      <c r="NG325" s="31"/>
      <c r="NH325" s="31"/>
      <c r="NI325" s="31"/>
      <c r="NJ325" s="31"/>
      <c r="NK325" s="31"/>
      <c r="NL325" s="31"/>
      <c r="NM325" s="31"/>
      <c r="NN325" s="31"/>
      <c r="NO325" s="31"/>
      <c r="NP325" s="31"/>
      <c r="NQ325" s="31"/>
      <c r="NR325" s="31"/>
      <c r="NS325" s="31"/>
      <c r="NT325" s="31"/>
      <c r="NU325" s="31"/>
      <c r="NV325" s="31"/>
      <c r="NW325" s="31"/>
      <c r="NX325" s="31"/>
      <c r="NY325" s="31"/>
      <c r="NZ325" s="31"/>
      <c r="OA325" s="31"/>
      <c r="OB325" s="31"/>
      <c r="OC325" s="31"/>
      <c r="OD325" s="31"/>
      <c r="OE325" s="31"/>
      <c r="OF325" s="31"/>
      <c r="OG325" s="31"/>
      <c r="OH325" s="31"/>
      <c r="OI325" s="31"/>
      <c r="OJ325" s="31"/>
      <c r="OK325" s="31"/>
      <c r="OL325" s="31"/>
      <c r="OM325" s="31"/>
      <c r="ON325" s="31"/>
      <c r="OO325" s="31"/>
      <c r="OP325" s="31"/>
      <c r="OQ325" s="31"/>
      <c r="OR325" s="31"/>
      <c r="OS325" s="31"/>
      <c r="OT325" s="31"/>
      <c r="OU325" s="31"/>
      <c r="OV325" s="31"/>
      <c r="OW325" s="31"/>
      <c r="OX325" s="31"/>
    </row>
    <row r="326" spans="2:414" s="25" customFormat="1" ht="15.6">
      <c r="B326" s="25" t="s">
        <v>497</v>
      </c>
      <c r="C326" s="27" t="s">
        <v>319</v>
      </c>
      <c r="D326" s="30" t="s">
        <v>489</v>
      </c>
      <c r="G326" s="42">
        <v>500</v>
      </c>
      <c r="H326" s="89">
        <v>26.109000000000002</v>
      </c>
      <c r="I326" s="38">
        <f t="shared" si="96"/>
        <v>13054.5</v>
      </c>
      <c r="K326" s="42">
        <v>500</v>
      </c>
      <c r="L326" s="90">
        <v>26.849599999999999</v>
      </c>
      <c r="M326" s="38">
        <f t="shared" si="97"/>
        <v>13424.8</v>
      </c>
      <c r="O326" s="38">
        <v>80</v>
      </c>
      <c r="P326" s="38">
        <v>26.728300000000001</v>
      </c>
      <c r="Q326" s="38">
        <f t="shared" si="98"/>
        <v>2138.2640000000001</v>
      </c>
      <c r="R326" s="43">
        <f t="shared" si="114"/>
        <v>1080</v>
      </c>
      <c r="S326" s="38">
        <f t="shared" si="99"/>
        <v>28617.563999999998</v>
      </c>
      <c r="T326" s="49">
        <v>415</v>
      </c>
      <c r="U326" s="42">
        <v>26.271599999999999</v>
      </c>
      <c r="V326" s="38">
        <f t="shared" si="107"/>
        <v>10902.714</v>
      </c>
      <c r="W326" s="42">
        <v>85</v>
      </c>
      <c r="X326" s="42">
        <v>26.290299999999998</v>
      </c>
      <c r="Y326" s="42">
        <f t="shared" si="110"/>
        <v>2234.6754999999998</v>
      </c>
      <c r="Z326" s="42">
        <v>200</v>
      </c>
      <c r="AA326" s="42">
        <v>26.869499999999999</v>
      </c>
      <c r="AB326" s="42">
        <f t="shared" si="108"/>
        <v>5373.9</v>
      </c>
      <c r="AD326" s="42">
        <v>85</v>
      </c>
      <c r="AE326" s="42">
        <v>26.996500000000001</v>
      </c>
      <c r="AF326" s="42">
        <f t="shared" si="109"/>
        <v>2294.7024999999999</v>
      </c>
      <c r="AG326" s="42"/>
      <c r="AH326" s="42"/>
      <c r="AI326" s="42"/>
      <c r="AJ326" s="42">
        <v>5805</v>
      </c>
      <c r="AL326" s="42">
        <v>85</v>
      </c>
      <c r="AM326" s="42">
        <v>26.996500000000001</v>
      </c>
      <c r="AN326" s="42">
        <f t="shared" si="112"/>
        <v>2294.7024999999999</v>
      </c>
      <c r="AO326" s="44"/>
      <c r="AP326" s="42">
        <v>6</v>
      </c>
      <c r="AQ326" s="42">
        <v>26.839400000000001</v>
      </c>
      <c r="AR326" s="42"/>
      <c r="AU326" s="98"/>
      <c r="AV326" s="35">
        <v>5805</v>
      </c>
      <c r="AW326" s="104"/>
      <c r="AX326" s="42"/>
      <c r="AY326" s="42"/>
      <c r="AZ326" s="42">
        <f t="shared" si="113"/>
        <v>0</v>
      </c>
      <c r="BA326" s="42"/>
      <c r="BB326" s="42"/>
      <c r="BC326" s="42"/>
      <c r="BD326" s="38">
        <f t="shared" si="100"/>
        <v>0</v>
      </c>
      <c r="BE326" s="42"/>
      <c r="BF326" s="42"/>
      <c r="BG326" s="42"/>
      <c r="BH326" s="38">
        <f t="shared" si="101"/>
        <v>0</v>
      </c>
      <c r="BI326" s="42"/>
      <c r="BJ326" s="42"/>
      <c r="BK326" s="42"/>
      <c r="BL326" s="38">
        <f t="shared" si="102"/>
        <v>0</v>
      </c>
      <c r="BM326" s="42"/>
      <c r="BN326" s="42"/>
      <c r="BO326" s="42"/>
      <c r="BP326" s="42"/>
      <c r="BR326" s="42">
        <f t="shared" si="103"/>
        <v>34710.694499999998</v>
      </c>
      <c r="BS326" s="43"/>
      <c r="BT326" s="42">
        <v>1816.6</v>
      </c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  <c r="FM326" s="31"/>
      <c r="FN326" s="31"/>
      <c r="FO326" s="31"/>
      <c r="FP326" s="31"/>
      <c r="FQ326" s="31"/>
      <c r="FR326" s="31"/>
      <c r="FS326" s="31"/>
      <c r="FT326" s="31"/>
      <c r="FU326" s="31"/>
      <c r="FV326" s="31"/>
      <c r="FW326" s="31"/>
      <c r="FX326" s="31"/>
      <c r="FY326" s="31"/>
      <c r="FZ326" s="31"/>
      <c r="GA326" s="31"/>
      <c r="GB326" s="31"/>
      <c r="GC326" s="31"/>
      <c r="GD326" s="31"/>
      <c r="GE326" s="31"/>
      <c r="GF326" s="31"/>
      <c r="GG326" s="31"/>
      <c r="GH326" s="31"/>
      <c r="GI326" s="31"/>
      <c r="GJ326" s="31"/>
      <c r="GK326" s="31"/>
      <c r="GL326" s="31"/>
      <c r="GM326" s="31"/>
      <c r="GN326" s="31"/>
      <c r="GO326" s="31"/>
      <c r="GP326" s="31"/>
      <c r="GQ326" s="31"/>
      <c r="GR326" s="31"/>
      <c r="GS326" s="31"/>
      <c r="GT326" s="31"/>
      <c r="GU326" s="31"/>
      <c r="GV326" s="31"/>
      <c r="GW326" s="31"/>
      <c r="GX326" s="31"/>
      <c r="GY326" s="31"/>
      <c r="GZ326" s="31"/>
      <c r="HA326" s="31"/>
      <c r="HB326" s="31"/>
      <c r="HC326" s="31"/>
      <c r="HD326" s="31"/>
      <c r="HE326" s="31"/>
      <c r="HF326" s="31"/>
      <c r="HG326" s="31"/>
      <c r="HH326" s="31"/>
      <c r="HI326" s="31"/>
      <c r="HJ326" s="31"/>
      <c r="HK326" s="31"/>
      <c r="HL326" s="31"/>
      <c r="HM326" s="31"/>
      <c r="HN326" s="31"/>
      <c r="HO326" s="31"/>
      <c r="HP326" s="31"/>
      <c r="HQ326" s="31"/>
      <c r="HR326" s="31"/>
      <c r="HS326" s="31"/>
      <c r="HT326" s="31"/>
      <c r="HU326" s="31"/>
      <c r="HV326" s="31"/>
      <c r="HW326" s="31"/>
      <c r="HX326" s="31"/>
      <c r="HY326" s="31"/>
      <c r="HZ326" s="31"/>
      <c r="IA326" s="31"/>
      <c r="IB326" s="31"/>
      <c r="IC326" s="31"/>
      <c r="ID326" s="31"/>
      <c r="IE326" s="31"/>
      <c r="IF326" s="31"/>
      <c r="IG326" s="31"/>
      <c r="IH326" s="31"/>
      <c r="II326" s="31"/>
      <c r="IJ326" s="31"/>
      <c r="IK326" s="31"/>
      <c r="IL326" s="31"/>
      <c r="IM326" s="31"/>
      <c r="IN326" s="31"/>
      <c r="IO326" s="31"/>
      <c r="IP326" s="31"/>
      <c r="IQ326" s="31"/>
      <c r="IR326" s="31"/>
      <c r="IS326" s="31"/>
      <c r="IT326" s="31"/>
      <c r="IU326" s="31"/>
      <c r="IV326" s="31"/>
      <c r="IW326" s="31"/>
      <c r="IX326" s="31"/>
      <c r="IY326" s="31"/>
      <c r="IZ326" s="31"/>
      <c r="JA326" s="31"/>
      <c r="JB326" s="31"/>
      <c r="JC326" s="31"/>
      <c r="JD326" s="31"/>
      <c r="JE326" s="31"/>
      <c r="JF326" s="31"/>
      <c r="JG326" s="31"/>
      <c r="JH326" s="31"/>
      <c r="JI326" s="31"/>
      <c r="JJ326" s="31"/>
      <c r="JK326" s="31"/>
      <c r="JL326" s="31"/>
      <c r="JM326" s="31"/>
      <c r="JN326" s="31"/>
      <c r="JO326" s="31"/>
      <c r="JP326" s="31"/>
      <c r="JQ326" s="31"/>
      <c r="JR326" s="31"/>
      <c r="JS326" s="31"/>
      <c r="JT326" s="31"/>
      <c r="JU326" s="31"/>
      <c r="JV326" s="31"/>
      <c r="JW326" s="31"/>
      <c r="JX326" s="31"/>
      <c r="JY326" s="31"/>
      <c r="JZ326" s="31"/>
      <c r="KA326" s="31"/>
      <c r="KB326" s="31"/>
      <c r="KC326" s="31"/>
      <c r="KD326" s="31"/>
      <c r="KE326" s="31"/>
      <c r="KF326" s="31"/>
      <c r="KG326" s="31"/>
      <c r="KH326" s="31"/>
      <c r="KI326" s="31"/>
      <c r="KJ326" s="31"/>
      <c r="KK326" s="31"/>
      <c r="KL326" s="31"/>
      <c r="KM326" s="31"/>
      <c r="KN326" s="31"/>
      <c r="KO326" s="31"/>
      <c r="KP326" s="31"/>
      <c r="KQ326" s="31"/>
      <c r="KR326" s="31"/>
      <c r="KS326" s="31"/>
      <c r="KT326" s="31"/>
      <c r="KU326" s="31"/>
      <c r="KV326" s="31"/>
      <c r="KW326" s="31"/>
      <c r="KX326" s="31"/>
      <c r="KY326" s="31"/>
      <c r="KZ326" s="31"/>
      <c r="LA326" s="31"/>
      <c r="LB326" s="31"/>
      <c r="LC326" s="31"/>
      <c r="LD326" s="31"/>
      <c r="LE326" s="31"/>
      <c r="LF326" s="31"/>
      <c r="LG326" s="31"/>
      <c r="LH326" s="31"/>
      <c r="LI326" s="31"/>
      <c r="LJ326" s="31"/>
      <c r="LK326" s="31"/>
      <c r="LL326" s="31"/>
      <c r="LM326" s="31"/>
      <c r="LN326" s="31"/>
      <c r="LO326" s="31"/>
      <c r="LP326" s="31"/>
      <c r="LQ326" s="31"/>
      <c r="LR326" s="31"/>
      <c r="LS326" s="31"/>
      <c r="LT326" s="31"/>
      <c r="LU326" s="31"/>
      <c r="LV326" s="31"/>
      <c r="LW326" s="31"/>
      <c r="LX326" s="31"/>
      <c r="LY326" s="31"/>
      <c r="LZ326" s="31"/>
      <c r="MA326" s="31"/>
      <c r="MB326" s="31"/>
      <c r="MC326" s="31"/>
      <c r="MD326" s="31"/>
      <c r="ME326" s="31"/>
      <c r="MF326" s="31"/>
      <c r="MG326" s="31"/>
      <c r="MH326" s="31"/>
      <c r="MI326" s="31"/>
      <c r="MJ326" s="31"/>
      <c r="MK326" s="31"/>
      <c r="ML326" s="31"/>
      <c r="MM326" s="31"/>
      <c r="MN326" s="31"/>
      <c r="MO326" s="31"/>
      <c r="MP326" s="31"/>
      <c r="MQ326" s="31"/>
      <c r="MR326" s="31"/>
      <c r="MS326" s="31"/>
      <c r="MT326" s="31"/>
      <c r="MU326" s="31"/>
      <c r="MV326" s="31"/>
      <c r="MW326" s="31"/>
      <c r="MX326" s="31"/>
      <c r="MY326" s="31"/>
      <c r="MZ326" s="31"/>
      <c r="NA326" s="31"/>
      <c r="NB326" s="31"/>
      <c r="NC326" s="31"/>
      <c r="ND326" s="31"/>
      <c r="NE326" s="31"/>
      <c r="NF326" s="31"/>
      <c r="NG326" s="31"/>
      <c r="NH326" s="31"/>
      <c r="NI326" s="31"/>
      <c r="NJ326" s="31"/>
      <c r="NK326" s="31"/>
      <c r="NL326" s="31"/>
      <c r="NM326" s="31"/>
      <c r="NN326" s="31"/>
      <c r="NO326" s="31"/>
      <c r="NP326" s="31"/>
      <c r="NQ326" s="31"/>
      <c r="NR326" s="31"/>
      <c r="NS326" s="31"/>
      <c r="NT326" s="31"/>
      <c r="NU326" s="31"/>
      <c r="NV326" s="31"/>
      <c r="NW326" s="31"/>
      <c r="NX326" s="31"/>
      <c r="NY326" s="31"/>
      <c r="NZ326" s="31"/>
      <c r="OA326" s="31"/>
      <c r="OB326" s="31"/>
      <c r="OC326" s="31"/>
      <c r="OD326" s="31"/>
      <c r="OE326" s="31"/>
      <c r="OF326" s="31"/>
      <c r="OG326" s="31"/>
      <c r="OH326" s="31"/>
      <c r="OI326" s="31"/>
      <c r="OJ326" s="31"/>
      <c r="OK326" s="31"/>
      <c r="OL326" s="31"/>
      <c r="OM326" s="31"/>
      <c r="ON326" s="31"/>
      <c r="OO326" s="31"/>
      <c r="OP326" s="31"/>
      <c r="OQ326" s="31"/>
      <c r="OR326" s="31"/>
      <c r="OS326" s="31"/>
      <c r="OT326" s="31"/>
      <c r="OU326" s="31"/>
      <c r="OV326" s="31"/>
      <c r="OW326" s="31"/>
      <c r="OX326" s="31"/>
    </row>
    <row r="327" spans="2:414" s="25" customFormat="1" ht="15.6">
      <c r="B327" s="25" t="s">
        <v>495</v>
      </c>
      <c r="C327" s="27" t="s">
        <v>498</v>
      </c>
      <c r="D327" s="30" t="s">
        <v>489</v>
      </c>
      <c r="G327" s="42">
        <v>500</v>
      </c>
      <c r="H327" s="89">
        <v>26.109000000000002</v>
      </c>
      <c r="I327" s="38">
        <f t="shared" si="96"/>
        <v>13054.5</v>
      </c>
      <c r="K327" s="42">
        <v>500</v>
      </c>
      <c r="L327" s="90">
        <v>26.849599999999999</v>
      </c>
      <c r="M327" s="38">
        <f t="shared" si="97"/>
        <v>13424.8</v>
      </c>
      <c r="O327" s="38">
        <v>80</v>
      </c>
      <c r="P327" s="38">
        <v>26.728300000000001</v>
      </c>
      <c r="Q327" s="38">
        <f t="shared" si="98"/>
        <v>2138.2640000000001</v>
      </c>
      <c r="R327" s="43">
        <f t="shared" si="114"/>
        <v>1080</v>
      </c>
      <c r="S327" s="38">
        <f t="shared" si="99"/>
        <v>28617.563999999998</v>
      </c>
      <c r="T327" s="49">
        <v>415</v>
      </c>
      <c r="U327" s="42">
        <v>26.271599999999999</v>
      </c>
      <c r="V327" s="38">
        <f t="shared" si="107"/>
        <v>10902.714</v>
      </c>
      <c r="W327" s="42">
        <v>85</v>
      </c>
      <c r="X327" s="42">
        <v>26.3004</v>
      </c>
      <c r="Y327" s="42">
        <f t="shared" si="110"/>
        <v>2235.5340000000001</v>
      </c>
      <c r="Z327" s="42">
        <v>200</v>
      </c>
      <c r="AA327" s="42">
        <v>26.869499999999999</v>
      </c>
      <c r="AB327" s="42">
        <f t="shared" si="108"/>
        <v>5373.9</v>
      </c>
      <c r="AD327" s="42">
        <v>215</v>
      </c>
      <c r="AE327" s="42">
        <v>26.9907</v>
      </c>
      <c r="AF327" s="42">
        <f t="shared" si="109"/>
        <v>5803.0005000000001</v>
      </c>
      <c r="AG327" s="42"/>
      <c r="AH327" s="42">
        <v>85</v>
      </c>
      <c r="AI327" s="42">
        <v>26.996500000000001</v>
      </c>
      <c r="AJ327" s="42">
        <f>AH327*AI327</f>
        <v>2294.7024999999999</v>
      </c>
      <c r="AL327" s="42"/>
      <c r="AM327" s="42"/>
      <c r="AN327" s="42"/>
      <c r="AO327" s="44"/>
      <c r="AP327" s="42"/>
      <c r="AQ327" s="42"/>
      <c r="AR327" s="42"/>
      <c r="AU327" s="98"/>
      <c r="AV327" s="35"/>
      <c r="AW327" s="104"/>
      <c r="AX327" s="42"/>
      <c r="AY327" s="42"/>
      <c r="AZ327" s="42">
        <f t="shared" si="113"/>
        <v>0</v>
      </c>
      <c r="BA327" s="42"/>
      <c r="BB327" s="42"/>
      <c r="BC327" s="42"/>
      <c r="BD327" s="38">
        <f t="shared" si="100"/>
        <v>0</v>
      </c>
      <c r="BE327" s="42"/>
      <c r="BF327" s="42"/>
      <c r="BG327" s="42"/>
      <c r="BH327" s="38">
        <f t="shared" si="101"/>
        <v>0</v>
      </c>
      <c r="BI327" s="42"/>
      <c r="BJ327" s="42"/>
      <c r="BK327" s="42"/>
      <c r="BL327" s="38">
        <f t="shared" si="102"/>
        <v>0</v>
      </c>
      <c r="BM327" s="42"/>
      <c r="BN327" s="42"/>
      <c r="BO327" s="42"/>
      <c r="BP327" s="42"/>
      <c r="BR327" s="42">
        <f t="shared" si="103"/>
        <v>26609.851000000002</v>
      </c>
      <c r="BS327" s="43">
        <f t="shared" si="104"/>
        <v>2007.7129999999961</v>
      </c>
      <c r="BT327" s="42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  <c r="FM327" s="31"/>
      <c r="FN327" s="31"/>
      <c r="FO327" s="31"/>
      <c r="FP327" s="31"/>
      <c r="FQ327" s="31"/>
      <c r="FR327" s="31"/>
      <c r="FS327" s="31"/>
      <c r="FT327" s="31"/>
      <c r="FU327" s="31"/>
      <c r="FV327" s="31"/>
      <c r="FW327" s="31"/>
      <c r="FX327" s="31"/>
      <c r="FY327" s="31"/>
      <c r="FZ327" s="31"/>
      <c r="GA327" s="31"/>
      <c r="GB327" s="31"/>
      <c r="GC327" s="31"/>
      <c r="GD327" s="31"/>
      <c r="GE327" s="31"/>
      <c r="GF327" s="31"/>
      <c r="GG327" s="31"/>
      <c r="GH327" s="31"/>
      <c r="GI327" s="31"/>
      <c r="GJ327" s="31"/>
      <c r="GK327" s="31"/>
      <c r="GL327" s="31"/>
      <c r="GM327" s="31"/>
      <c r="GN327" s="31"/>
      <c r="GO327" s="31"/>
      <c r="GP327" s="31"/>
      <c r="GQ327" s="31"/>
      <c r="GR327" s="31"/>
      <c r="GS327" s="31"/>
      <c r="GT327" s="31"/>
      <c r="GU327" s="31"/>
      <c r="GV327" s="31"/>
      <c r="GW327" s="31"/>
      <c r="GX327" s="31"/>
      <c r="GY327" s="31"/>
      <c r="GZ327" s="31"/>
      <c r="HA327" s="31"/>
      <c r="HB327" s="31"/>
      <c r="HC327" s="31"/>
      <c r="HD327" s="31"/>
      <c r="HE327" s="31"/>
      <c r="HF327" s="31"/>
      <c r="HG327" s="31"/>
      <c r="HH327" s="31"/>
      <c r="HI327" s="31"/>
      <c r="HJ327" s="31"/>
      <c r="HK327" s="31"/>
      <c r="HL327" s="31"/>
      <c r="HM327" s="31"/>
      <c r="HN327" s="31"/>
      <c r="HO327" s="31"/>
      <c r="HP327" s="31"/>
      <c r="HQ327" s="31"/>
      <c r="HR327" s="31"/>
      <c r="HS327" s="31"/>
      <c r="HT327" s="31"/>
      <c r="HU327" s="31"/>
      <c r="HV327" s="31"/>
      <c r="HW327" s="31"/>
      <c r="HX327" s="31"/>
      <c r="HY327" s="31"/>
      <c r="HZ327" s="31"/>
      <c r="IA327" s="31"/>
      <c r="IB327" s="31"/>
      <c r="IC327" s="31"/>
      <c r="ID327" s="31"/>
      <c r="IE327" s="31"/>
      <c r="IF327" s="31"/>
      <c r="IG327" s="31"/>
      <c r="IH327" s="31"/>
      <c r="II327" s="31"/>
      <c r="IJ327" s="31"/>
      <c r="IK327" s="31"/>
      <c r="IL327" s="31"/>
      <c r="IM327" s="31"/>
      <c r="IN327" s="31"/>
      <c r="IO327" s="31"/>
      <c r="IP327" s="31"/>
      <c r="IQ327" s="31"/>
      <c r="IR327" s="31"/>
      <c r="IS327" s="31"/>
      <c r="IT327" s="31"/>
      <c r="IU327" s="31"/>
      <c r="IV327" s="31"/>
      <c r="IW327" s="31"/>
      <c r="IX327" s="31"/>
      <c r="IY327" s="31"/>
      <c r="IZ327" s="31"/>
      <c r="JA327" s="31"/>
      <c r="JB327" s="31"/>
      <c r="JC327" s="31"/>
      <c r="JD327" s="31"/>
      <c r="JE327" s="31"/>
      <c r="JF327" s="31"/>
      <c r="JG327" s="31"/>
      <c r="JH327" s="31"/>
      <c r="JI327" s="31"/>
      <c r="JJ327" s="31"/>
      <c r="JK327" s="31"/>
      <c r="JL327" s="31"/>
      <c r="JM327" s="31"/>
      <c r="JN327" s="31"/>
      <c r="JO327" s="31"/>
      <c r="JP327" s="31"/>
      <c r="JQ327" s="31"/>
      <c r="JR327" s="31"/>
      <c r="JS327" s="31"/>
      <c r="JT327" s="31"/>
      <c r="JU327" s="31"/>
      <c r="JV327" s="31"/>
      <c r="JW327" s="31"/>
      <c r="JX327" s="31"/>
      <c r="JY327" s="31"/>
      <c r="JZ327" s="31"/>
      <c r="KA327" s="31"/>
      <c r="KB327" s="31"/>
      <c r="KC327" s="31"/>
      <c r="KD327" s="31"/>
      <c r="KE327" s="31"/>
      <c r="KF327" s="31"/>
      <c r="KG327" s="31"/>
      <c r="KH327" s="31"/>
      <c r="KI327" s="31"/>
      <c r="KJ327" s="31"/>
      <c r="KK327" s="31"/>
      <c r="KL327" s="31"/>
      <c r="KM327" s="31"/>
      <c r="KN327" s="31"/>
      <c r="KO327" s="31"/>
      <c r="KP327" s="31"/>
      <c r="KQ327" s="31"/>
      <c r="KR327" s="31"/>
      <c r="KS327" s="31"/>
      <c r="KT327" s="31"/>
      <c r="KU327" s="31"/>
      <c r="KV327" s="31"/>
      <c r="KW327" s="31"/>
      <c r="KX327" s="31"/>
      <c r="KY327" s="31"/>
      <c r="KZ327" s="31"/>
      <c r="LA327" s="31"/>
      <c r="LB327" s="31"/>
      <c r="LC327" s="31"/>
      <c r="LD327" s="31"/>
      <c r="LE327" s="31"/>
      <c r="LF327" s="31"/>
      <c r="LG327" s="31"/>
      <c r="LH327" s="31"/>
      <c r="LI327" s="31"/>
      <c r="LJ327" s="31"/>
      <c r="LK327" s="31"/>
      <c r="LL327" s="31"/>
      <c r="LM327" s="31"/>
      <c r="LN327" s="31"/>
      <c r="LO327" s="31"/>
      <c r="LP327" s="31"/>
      <c r="LQ327" s="31"/>
      <c r="LR327" s="31"/>
      <c r="LS327" s="31"/>
      <c r="LT327" s="31"/>
      <c r="LU327" s="31"/>
      <c r="LV327" s="31"/>
      <c r="LW327" s="31"/>
      <c r="LX327" s="31"/>
      <c r="LY327" s="31"/>
      <c r="LZ327" s="31"/>
      <c r="MA327" s="31"/>
      <c r="MB327" s="31"/>
      <c r="MC327" s="31"/>
      <c r="MD327" s="31"/>
      <c r="ME327" s="31"/>
      <c r="MF327" s="31"/>
      <c r="MG327" s="31"/>
      <c r="MH327" s="31"/>
      <c r="MI327" s="31"/>
      <c r="MJ327" s="31"/>
      <c r="MK327" s="31"/>
      <c r="ML327" s="31"/>
      <c r="MM327" s="31"/>
      <c r="MN327" s="31"/>
      <c r="MO327" s="31"/>
      <c r="MP327" s="31"/>
      <c r="MQ327" s="31"/>
      <c r="MR327" s="31"/>
      <c r="MS327" s="31"/>
      <c r="MT327" s="31"/>
      <c r="MU327" s="31"/>
      <c r="MV327" s="31"/>
      <c r="MW327" s="31"/>
      <c r="MX327" s="31"/>
      <c r="MY327" s="31"/>
      <c r="MZ327" s="31"/>
      <c r="NA327" s="31"/>
      <c r="NB327" s="31"/>
      <c r="NC327" s="31"/>
      <c r="ND327" s="31"/>
      <c r="NE327" s="31"/>
      <c r="NF327" s="31"/>
      <c r="NG327" s="31"/>
      <c r="NH327" s="31"/>
      <c r="NI327" s="31"/>
      <c r="NJ327" s="31"/>
      <c r="NK327" s="31"/>
      <c r="NL327" s="31"/>
      <c r="NM327" s="31"/>
      <c r="NN327" s="31"/>
      <c r="NO327" s="31"/>
      <c r="NP327" s="31"/>
      <c r="NQ327" s="31"/>
      <c r="NR327" s="31"/>
      <c r="NS327" s="31"/>
      <c r="NT327" s="31"/>
      <c r="NU327" s="31"/>
      <c r="NV327" s="31"/>
      <c r="NW327" s="31"/>
      <c r="NX327" s="31"/>
      <c r="NY327" s="31"/>
      <c r="NZ327" s="31"/>
      <c r="OA327" s="31"/>
      <c r="OB327" s="31"/>
      <c r="OC327" s="31"/>
      <c r="OD327" s="31"/>
      <c r="OE327" s="31"/>
      <c r="OF327" s="31"/>
      <c r="OG327" s="31"/>
      <c r="OH327" s="31"/>
      <c r="OI327" s="31"/>
      <c r="OJ327" s="31"/>
      <c r="OK327" s="31"/>
      <c r="OL327" s="31"/>
      <c r="OM327" s="31"/>
      <c r="ON327" s="31"/>
      <c r="OO327" s="31"/>
      <c r="OP327" s="31"/>
      <c r="OQ327" s="31"/>
      <c r="OR327" s="31"/>
      <c r="OS327" s="31"/>
      <c r="OT327" s="31"/>
      <c r="OU327" s="31"/>
      <c r="OV327" s="31"/>
      <c r="OW327" s="31"/>
      <c r="OX327" s="31"/>
    </row>
    <row r="328" spans="2:414" s="25" customFormat="1" ht="15.6">
      <c r="B328" s="25" t="s">
        <v>499</v>
      </c>
      <c r="C328" s="27" t="s">
        <v>500</v>
      </c>
      <c r="D328" s="30" t="s">
        <v>489</v>
      </c>
      <c r="G328" s="42">
        <v>500</v>
      </c>
      <c r="H328" s="89">
        <v>26.109000000000002</v>
      </c>
      <c r="I328" s="38">
        <f t="shared" si="96"/>
        <v>13054.5</v>
      </c>
      <c r="K328" s="42">
        <v>500</v>
      </c>
      <c r="L328" s="90">
        <v>26.849599999999999</v>
      </c>
      <c r="M328" s="38">
        <f t="shared" si="97"/>
        <v>13424.8</v>
      </c>
      <c r="O328" s="38">
        <v>80</v>
      </c>
      <c r="P328" s="38">
        <v>26.728300000000001</v>
      </c>
      <c r="Q328" s="38">
        <f t="shared" si="98"/>
        <v>2138.2640000000001</v>
      </c>
      <c r="R328" s="43">
        <f t="shared" si="114"/>
        <v>1080</v>
      </c>
      <c r="S328" s="38">
        <f t="shared" si="99"/>
        <v>28617.563999999998</v>
      </c>
      <c r="T328" s="49">
        <v>85</v>
      </c>
      <c r="U328" s="42">
        <v>26.3386</v>
      </c>
      <c r="V328" s="38">
        <f t="shared" si="107"/>
        <v>2238.7809999999999</v>
      </c>
      <c r="W328" s="42">
        <v>332</v>
      </c>
      <c r="X328" s="42">
        <v>26.3386</v>
      </c>
      <c r="Y328" s="42">
        <f t="shared" si="110"/>
        <v>8744.4151999999995</v>
      </c>
      <c r="Z328" s="42"/>
      <c r="AA328" s="42"/>
      <c r="AB328" s="42">
        <v>2250</v>
      </c>
      <c r="AD328" s="42">
        <v>85</v>
      </c>
      <c r="AE328" s="42">
        <v>26.8401</v>
      </c>
      <c r="AF328" s="42">
        <f t="shared" si="109"/>
        <v>2281.4085</v>
      </c>
      <c r="AG328" s="42"/>
      <c r="AH328" s="42">
        <v>335</v>
      </c>
      <c r="AI328" s="42">
        <v>26.8401</v>
      </c>
      <c r="AJ328" s="42">
        <f t="shared" ref="AJ328:AJ391" si="115">AH328*AI328</f>
        <v>8991.4334999999992</v>
      </c>
      <c r="AL328" s="42">
        <v>80</v>
      </c>
      <c r="AM328" s="42">
        <v>26.8401</v>
      </c>
      <c r="AN328" s="42">
        <v>2160</v>
      </c>
      <c r="AO328" s="44"/>
      <c r="AP328" s="42"/>
      <c r="AQ328" s="42"/>
      <c r="AR328" s="42"/>
      <c r="AU328" s="98"/>
      <c r="AV328" s="35"/>
      <c r="AW328" s="104"/>
      <c r="AX328" s="42"/>
      <c r="AY328" s="42"/>
      <c r="AZ328" s="42">
        <f t="shared" si="113"/>
        <v>0</v>
      </c>
      <c r="BA328" s="42"/>
      <c r="BB328" s="42"/>
      <c r="BC328" s="42"/>
      <c r="BD328" s="38">
        <f t="shared" si="100"/>
        <v>0</v>
      </c>
      <c r="BE328" s="42"/>
      <c r="BF328" s="42"/>
      <c r="BG328" s="42"/>
      <c r="BH328" s="38">
        <f t="shared" si="101"/>
        <v>0</v>
      </c>
      <c r="BI328" s="42"/>
      <c r="BJ328" s="42"/>
      <c r="BK328" s="42"/>
      <c r="BL328" s="38">
        <f t="shared" si="102"/>
        <v>0</v>
      </c>
      <c r="BM328" s="42"/>
      <c r="BN328" s="42"/>
      <c r="BO328" s="42"/>
      <c r="BP328" s="42"/>
      <c r="BR328" s="42">
        <f t="shared" si="103"/>
        <v>26666.038199999995</v>
      </c>
      <c r="BS328" s="43">
        <f t="shared" si="104"/>
        <v>1951.5258000000031</v>
      </c>
      <c r="BT328" s="42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  <c r="FM328" s="31"/>
      <c r="FN328" s="31"/>
      <c r="FO328" s="31"/>
      <c r="FP328" s="31"/>
      <c r="FQ328" s="31"/>
      <c r="FR328" s="31"/>
      <c r="FS328" s="31"/>
      <c r="FT328" s="31"/>
      <c r="FU328" s="31"/>
      <c r="FV328" s="31"/>
      <c r="FW328" s="31"/>
      <c r="FX328" s="31"/>
      <c r="FY328" s="31"/>
      <c r="FZ328" s="31"/>
      <c r="GA328" s="31"/>
      <c r="GB328" s="31"/>
      <c r="GC328" s="31"/>
      <c r="GD328" s="31"/>
      <c r="GE328" s="31"/>
      <c r="GF328" s="31"/>
      <c r="GG328" s="31"/>
      <c r="GH328" s="31"/>
      <c r="GI328" s="31"/>
      <c r="GJ328" s="31"/>
      <c r="GK328" s="31"/>
      <c r="GL328" s="31"/>
      <c r="GM328" s="31"/>
      <c r="GN328" s="31"/>
      <c r="GO328" s="31"/>
      <c r="GP328" s="31"/>
      <c r="GQ328" s="31"/>
      <c r="GR328" s="31"/>
      <c r="GS328" s="31"/>
      <c r="GT328" s="31"/>
      <c r="GU328" s="31"/>
      <c r="GV328" s="31"/>
      <c r="GW328" s="31"/>
      <c r="GX328" s="31"/>
      <c r="GY328" s="31"/>
      <c r="GZ328" s="31"/>
      <c r="HA328" s="31"/>
      <c r="HB328" s="31"/>
      <c r="HC328" s="31"/>
      <c r="HD328" s="31"/>
      <c r="HE328" s="31"/>
      <c r="HF328" s="31"/>
      <c r="HG328" s="31"/>
      <c r="HH328" s="31"/>
      <c r="HI328" s="31"/>
      <c r="HJ328" s="31"/>
      <c r="HK328" s="31"/>
      <c r="HL328" s="31"/>
      <c r="HM328" s="31"/>
      <c r="HN328" s="31"/>
      <c r="HO328" s="31"/>
      <c r="HP328" s="31"/>
      <c r="HQ328" s="31"/>
      <c r="HR328" s="31"/>
      <c r="HS328" s="31"/>
      <c r="HT328" s="31"/>
      <c r="HU328" s="31"/>
      <c r="HV328" s="31"/>
      <c r="HW328" s="31"/>
      <c r="HX328" s="31"/>
      <c r="HY328" s="31"/>
      <c r="HZ328" s="31"/>
      <c r="IA328" s="31"/>
      <c r="IB328" s="31"/>
      <c r="IC328" s="31"/>
      <c r="ID328" s="31"/>
      <c r="IE328" s="31"/>
      <c r="IF328" s="31"/>
      <c r="IG328" s="31"/>
      <c r="IH328" s="31"/>
      <c r="II328" s="31"/>
      <c r="IJ328" s="31"/>
      <c r="IK328" s="31"/>
      <c r="IL328" s="31"/>
      <c r="IM328" s="31"/>
      <c r="IN328" s="31"/>
      <c r="IO328" s="31"/>
      <c r="IP328" s="31"/>
      <c r="IQ328" s="31"/>
      <c r="IR328" s="31"/>
      <c r="IS328" s="31"/>
      <c r="IT328" s="31"/>
      <c r="IU328" s="31"/>
      <c r="IV328" s="31"/>
      <c r="IW328" s="31"/>
      <c r="IX328" s="31"/>
      <c r="IY328" s="31"/>
      <c r="IZ328" s="31"/>
      <c r="JA328" s="31"/>
      <c r="JB328" s="31"/>
      <c r="JC328" s="31"/>
      <c r="JD328" s="31"/>
      <c r="JE328" s="31"/>
      <c r="JF328" s="31"/>
      <c r="JG328" s="31"/>
      <c r="JH328" s="31"/>
      <c r="JI328" s="31"/>
      <c r="JJ328" s="31"/>
      <c r="JK328" s="31"/>
      <c r="JL328" s="31"/>
      <c r="JM328" s="31"/>
      <c r="JN328" s="31"/>
      <c r="JO328" s="31"/>
      <c r="JP328" s="31"/>
      <c r="JQ328" s="31"/>
      <c r="JR328" s="31"/>
      <c r="JS328" s="31"/>
      <c r="JT328" s="31"/>
      <c r="JU328" s="31"/>
      <c r="JV328" s="31"/>
      <c r="JW328" s="31"/>
      <c r="JX328" s="31"/>
      <c r="JY328" s="31"/>
      <c r="JZ328" s="31"/>
      <c r="KA328" s="31"/>
      <c r="KB328" s="31"/>
      <c r="KC328" s="31"/>
      <c r="KD328" s="31"/>
      <c r="KE328" s="31"/>
      <c r="KF328" s="31"/>
      <c r="KG328" s="31"/>
      <c r="KH328" s="31"/>
      <c r="KI328" s="31"/>
      <c r="KJ328" s="31"/>
      <c r="KK328" s="31"/>
      <c r="KL328" s="31"/>
      <c r="KM328" s="31"/>
      <c r="KN328" s="31"/>
      <c r="KO328" s="31"/>
      <c r="KP328" s="31"/>
      <c r="KQ328" s="31"/>
      <c r="KR328" s="31"/>
      <c r="KS328" s="31"/>
      <c r="KT328" s="31"/>
      <c r="KU328" s="31"/>
      <c r="KV328" s="31"/>
      <c r="KW328" s="31"/>
      <c r="KX328" s="31"/>
      <c r="KY328" s="31"/>
      <c r="KZ328" s="31"/>
      <c r="LA328" s="31"/>
      <c r="LB328" s="31"/>
      <c r="LC328" s="31"/>
      <c r="LD328" s="31"/>
      <c r="LE328" s="31"/>
      <c r="LF328" s="31"/>
      <c r="LG328" s="31"/>
      <c r="LH328" s="31"/>
      <c r="LI328" s="31"/>
      <c r="LJ328" s="31"/>
      <c r="LK328" s="31"/>
      <c r="LL328" s="31"/>
      <c r="LM328" s="31"/>
      <c r="LN328" s="31"/>
      <c r="LO328" s="31"/>
      <c r="LP328" s="31"/>
      <c r="LQ328" s="31"/>
      <c r="LR328" s="31"/>
      <c r="LS328" s="31"/>
      <c r="LT328" s="31"/>
      <c r="LU328" s="31"/>
      <c r="LV328" s="31"/>
      <c r="LW328" s="31"/>
      <c r="LX328" s="31"/>
      <c r="LY328" s="31"/>
      <c r="LZ328" s="31"/>
      <c r="MA328" s="31"/>
      <c r="MB328" s="31"/>
      <c r="MC328" s="31"/>
      <c r="MD328" s="31"/>
      <c r="ME328" s="31"/>
      <c r="MF328" s="31"/>
      <c r="MG328" s="31"/>
      <c r="MH328" s="31"/>
      <c r="MI328" s="31"/>
      <c r="MJ328" s="31"/>
      <c r="MK328" s="31"/>
      <c r="ML328" s="31"/>
      <c r="MM328" s="31"/>
      <c r="MN328" s="31"/>
      <c r="MO328" s="31"/>
      <c r="MP328" s="31"/>
      <c r="MQ328" s="31"/>
      <c r="MR328" s="31"/>
      <c r="MS328" s="31"/>
      <c r="MT328" s="31"/>
      <c r="MU328" s="31"/>
      <c r="MV328" s="31"/>
      <c r="MW328" s="31"/>
      <c r="MX328" s="31"/>
      <c r="MY328" s="31"/>
      <c r="MZ328" s="31"/>
      <c r="NA328" s="31"/>
      <c r="NB328" s="31"/>
      <c r="NC328" s="31"/>
      <c r="ND328" s="31"/>
      <c r="NE328" s="31"/>
      <c r="NF328" s="31"/>
      <c r="NG328" s="31"/>
      <c r="NH328" s="31"/>
      <c r="NI328" s="31"/>
      <c r="NJ328" s="31"/>
      <c r="NK328" s="31"/>
      <c r="NL328" s="31"/>
      <c r="NM328" s="31"/>
      <c r="NN328" s="31"/>
      <c r="NO328" s="31"/>
      <c r="NP328" s="31"/>
      <c r="NQ328" s="31"/>
      <c r="NR328" s="31"/>
      <c r="NS328" s="31"/>
      <c r="NT328" s="31"/>
      <c r="NU328" s="31"/>
      <c r="NV328" s="31"/>
      <c r="NW328" s="31"/>
      <c r="NX328" s="31"/>
      <c r="NY328" s="31"/>
      <c r="NZ328" s="31"/>
      <c r="OA328" s="31"/>
      <c r="OB328" s="31"/>
      <c r="OC328" s="31"/>
      <c r="OD328" s="31"/>
      <c r="OE328" s="31"/>
      <c r="OF328" s="31"/>
      <c r="OG328" s="31"/>
      <c r="OH328" s="31"/>
      <c r="OI328" s="31"/>
      <c r="OJ328" s="31"/>
      <c r="OK328" s="31"/>
      <c r="OL328" s="31"/>
      <c r="OM328" s="31"/>
      <c r="ON328" s="31"/>
      <c r="OO328" s="31"/>
      <c r="OP328" s="31"/>
      <c r="OQ328" s="31"/>
      <c r="OR328" s="31"/>
      <c r="OS328" s="31"/>
      <c r="OT328" s="31"/>
      <c r="OU328" s="31"/>
      <c r="OV328" s="31"/>
      <c r="OW328" s="31"/>
      <c r="OX328" s="31"/>
    </row>
    <row r="329" spans="2:414" s="25" customFormat="1" ht="15.6">
      <c r="B329" s="25" t="s">
        <v>64</v>
      </c>
      <c r="C329" s="27" t="s">
        <v>501</v>
      </c>
      <c r="D329" s="30" t="s">
        <v>489</v>
      </c>
      <c r="G329" s="42">
        <v>500</v>
      </c>
      <c r="H329" s="89">
        <v>26.109000000000002</v>
      </c>
      <c r="I329" s="38">
        <f t="shared" ref="I329:I392" si="116">G329*H329</f>
        <v>13054.5</v>
      </c>
      <c r="K329" s="42">
        <v>500</v>
      </c>
      <c r="L329" s="90">
        <v>26.849599999999999</v>
      </c>
      <c r="M329" s="38">
        <f t="shared" ref="M329:M392" si="117">K329*L329</f>
        <v>13424.8</v>
      </c>
      <c r="O329" s="38">
        <v>80</v>
      </c>
      <c r="P329" s="38">
        <v>26.728300000000001</v>
      </c>
      <c r="Q329" s="38">
        <f t="shared" ref="Q329:Q392" si="118">O329*P329</f>
        <v>2138.2640000000001</v>
      </c>
      <c r="R329" s="43">
        <f t="shared" si="114"/>
        <v>1080</v>
      </c>
      <c r="S329" s="38">
        <f t="shared" ref="S329:S392" si="119">I329+M329+Q329</f>
        <v>28617.563999999998</v>
      </c>
      <c r="T329" s="49"/>
      <c r="U329" s="42"/>
      <c r="V329" s="38">
        <f t="shared" si="107"/>
        <v>0</v>
      </c>
      <c r="W329" s="42"/>
      <c r="X329" s="42"/>
      <c r="Y329" s="42">
        <f t="shared" si="110"/>
        <v>0</v>
      </c>
      <c r="Z329" s="42"/>
      <c r="AA329" s="42"/>
      <c r="AB329" s="42">
        <f>Z329*AA329</f>
        <v>0</v>
      </c>
      <c r="AD329" s="42"/>
      <c r="AE329" s="42"/>
      <c r="AF329" s="42">
        <f t="shared" si="109"/>
        <v>0</v>
      </c>
      <c r="AG329" s="42"/>
      <c r="AH329" s="42"/>
      <c r="AI329" s="42"/>
      <c r="AJ329" s="42">
        <f t="shared" si="115"/>
        <v>0</v>
      </c>
      <c r="AL329" s="42"/>
      <c r="AM329" s="42"/>
      <c r="AN329" s="42"/>
      <c r="AO329" s="44"/>
      <c r="AP329" s="42"/>
      <c r="AQ329" s="42"/>
      <c r="AR329" s="42"/>
      <c r="AU329" s="98"/>
      <c r="AV329" s="35"/>
      <c r="AW329" s="104"/>
      <c r="AX329" s="42"/>
      <c r="AY329" s="42"/>
      <c r="AZ329" s="42">
        <f t="shared" si="113"/>
        <v>0</v>
      </c>
      <c r="BA329" s="42"/>
      <c r="BB329" s="42"/>
      <c r="BC329" s="42"/>
      <c r="BD329" s="38">
        <f t="shared" ref="BD329:BD392" si="120">BB329*BC329</f>
        <v>0</v>
      </c>
      <c r="BE329" s="42"/>
      <c r="BF329" s="42"/>
      <c r="BG329" s="42"/>
      <c r="BH329" s="38">
        <f t="shared" ref="BH329:BH392" si="121">BF329*BG329</f>
        <v>0</v>
      </c>
      <c r="BI329" s="42"/>
      <c r="BJ329" s="42"/>
      <c r="BK329" s="42"/>
      <c r="BL329" s="38">
        <f t="shared" ref="BL329:BL392" si="122">BJ329*BK329</f>
        <v>0</v>
      </c>
      <c r="BM329" s="42"/>
      <c r="BN329" s="42"/>
      <c r="BO329" s="42"/>
      <c r="BP329" s="42"/>
      <c r="BR329" s="42">
        <f t="shared" ref="BR329:BR392" si="123">V329+Y329+AB329+AF329+AJ329+AN329+AR329+AV329+AZ329+BD329+BH329+BL329+BP329</f>
        <v>0</v>
      </c>
      <c r="BS329" s="43">
        <f t="shared" ref="BS329:BS391" si="124">S329-BR329</f>
        <v>28617.563999999998</v>
      </c>
      <c r="BT329" s="42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  <c r="FM329" s="31"/>
      <c r="FN329" s="31"/>
      <c r="FO329" s="31"/>
      <c r="FP329" s="31"/>
      <c r="FQ329" s="31"/>
      <c r="FR329" s="31"/>
      <c r="FS329" s="31"/>
      <c r="FT329" s="31"/>
      <c r="FU329" s="31"/>
      <c r="FV329" s="31"/>
      <c r="FW329" s="31"/>
      <c r="FX329" s="31"/>
      <c r="FY329" s="31"/>
      <c r="FZ329" s="31"/>
      <c r="GA329" s="31"/>
      <c r="GB329" s="31"/>
      <c r="GC329" s="31"/>
      <c r="GD329" s="31"/>
      <c r="GE329" s="31"/>
      <c r="GF329" s="31"/>
      <c r="GG329" s="31"/>
      <c r="GH329" s="31"/>
      <c r="GI329" s="31"/>
      <c r="GJ329" s="31"/>
      <c r="GK329" s="31"/>
      <c r="GL329" s="31"/>
      <c r="GM329" s="31"/>
      <c r="GN329" s="31"/>
      <c r="GO329" s="31"/>
      <c r="GP329" s="31"/>
      <c r="GQ329" s="31"/>
      <c r="GR329" s="31"/>
      <c r="GS329" s="31"/>
      <c r="GT329" s="31"/>
      <c r="GU329" s="31"/>
      <c r="GV329" s="31"/>
      <c r="GW329" s="31"/>
      <c r="GX329" s="31"/>
      <c r="GY329" s="31"/>
      <c r="GZ329" s="31"/>
      <c r="HA329" s="31"/>
      <c r="HB329" s="31"/>
      <c r="HC329" s="31"/>
      <c r="HD329" s="31"/>
      <c r="HE329" s="31"/>
      <c r="HF329" s="31"/>
      <c r="HG329" s="31"/>
      <c r="HH329" s="31"/>
      <c r="HI329" s="31"/>
      <c r="HJ329" s="31"/>
      <c r="HK329" s="31"/>
      <c r="HL329" s="31"/>
      <c r="HM329" s="31"/>
      <c r="HN329" s="31"/>
      <c r="HO329" s="31"/>
      <c r="HP329" s="31"/>
      <c r="HQ329" s="31"/>
      <c r="HR329" s="31"/>
      <c r="HS329" s="31"/>
      <c r="HT329" s="31"/>
      <c r="HU329" s="31"/>
      <c r="HV329" s="31"/>
      <c r="HW329" s="31"/>
      <c r="HX329" s="31"/>
      <c r="HY329" s="31"/>
      <c r="HZ329" s="31"/>
      <c r="IA329" s="31"/>
      <c r="IB329" s="31"/>
      <c r="IC329" s="31"/>
      <c r="ID329" s="31"/>
      <c r="IE329" s="31"/>
      <c r="IF329" s="31"/>
      <c r="IG329" s="31"/>
      <c r="IH329" s="31"/>
      <c r="II329" s="31"/>
      <c r="IJ329" s="31"/>
      <c r="IK329" s="31"/>
      <c r="IL329" s="31"/>
      <c r="IM329" s="31"/>
      <c r="IN329" s="31"/>
      <c r="IO329" s="31"/>
      <c r="IP329" s="31"/>
      <c r="IQ329" s="31"/>
      <c r="IR329" s="31"/>
      <c r="IS329" s="31"/>
      <c r="IT329" s="31"/>
      <c r="IU329" s="31"/>
      <c r="IV329" s="31"/>
      <c r="IW329" s="31"/>
      <c r="IX329" s="31"/>
      <c r="IY329" s="31"/>
      <c r="IZ329" s="31"/>
      <c r="JA329" s="31"/>
      <c r="JB329" s="31"/>
      <c r="JC329" s="31"/>
      <c r="JD329" s="31"/>
      <c r="JE329" s="31"/>
      <c r="JF329" s="31"/>
      <c r="JG329" s="31"/>
      <c r="JH329" s="31"/>
      <c r="JI329" s="31"/>
      <c r="JJ329" s="31"/>
      <c r="JK329" s="31"/>
      <c r="JL329" s="31"/>
      <c r="JM329" s="31"/>
      <c r="JN329" s="31"/>
      <c r="JO329" s="31"/>
      <c r="JP329" s="31"/>
      <c r="JQ329" s="31"/>
      <c r="JR329" s="31"/>
      <c r="JS329" s="31"/>
      <c r="JT329" s="31"/>
      <c r="JU329" s="31"/>
      <c r="JV329" s="31"/>
      <c r="JW329" s="31"/>
      <c r="JX329" s="31"/>
      <c r="JY329" s="31"/>
      <c r="JZ329" s="31"/>
      <c r="KA329" s="31"/>
      <c r="KB329" s="31"/>
      <c r="KC329" s="31"/>
      <c r="KD329" s="31"/>
      <c r="KE329" s="31"/>
      <c r="KF329" s="31"/>
      <c r="KG329" s="31"/>
      <c r="KH329" s="31"/>
      <c r="KI329" s="31"/>
      <c r="KJ329" s="31"/>
      <c r="KK329" s="31"/>
      <c r="KL329" s="31"/>
      <c r="KM329" s="31"/>
      <c r="KN329" s="31"/>
      <c r="KO329" s="31"/>
      <c r="KP329" s="31"/>
      <c r="KQ329" s="31"/>
      <c r="KR329" s="31"/>
      <c r="KS329" s="31"/>
      <c r="KT329" s="31"/>
      <c r="KU329" s="31"/>
      <c r="KV329" s="31"/>
      <c r="KW329" s="31"/>
      <c r="KX329" s="31"/>
      <c r="KY329" s="31"/>
      <c r="KZ329" s="31"/>
      <c r="LA329" s="31"/>
      <c r="LB329" s="31"/>
      <c r="LC329" s="31"/>
      <c r="LD329" s="31"/>
      <c r="LE329" s="31"/>
      <c r="LF329" s="31"/>
      <c r="LG329" s="31"/>
      <c r="LH329" s="31"/>
      <c r="LI329" s="31"/>
      <c r="LJ329" s="31"/>
      <c r="LK329" s="31"/>
      <c r="LL329" s="31"/>
      <c r="LM329" s="31"/>
      <c r="LN329" s="31"/>
      <c r="LO329" s="31"/>
      <c r="LP329" s="31"/>
      <c r="LQ329" s="31"/>
      <c r="LR329" s="31"/>
      <c r="LS329" s="31"/>
      <c r="LT329" s="31"/>
      <c r="LU329" s="31"/>
      <c r="LV329" s="31"/>
      <c r="LW329" s="31"/>
      <c r="LX329" s="31"/>
      <c r="LY329" s="31"/>
      <c r="LZ329" s="31"/>
      <c r="MA329" s="31"/>
      <c r="MB329" s="31"/>
      <c r="MC329" s="31"/>
      <c r="MD329" s="31"/>
      <c r="ME329" s="31"/>
      <c r="MF329" s="31"/>
      <c r="MG329" s="31"/>
      <c r="MH329" s="31"/>
      <c r="MI329" s="31"/>
      <c r="MJ329" s="31"/>
      <c r="MK329" s="31"/>
      <c r="ML329" s="31"/>
      <c r="MM329" s="31"/>
      <c r="MN329" s="31"/>
      <c r="MO329" s="31"/>
      <c r="MP329" s="31"/>
      <c r="MQ329" s="31"/>
      <c r="MR329" s="31"/>
      <c r="MS329" s="31"/>
      <c r="MT329" s="31"/>
      <c r="MU329" s="31"/>
      <c r="MV329" s="31"/>
      <c r="MW329" s="31"/>
      <c r="MX329" s="31"/>
      <c r="MY329" s="31"/>
      <c r="MZ329" s="31"/>
      <c r="NA329" s="31"/>
      <c r="NB329" s="31"/>
      <c r="NC329" s="31"/>
      <c r="ND329" s="31"/>
      <c r="NE329" s="31"/>
      <c r="NF329" s="31"/>
      <c r="NG329" s="31"/>
      <c r="NH329" s="31"/>
      <c r="NI329" s="31"/>
      <c r="NJ329" s="31"/>
      <c r="NK329" s="31"/>
      <c r="NL329" s="31"/>
      <c r="NM329" s="31"/>
      <c r="NN329" s="31"/>
      <c r="NO329" s="31"/>
      <c r="NP329" s="31"/>
      <c r="NQ329" s="31"/>
      <c r="NR329" s="31"/>
      <c r="NS329" s="31"/>
      <c r="NT329" s="31"/>
      <c r="NU329" s="31"/>
      <c r="NV329" s="31"/>
      <c r="NW329" s="31"/>
      <c r="NX329" s="31"/>
      <c r="NY329" s="31"/>
      <c r="NZ329" s="31"/>
      <c r="OA329" s="31"/>
      <c r="OB329" s="31"/>
      <c r="OC329" s="31"/>
      <c r="OD329" s="31"/>
      <c r="OE329" s="31"/>
      <c r="OF329" s="31"/>
      <c r="OG329" s="31"/>
      <c r="OH329" s="31"/>
      <c r="OI329" s="31"/>
      <c r="OJ329" s="31"/>
      <c r="OK329" s="31"/>
      <c r="OL329" s="31"/>
      <c r="OM329" s="31"/>
      <c r="ON329" s="31"/>
      <c r="OO329" s="31"/>
      <c r="OP329" s="31"/>
      <c r="OQ329" s="31"/>
      <c r="OR329" s="31"/>
      <c r="OS329" s="31"/>
      <c r="OT329" s="31"/>
      <c r="OU329" s="31"/>
      <c r="OV329" s="31"/>
      <c r="OW329" s="31"/>
      <c r="OX329" s="31"/>
    </row>
    <row r="330" spans="2:414" s="25" customFormat="1" ht="15.6">
      <c r="B330" s="25" t="s">
        <v>502</v>
      </c>
      <c r="C330" s="27" t="s">
        <v>503</v>
      </c>
      <c r="D330" s="30" t="s">
        <v>489</v>
      </c>
      <c r="G330" s="42">
        <v>500</v>
      </c>
      <c r="H330" s="89">
        <v>26.109000000000002</v>
      </c>
      <c r="I330" s="38">
        <f t="shared" si="116"/>
        <v>13054.5</v>
      </c>
      <c r="K330" s="42">
        <v>500</v>
      </c>
      <c r="L330" s="90">
        <v>26.849599999999999</v>
      </c>
      <c r="M330" s="38">
        <f t="shared" si="117"/>
        <v>13424.8</v>
      </c>
      <c r="O330" s="38">
        <v>80</v>
      </c>
      <c r="P330" s="38">
        <v>26.728300000000001</v>
      </c>
      <c r="Q330" s="38">
        <f t="shared" si="118"/>
        <v>2138.2640000000001</v>
      </c>
      <c r="R330" s="43">
        <f t="shared" si="114"/>
        <v>1080</v>
      </c>
      <c r="S330" s="38">
        <f t="shared" si="119"/>
        <v>28617.563999999998</v>
      </c>
      <c r="T330" s="49">
        <v>500</v>
      </c>
      <c r="U330" s="42">
        <v>26.3813</v>
      </c>
      <c r="V330" s="38">
        <f t="shared" si="107"/>
        <v>13190.65</v>
      </c>
      <c r="W330" s="42">
        <v>300</v>
      </c>
      <c r="X330" s="42">
        <v>26.901399999999999</v>
      </c>
      <c r="Y330" s="42">
        <f t="shared" si="110"/>
        <v>8070.42</v>
      </c>
      <c r="Z330" s="42">
        <v>200</v>
      </c>
      <c r="AA330" s="42">
        <v>26.903700000000001</v>
      </c>
      <c r="AB330" s="42">
        <f t="shared" ref="AB330:AB386" si="125">Z330*AA330</f>
        <v>5380.74</v>
      </c>
      <c r="AD330" s="42"/>
      <c r="AE330" s="42"/>
      <c r="AF330" s="42">
        <f t="shared" si="109"/>
        <v>0</v>
      </c>
      <c r="AG330" s="42"/>
      <c r="AH330" s="42"/>
      <c r="AI330" s="42"/>
      <c r="AJ330" s="42">
        <f t="shared" si="115"/>
        <v>0</v>
      </c>
      <c r="AL330" s="42"/>
      <c r="AM330" s="42"/>
      <c r="AN330" s="42"/>
      <c r="AO330" s="44"/>
      <c r="AP330" s="42"/>
      <c r="AQ330" s="42"/>
      <c r="AR330" s="42"/>
      <c r="AU330" s="98"/>
      <c r="AV330" s="35"/>
      <c r="AW330" s="104"/>
      <c r="AX330" s="42"/>
      <c r="AY330" s="42"/>
      <c r="AZ330" s="42">
        <f t="shared" si="113"/>
        <v>0</v>
      </c>
      <c r="BA330" s="42"/>
      <c r="BB330" s="42"/>
      <c r="BC330" s="42"/>
      <c r="BD330" s="38">
        <f t="shared" si="120"/>
        <v>0</v>
      </c>
      <c r="BE330" s="42"/>
      <c r="BF330" s="42"/>
      <c r="BG330" s="42"/>
      <c r="BH330" s="38">
        <f t="shared" si="121"/>
        <v>0</v>
      </c>
      <c r="BI330" s="42"/>
      <c r="BJ330" s="42"/>
      <c r="BK330" s="42"/>
      <c r="BL330" s="38">
        <f t="shared" si="122"/>
        <v>0</v>
      </c>
      <c r="BM330" s="42"/>
      <c r="BN330" s="42"/>
      <c r="BO330" s="42"/>
      <c r="BP330" s="42"/>
      <c r="BR330" s="42">
        <f t="shared" si="123"/>
        <v>26641.809999999998</v>
      </c>
      <c r="BS330" s="43">
        <f t="shared" si="124"/>
        <v>1975.7540000000008</v>
      </c>
      <c r="BT330" s="42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  <c r="FM330" s="31"/>
      <c r="FN330" s="31"/>
      <c r="FO330" s="31"/>
      <c r="FP330" s="31"/>
      <c r="FQ330" s="31"/>
      <c r="FR330" s="31"/>
      <c r="FS330" s="31"/>
      <c r="FT330" s="31"/>
      <c r="FU330" s="31"/>
      <c r="FV330" s="31"/>
      <c r="FW330" s="31"/>
      <c r="FX330" s="31"/>
      <c r="FY330" s="31"/>
      <c r="FZ330" s="31"/>
      <c r="GA330" s="31"/>
      <c r="GB330" s="31"/>
      <c r="GC330" s="31"/>
      <c r="GD330" s="31"/>
      <c r="GE330" s="31"/>
      <c r="GF330" s="31"/>
      <c r="GG330" s="31"/>
      <c r="GH330" s="31"/>
      <c r="GI330" s="31"/>
      <c r="GJ330" s="31"/>
      <c r="GK330" s="31"/>
      <c r="GL330" s="31"/>
      <c r="GM330" s="31"/>
      <c r="GN330" s="31"/>
      <c r="GO330" s="31"/>
      <c r="GP330" s="31"/>
      <c r="GQ330" s="31"/>
      <c r="GR330" s="31"/>
      <c r="GS330" s="31"/>
      <c r="GT330" s="31"/>
      <c r="GU330" s="31"/>
      <c r="GV330" s="31"/>
      <c r="GW330" s="31"/>
      <c r="GX330" s="31"/>
      <c r="GY330" s="31"/>
      <c r="GZ330" s="31"/>
      <c r="HA330" s="31"/>
      <c r="HB330" s="31"/>
      <c r="HC330" s="31"/>
      <c r="HD330" s="31"/>
      <c r="HE330" s="31"/>
      <c r="HF330" s="31"/>
      <c r="HG330" s="31"/>
      <c r="HH330" s="31"/>
      <c r="HI330" s="31"/>
      <c r="HJ330" s="31"/>
      <c r="HK330" s="31"/>
      <c r="HL330" s="31"/>
      <c r="HM330" s="31"/>
      <c r="HN330" s="31"/>
      <c r="HO330" s="31"/>
      <c r="HP330" s="31"/>
      <c r="HQ330" s="31"/>
      <c r="HR330" s="31"/>
      <c r="HS330" s="31"/>
      <c r="HT330" s="31"/>
      <c r="HU330" s="31"/>
      <c r="HV330" s="31"/>
      <c r="HW330" s="31"/>
      <c r="HX330" s="31"/>
      <c r="HY330" s="31"/>
      <c r="HZ330" s="31"/>
      <c r="IA330" s="31"/>
      <c r="IB330" s="31"/>
      <c r="IC330" s="31"/>
      <c r="ID330" s="31"/>
      <c r="IE330" s="31"/>
      <c r="IF330" s="31"/>
      <c r="IG330" s="31"/>
      <c r="IH330" s="31"/>
      <c r="II330" s="31"/>
      <c r="IJ330" s="31"/>
      <c r="IK330" s="31"/>
      <c r="IL330" s="31"/>
      <c r="IM330" s="31"/>
      <c r="IN330" s="31"/>
      <c r="IO330" s="31"/>
      <c r="IP330" s="31"/>
      <c r="IQ330" s="31"/>
      <c r="IR330" s="31"/>
      <c r="IS330" s="31"/>
      <c r="IT330" s="31"/>
      <c r="IU330" s="31"/>
      <c r="IV330" s="31"/>
      <c r="IW330" s="31"/>
      <c r="IX330" s="31"/>
      <c r="IY330" s="31"/>
      <c r="IZ330" s="31"/>
      <c r="JA330" s="31"/>
      <c r="JB330" s="31"/>
      <c r="JC330" s="31"/>
      <c r="JD330" s="31"/>
      <c r="JE330" s="31"/>
      <c r="JF330" s="31"/>
      <c r="JG330" s="31"/>
      <c r="JH330" s="31"/>
      <c r="JI330" s="31"/>
      <c r="JJ330" s="31"/>
      <c r="JK330" s="31"/>
      <c r="JL330" s="31"/>
      <c r="JM330" s="31"/>
      <c r="JN330" s="31"/>
      <c r="JO330" s="31"/>
      <c r="JP330" s="31"/>
      <c r="JQ330" s="31"/>
      <c r="JR330" s="31"/>
      <c r="JS330" s="31"/>
      <c r="JT330" s="31"/>
      <c r="JU330" s="31"/>
      <c r="JV330" s="31"/>
      <c r="JW330" s="31"/>
      <c r="JX330" s="31"/>
      <c r="JY330" s="31"/>
      <c r="JZ330" s="31"/>
      <c r="KA330" s="31"/>
      <c r="KB330" s="31"/>
      <c r="KC330" s="31"/>
      <c r="KD330" s="31"/>
      <c r="KE330" s="31"/>
      <c r="KF330" s="31"/>
      <c r="KG330" s="31"/>
      <c r="KH330" s="31"/>
      <c r="KI330" s="31"/>
      <c r="KJ330" s="31"/>
      <c r="KK330" s="31"/>
      <c r="KL330" s="31"/>
      <c r="KM330" s="31"/>
      <c r="KN330" s="31"/>
      <c r="KO330" s="31"/>
      <c r="KP330" s="31"/>
      <c r="KQ330" s="31"/>
      <c r="KR330" s="31"/>
      <c r="KS330" s="31"/>
      <c r="KT330" s="31"/>
      <c r="KU330" s="31"/>
      <c r="KV330" s="31"/>
      <c r="KW330" s="31"/>
      <c r="KX330" s="31"/>
      <c r="KY330" s="31"/>
      <c r="KZ330" s="31"/>
      <c r="LA330" s="31"/>
      <c r="LB330" s="31"/>
      <c r="LC330" s="31"/>
      <c r="LD330" s="31"/>
      <c r="LE330" s="31"/>
      <c r="LF330" s="31"/>
      <c r="LG330" s="31"/>
      <c r="LH330" s="31"/>
      <c r="LI330" s="31"/>
      <c r="LJ330" s="31"/>
      <c r="LK330" s="31"/>
      <c r="LL330" s="31"/>
      <c r="LM330" s="31"/>
      <c r="LN330" s="31"/>
      <c r="LO330" s="31"/>
      <c r="LP330" s="31"/>
      <c r="LQ330" s="31"/>
      <c r="LR330" s="31"/>
      <c r="LS330" s="31"/>
      <c r="LT330" s="31"/>
      <c r="LU330" s="31"/>
      <c r="LV330" s="31"/>
      <c r="LW330" s="31"/>
      <c r="LX330" s="31"/>
      <c r="LY330" s="31"/>
      <c r="LZ330" s="31"/>
      <c r="MA330" s="31"/>
      <c r="MB330" s="31"/>
      <c r="MC330" s="31"/>
      <c r="MD330" s="31"/>
      <c r="ME330" s="31"/>
      <c r="MF330" s="31"/>
      <c r="MG330" s="31"/>
      <c r="MH330" s="31"/>
      <c r="MI330" s="31"/>
      <c r="MJ330" s="31"/>
      <c r="MK330" s="31"/>
      <c r="ML330" s="31"/>
      <c r="MM330" s="31"/>
      <c r="MN330" s="31"/>
      <c r="MO330" s="31"/>
      <c r="MP330" s="31"/>
      <c r="MQ330" s="31"/>
      <c r="MR330" s="31"/>
      <c r="MS330" s="31"/>
      <c r="MT330" s="31"/>
      <c r="MU330" s="31"/>
      <c r="MV330" s="31"/>
      <c r="MW330" s="31"/>
      <c r="MX330" s="31"/>
      <c r="MY330" s="31"/>
      <c r="MZ330" s="31"/>
      <c r="NA330" s="31"/>
      <c r="NB330" s="31"/>
      <c r="NC330" s="31"/>
      <c r="ND330" s="31"/>
      <c r="NE330" s="31"/>
      <c r="NF330" s="31"/>
      <c r="NG330" s="31"/>
      <c r="NH330" s="31"/>
      <c r="NI330" s="31"/>
      <c r="NJ330" s="31"/>
      <c r="NK330" s="31"/>
      <c r="NL330" s="31"/>
      <c r="NM330" s="31"/>
      <c r="NN330" s="31"/>
      <c r="NO330" s="31"/>
      <c r="NP330" s="31"/>
      <c r="NQ330" s="31"/>
      <c r="NR330" s="31"/>
      <c r="NS330" s="31"/>
      <c r="NT330" s="31"/>
      <c r="NU330" s="31"/>
      <c r="NV330" s="31"/>
      <c r="NW330" s="31"/>
      <c r="NX330" s="31"/>
      <c r="NY330" s="31"/>
      <c r="NZ330" s="31"/>
      <c r="OA330" s="31"/>
      <c r="OB330" s="31"/>
      <c r="OC330" s="31"/>
      <c r="OD330" s="31"/>
      <c r="OE330" s="31"/>
      <c r="OF330" s="31"/>
      <c r="OG330" s="31"/>
      <c r="OH330" s="31"/>
      <c r="OI330" s="31"/>
      <c r="OJ330" s="31"/>
      <c r="OK330" s="31"/>
      <c r="OL330" s="31"/>
      <c r="OM330" s="31"/>
      <c r="ON330" s="31"/>
      <c r="OO330" s="31"/>
      <c r="OP330" s="31"/>
      <c r="OQ330" s="31"/>
      <c r="OR330" s="31"/>
      <c r="OS330" s="31"/>
      <c r="OT330" s="31"/>
      <c r="OU330" s="31"/>
      <c r="OV330" s="31"/>
      <c r="OW330" s="31"/>
      <c r="OX330" s="31"/>
    </row>
    <row r="331" spans="2:414" s="25" customFormat="1" ht="15.6">
      <c r="B331" s="25" t="s">
        <v>504</v>
      </c>
      <c r="C331" s="27" t="s">
        <v>505</v>
      </c>
      <c r="D331" s="30" t="s">
        <v>489</v>
      </c>
      <c r="G331" s="42">
        <v>500</v>
      </c>
      <c r="H331" s="89">
        <v>26.109000000000002</v>
      </c>
      <c r="I331" s="38">
        <f t="shared" si="116"/>
        <v>13054.5</v>
      </c>
      <c r="K331" s="42">
        <v>500</v>
      </c>
      <c r="L331" s="90">
        <v>26.849599999999999</v>
      </c>
      <c r="M331" s="38">
        <f t="shared" si="117"/>
        <v>13424.8</v>
      </c>
      <c r="O331" s="38">
        <v>80</v>
      </c>
      <c r="P331" s="38">
        <v>26.728300000000001</v>
      </c>
      <c r="Q331" s="38">
        <f t="shared" si="118"/>
        <v>2138.2640000000001</v>
      </c>
      <c r="R331" s="43">
        <f t="shared" si="114"/>
        <v>1080</v>
      </c>
      <c r="S331" s="38">
        <f t="shared" si="119"/>
        <v>28617.563999999998</v>
      </c>
      <c r="T331" s="49">
        <v>115</v>
      </c>
      <c r="U331" s="42">
        <v>26.389500000000002</v>
      </c>
      <c r="V331" s="38">
        <f t="shared" si="107"/>
        <v>3034.7925</v>
      </c>
      <c r="W331" s="42">
        <v>85</v>
      </c>
      <c r="X331" s="42">
        <v>26.389500000000002</v>
      </c>
      <c r="Y331" s="42">
        <f t="shared" si="110"/>
        <v>2243.1075000000001</v>
      </c>
      <c r="Z331" s="42"/>
      <c r="AA331" s="42"/>
      <c r="AB331" s="42">
        <f t="shared" si="125"/>
        <v>0</v>
      </c>
      <c r="AD331" s="42"/>
      <c r="AE331" s="42"/>
      <c r="AF331" s="42">
        <f t="shared" si="109"/>
        <v>0</v>
      </c>
      <c r="AG331" s="42"/>
      <c r="AH331" s="42"/>
      <c r="AI331" s="42"/>
      <c r="AJ331" s="42">
        <f t="shared" si="115"/>
        <v>0</v>
      </c>
      <c r="AL331" s="42"/>
      <c r="AM331" s="42"/>
      <c r="AN331" s="42"/>
      <c r="AO331" s="44"/>
      <c r="AP331" s="42"/>
      <c r="AQ331" s="42"/>
      <c r="AR331" s="42"/>
      <c r="AU331" s="98"/>
      <c r="AV331" s="35"/>
      <c r="AW331" s="104"/>
      <c r="AX331" s="42"/>
      <c r="AY331" s="42"/>
      <c r="AZ331" s="42">
        <f t="shared" si="113"/>
        <v>0</v>
      </c>
      <c r="BA331" s="42"/>
      <c r="BB331" s="42"/>
      <c r="BC331" s="42"/>
      <c r="BD331" s="38">
        <f t="shared" si="120"/>
        <v>0</v>
      </c>
      <c r="BE331" s="42"/>
      <c r="BF331" s="42"/>
      <c r="BG331" s="42"/>
      <c r="BH331" s="38">
        <f t="shared" si="121"/>
        <v>0</v>
      </c>
      <c r="BI331" s="42"/>
      <c r="BJ331" s="42"/>
      <c r="BK331" s="42"/>
      <c r="BL331" s="38">
        <f t="shared" si="122"/>
        <v>0</v>
      </c>
      <c r="BM331" s="42"/>
      <c r="BN331" s="42"/>
      <c r="BO331" s="42"/>
      <c r="BP331" s="42"/>
      <c r="BR331" s="42">
        <f t="shared" si="123"/>
        <v>5277.9</v>
      </c>
      <c r="BS331" s="43">
        <f t="shared" si="124"/>
        <v>23339.663999999997</v>
      </c>
      <c r="BT331" s="42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  <c r="FM331" s="31"/>
      <c r="FN331" s="31"/>
      <c r="FO331" s="31"/>
      <c r="FP331" s="31"/>
      <c r="FQ331" s="31"/>
      <c r="FR331" s="31"/>
      <c r="FS331" s="31"/>
      <c r="FT331" s="31"/>
      <c r="FU331" s="31"/>
      <c r="FV331" s="31"/>
      <c r="FW331" s="31"/>
      <c r="FX331" s="31"/>
      <c r="FY331" s="31"/>
      <c r="FZ331" s="31"/>
      <c r="GA331" s="31"/>
      <c r="GB331" s="31"/>
      <c r="GC331" s="31"/>
      <c r="GD331" s="31"/>
      <c r="GE331" s="31"/>
      <c r="GF331" s="31"/>
      <c r="GG331" s="31"/>
      <c r="GH331" s="31"/>
      <c r="GI331" s="31"/>
      <c r="GJ331" s="31"/>
      <c r="GK331" s="31"/>
      <c r="GL331" s="31"/>
      <c r="GM331" s="31"/>
      <c r="GN331" s="31"/>
      <c r="GO331" s="31"/>
      <c r="GP331" s="31"/>
      <c r="GQ331" s="31"/>
      <c r="GR331" s="31"/>
      <c r="GS331" s="31"/>
      <c r="GT331" s="31"/>
      <c r="GU331" s="31"/>
      <c r="GV331" s="31"/>
      <c r="GW331" s="31"/>
      <c r="GX331" s="31"/>
      <c r="GY331" s="31"/>
      <c r="GZ331" s="31"/>
      <c r="HA331" s="31"/>
      <c r="HB331" s="31"/>
      <c r="HC331" s="31"/>
      <c r="HD331" s="31"/>
      <c r="HE331" s="31"/>
      <c r="HF331" s="31"/>
      <c r="HG331" s="31"/>
      <c r="HH331" s="31"/>
      <c r="HI331" s="31"/>
      <c r="HJ331" s="31"/>
      <c r="HK331" s="31"/>
      <c r="HL331" s="31"/>
      <c r="HM331" s="31"/>
      <c r="HN331" s="31"/>
      <c r="HO331" s="31"/>
      <c r="HP331" s="31"/>
      <c r="HQ331" s="31"/>
      <c r="HR331" s="31"/>
      <c r="HS331" s="31"/>
      <c r="HT331" s="31"/>
      <c r="HU331" s="31"/>
      <c r="HV331" s="31"/>
      <c r="HW331" s="31"/>
      <c r="HX331" s="31"/>
      <c r="HY331" s="31"/>
      <c r="HZ331" s="31"/>
      <c r="IA331" s="31"/>
      <c r="IB331" s="31"/>
      <c r="IC331" s="31"/>
      <c r="ID331" s="31"/>
      <c r="IE331" s="31"/>
      <c r="IF331" s="31"/>
      <c r="IG331" s="31"/>
      <c r="IH331" s="31"/>
      <c r="II331" s="31"/>
      <c r="IJ331" s="31"/>
      <c r="IK331" s="31"/>
      <c r="IL331" s="31"/>
      <c r="IM331" s="31"/>
      <c r="IN331" s="31"/>
      <c r="IO331" s="31"/>
      <c r="IP331" s="31"/>
      <c r="IQ331" s="31"/>
      <c r="IR331" s="31"/>
      <c r="IS331" s="31"/>
      <c r="IT331" s="31"/>
      <c r="IU331" s="31"/>
      <c r="IV331" s="31"/>
      <c r="IW331" s="31"/>
      <c r="IX331" s="31"/>
      <c r="IY331" s="31"/>
      <c r="IZ331" s="31"/>
      <c r="JA331" s="31"/>
      <c r="JB331" s="31"/>
      <c r="JC331" s="31"/>
      <c r="JD331" s="31"/>
      <c r="JE331" s="31"/>
      <c r="JF331" s="31"/>
      <c r="JG331" s="31"/>
      <c r="JH331" s="31"/>
      <c r="JI331" s="31"/>
      <c r="JJ331" s="31"/>
      <c r="JK331" s="31"/>
      <c r="JL331" s="31"/>
      <c r="JM331" s="31"/>
      <c r="JN331" s="31"/>
      <c r="JO331" s="31"/>
      <c r="JP331" s="31"/>
      <c r="JQ331" s="31"/>
      <c r="JR331" s="31"/>
      <c r="JS331" s="31"/>
      <c r="JT331" s="31"/>
      <c r="JU331" s="31"/>
      <c r="JV331" s="31"/>
      <c r="JW331" s="31"/>
      <c r="JX331" s="31"/>
      <c r="JY331" s="31"/>
      <c r="JZ331" s="31"/>
      <c r="KA331" s="31"/>
      <c r="KB331" s="31"/>
      <c r="KC331" s="31"/>
      <c r="KD331" s="31"/>
      <c r="KE331" s="31"/>
      <c r="KF331" s="31"/>
      <c r="KG331" s="31"/>
      <c r="KH331" s="31"/>
      <c r="KI331" s="31"/>
      <c r="KJ331" s="31"/>
      <c r="KK331" s="31"/>
      <c r="KL331" s="31"/>
      <c r="KM331" s="31"/>
      <c r="KN331" s="31"/>
      <c r="KO331" s="31"/>
      <c r="KP331" s="31"/>
      <c r="KQ331" s="31"/>
      <c r="KR331" s="31"/>
      <c r="KS331" s="31"/>
      <c r="KT331" s="31"/>
      <c r="KU331" s="31"/>
      <c r="KV331" s="31"/>
      <c r="KW331" s="31"/>
      <c r="KX331" s="31"/>
      <c r="KY331" s="31"/>
      <c r="KZ331" s="31"/>
      <c r="LA331" s="31"/>
      <c r="LB331" s="31"/>
      <c r="LC331" s="31"/>
      <c r="LD331" s="31"/>
      <c r="LE331" s="31"/>
      <c r="LF331" s="31"/>
      <c r="LG331" s="31"/>
      <c r="LH331" s="31"/>
      <c r="LI331" s="31"/>
      <c r="LJ331" s="31"/>
      <c r="LK331" s="31"/>
      <c r="LL331" s="31"/>
      <c r="LM331" s="31"/>
      <c r="LN331" s="31"/>
      <c r="LO331" s="31"/>
      <c r="LP331" s="31"/>
      <c r="LQ331" s="31"/>
      <c r="LR331" s="31"/>
      <c r="LS331" s="31"/>
      <c r="LT331" s="31"/>
      <c r="LU331" s="31"/>
      <c r="LV331" s="31"/>
      <c r="LW331" s="31"/>
      <c r="LX331" s="31"/>
      <c r="LY331" s="31"/>
      <c r="LZ331" s="31"/>
      <c r="MA331" s="31"/>
      <c r="MB331" s="31"/>
      <c r="MC331" s="31"/>
      <c r="MD331" s="31"/>
      <c r="ME331" s="31"/>
      <c r="MF331" s="31"/>
      <c r="MG331" s="31"/>
      <c r="MH331" s="31"/>
      <c r="MI331" s="31"/>
      <c r="MJ331" s="31"/>
      <c r="MK331" s="31"/>
      <c r="ML331" s="31"/>
      <c r="MM331" s="31"/>
      <c r="MN331" s="31"/>
      <c r="MO331" s="31"/>
      <c r="MP331" s="31"/>
      <c r="MQ331" s="31"/>
      <c r="MR331" s="31"/>
      <c r="MS331" s="31"/>
      <c r="MT331" s="31"/>
      <c r="MU331" s="31"/>
      <c r="MV331" s="31"/>
      <c r="MW331" s="31"/>
      <c r="MX331" s="31"/>
      <c r="MY331" s="31"/>
      <c r="MZ331" s="31"/>
      <c r="NA331" s="31"/>
      <c r="NB331" s="31"/>
      <c r="NC331" s="31"/>
      <c r="ND331" s="31"/>
      <c r="NE331" s="31"/>
      <c r="NF331" s="31"/>
      <c r="NG331" s="31"/>
      <c r="NH331" s="31"/>
      <c r="NI331" s="31"/>
      <c r="NJ331" s="31"/>
      <c r="NK331" s="31"/>
      <c r="NL331" s="31"/>
      <c r="NM331" s="31"/>
      <c r="NN331" s="31"/>
      <c r="NO331" s="31"/>
      <c r="NP331" s="31"/>
      <c r="NQ331" s="31"/>
      <c r="NR331" s="31"/>
      <c r="NS331" s="31"/>
      <c r="NT331" s="31"/>
      <c r="NU331" s="31"/>
      <c r="NV331" s="31"/>
      <c r="NW331" s="31"/>
      <c r="NX331" s="31"/>
      <c r="NY331" s="31"/>
      <c r="NZ331" s="31"/>
      <c r="OA331" s="31"/>
      <c r="OB331" s="31"/>
      <c r="OC331" s="31"/>
      <c r="OD331" s="31"/>
      <c r="OE331" s="31"/>
      <c r="OF331" s="31"/>
      <c r="OG331" s="31"/>
      <c r="OH331" s="31"/>
      <c r="OI331" s="31"/>
      <c r="OJ331" s="31"/>
      <c r="OK331" s="31"/>
      <c r="OL331" s="31"/>
      <c r="OM331" s="31"/>
      <c r="ON331" s="31"/>
      <c r="OO331" s="31"/>
      <c r="OP331" s="31"/>
      <c r="OQ331" s="31"/>
      <c r="OR331" s="31"/>
      <c r="OS331" s="31"/>
      <c r="OT331" s="31"/>
      <c r="OU331" s="31"/>
      <c r="OV331" s="31"/>
      <c r="OW331" s="31"/>
      <c r="OX331" s="31"/>
    </row>
    <row r="332" spans="2:414" s="25" customFormat="1" ht="15.6">
      <c r="B332" s="25" t="s">
        <v>506</v>
      </c>
      <c r="C332" s="27" t="s">
        <v>507</v>
      </c>
      <c r="D332" s="30" t="s">
        <v>489</v>
      </c>
      <c r="G332" s="42">
        <v>500</v>
      </c>
      <c r="H332" s="89">
        <v>26.109000000000002</v>
      </c>
      <c r="I332" s="38">
        <f t="shared" si="116"/>
        <v>13054.5</v>
      </c>
      <c r="K332" s="42">
        <v>500</v>
      </c>
      <c r="L332" s="90">
        <v>26.849599999999999</v>
      </c>
      <c r="M332" s="38">
        <f t="shared" si="117"/>
        <v>13424.8</v>
      </c>
      <c r="O332" s="38">
        <v>80</v>
      </c>
      <c r="P332" s="38">
        <v>26.728300000000001</v>
      </c>
      <c r="Q332" s="38">
        <f t="shared" si="118"/>
        <v>2138.2640000000001</v>
      </c>
      <c r="R332" s="43">
        <f t="shared" si="114"/>
        <v>1080</v>
      </c>
      <c r="S332" s="38">
        <f t="shared" si="119"/>
        <v>28617.563999999998</v>
      </c>
      <c r="T332" s="49">
        <v>415</v>
      </c>
      <c r="U332" s="42">
        <v>26.390799999999999</v>
      </c>
      <c r="V332" s="38">
        <f t="shared" si="107"/>
        <v>10952.181999999999</v>
      </c>
      <c r="W332" s="42">
        <v>85</v>
      </c>
      <c r="X332" s="42">
        <v>25.826699999999999</v>
      </c>
      <c r="Y332" s="42">
        <f t="shared" si="110"/>
        <v>2195.2694999999999</v>
      </c>
      <c r="Z332" s="42">
        <v>415</v>
      </c>
      <c r="AA332" s="42">
        <v>26.849599999999999</v>
      </c>
      <c r="AB332" s="42">
        <f t="shared" si="125"/>
        <v>11142.583999999999</v>
      </c>
      <c r="AD332" s="42">
        <v>85</v>
      </c>
      <c r="AE332" s="42">
        <v>26.849599999999999</v>
      </c>
      <c r="AF332" s="42">
        <f t="shared" si="109"/>
        <v>2282.2159999999999</v>
      </c>
      <c r="AG332" s="42"/>
      <c r="AH332" s="42"/>
      <c r="AI332" s="42"/>
      <c r="AJ332" s="42">
        <f t="shared" si="115"/>
        <v>0</v>
      </c>
      <c r="AL332" s="42"/>
      <c r="AM332" s="42"/>
      <c r="AN332" s="42"/>
      <c r="AO332" s="44"/>
      <c r="AP332" s="42"/>
      <c r="AQ332" s="42"/>
      <c r="AR332" s="42"/>
      <c r="AU332" s="98"/>
      <c r="AV332" s="35"/>
      <c r="AW332" s="104"/>
      <c r="AX332" s="42"/>
      <c r="AY332" s="42"/>
      <c r="AZ332" s="42">
        <f t="shared" si="113"/>
        <v>0</v>
      </c>
      <c r="BA332" s="42"/>
      <c r="BB332" s="42"/>
      <c r="BC332" s="42"/>
      <c r="BD332" s="38">
        <f t="shared" si="120"/>
        <v>0</v>
      </c>
      <c r="BE332" s="42"/>
      <c r="BF332" s="42"/>
      <c r="BG332" s="42"/>
      <c r="BH332" s="38">
        <f t="shared" si="121"/>
        <v>0</v>
      </c>
      <c r="BI332" s="42"/>
      <c r="BJ332" s="42"/>
      <c r="BK332" s="42"/>
      <c r="BL332" s="38">
        <f t="shared" si="122"/>
        <v>0</v>
      </c>
      <c r="BM332" s="42"/>
      <c r="BN332" s="42"/>
      <c r="BO332" s="42"/>
      <c r="BP332" s="42"/>
      <c r="BR332" s="42">
        <f t="shared" si="123"/>
        <v>26572.251499999998</v>
      </c>
      <c r="BS332" s="43">
        <f t="shared" si="124"/>
        <v>2045.3125</v>
      </c>
      <c r="BT332" s="42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  <c r="FM332" s="31"/>
      <c r="FN332" s="31"/>
      <c r="FO332" s="31"/>
      <c r="FP332" s="31"/>
      <c r="FQ332" s="31"/>
      <c r="FR332" s="31"/>
      <c r="FS332" s="31"/>
      <c r="FT332" s="31"/>
      <c r="FU332" s="31"/>
      <c r="FV332" s="31"/>
      <c r="FW332" s="31"/>
      <c r="FX332" s="31"/>
      <c r="FY332" s="31"/>
      <c r="FZ332" s="31"/>
      <c r="GA332" s="31"/>
      <c r="GB332" s="31"/>
      <c r="GC332" s="31"/>
      <c r="GD332" s="31"/>
      <c r="GE332" s="31"/>
      <c r="GF332" s="31"/>
      <c r="GG332" s="31"/>
      <c r="GH332" s="31"/>
      <c r="GI332" s="31"/>
      <c r="GJ332" s="31"/>
      <c r="GK332" s="31"/>
      <c r="GL332" s="31"/>
      <c r="GM332" s="31"/>
      <c r="GN332" s="31"/>
      <c r="GO332" s="31"/>
      <c r="GP332" s="31"/>
      <c r="GQ332" s="31"/>
      <c r="GR332" s="31"/>
      <c r="GS332" s="31"/>
      <c r="GT332" s="31"/>
      <c r="GU332" s="31"/>
      <c r="GV332" s="31"/>
      <c r="GW332" s="31"/>
      <c r="GX332" s="31"/>
      <c r="GY332" s="31"/>
      <c r="GZ332" s="31"/>
      <c r="HA332" s="31"/>
      <c r="HB332" s="31"/>
      <c r="HC332" s="31"/>
      <c r="HD332" s="31"/>
      <c r="HE332" s="31"/>
      <c r="HF332" s="31"/>
      <c r="HG332" s="31"/>
      <c r="HH332" s="31"/>
      <c r="HI332" s="31"/>
      <c r="HJ332" s="31"/>
      <c r="HK332" s="31"/>
      <c r="HL332" s="31"/>
      <c r="HM332" s="31"/>
      <c r="HN332" s="31"/>
      <c r="HO332" s="31"/>
      <c r="HP332" s="31"/>
      <c r="HQ332" s="31"/>
      <c r="HR332" s="31"/>
      <c r="HS332" s="31"/>
      <c r="HT332" s="31"/>
      <c r="HU332" s="31"/>
      <c r="HV332" s="31"/>
      <c r="HW332" s="31"/>
      <c r="HX332" s="31"/>
      <c r="HY332" s="31"/>
      <c r="HZ332" s="31"/>
      <c r="IA332" s="31"/>
      <c r="IB332" s="31"/>
      <c r="IC332" s="31"/>
      <c r="ID332" s="31"/>
      <c r="IE332" s="31"/>
      <c r="IF332" s="31"/>
      <c r="IG332" s="31"/>
      <c r="IH332" s="31"/>
      <c r="II332" s="31"/>
      <c r="IJ332" s="31"/>
      <c r="IK332" s="31"/>
      <c r="IL332" s="31"/>
      <c r="IM332" s="31"/>
      <c r="IN332" s="31"/>
      <c r="IO332" s="31"/>
      <c r="IP332" s="31"/>
      <c r="IQ332" s="31"/>
      <c r="IR332" s="31"/>
      <c r="IS332" s="31"/>
      <c r="IT332" s="31"/>
      <c r="IU332" s="31"/>
      <c r="IV332" s="31"/>
      <c r="IW332" s="31"/>
      <c r="IX332" s="31"/>
      <c r="IY332" s="31"/>
      <c r="IZ332" s="31"/>
      <c r="JA332" s="31"/>
      <c r="JB332" s="31"/>
      <c r="JC332" s="31"/>
      <c r="JD332" s="31"/>
      <c r="JE332" s="31"/>
      <c r="JF332" s="31"/>
      <c r="JG332" s="31"/>
      <c r="JH332" s="31"/>
      <c r="JI332" s="31"/>
      <c r="JJ332" s="31"/>
      <c r="JK332" s="31"/>
      <c r="JL332" s="31"/>
      <c r="JM332" s="31"/>
      <c r="JN332" s="31"/>
      <c r="JO332" s="31"/>
      <c r="JP332" s="31"/>
      <c r="JQ332" s="31"/>
      <c r="JR332" s="31"/>
      <c r="JS332" s="31"/>
      <c r="JT332" s="31"/>
      <c r="JU332" s="31"/>
      <c r="JV332" s="31"/>
      <c r="JW332" s="31"/>
      <c r="JX332" s="31"/>
      <c r="JY332" s="31"/>
      <c r="JZ332" s="31"/>
      <c r="KA332" s="31"/>
      <c r="KB332" s="31"/>
      <c r="KC332" s="31"/>
      <c r="KD332" s="31"/>
      <c r="KE332" s="31"/>
      <c r="KF332" s="31"/>
      <c r="KG332" s="31"/>
      <c r="KH332" s="31"/>
      <c r="KI332" s="31"/>
      <c r="KJ332" s="31"/>
      <c r="KK332" s="31"/>
      <c r="KL332" s="31"/>
      <c r="KM332" s="31"/>
      <c r="KN332" s="31"/>
      <c r="KO332" s="31"/>
      <c r="KP332" s="31"/>
      <c r="KQ332" s="31"/>
      <c r="KR332" s="31"/>
      <c r="KS332" s="31"/>
      <c r="KT332" s="31"/>
      <c r="KU332" s="31"/>
      <c r="KV332" s="31"/>
      <c r="KW332" s="31"/>
      <c r="KX332" s="31"/>
      <c r="KY332" s="31"/>
      <c r="KZ332" s="31"/>
      <c r="LA332" s="31"/>
      <c r="LB332" s="31"/>
      <c r="LC332" s="31"/>
      <c r="LD332" s="31"/>
      <c r="LE332" s="31"/>
      <c r="LF332" s="31"/>
      <c r="LG332" s="31"/>
      <c r="LH332" s="31"/>
      <c r="LI332" s="31"/>
      <c r="LJ332" s="31"/>
      <c r="LK332" s="31"/>
      <c r="LL332" s="31"/>
      <c r="LM332" s="31"/>
      <c r="LN332" s="31"/>
      <c r="LO332" s="31"/>
      <c r="LP332" s="31"/>
      <c r="LQ332" s="31"/>
      <c r="LR332" s="31"/>
      <c r="LS332" s="31"/>
      <c r="LT332" s="31"/>
      <c r="LU332" s="31"/>
      <c r="LV332" s="31"/>
      <c r="LW332" s="31"/>
      <c r="LX332" s="31"/>
      <c r="LY332" s="31"/>
      <c r="LZ332" s="31"/>
      <c r="MA332" s="31"/>
      <c r="MB332" s="31"/>
      <c r="MC332" s="31"/>
      <c r="MD332" s="31"/>
      <c r="ME332" s="31"/>
      <c r="MF332" s="31"/>
      <c r="MG332" s="31"/>
      <c r="MH332" s="31"/>
      <c r="MI332" s="31"/>
      <c r="MJ332" s="31"/>
      <c r="MK332" s="31"/>
      <c r="ML332" s="31"/>
      <c r="MM332" s="31"/>
      <c r="MN332" s="31"/>
      <c r="MO332" s="31"/>
      <c r="MP332" s="31"/>
      <c r="MQ332" s="31"/>
      <c r="MR332" s="31"/>
      <c r="MS332" s="31"/>
      <c r="MT332" s="31"/>
      <c r="MU332" s="31"/>
      <c r="MV332" s="31"/>
      <c r="MW332" s="31"/>
      <c r="MX332" s="31"/>
      <c r="MY332" s="31"/>
      <c r="MZ332" s="31"/>
      <c r="NA332" s="31"/>
      <c r="NB332" s="31"/>
      <c r="NC332" s="31"/>
      <c r="ND332" s="31"/>
      <c r="NE332" s="31"/>
      <c r="NF332" s="31"/>
      <c r="NG332" s="31"/>
      <c r="NH332" s="31"/>
      <c r="NI332" s="31"/>
      <c r="NJ332" s="31"/>
      <c r="NK332" s="31"/>
      <c r="NL332" s="31"/>
      <c r="NM332" s="31"/>
      <c r="NN332" s="31"/>
      <c r="NO332" s="31"/>
      <c r="NP332" s="31"/>
      <c r="NQ332" s="31"/>
      <c r="NR332" s="31"/>
      <c r="NS332" s="31"/>
      <c r="NT332" s="31"/>
      <c r="NU332" s="31"/>
      <c r="NV332" s="31"/>
      <c r="NW332" s="31"/>
      <c r="NX332" s="31"/>
      <c r="NY332" s="31"/>
      <c r="NZ332" s="31"/>
      <c r="OA332" s="31"/>
      <c r="OB332" s="31"/>
      <c r="OC332" s="31"/>
      <c r="OD332" s="31"/>
      <c r="OE332" s="31"/>
      <c r="OF332" s="31"/>
      <c r="OG332" s="31"/>
      <c r="OH332" s="31"/>
      <c r="OI332" s="31"/>
      <c r="OJ332" s="31"/>
      <c r="OK332" s="31"/>
      <c r="OL332" s="31"/>
      <c r="OM332" s="31"/>
      <c r="ON332" s="31"/>
      <c r="OO332" s="31"/>
      <c r="OP332" s="31"/>
      <c r="OQ332" s="31"/>
      <c r="OR332" s="31"/>
      <c r="OS332" s="31"/>
      <c r="OT332" s="31"/>
      <c r="OU332" s="31"/>
      <c r="OV332" s="31"/>
      <c r="OW332" s="31"/>
      <c r="OX332" s="31"/>
    </row>
    <row r="333" spans="2:414" s="25" customFormat="1" ht="15.6">
      <c r="B333" s="25" t="s">
        <v>508</v>
      </c>
      <c r="C333" s="27" t="s">
        <v>509</v>
      </c>
      <c r="D333" s="30" t="s">
        <v>489</v>
      </c>
      <c r="G333" s="42">
        <v>500</v>
      </c>
      <c r="H333" s="89">
        <v>26.109000000000002</v>
      </c>
      <c r="I333" s="38">
        <f t="shared" si="116"/>
        <v>13054.5</v>
      </c>
      <c r="K333" s="42">
        <v>500</v>
      </c>
      <c r="L333" s="90">
        <v>26.849599999999999</v>
      </c>
      <c r="M333" s="38">
        <f t="shared" si="117"/>
        <v>13424.8</v>
      </c>
      <c r="O333" s="38">
        <v>80</v>
      </c>
      <c r="P333" s="38">
        <v>26.728300000000001</v>
      </c>
      <c r="Q333" s="38">
        <f t="shared" si="118"/>
        <v>2138.2640000000001</v>
      </c>
      <c r="R333" s="43">
        <f t="shared" si="114"/>
        <v>1080</v>
      </c>
      <c r="S333" s="38">
        <f t="shared" si="119"/>
        <v>28617.563999999998</v>
      </c>
      <c r="T333" s="49"/>
      <c r="U333" s="42"/>
      <c r="V333" s="38">
        <f t="shared" si="107"/>
        <v>0</v>
      </c>
      <c r="W333" s="42"/>
      <c r="X333" s="42"/>
      <c r="Y333" s="42">
        <f t="shared" si="110"/>
        <v>0</v>
      </c>
      <c r="Z333" s="42"/>
      <c r="AA333" s="42"/>
      <c r="AB333" s="42">
        <f t="shared" si="125"/>
        <v>0</v>
      </c>
      <c r="AD333" s="42"/>
      <c r="AE333" s="42"/>
      <c r="AF333" s="42">
        <f t="shared" si="109"/>
        <v>0</v>
      </c>
      <c r="AG333" s="42"/>
      <c r="AH333" s="42"/>
      <c r="AI333" s="42"/>
      <c r="AJ333" s="42">
        <f t="shared" si="115"/>
        <v>0</v>
      </c>
      <c r="AL333" s="42"/>
      <c r="AM333" s="42"/>
      <c r="AN333" s="42"/>
      <c r="AO333" s="44"/>
      <c r="AP333" s="42"/>
      <c r="AQ333" s="42"/>
      <c r="AR333" s="42"/>
      <c r="AU333" s="98"/>
      <c r="AV333" s="35"/>
      <c r="AW333" s="104"/>
      <c r="AX333" s="42"/>
      <c r="AY333" s="42"/>
      <c r="AZ333" s="42">
        <f t="shared" si="113"/>
        <v>0</v>
      </c>
      <c r="BA333" s="42"/>
      <c r="BB333" s="42"/>
      <c r="BC333" s="42"/>
      <c r="BD333" s="38">
        <f t="shared" si="120"/>
        <v>0</v>
      </c>
      <c r="BE333" s="42"/>
      <c r="BF333" s="42"/>
      <c r="BG333" s="42"/>
      <c r="BH333" s="38">
        <f t="shared" si="121"/>
        <v>0</v>
      </c>
      <c r="BI333" s="42"/>
      <c r="BJ333" s="42"/>
      <c r="BK333" s="42"/>
      <c r="BL333" s="38">
        <f t="shared" si="122"/>
        <v>0</v>
      </c>
      <c r="BM333" s="42"/>
      <c r="BN333" s="42"/>
      <c r="BO333" s="42"/>
      <c r="BP333" s="42"/>
      <c r="BR333" s="42">
        <f t="shared" si="123"/>
        <v>0</v>
      </c>
      <c r="BS333" s="43">
        <f t="shared" si="124"/>
        <v>28617.563999999998</v>
      </c>
      <c r="BT333" s="42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  <c r="FM333" s="31"/>
      <c r="FN333" s="31"/>
      <c r="FO333" s="31"/>
      <c r="FP333" s="31"/>
      <c r="FQ333" s="31"/>
      <c r="FR333" s="31"/>
      <c r="FS333" s="31"/>
      <c r="FT333" s="31"/>
      <c r="FU333" s="31"/>
      <c r="FV333" s="31"/>
      <c r="FW333" s="31"/>
      <c r="FX333" s="31"/>
      <c r="FY333" s="31"/>
      <c r="FZ333" s="31"/>
      <c r="GA333" s="31"/>
      <c r="GB333" s="31"/>
      <c r="GC333" s="31"/>
      <c r="GD333" s="31"/>
      <c r="GE333" s="31"/>
      <c r="GF333" s="31"/>
      <c r="GG333" s="31"/>
      <c r="GH333" s="31"/>
      <c r="GI333" s="31"/>
      <c r="GJ333" s="31"/>
      <c r="GK333" s="31"/>
      <c r="GL333" s="31"/>
      <c r="GM333" s="31"/>
      <c r="GN333" s="31"/>
      <c r="GO333" s="31"/>
      <c r="GP333" s="31"/>
      <c r="GQ333" s="31"/>
      <c r="GR333" s="31"/>
      <c r="GS333" s="31"/>
      <c r="GT333" s="31"/>
      <c r="GU333" s="31"/>
      <c r="GV333" s="31"/>
      <c r="GW333" s="31"/>
      <c r="GX333" s="31"/>
      <c r="GY333" s="31"/>
      <c r="GZ333" s="31"/>
      <c r="HA333" s="31"/>
      <c r="HB333" s="31"/>
      <c r="HC333" s="31"/>
      <c r="HD333" s="31"/>
      <c r="HE333" s="31"/>
      <c r="HF333" s="31"/>
      <c r="HG333" s="31"/>
      <c r="HH333" s="31"/>
      <c r="HI333" s="31"/>
      <c r="HJ333" s="31"/>
      <c r="HK333" s="31"/>
      <c r="HL333" s="31"/>
      <c r="HM333" s="31"/>
      <c r="HN333" s="31"/>
      <c r="HO333" s="31"/>
      <c r="HP333" s="31"/>
      <c r="HQ333" s="31"/>
      <c r="HR333" s="31"/>
      <c r="HS333" s="31"/>
      <c r="HT333" s="31"/>
      <c r="HU333" s="31"/>
      <c r="HV333" s="31"/>
      <c r="HW333" s="31"/>
      <c r="HX333" s="31"/>
      <c r="HY333" s="31"/>
      <c r="HZ333" s="31"/>
      <c r="IA333" s="31"/>
      <c r="IB333" s="31"/>
      <c r="IC333" s="31"/>
      <c r="ID333" s="31"/>
      <c r="IE333" s="31"/>
      <c r="IF333" s="31"/>
      <c r="IG333" s="31"/>
      <c r="IH333" s="31"/>
      <c r="II333" s="31"/>
      <c r="IJ333" s="31"/>
      <c r="IK333" s="31"/>
      <c r="IL333" s="31"/>
      <c r="IM333" s="31"/>
      <c r="IN333" s="31"/>
      <c r="IO333" s="31"/>
      <c r="IP333" s="31"/>
      <c r="IQ333" s="31"/>
      <c r="IR333" s="31"/>
      <c r="IS333" s="31"/>
      <c r="IT333" s="31"/>
      <c r="IU333" s="31"/>
      <c r="IV333" s="31"/>
      <c r="IW333" s="31"/>
      <c r="IX333" s="31"/>
      <c r="IY333" s="31"/>
      <c r="IZ333" s="31"/>
      <c r="JA333" s="31"/>
      <c r="JB333" s="31"/>
      <c r="JC333" s="31"/>
      <c r="JD333" s="31"/>
      <c r="JE333" s="31"/>
      <c r="JF333" s="31"/>
      <c r="JG333" s="31"/>
      <c r="JH333" s="31"/>
      <c r="JI333" s="31"/>
      <c r="JJ333" s="31"/>
      <c r="JK333" s="31"/>
      <c r="JL333" s="31"/>
      <c r="JM333" s="31"/>
      <c r="JN333" s="31"/>
      <c r="JO333" s="31"/>
      <c r="JP333" s="31"/>
      <c r="JQ333" s="31"/>
      <c r="JR333" s="31"/>
      <c r="JS333" s="31"/>
      <c r="JT333" s="31"/>
      <c r="JU333" s="31"/>
      <c r="JV333" s="31"/>
      <c r="JW333" s="31"/>
      <c r="JX333" s="31"/>
      <c r="JY333" s="31"/>
      <c r="JZ333" s="31"/>
      <c r="KA333" s="31"/>
      <c r="KB333" s="31"/>
      <c r="KC333" s="31"/>
      <c r="KD333" s="31"/>
      <c r="KE333" s="31"/>
      <c r="KF333" s="31"/>
      <c r="KG333" s="31"/>
      <c r="KH333" s="31"/>
      <c r="KI333" s="31"/>
      <c r="KJ333" s="31"/>
      <c r="KK333" s="31"/>
      <c r="KL333" s="31"/>
      <c r="KM333" s="31"/>
      <c r="KN333" s="31"/>
      <c r="KO333" s="31"/>
      <c r="KP333" s="31"/>
      <c r="KQ333" s="31"/>
      <c r="KR333" s="31"/>
      <c r="KS333" s="31"/>
      <c r="KT333" s="31"/>
      <c r="KU333" s="31"/>
      <c r="KV333" s="31"/>
      <c r="KW333" s="31"/>
      <c r="KX333" s="31"/>
      <c r="KY333" s="31"/>
      <c r="KZ333" s="31"/>
      <c r="LA333" s="31"/>
      <c r="LB333" s="31"/>
      <c r="LC333" s="31"/>
      <c r="LD333" s="31"/>
      <c r="LE333" s="31"/>
      <c r="LF333" s="31"/>
      <c r="LG333" s="31"/>
      <c r="LH333" s="31"/>
      <c r="LI333" s="31"/>
      <c r="LJ333" s="31"/>
      <c r="LK333" s="31"/>
      <c r="LL333" s="31"/>
      <c r="LM333" s="31"/>
      <c r="LN333" s="31"/>
      <c r="LO333" s="31"/>
      <c r="LP333" s="31"/>
      <c r="LQ333" s="31"/>
      <c r="LR333" s="31"/>
      <c r="LS333" s="31"/>
      <c r="LT333" s="31"/>
      <c r="LU333" s="31"/>
      <c r="LV333" s="31"/>
      <c r="LW333" s="31"/>
      <c r="LX333" s="31"/>
      <c r="LY333" s="31"/>
      <c r="LZ333" s="31"/>
      <c r="MA333" s="31"/>
      <c r="MB333" s="31"/>
      <c r="MC333" s="31"/>
      <c r="MD333" s="31"/>
      <c r="ME333" s="31"/>
      <c r="MF333" s="31"/>
      <c r="MG333" s="31"/>
      <c r="MH333" s="31"/>
      <c r="MI333" s="31"/>
      <c r="MJ333" s="31"/>
      <c r="MK333" s="31"/>
      <c r="ML333" s="31"/>
      <c r="MM333" s="31"/>
      <c r="MN333" s="31"/>
      <c r="MO333" s="31"/>
      <c r="MP333" s="31"/>
      <c r="MQ333" s="31"/>
      <c r="MR333" s="31"/>
      <c r="MS333" s="31"/>
      <c r="MT333" s="31"/>
      <c r="MU333" s="31"/>
      <c r="MV333" s="31"/>
      <c r="MW333" s="31"/>
      <c r="MX333" s="31"/>
      <c r="MY333" s="31"/>
      <c r="MZ333" s="31"/>
      <c r="NA333" s="31"/>
      <c r="NB333" s="31"/>
      <c r="NC333" s="31"/>
      <c r="ND333" s="31"/>
      <c r="NE333" s="31"/>
      <c r="NF333" s="31"/>
      <c r="NG333" s="31"/>
      <c r="NH333" s="31"/>
      <c r="NI333" s="31"/>
      <c r="NJ333" s="31"/>
      <c r="NK333" s="31"/>
      <c r="NL333" s="31"/>
      <c r="NM333" s="31"/>
      <c r="NN333" s="31"/>
      <c r="NO333" s="31"/>
      <c r="NP333" s="31"/>
      <c r="NQ333" s="31"/>
      <c r="NR333" s="31"/>
      <c r="NS333" s="31"/>
      <c r="NT333" s="31"/>
      <c r="NU333" s="31"/>
      <c r="NV333" s="31"/>
      <c r="NW333" s="31"/>
      <c r="NX333" s="31"/>
      <c r="NY333" s="31"/>
      <c r="NZ333" s="31"/>
      <c r="OA333" s="31"/>
      <c r="OB333" s="31"/>
      <c r="OC333" s="31"/>
      <c r="OD333" s="31"/>
      <c r="OE333" s="31"/>
      <c r="OF333" s="31"/>
      <c r="OG333" s="31"/>
      <c r="OH333" s="31"/>
      <c r="OI333" s="31"/>
      <c r="OJ333" s="31"/>
      <c r="OK333" s="31"/>
      <c r="OL333" s="31"/>
      <c r="OM333" s="31"/>
      <c r="ON333" s="31"/>
      <c r="OO333" s="31"/>
      <c r="OP333" s="31"/>
      <c r="OQ333" s="31"/>
      <c r="OR333" s="31"/>
      <c r="OS333" s="31"/>
      <c r="OT333" s="31"/>
      <c r="OU333" s="31"/>
      <c r="OV333" s="31"/>
      <c r="OW333" s="31"/>
      <c r="OX333" s="31"/>
    </row>
    <row r="334" spans="2:414" s="25" customFormat="1" ht="15.6">
      <c r="B334" s="25" t="s">
        <v>510</v>
      </c>
      <c r="C334" s="27" t="s">
        <v>511</v>
      </c>
      <c r="D334" s="30" t="s">
        <v>489</v>
      </c>
      <c r="G334" s="42">
        <v>500</v>
      </c>
      <c r="H334" s="89">
        <v>26.109000000000002</v>
      </c>
      <c r="I334" s="38">
        <f t="shared" si="116"/>
        <v>13054.5</v>
      </c>
      <c r="K334" s="42">
        <v>500</v>
      </c>
      <c r="L334" s="90">
        <v>26.849599999999999</v>
      </c>
      <c r="M334" s="38">
        <f t="shared" si="117"/>
        <v>13424.8</v>
      </c>
      <c r="O334" s="38">
        <v>80</v>
      </c>
      <c r="P334" s="38">
        <v>26.728300000000001</v>
      </c>
      <c r="Q334" s="38">
        <f t="shared" si="118"/>
        <v>2138.2640000000001</v>
      </c>
      <c r="R334" s="43">
        <f t="shared" si="114"/>
        <v>1080</v>
      </c>
      <c r="S334" s="38">
        <f t="shared" si="119"/>
        <v>28617.563999999998</v>
      </c>
      <c r="T334" s="49"/>
      <c r="U334" s="42"/>
      <c r="V334" s="38">
        <f t="shared" si="107"/>
        <v>0</v>
      </c>
      <c r="W334" s="42"/>
      <c r="X334" s="42"/>
      <c r="Y334" s="42">
        <f t="shared" si="110"/>
        <v>0</v>
      </c>
      <c r="Z334" s="42"/>
      <c r="AA334" s="42"/>
      <c r="AB334" s="42">
        <f t="shared" si="125"/>
        <v>0</v>
      </c>
      <c r="AD334" s="42"/>
      <c r="AE334" s="42"/>
      <c r="AF334" s="42">
        <f t="shared" si="109"/>
        <v>0</v>
      </c>
      <c r="AG334" s="42"/>
      <c r="AH334" s="42"/>
      <c r="AI334" s="42"/>
      <c r="AJ334" s="42">
        <f t="shared" si="115"/>
        <v>0</v>
      </c>
      <c r="AL334" s="42"/>
      <c r="AM334" s="42"/>
      <c r="AN334" s="42"/>
      <c r="AO334" s="44"/>
      <c r="AP334" s="42"/>
      <c r="AQ334" s="42"/>
      <c r="AR334" s="42"/>
      <c r="AU334" s="98"/>
      <c r="AV334" s="35"/>
      <c r="AW334" s="104"/>
      <c r="AX334" s="42"/>
      <c r="AY334" s="42"/>
      <c r="AZ334" s="42">
        <f t="shared" si="113"/>
        <v>0</v>
      </c>
      <c r="BA334" s="42"/>
      <c r="BB334" s="42"/>
      <c r="BC334" s="42"/>
      <c r="BD334" s="38">
        <f t="shared" si="120"/>
        <v>0</v>
      </c>
      <c r="BE334" s="42"/>
      <c r="BF334" s="42"/>
      <c r="BG334" s="42"/>
      <c r="BH334" s="38">
        <f t="shared" si="121"/>
        <v>0</v>
      </c>
      <c r="BI334" s="42"/>
      <c r="BJ334" s="42"/>
      <c r="BK334" s="42"/>
      <c r="BL334" s="38">
        <f t="shared" si="122"/>
        <v>0</v>
      </c>
      <c r="BM334" s="42"/>
      <c r="BN334" s="42"/>
      <c r="BO334" s="42"/>
      <c r="BP334" s="42"/>
      <c r="BR334" s="42">
        <f t="shared" si="123"/>
        <v>0</v>
      </c>
      <c r="BS334" s="43">
        <f t="shared" si="124"/>
        <v>28617.563999999998</v>
      </c>
      <c r="BT334" s="42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  <c r="FM334" s="31"/>
      <c r="FN334" s="31"/>
      <c r="FO334" s="31"/>
      <c r="FP334" s="31"/>
      <c r="FQ334" s="31"/>
      <c r="FR334" s="31"/>
      <c r="FS334" s="31"/>
      <c r="FT334" s="31"/>
      <c r="FU334" s="31"/>
      <c r="FV334" s="31"/>
      <c r="FW334" s="31"/>
      <c r="FX334" s="31"/>
      <c r="FY334" s="31"/>
      <c r="FZ334" s="31"/>
      <c r="GA334" s="31"/>
      <c r="GB334" s="31"/>
      <c r="GC334" s="31"/>
      <c r="GD334" s="31"/>
      <c r="GE334" s="31"/>
      <c r="GF334" s="31"/>
      <c r="GG334" s="31"/>
      <c r="GH334" s="31"/>
      <c r="GI334" s="31"/>
      <c r="GJ334" s="31"/>
      <c r="GK334" s="31"/>
      <c r="GL334" s="31"/>
      <c r="GM334" s="31"/>
      <c r="GN334" s="31"/>
      <c r="GO334" s="31"/>
      <c r="GP334" s="31"/>
      <c r="GQ334" s="31"/>
      <c r="GR334" s="31"/>
      <c r="GS334" s="31"/>
      <c r="GT334" s="31"/>
      <c r="GU334" s="31"/>
      <c r="GV334" s="31"/>
      <c r="GW334" s="31"/>
      <c r="GX334" s="31"/>
      <c r="GY334" s="31"/>
      <c r="GZ334" s="31"/>
      <c r="HA334" s="31"/>
      <c r="HB334" s="31"/>
      <c r="HC334" s="31"/>
      <c r="HD334" s="31"/>
      <c r="HE334" s="31"/>
      <c r="HF334" s="31"/>
      <c r="HG334" s="31"/>
      <c r="HH334" s="31"/>
      <c r="HI334" s="31"/>
      <c r="HJ334" s="31"/>
      <c r="HK334" s="31"/>
      <c r="HL334" s="31"/>
      <c r="HM334" s="31"/>
      <c r="HN334" s="31"/>
      <c r="HO334" s="31"/>
      <c r="HP334" s="31"/>
      <c r="HQ334" s="31"/>
      <c r="HR334" s="31"/>
      <c r="HS334" s="31"/>
      <c r="HT334" s="31"/>
      <c r="HU334" s="31"/>
      <c r="HV334" s="31"/>
      <c r="HW334" s="31"/>
      <c r="HX334" s="31"/>
      <c r="HY334" s="31"/>
      <c r="HZ334" s="31"/>
      <c r="IA334" s="31"/>
      <c r="IB334" s="31"/>
      <c r="IC334" s="31"/>
      <c r="ID334" s="31"/>
      <c r="IE334" s="31"/>
      <c r="IF334" s="31"/>
      <c r="IG334" s="31"/>
      <c r="IH334" s="31"/>
      <c r="II334" s="31"/>
      <c r="IJ334" s="31"/>
      <c r="IK334" s="31"/>
      <c r="IL334" s="31"/>
      <c r="IM334" s="31"/>
      <c r="IN334" s="31"/>
      <c r="IO334" s="31"/>
      <c r="IP334" s="31"/>
      <c r="IQ334" s="31"/>
      <c r="IR334" s="31"/>
      <c r="IS334" s="31"/>
      <c r="IT334" s="31"/>
      <c r="IU334" s="31"/>
      <c r="IV334" s="31"/>
      <c r="IW334" s="31"/>
      <c r="IX334" s="31"/>
      <c r="IY334" s="31"/>
      <c r="IZ334" s="31"/>
      <c r="JA334" s="31"/>
      <c r="JB334" s="31"/>
      <c r="JC334" s="31"/>
      <c r="JD334" s="31"/>
      <c r="JE334" s="31"/>
      <c r="JF334" s="31"/>
      <c r="JG334" s="31"/>
      <c r="JH334" s="31"/>
      <c r="JI334" s="31"/>
      <c r="JJ334" s="31"/>
      <c r="JK334" s="31"/>
      <c r="JL334" s="31"/>
      <c r="JM334" s="31"/>
      <c r="JN334" s="31"/>
      <c r="JO334" s="31"/>
      <c r="JP334" s="31"/>
      <c r="JQ334" s="31"/>
      <c r="JR334" s="31"/>
      <c r="JS334" s="31"/>
      <c r="JT334" s="31"/>
      <c r="JU334" s="31"/>
      <c r="JV334" s="31"/>
      <c r="JW334" s="31"/>
      <c r="JX334" s="31"/>
      <c r="JY334" s="31"/>
      <c r="JZ334" s="31"/>
      <c r="KA334" s="31"/>
      <c r="KB334" s="31"/>
      <c r="KC334" s="31"/>
      <c r="KD334" s="31"/>
      <c r="KE334" s="31"/>
      <c r="KF334" s="31"/>
      <c r="KG334" s="31"/>
      <c r="KH334" s="31"/>
      <c r="KI334" s="31"/>
      <c r="KJ334" s="31"/>
      <c r="KK334" s="31"/>
      <c r="KL334" s="31"/>
      <c r="KM334" s="31"/>
      <c r="KN334" s="31"/>
      <c r="KO334" s="31"/>
      <c r="KP334" s="31"/>
      <c r="KQ334" s="31"/>
      <c r="KR334" s="31"/>
      <c r="KS334" s="31"/>
      <c r="KT334" s="31"/>
      <c r="KU334" s="31"/>
      <c r="KV334" s="31"/>
      <c r="KW334" s="31"/>
      <c r="KX334" s="31"/>
      <c r="KY334" s="31"/>
      <c r="KZ334" s="31"/>
      <c r="LA334" s="31"/>
      <c r="LB334" s="31"/>
      <c r="LC334" s="31"/>
      <c r="LD334" s="31"/>
      <c r="LE334" s="31"/>
      <c r="LF334" s="31"/>
      <c r="LG334" s="31"/>
      <c r="LH334" s="31"/>
      <c r="LI334" s="31"/>
      <c r="LJ334" s="31"/>
      <c r="LK334" s="31"/>
      <c r="LL334" s="31"/>
      <c r="LM334" s="31"/>
      <c r="LN334" s="31"/>
      <c r="LO334" s="31"/>
      <c r="LP334" s="31"/>
      <c r="LQ334" s="31"/>
      <c r="LR334" s="31"/>
      <c r="LS334" s="31"/>
      <c r="LT334" s="31"/>
      <c r="LU334" s="31"/>
      <c r="LV334" s="31"/>
      <c r="LW334" s="31"/>
      <c r="LX334" s="31"/>
      <c r="LY334" s="31"/>
      <c r="LZ334" s="31"/>
      <c r="MA334" s="31"/>
      <c r="MB334" s="31"/>
      <c r="MC334" s="31"/>
      <c r="MD334" s="31"/>
      <c r="ME334" s="31"/>
      <c r="MF334" s="31"/>
      <c r="MG334" s="31"/>
      <c r="MH334" s="31"/>
      <c r="MI334" s="31"/>
      <c r="MJ334" s="31"/>
      <c r="MK334" s="31"/>
      <c r="ML334" s="31"/>
      <c r="MM334" s="31"/>
      <c r="MN334" s="31"/>
      <c r="MO334" s="31"/>
      <c r="MP334" s="31"/>
      <c r="MQ334" s="31"/>
      <c r="MR334" s="31"/>
      <c r="MS334" s="31"/>
      <c r="MT334" s="31"/>
      <c r="MU334" s="31"/>
      <c r="MV334" s="31"/>
      <c r="MW334" s="31"/>
      <c r="MX334" s="31"/>
      <c r="MY334" s="31"/>
      <c r="MZ334" s="31"/>
      <c r="NA334" s="31"/>
      <c r="NB334" s="31"/>
      <c r="NC334" s="31"/>
      <c r="ND334" s="31"/>
      <c r="NE334" s="31"/>
      <c r="NF334" s="31"/>
      <c r="NG334" s="31"/>
      <c r="NH334" s="31"/>
      <c r="NI334" s="31"/>
      <c r="NJ334" s="31"/>
      <c r="NK334" s="31"/>
      <c r="NL334" s="31"/>
      <c r="NM334" s="31"/>
      <c r="NN334" s="31"/>
      <c r="NO334" s="31"/>
      <c r="NP334" s="31"/>
      <c r="NQ334" s="31"/>
      <c r="NR334" s="31"/>
      <c r="NS334" s="31"/>
      <c r="NT334" s="31"/>
      <c r="NU334" s="31"/>
      <c r="NV334" s="31"/>
      <c r="NW334" s="31"/>
      <c r="NX334" s="31"/>
      <c r="NY334" s="31"/>
      <c r="NZ334" s="31"/>
      <c r="OA334" s="31"/>
      <c r="OB334" s="31"/>
      <c r="OC334" s="31"/>
      <c r="OD334" s="31"/>
      <c r="OE334" s="31"/>
      <c r="OF334" s="31"/>
      <c r="OG334" s="31"/>
      <c r="OH334" s="31"/>
      <c r="OI334" s="31"/>
      <c r="OJ334" s="31"/>
      <c r="OK334" s="31"/>
      <c r="OL334" s="31"/>
      <c r="OM334" s="31"/>
      <c r="ON334" s="31"/>
      <c r="OO334" s="31"/>
      <c r="OP334" s="31"/>
      <c r="OQ334" s="31"/>
      <c r="OR334" s="31"/>
      <c r="OS334" s="31"/>
      <c r="OT334" s="31"/>
      <c r="OU334" s="31"/>
      <c r="OV334" s="31"/>
      <c r="OW334" s="31"/>
      <c r="OX334" s="31"/>
    </row>
    <row r="335" spans="2:414" s="25" customFormat="1" ht="15.6">
      <c r="B335" s="25" t="s">
        <v>512</v>
      </c>
      <c r="C335" s="27" t="s">
        <v>513</v>
      </c>
      <c r="D335" s="30" t="s">
        <v>489</v>
      </c>
      <c r="G335" s="42">
        <v>500</v>
      </c>
      <c r="H335" s="89">
        <v>26.109000000000002</v>
      </c>
      <c r="I335" s="38">
        <f t="shared" si="116"/>
        <v>13054.5</v>
      </c>
      <c r="K335" s="42">
        <v>500</v>
      </c>
      <c r="L335" s="90">
        <v>26.849599999999999</v>
      </c>
      <c r="M335" s="38">
        <f t="shared" si="117"/>
        <v>13424.8</v>
      </c>
      <c r="O335" s="38">
        <v>80</v>
      </c>
      <c r="P335" s="38">
        <v>26.728300000000001</v>
      </c>
      <c r="Q335" s="38">
        <f t="shared" si="118"/>
        <v>2138.2640000000001</v>
      </c>
      <c r="R335" s="43">
        <f t="shared" si="114"/>
        <v>1080</v>
      </c>
      <c r="S335" s="38">
        <f t="shared" si="119"/>
        <v>28617.563999999998</v>
      </c>
      <c r="T335" s="49"/>
      <c r="U335" s="42"/>
      <c r="V335" s="38">
        <f t="shared" si="107"/>
        <v>0</v>
      </c>
      <c r="W335" s="42"/>
      <c r="X335" s="42"/>
      <c r="Y335" s="42">
        <f t="shared" si="110"/>
        <v>0</v>
      </c>
      <c r="Z335" s="42"/>
      <c r="AA335" s="42"/>
      <c r="AB335" s="42">
        <f t="shared" si="125"/>
        <v>0</v>
      </c>
      <c r="AD335" s="42"/>
      <c r="AE335" s="42"/>
      <c r="AF335" s="42">
        <f t="shared" si="109"/>
        <v>0</v>
      </c>
      <c r="AG335" s="42"/>
      <c r="AH335" s="42"/>
      <c r="AI335" s="42"/>
      <c r="AJ335" s="42">
        <f t="shared" si="115"/>
        <v>0</v>
      </c>
      <c r="AL335" s="42"/>
      <c r="AM335" s="42"/>
      <c r="AN335" s="42"/>
      <c r="AO335" s="44"/>
      <c r="AP335" s="42"/>
      <c r="AQ335" s="42"/>
      <c r="AR335" s="42"/>
      <c r="AU335" s="98"/>
      <c r="AV335" s="35"/>
      <c r="AW335" s="104"/>
      <c r="AX335" s="42"/>
      <c r="AY335" s="42"/>
      <c r="AZ335" s="42">
        <f t="shared" si="113"/>
        <v>0</v>
      </c>
      <c r="BA335" s="42"/>
      <c r="BB335" s="42"/>
      <c r="BC335" s="42"/>
      <c r="BD335" s="38">
        <f t="shared" si="120"/>
        <v>0</v>
      </c>
      <c r="BE335" s="42"/>
      <c r="BF335" s="42"/>
      <c r="BG335" s="42"/>
      <c r="BH335" s="38">
        <f t="shared" si="121"/>
        <v>0</v>
      </c>
      <c r="BI335" s="42"/>
      <c r="BJ335" s="42"/>
      <c r="BK335" s="42"/>
      <c r="BL335" s="38">
        <f t="shared" si="122"/>
        <v>0</v>
      </c>
      <c r="BM335" s="42"/>
      <c r="BN335" s="42"/>
      <c r="BO335" s="42"/>
      <c r="BP335" s="42"/>
      <c r="BR335" s="42">
        <f t="shared" si="123"/>
        <v>0</v>
      </c>
      <c r="BS335" s="43">
        <f t="shared" si="124"/>
        <v>28617.563999999998</v>
      </c>
      <c r="BT335" s="42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  <c r="FM335" s="31"/>
      <c r="FN335" s="31"/>
      <c r="FO335" s="31"/>
      <c r="FP335" s="31"/>
      <c r="FQ335" s="31"/>
      <c r="FR335" s="31"/>
      <c r="FS335" s="31"/>
      <c r="FT335" s="31"/>
      <c r="FU335" s="31"/>
      <c r="FV335" s="31"/>
      <c r="FW335" s="31"/>
      <c r="FX335" s="31"/>
      <c r="FY335" s="31"/>
      <c r="FZ335" s="31"/>
      <c r="GA335" s="31"/>
      <c r="GB335" s="31"/>
      <c r="GC335" s="31"/>
      <c r="GD335" s="31"/>
      <c r="GE335" s="31"/>
      <c r="GF335" s="31"/>
      <c r="GG335" s="31"/>
      <c r="GH335" s="31"/>
      <c r="GI335" s="31"/>
      <c r="GJ335" s="31"/>
      <c r="GK335" s="31"/>
      <c r="GL335" s="31"/>
      <c r="GM335" s="31"/>
      <c r="GN335" s="31"/>
      <c r="GO335" s="31"/>
      <c r="GP335" s="31"/>
      <c r="GQ335" s="31"/>
      <c r="GR335" s="31"/>
      <c r="GS335" s="31"/>
      <c r="GT335" s="31"/>
      <c r="GU335" s="31"/>
      <c r="GV335" s="31"/>
      <c r="GW335" s="31"/>
      <c r="GX335" s="31"/>
      <c r="GY335" s="31"/>
      <c r="GZ335" s="31"/>
      <c r="HA335" s="31"/>
      <c r="HB335" s="31"/>
      <c r="HC335" s="31"/>
      <c r="HD335" s="31"/>
      <c r="HE335" s="31"/>
      <c r="HF335" s="31"/>
      <c r="HG335" s="31"/>
      <c r="HH335" s="31"/>
      <c r="HI335" s="31"/>
      <c r="HJ335" s="31"/>
      <c r="HK335" s="31"/>
      <c r="HL335" s="31"/>
      <c r="HM335" s="31"/>
      <c r="HN335" s="31"/>
      <c r="HO335" s="31"/>
      <c r="HP335" s="31"/>
      <c r="HQ335" s="31"/>
      <c r="HR335" s="31"/>
      <c r="HS335" s="31"/>
      <c r="HT335" s="31"/>
      <c r="HU335" s="31"/>
      <c r="HV335" s="31"/>
      <c r="HW335" s="31"/>
      <c r="HX335" s="31"/>
      <c r="HY335" s="31"/>
      <c r="HZ335" s="31"/>
      <c r="IA335" s="31"/>
      <c r="IB335" s="31"/>
      <c r="IC335" s="31"/>
      <c r="ID335" s="31"/>
      <c r="IE335" s="31"/>
      <c r="IF335" s="31"/>
      <c r="IG335" s="31"/>
      <c r="IH335" s="31"/>
      <c r="II335" s="31"/>
      <c r="IJ335" s="31"/>
      <c r="IK335" s="31"/>
      <c r="IL335" s="31"/>
      <c r="IM335" s="31"/>
      <c r="IN335" s="31"/>
      <c r="IO335" s="31"/>
      <c r="IP335" s="31"/>
      <c r="IQ335" s="31"/>
      <c r="IR335" s="31"/>
      <c r="IS335" s="31"/>
      <c r="IT335" s="31"/>
      <c r="IU335" s="31"/>
      <c r="IV335" s="31"/>
      <c r="IW335" s="31"/>
      <c r="IX335" s="31"/>
      <c r="IY335" s="31"/>
      <c r="IZ335" s="31"/>
      <c r="JA335" s="31"/>
      <c r="JB335" s="31"/>
      <c r="JC335" s="31"/>
      <c r="JD335" s="31"/>
      <c r="JE335" s="31"/>
      <c r="JF335" s="31"/>
      <c r="JG335" s="31"/>
      <c r="JH335" s="31"/>
      <c r="JI335" s="31"/>
      <c r="JJ335" s="31"/>
      <c r="JK335" s="31"/>
      <c r="JL335" s="31"/>
      <c r="JM335" s="31"/>
      <c r="JN335" s="31"/>
      <c r="JO335" s="31"/>
      <c r="JP335" s="31"/>
      <c r="JQ335" s="31"/>
      <c r="JR335" s="31"/>
      <c r="JS335" s="31"/>
      <c r="JT335" s="31"/>
      <c r="JU335" s="31"/>
      <c r="JV335" s="31"/>
      <c r="JW335" s="31"/>
      <c r="JX335" s="31"/>
      <c r="JY335" s="31"/>
      <c r="JZ335" s="31"/>
      <c r="KA335" s="31"/>
      <c r="KB335" s="31"/>
      <c r="KC335" s="31"/>
      <c r="KD335" s="31"/>
      <c r="KE335" s="31"/>
      <c r="KF335" s="31"/>
      <c r="KG335" s="31"/>
      <c r="KH335" s="31"/>
      <c r="KI335" s="31"/>
      <c r="KJ335" s="31"/>
      <c r="KK335" s="31"/>
      <c r="KL335" s="31"/>
      <c r="KM335" s="31"/>
      <c r="KN335" s="31"/>
      <c r="KO335" s="31"/>
      <c r="KP335" s="31"/>
      <c r="KQ335" s="31"/>
      <c r="KR335" s="31"/>
      <c r="KS335" s="31"/>
      <c r="KT335" s="31"/>
      <c r="KU335" s="31"/>
      <c r="KV335" s="31"/>
      <c r="KW335" s="31"/>
      <c r="KX335" s="31"/>
      <c r="KY335" s="31"/>
      <c r="KZ335" s="31"/>
      <c r="LA335" s="31"/>
      <c r="LB335" s="31"/>
      <c r="LC335" s="31"/>
      <c r="LD335" s="31"/>
      <c r="LE335" s="31"/>
      <c r="LF335" s="31"/>
      <c r="LG335" s="31"/>
      <c r="LH335" s="31"/>
      <c r="LI335" s="31"/>
      <c r="LJ335" s="31"/>
      <c r="LK335" s="31"/>
      <c r="LL335" s="31"/>
      <c r="LM335" s="31"/>
      <c r="LN335" s="31"/>
      <c r="LO335" s="31"/>
      <c r="LP335" s="31"/>
      <c r="LQ335" s="31"/>
      <c r="LR335" s="31"/>
      <c r="LS335" s="31"/>
      <c r="LT335" s="31"/>
      <c r="LU335" s="31"/>
      <c r="LV335" s="31"/>
      <c r="LW335" s="31"/>
      <c r="LX335" s="31"/>
      <c r="LY335" s="31"/>
      <c r="LZ335" s="31"/>
      <c r="MA335" s="31"/>
      <c r="MB335" s="31"/>
      <c r="MC335" s="31"/>
      <c r="MD335" s="31"/>
      <c r="ME335" s="31"/>
      <c r="MF335" s="31"/>
      <c r="MG335" s="31"/>
      <c r="MH335" s="31"/>
      <c r="MI335" s="31"/>
      <c r="MJ335" s="31"/>
      <c r="MK335" s="31"/>
      <c r="ML335" s="31"/>
      <c r="MM335" s="31"/>
      <c r="MN335" s="31"/>
      <c r="MO335" s="31"/>
      <c r="MP335" s="31"/>
      <c r="MQ335" s="31"/>
      <c r="MR335" s="31"/>
      <c r="MS335" s="31"/>
      <c r="MT335" s="31"/>
      <c r="MU335" s="31"/>
      <c r="MV335" s="31"/>
      <c r="MW335" s="31"/>
      <c r="MX335" s="31"/>
      <c r="MY335" s="31"/>
      <c r="MZ335" s="31"/>
      <c r="NA335" s="31"/>
      <c r="NB335" s="31"/>
      <c r="NC335" s="31"/>
      <c r="ND335" s="31"/>
      <c r="NE335" s="31"/>
      <c r="NF335" s="31"/>
      <c r="NG335" s="31"/>
      <c r="NH335" s="31"/>
      <c r="NI335" s="31"/>
      <c r="NJ335" s="31"/>
      <c r="NK335" s="31"/>
      <c r="NL335" s="31"/>
      <c r="NM335" s="31"/>
      <c r="NN335" s="31"/>
      <c r="NO335" s="31"/>
      <c r="NP335" s="31"/>
      <c r="NQ335" s="31"/>
      <c r="NR335" s="31"/>
      <c r="NS335" s="31"/>
      <c r="NT335" s="31"/>
      <c r="NU335" s="31"/>
      <c r="NV335" s="31"/>
      <c r="NW335" s="31"/>
      <c r="NX335" s="31"/>
      <c r="NY335" s="31"/>
      <c r="NZ335" s="31"/>
      <c r="OA335" s="31"/>
      <c r="OB335" s="31"/>
      <c r="OC335" s="31"/>
      <c r="OD335" s="31"/>
      <c r="OE335" s="31"/>
      <c r="OF335" s="31"/>
      <c r="OG335" s="31"/>
      <c r="OH335" s="31"/>
      <c r="OI335" s="31"/>
      <c r="OJ335" s="31"/>
      <c r="OK335" s="31"/>
      <c r="OL335" s="31"/>
      <c r="OM335" s="31"/>
      <c r="ON335" s="31"/>
      <c r="OO335" s="31"/>
      <c r="OP335" s="31"/>
      <c r="OQ335" s="31"/>
      <c r="OR335" s="31"/>
      <c r="OS335" s="31"/>
      <c r="OT335" s="31"/>
      <c r="OU335" s="31"/>
      <c r="OV335" s="31"/>
      <c r="OW335" s="31"/>
      <c r="OX335" s="31"/>
    </row>
    <row r="336" spans="2:414" s="25" customFormat="1" ht="15.6">
      <c r="B336" s="25" t="s">
        <v>515</v>
      </c>
      <c r="C336" s="27" t="s">
        <v>190</v>
      </c>
      <c r="D336" s="30" t="s">
        <v>514</v>
      </c>
      <c r="G336" s="42">
        <v>500</v>
      </c>
      <c r="H336" s="89">
        <v>26.109000000000002</v>
      </c>
      <c r="I336" s="38">
        <f t="shared" si="116"/>
        <v>13054.5</v>
      </c>
      <c r="K336" s="42">
        <v>500</v>
      </c>
      <c r="L336" s="90">
        <v>26.849599999999999</v>
      </c>
      <c r="M336" s="38">
        <f t="shared" si="117"/>
        <v>13424.8</v>
      </c>
      <c r="O336" s="38">
        <v>80</v>
      </c>
      <c r="P336" s="38">
        <v>26.728300000000001</v>
      </c>
      <c r="Q336" s="38">
        <f t="shared" si="118"/>
        <v>2138.2640000000001</v>
      </c>
      <c r="R336" s="43">
        <f t="shared" si="114"/>
        <v>1080</v>
      </c>
      <c r="S336" s="38">
        <f t="shared" si="119"/>
        <v>28617.563999999998</v>
      </c>
      <c r="T336" s="49">
        <v>415</v>
      </c>
      <c r="U336" s="42"/>
      <c r="V336" s="38">
        <f t="shared" si="107"/>
        <v>0</v>
      </c>
      <c r="W336" s="42">
        <v>85</v>
      </c>
      <c r="X336" s="42"/>
      <c r="Y336" s="42">
        <f t="shared" si="110"/>
        <v>0</v>
      </c>
      <c r="Z336" s="42">
        <v>200</v>
      </c>
      <c r="AA336" s="42">
        <v>26.952500000000001</v>
      </c>
      <c r="AB336" s="42">
        <f t="shared" si="125"/>
        <v>5390.5</v>
      </c>
      <c r="AD336" s="42">
        <v>200</v>
      </c>
      <c r="AE336" s="42">
        <v>26.8095</v>
      </c>
      <c r="AF336" s="42">
        <f t="shared" si="109"/>
        <v>5361.9</v>
      </c>
      <c r="AG336" s="42"/>
      <c r="AH336" s="42">
        <v>100</v>
      </c>
      <c r="AI336" s="42">
        <v>26.956099999999999</v>
      </c>
      <c r="AJ336" s="42">
        <f t="shared" si="115"/>
        <v>2695.61</v>
      </c>
      <c r="AL336" s="42"/>
      <c r="AM336" s="42"/>
      <c r="AN336" s="42"/>
      <c r="AO336" s="44"/>
      <c r="AP336" s="42"/>
      <c r="AQ336" s="42"/>
      <c r="AR336" s="42"/>
      <c r="AU336" s="98"/>
      <c r="AV336" s="35"/>
      <c r="AW336" s="104"/>
      <c r="AX336" s="42"/>
      <c r="AY336" s="42"/>
      <c r="AZ336" s="42">
        <f t="shared" si="113"/>
        <v>0</v>
      </c>
      <c r="BA336" s="42"/>
      <c r="BB336" s="42"/>
      <c r="BC336" s="42"/>
      <c r="BD336" s="38">
        <f t="shared" si="120"/>
        <v>0</v>
      </c>
      <c r="BE336" s="42"/>
      <c r="BF336" s="42"/>
      <c r="BG336" s="42"/>
      <c r="BH336" s="38">
        <f t="shared" si="121"/>
        <v>0</v>
      </c>
      <c r="BI336" s="42"/>
      <c r="BJ336" s="42"/>
      <c r="BK336" s="42"/>
      <c r="BL336" s="38">
        <f t="shared" si="122"/>
        <v>0</v>
      </c>
      <c r="BM336" s="42"/>
      <c r="BN336" s="42"/>
      <c r="BO336" s="42"/>
      <c r="BP336" s="42"/>
      <c r="BR336" s="42">
        <f t="shared" si="123"/>
        <v>13448.01</v>
      </c>
      <c r="BS336" s="43">
        <f t="shared" si="124"/>
        <v>15169.553999999998</v>
      </c>
      <c r="BT336" s="42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  <c r="FM336" s="31"/>
      <c r="FN336" s="31"/>
      <c r="FO336" s="31"/>
      <c r="FP336" s="31"/>
      <c r="FQ336" s="31"/>
      <c r="FR336" s="31"/>
      <c r="FS336" s="31"/>
      <c r="FT336" s="31"/>
      <c r="FU336" s="31"/>
      <c r="FV336" s="31"/>
      <c r="FW336" s="31"/>
      <c r="FX336" s="31"/>
      <c r="FY336" s="31"/>
      <c r="FZ336" s="31"/>
      <c r="GA336" s="31"/>
      <c r="GB336" s="31"/>
      <c r="GC336" s="31"/>
      <c r="GD336" s="31"/>
      <c r="GE336" s="31"/>
      <c r="GF336" s="31"/>
      <c r="GG336" s="31"/>
      <c r="GH336" s="31"/>
      <c r="GI336" s="31"/>
      <c r="GJ336" s="31"/>
      <c r="GK336" s="31"/>
      <c r="GL336" s="31"/>
      <c r="GM336" s="31"/>
      <c r="GN336" s="31"/>
      <c r="GO336" s="31"/>
      <c r="GP336" s="31"/>
      <c r="GQ336" s="31"/>
      <c r="GR336" s="31"/>
      <c r="GS336" s="31"/>
      <c r="GT336" s="31"/>
      <c r="GU336" s="31"/>
      <c r="GV336" s="31"/>
      <c r="GW336" s="31"/>
      <c r="GX336" s="31"/>
      <c r="GY336" s="31"/>
      <c r="GZ336" s="31"/>
      <c r="HA336" s="31"/>
      <c r="HB336" s="31"/>
      <c r="HC336" s="31"/>
      <c r="HD336" s="31"/>
      <c r="HE336" s="31"/>
      <c r="HF336" s="31"/>
      <c r="HG336" s="31"/>
      <c r="HH336" s="31"/>
      <c r="HI336" s="31"/>
      <c r="HJ336" s="31"/>
      <c r="HK336" s="31"/>
      <c r="HL336" s="31"/>
      <c r="HM336" s="31"/>
      <c r="HN336" s="31"/>
      <c r="HO336" s="31"/>
      <c r="HP336" s="31"/>
      <c r="HQ336" s="31"/>
      <c r="HR336" s="31"/>
      <c r="HS336" s="31"/>
      <c r="HT336" s="31"/>
      <c r="HU336" s="31"/>
      <c r="HV336" s="31"/>
      <c r="HW336" s="31"/>
      <c r="HX336" s="31"/>
      <c r="HY336" s="31"/>
      <c r="HZ336" s="31"/>
      <c r="IA336" s="31"/>
      <c r="IB336" s="31"/>
      <c r="IC336" s="31"/>
      <c r="ID336" s="31"/>
      <c r="IE336" s="31"/>
      <c r="IF336" s="31"/>
      <c r="IG336" s="31"/>
      <c r="IH336" s="31"/>
      <c r="II336" s="31"/>
      <c r="IJ336" s="31"/>
      <c r="IK336" s="31"/>
      <c r="IL336" s="31"/>
      <c r="IM336" s="31"/>
      <c r="IN336" s="31"/>
      <c r="IO336" s="31"/>
      <c r="IP336" s="31"/>
      <c r="IQ336" s="31"/>
      <c r="IR336" s="31"/>
      <c r="IS336" s="31"/>
      <c r="IT336" s="31"/>
      <c r="IU336" s="31"/>
      <c r="IV336" s="31"/>
      <c r="IW336" s="31"/>
      <c r="IX336" s="31"/>
      <c r="IY336" s="31"/>
      <c r="IZ336" s="31"/>
      <c r="JA336" s="31"/>
      <c r="JB336" s="31"/>
      <c r="JC336" s="31"/>
      <c r="JD336" s="31"/>
      <c r="JE336" s="31"/>
      <c r="JF336" s="31"/>
      <c r="JG336" s="31"/>
      <c r="JH336" s="31"/>
      <c r="JI336" s="31"/>
      <c r="JJ336" s="31"/>
      <c r="JK336" s="31"/>
      <c r="JL336" s="31"/>
      <c r="JM336" s="31"/>
      <c r="JN336" s="31"/>
      <c r="JO336" s="31"/>
      <c r="JP336" s="31"/>
      <c r="JQ336" s="31"/>
      <c r="JR336" s="31"/>
      <c r="JS336" s="31"/>
      <c r="JT336" s="31"/>
      <c r="JU336" s="31"/>
      <c r="JV336" s="31"/>
      <c r="JW336" s="31"/>
      <c r="JX336" s="31"/>
      <c r="JY336" s="31"/>
      <c r="JZ336" s="31"/>
      <c r="KA336" s="31"/>
      <c r="KB336" s="31"/>
      <c r="KC336" s="31"/>
      <c r="KD336" s="31"/>
      <c r="KE336" s="31"/>
      <c r="KF336" s="31"/>
      <c r="KG336" s="31"/>
      <c r="KH336" s="31"/>
      <c r="KI336" s="31"/>
      <c r="KJ336" s="31"/>
      <c r="KK336" s="31"/>
      <c r="KL336" s="31"/>
      <c r="KM336" s="31"/>
      <c r="KN336" s="31"/>
      <c r="KO336" s="31"/>
      <c r="KP336" s="31"/>
      <c r="KQ336" s="31"/>
      <c r="KR336" s="31"/>
      <c r="KS336" s="31"/>
      <c r="KT336" s="31"/>
      <c r="KU336" s="31"/>
      <c r="KV336" s="31"/>
      <c r="KW336" s="31"/>
      <c r="KX336" s="31"/>
      <c r="KY336" s="31"/>
      <c r="KZ336" s="31"/>
      <c r="LA336" s="31"/>
      <c r="LB336" s="31"/>
      <c r="LC336" s="31"/>
      <c r="LD336" s="31"/>
      <c r="LE336" s="31"/>
      <c r="LF336" s="31"/>
      <c r="LG336" s="31"/>
      <c r="LH336" s="31"/>
      <c r="LI336" s="31"/>
      <c r="LJ336" s="31"/>
      <c r="LK336" s="31"/>
      <c r="LL336" s="31"/>
      <c r="LM336" s="31"/>
      <c r="LN336" s="31"/>
      <c r="LO336" s="31"/>
      <c r="LP336" s="31"/>
      <c r="LQ336" s="31"/>
      <c r="LR336" s="31"/>
      <c r="LS336" s="31"/>
      <c r="LT336" s="31"/>
      <c r="LU336" s="31"/>
      <c r="LV336" s="31"/>
      <c r="LW336" s="31"/>
      <c r="LX336" s="31"/>
      <c r="LY336" s="31"/>
      <c r="LZ336" s="31"/>
      <c r="MA336" s="31"/>
      <c r="MB336" s="31"/>
      <c r="MC336" s="31"/>
      <c r="MD336" s="31"/>
      <c r="ME336" s="31"/>
      <c r="MF336" s="31"/>
      <c r="MG336" s="31"/>
      <c r="MH336" s="31"/>
      <c r="MI336" s="31"/>
      <c r="MJ336" s="31"/>
      <c r="MK336" s="31"/>
      <c r="ML336" s="31"/>
      <c r="MM336" s="31"/>
      <c r="MN336" s="31"/>
      <c r="MO336" s="31"/>
      <c r="MP336" s="31"/>
      <c r="MQ336" s="31"/>
      <c r="MR336" s="31"/>
      <c r="MS336" s="31"/>
      <c r="MT336" s="31"/>
      <c r="MU336" s="31"/>
      <c r="MV336" s="31"/>
      <c r="MW336" s="31"/>
      <c r="MX336" s="31"/>
      <c r="MY336" s="31"/>
      <c r="MZ336" s="31"/>
      <c r="NA336" s="31"/>
      <c r="NB336" s="31"/>
      <c r="NC336" s="31"/>
      <c r="ND336" s="31"/>
      <c r="NE336" s="31"/>
      <c r="NF336" s="31"/>
      <c r="NG336" s="31"/>
      <c r="NH336" s="31"/>
      <c r="NI336" s="31"/>
      <c r="NJ336" s="31"/>
      <c r="NK336" s="31"/>
      <c r="NL336" s="31"/>
      <c r="NM336" s="31"/>
      <c r="NN336" s="31"/>
      <c r="NO336" s="31"/>
      <c r="NP336" s="31"/>
      <c r="NQ336" s="31"/>
      <c r="NR336" s="31"/>
      <c r="NS336" s="31"/>
      <c r="NT336" s="31"/>
      <c r="NU336" s="31"/>
      <c r="NV336" s="31"/>
      <c r="NW336" s="31"/>
      <c r="NX336" s="31"/>
      <c r="NY336" s="31"/>
      <c r="NZ336" s="31"/>
      <c r="OA336" s="31"/>
      <c r="OB336" s="31"/>
      <c r="OC336" s="31"/>
      <c r="OD336" s="31"/>
      <c r="OE336" s="31"/>
      <c r="OF336" s="31"/>
      <c r="OG336" s="31"/>
      <c r="OH336" s="31"/>
      <c r="OI336" s="31"/>
      <c r="OJ336" s="31"/>
      <c r="OK336" s="31"/>
      <c r="OL336" s="31"/>
      <c r="OM336" s="31"/>
      <c r="ON336" s="31"/>
      <c r="OO336" s="31"/>
      <c r="OP336" s="31"/>
      <c r="OQ336" s="31"/>
      <c r="OR336" s="31"/>
      <c r="OS336" s="31"/>
      <c r="OT336" s="31"/>
      <c r="OU336" s="31"/>
      <c r="OV336" s="31"/>
      <c r="OW336" s="31"/>
      <c r="OX336" s="31"/>
    </row>
    <row r="337" spans="1:414" s="25" customFormat="1" ht="15.6">
      <c r="B337" s="25" t="s">
        <v>307</v>
      </c>
      <c r="C337" s="27" t="s">
        <v>516</v>
      </c>
      <c r="D337" s="30" t="s">
        <v>514</v>
      </c>
      <c r="G337" s="42">
        <v>500</v>
      </c>
      <c r="H337" s="89">
        <v>26.109000000000002</v>
      </c>
      <c r="I337" s="38">
        <f t="shared" si="116"/>
        <v>13054.5</v>
      </c>
      <c r="K337" s="42">
        <v>500</v>
      </c>
      <c r="L337" s="90">
        <v>26.849599999999999</v>
      </c>
      <c r="M337" s="38">
        <f t="shared" si="117"/>
        <v>13424.8</v>
      </c>
      <c r="O337" s="38">
        <v>80</v>
      </c>
      <c r="P337" s="38">
        <v>26.728300000000001</v>
      </c>
      <c r="Q337" s="38">
        <f t="shared" si="118"/>
        <v>2138.2640000000001</v>
      </c>
      <c r="R337" s="43">
        <f t="shared" si="114"/>
        <v>1080</v>
      </c>
      <c r="S337" s="38">
        <f t="shared" si="119"/>
        <v>28617.563999999998</v>
      </c>
      <c r="T337" s="49">
        <v>230</v>
      </c>
      <c r="U337" s="42">
        <v>26.3813</v>
      </c>
      <c r="V337" s="38">
        <f t="shared" si="107"/>
        <v>6067.6989999999996</v>
      </c>
      <c r="W337" s="42">
        <v>85</v>
      </c>
      <c r="X337" s="42">
        <v>26.350200000000001</v>
      </c>
      <c r="Y337" s="42">
        <f t="shared" si="110"/>
        <v>2239.7670000000003</v>
      </c>
      <c r="Z337" s="42">
        <v>85</v>
      </c>
      <c r="AA337" s="42">
        <v>26.3813</v>
      </c>
      <c r="AB337" s="42">
        <f t="shared" si="125"/>
        <v>2242.4105</v>
      </c>
      <c r="AD337" s="42">
        <v>250</v>
      </c>
      <c r="AE337" s="42">
        <v>26.979600000000001</v>
      </c>
      <c r="AF337" s="42">
        <f t="shared" si="109"/>
        <v>6744.9000000000005</v>
      </c>
      <c r="AG337" s="42"/>
      <c r="AH337" s="42">
        <v>250</v>
      </c>
      <c r="AI337" s="42">
        <v>26.979600000000001</v>
      </c>
      <c r="AJ337" s="42">
        <f t="shared" si="115"/>
        <v>6744.9000000000005</v>
      </c>
      <c r="AL337" s="42"/>
      <c r="AM337" s="42"/>
      <c r="AN337" s="42"/>
      <c r="AO337" s="44"/>
      <c r="AP337" s="42"/>
      <c r="AQ337" s="42"/>
      <c r="AR337" s="42"/>
      <c r="AU337" s="98"/>
      <c r="AV337" s="35"/>
      <c r="AW337" s="104"/>
      <c r="AX337" s="42"/>
      <c r="AY337" s="42"/>
      <c r="AZ337" s="42">
        <f t="shared" si="113"/>
        <v>0</v>
      </c>
      <c r="BA337" s="42"/>
      <c r="BB337" s="42"/>
      <c r="BC337" s="42"/>
      <c r="BD337" s="38">
        <f t="shared" si="120"/>
        <v>0</v>
      </c>
      <c r="BE337" s="42"/>
      <c r="BF337" s="42"/>
      <c r="BG337" s="42"/>
      <c r="BH337" s="38">
        <f t="shared" si="121"/>
        <v>0</v>
      </c>
      <c r="BI337" s="42"/>
      <c r="BJ337" s="42"/>
      <c r="BK337" s="42"/>
      <c r="BL337" s="38">
        <f t="shared" si="122"/>
        <v>0</v>
      </c>
      <c r="BM337" s="42"/>
      <c r="BN337" s="42"/>
      <c r="BO337" s="42"/>
      <c r="BP337" s="42"/>
      <c r="BR337" s="42">
        <f t="shared" si="123"/>
        <v>24039.676500000001</v>
      </c>
      <c r="BS337" s="43">
        <f t="shared" si="124"/>
        <v>4577.8874999999971</v>
      </c>
      <c r="BT337" s="42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  <c r="FM337" s="31"/>
      <c r="FN337" s="31"/>
      <c r="FO337" s="31"/>
      <c r="FP337" s="31"/>
      <c r="FQ337" s="31"/>
      <c r="FR337" s="31"/>
      <c r="FS337" s="31"/>
      <c r="FT337" s="31"/>
      <c r="FU337" s="31"/>
      <c r="FV337" s="31"/>
      <c r="FW337" s="31"/>
      <c r="FX337" s="31"/>
      <c r="FY337" s="31"/>
      <c r="FZ337" s="31"/>
      <c r="GA337" s="31"/>
      <c r="GB337" s="31"/>
      <c r="GC337" s="31"/>
      <c r="GD337" s="31"/>
      <c r="GE337" s="31"/>
      <c r="GF337" s="31"/>
      <c r="GG337" s="31"/>
      <c r="GH337" s="31"/>
      <c r="GI337" s="31"/>
      <c r="GJ337" s="31"/>
      <c r="GK337" s="31"/>
      <c r="GL337" s="31"/>
      <c r="GM337" s="31"/>
      <c r="GN337" s="31"/>
      <c r="GO337" s="31"/>
      <c r="GP337" s="31"/>
      <c r="GQ337" s="31"/>
      <c r="GR337" s="31"/>
      <c r="GS337" s="31"/>
      <c r="GT337" s="31"/>
      <c r="GU337" s="31"/>
      <c r="GV337" s="31"/>
      <c r="GW337" s="31"/>
      <c r="GX337" s="31"/>
      <c r="GY337" s="31"/>
      <c r="GZ337" s="31"/>
      <c r="HA337" s="31"/>
      <c r="HB337" s="31"/>
      <c r="HC337" s="31"/>
      <c r="HD337" s="31"/>
      <c r="HE337" s="31"/>
      <c r="HF337" s="31"/>
      <c r="HG337" s="31"/>
      <c r="HH337" s="31"/>
      <c r="HI337" s="31"/>
      <c r="HJ337" s="31"/>
      <c r="HK337" s="31"/>
      <c r="HL337" s="31"/>
      <c r="HM337" s="31"/>
      <c r="HN337" s="31"/>
      <c r="HO337" s="31"/>
      <c r="HP337" s="31"/>
      <c r="HQ337" s="31"/>
      <c r="HR337" s="31"/>
      <c r="HS337" s="31"/>
      <c r="HT337" s="31"/>
      <c r="HU337" s="31"/>
      <c r="HV337" s="31"/>
      <c r="HW337" s="31"/>
      <c r="HX337" s="31"/>
      <c r="HY337" s="31"/>
      <c r="HZ337" s="31"/>
      <c r="IA337" s="31"/>
      <c r="IB337" s="31"/>
      <c r="IC337" s="31"/>
      <c r="ID337" s="31"/>
      <c r="IE337" s="31"/>
      <c r="IF337" s="31"/>
      <c r="IG337" s="31"/>
      <c r="IH337" s="31"/>
      <c r="II337" s="31"/>
      <c r="IJ337" s="31"/>
      <c r="IK337" s="31"/>
      <c r="IL337" s="31"/>
      <c r="IM337" s="31"/>
      <c r="IN337" s="31"/>
      <c r="IO337" s="31"/>
      <c r="IP337" s="31"/>
      <c r="IQ337" s="31"/>
      <c r="IR337" s="31"/>
      <c r="IS337" s="31"/>
      <c r="IT337" s="31"/>
      <c r="IU337" s="31"/>
      <c r="IV337" s="31"/>
      <c r="IW337" s="31"/>
      <c r="IX337" s="31"/>
      <c r="IY337" s="31"/>
      <c r="IZ337" s="31"/>
      <c r="JA337" s="31"/>
      <c r="JB337" s="31"/>
      <c r="JC337" s="31"/>
      <c r="JD337" s="31"/>
      <c r="JE337" s="31"/>
      <c r="JF337" s="31"/>
      <c r="JG337" s="31"/>
      <c r="JH337" s="31"/>
      <c r="JI337" s="31"/>
      <c r="JJ337" s="31"/>
      <c r="JK337" s="31"/>
      <c r="JL337" s="31"/>
      <c r="JM337" s="31"/>
      <c r="JN337" s="31"/>
      <c r="JO337" s="31"/>
      <c r="JP337" s="31"/>
      <c r="JQ337" s="31"/>
      <c r="JR337" s="31"/>
      <c r="JS337" s="31"/>
      <c r="JT337" s="31"/>
      <c r="JU337" s="31"/>
      <c r="JV337" s="31"/>
      <c r="JW337" s="31"/>
      <c r="JX337" s="31"/>
      <c r="JY337" s="31"/>
      <c r="JZ337" s="31"/>
      <c r="KA337" s="31"/>
      <c r="KB337" s="31"/>
      <c r="KC337" s="31"/>
      <c r="KD337" s="31"/>
      <c r="KE337" s="31"/>
      <c r="KF337" s="31"/>
      <c r="KG337" s="31"/>
      <c r="KH337" s="31"/>
      <c r="KI337" s="31"/>
      <c r="KJ337" s="31"/>
      <c r="KK337" s="31"/>
      <c r="KL337" s="31"/>
      <c r="KM337" s="31"/>
      <c r="KN337" s="31"/>
      <c r="KO337" s="31"/>
      <c r="KP337" s="31"/>
      <c r="KQ337" s="31"/>
      <c r="KR337" s="31"/>
      <c r="KS337" s="31"/>
      <c r="KT337" s="31"/>
      <c r="KU337" s="31"/>
      <c r="KV337" s="31"/>
      <c r="KW337" s="31"/>
      <c r="KX337" s="31"/>
      <c r="KY337" s="31"/>
      <c r="KZ337" s="31"/>
      <c r="LA337" s="31"/>
      <c r="LB337" s="31"/>
      <c r="LC337" s="31"/>
      <c r="LD337" s="31"/>
      <c r="LE337" s="31"/>
      <c r="LF337" s="31"/>
      <c r="LG337" s="31"/>
      <c r="LH337" s="31"/>
      <c r="LI337" s="31"/>
      <c r="LJ337" s="31"/>
      <c r="LK337" s="31"/>
      <c r="LL337" s="31"/>
      <c r="LM337" s="31"/>
      <c r="LN337" s="31"/>
      <c r="LO337" s="31"/>
      <c r="LP337" s="31"/>
      <c r="LQ337" s="31"/>
      <c r="LR337" s="31"/>
      <c r="LS337" s="31"/>
      <c r="LT337" s="31"/>
      <c r="LU337" s="31"/>
      <c r="LV337" s="31"/>
      <c r="LW337" s="31"/>
      <c r="LX337" s="31"/>
      <c r="LY337" s="31"/>
      <c r="LZ337" s="31"/>
      <c r="MA337" s="31"/>
      <c r="MB337" s="31"/>
      <c r="MC337" s="31"/>
      <c r="MD337" s="31"/>
      <c r="ME337" s="31"/>
      <c r="MF337" s="31"/>
      <c r="MG337" s="31"/>
      <c r="MH337" s="31"/>
      <c r="MI337" s="31"/>
      <c r="MJ337" s="31"/>
      <c r="MK337" s="31"/>
      <c r="ML337" s="31"/>
      <c r="MM337" s="31"/>
      <c r="MN337" s="31"/>
      <c r="MO337" s="31"/>
      <c r="MP337" s="31"/>
      <c r="MQ337" s="31"/>
      <c r="MR337" s="31"/>
      <c r="MS337" s="31"/>
      <c r="MT337" s="31"/>
      <c r="MU337" s="31"/>
      <c r="MV337" s="31"/>
      <c r="MW337" s="31"/>
      <c r="MX337" s="31"/>
      <c r="MY337" s="31"/>
      <c r="MZ337" s="31"/>
      <c r="NA337" s="31"/>
      <c r="NB337" s="31"/>
      <c r="NC337" s="31"/>
      <c r="ND337" s="31"/>
      <c r="NE337" s="31"/>
      <c r="NF337" s="31"/>
      <c r="NG337" s="31"/>
      <c r="NH337" s="31"/>
      <c r="NI337" s="31"/>
      <c r="NJ337" s="31"/>
      <c r="NK337" s="31"/>
      <c r="NL337" s="31"/>
      <c r="NM337" s="31"/>
      <c r="NN337" s="31"/>
      <c r="NO337" s="31"/>
      <c r="NP337" s="31"/>
      <c r="NQ337" s="31"/>
      <c r="NR337" s="31"/>
      <c r="NS337" s="31"/>
      <c r="NT337" s="31"/>
      <c r="NU337" s="31"/>
      <c r="NV337" s="31"/>
      <c r="NW337" s="31"/>
      <c r="NX337" s="31"/>
      <c r="NY337" s="31"/>
      <c r="NZ337" s="31"/>
      <c r="OA337" s="31"/>
      <c r="OB337" s="31"/>
      <c r="OC337" s="31"/>
      <c r="OD337" s="31"/>
      <c r="OE337" s="31"/>
      <c r="OF337" s="31"/>
      <c r="OG337" s="31"/>
      <c r="OH337" s="31"/>
      <c r="OI337" s="31"/>
      <c r="OJ337" s="31"/>
      <c r="OK337" s="31"/>
      <c r="OL337" s="31"/>
      <c r="OM337" s="31"/>
      <c r="ON337" s="31"/>
      <c r="OO337" s="31"/>
      <c r="OP337" s="31"/>
      <c r="OQ337" s="31"/>
      <c r="OR337" s="31"/>
      <c r="OS337" s="31"/>
      <c r="OT337" s="31"/>
      <c r="OU337" s="31"/>
      <c r="OV337" s="31"/>
      <c r="OW337" s="31"/>
      <c r="OX337" s="31"/>
    </row>
    <row r="338" spans="1:414" s="25" customFormat="1" ht="15.6">
      <c r="B338" s="25" t="s">
        <v>926</v>
      </c>
      <c r="C338" s="27" t="s">
        <v>927</v>
      </c>
      <c r="D338" s="30"/>
      <c r="G338" s="42"/>
      <c r="H338" s="89"/>
      <c r="I338" s="38"/>
      <c r="K338" s="42"/>
      <c r="L338" s="90"/>
      <c r="M338" s="38"/>
      <c r="O338" s="42"/>
      <c r="P338" s="38"/>
      <c r="Q338" s="38"/>
      <c r="R338" s="43"/>
      <c r="S338" s="38"/>
      <c r="T338" s="49">
        <v>440</v>
      </c>
      <c r="U338" s="42">
        <v>26.141100000000002</v>
      </c>
      <c r="V338" s="38">
        <f t="shared" si="107"/>
        <v>11502.084000000001</v>
      </c>
      <c r="W338" s="42"/>
      <c r="X338" s="42"/>
      <c r="Y338" s="42">
        <f t="shared" si="110"/>
        <v>0</v>
      </c>
      <c r="Z338" s="42"/>
      <c r="AA338" s="42"/>
      <c r="AB338" s="42">
        <f t="shared" si="125"/>
        <v>0</v>
      </c>
      <c r="AD338" s="42"/>
      <c r="AE338" s="42"/>
      <c r="AF338" s="42">
        <f t="shared" si="109"/>
        <v>0</v>
      </c>
      <c r="AG338" s="42"/>
      <c r="AH338" s="42"/>
      <c r="AI338" s="42"/>
      <c r="AJ338" s="42">
        <f t="shared" si="115"/>
        <v>0</v>
      </c>
      <c r="AL338" s="42"/>
      <c r="AM338" s="42"/>
      <c r="AN338" s="42"/>
      <c r="AO338" s="44"/>
      <c r="AP338" s="42"/>
      <c r="AQ338" s="42"/>
      <c r="AR338" s="42"/>
      <c r="AU338" s="98"/>
      <c r="AV338" s="35"/>
      <c r="AW338" s="104"/>
      <c r="AX338" s="42"/>
      <c r="AY338" s="42"/>
      <c r="AZ338" s="42">
        <f t="shared" si="113"/>
        <v>0</v>
      </c>
      <c r="BA338" s="42"/>
      <c r="BB338" s="42"/>
      <c r="BC338" s="42"/>
      <c r="BD338" s="38">
        <f t="shared" si="120"/>
        <v>0</v>
      </c>
      <c r="BE338" s="42"/>
      <c r="BF338" s="42"/>
      <c r="BG338" s="42"/>
      <c r="BH338" s="38">
        <f t="shared" si="121"/>
        <v>0</v>
      </c>
      <c r="BI338" s="42"/>
      <c r="BJ338" s="42"/>
      <c r="BK338" s="42"/>
      <c r="BL338" s="38">
        <f t="shared" si="122"/>
        <v>0</v>
      </c>
      <c r="BM338" s="42"/>
      <c r="BN338" s="42"/>
      <c r="BO338" s="42"/>
      <c r="BP338" s="42"/>
      <c r="BR338" s="42"/>
      <c r="BS338" s="43"/>
      <c r="BT338" s="42">
        <v>11502.08</v>
      </c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  <c r="FM338" s="31"/>
      <c r="FN338" s="31"/>
      <c r="FO338" s="31"/>
      <c r="FP338" s="31"/>
      <c r="FQ338" s="31"/>
      <c r="FR338" s="31"/>
      <c r="FS338" s="31"/>
      <c r="FT338" s="31"/>
      <c r="FU338" s="31"/>
      <c r="FV338" s="31"/>
      <c r="FW338" s="31"/>
      <c r="FX338" s="31"/>
      <c r="FY338" s="31"/>
      <c r="FZ338" s="31"/>
      <c r="GA338" s="31"/>
      <c r="GB338" s="31"/>
      <c r="GC338" s="31"/>
      <c r="GD338" s="31"/>
      <c r="GE338" s="31"/>
      <c r="GF338" s="31"/>
      <c r="GG338" s="31"/>
      <c r="GH338" s="31"/>
      <c r="GI338" s="31"/>
      <c r="GJ338" s="31"/>
      <c r="GK338" s="31"/>
      <c r="GL338" s="31"/>
      <c r="GM338" s="31"/>
      <c r="GN338" s="31"/>
      <c r="GO338" s="31"/>
      <c r="GP338" s="31"/>
      <c r="GQ338" s="31"/>
      <c r="GR338" s="31"/>
      <c r="GS338" s="31"/>
      <c r="GT338" s="31"/>
      <c r="GU338" s="31"/>
      <c r="GV338" s="31"/>
      <c r="GW338" s="31"/>
      <c r="GX338" s="31"/>
      <c r="GY338" s="31"/>
      <c r="GZ338" s="31"/>
      <c r="HA338" s="31"/>
      <c r="HB338" s="31"/>
      <c r="HC338" s="31"/>
      <c r="HD338" s="31"/>
      <c r="HE338" s="31"/>
      <c r="HF338" s="31"/>
      <c r="HG338" s="31"/>
      <c r="HH338" s="31"/>
      <c r="HI338" s="31"/>
      <c r="HJ338" s="31"/>
      <c r="HK338" s="31"/>
      <c r="HL338" s="31"/>
      <c r="HM338" s="31"/>
      <c r="HN338" s="31"/>
      <c r="HO338" s="31"/>
      <c r="HP338" s="31"/>
      <c r="HQ338" s="31"/>
      <c r="HR338" s="31"/>
      <c r="HS338" s="31"/>
      <c r="HT338" s="31"/>
      <c r="HU338" s="31"/>
      <c r="HV338" s="31"/>
      <c r="HW338" s="31"/>
      <c r="HX338" s="31"/>
      <c r="HY338" s="31"/>
      <c r="HZ338" s="31"/>
      <c r="IA338" s="31"/>
      <c r="IB338" s="31"/>
      <c r="IC338" s="31"/>
      <c r="ID338" s="31"/>
      <c r="IE338" s="31"/>
      <c r="IF338" s="31"/>
      <c r="IG338" s="31"/>
      <c r="IH338" s="31"/>
      <c r="II338" s="31"/>
      <c r="IJ338" s="31"/>
      <c r="IK338" s="31"/>
      <c r="IL338" s="31"/>
      <c r="IM338" s="31"/>
      <c r="IN338" s="31"/>
      <c r="IO338" s="31"/>
      <c r="IP338" s="31"/>
      <c r="IQ338" s="31"/>
      <c r="IR338" s="31"/>
      <c r="IS338" s="31"/>
      <c r="IT338" s="31"/>
      <c r="IU338" s="31"/>
      <c r="IV338" s="31"/>
      <c r="IW338" s="31"/>
      <c r="IX338" s="31"/>
      <c r="IY338" s="31"/>
      <c r="IZ338" s="31"/>
      <c r="JA338" s="31"/>
      <c r="JB338" s="31"/>
      <c r="JC338" s="31"/>
      <c r="JD338" s="31"/>
      <c r="JE338" s="31"/>
      <c r="JF338" s="31"/>
      <c r="JG338" s="31"/>
      <c r="JH338" s="31"/>
      <c r="JI338" s="31"/>
      <c r="JJ338" s="31"/>
      <c r="JK338" s="31"/>
      <c r="JL338" s="31"/>
      <c r="JM338" s="31"/>
      <c r="JN338" s="31"/>
      <c r="JO338" s="31"/>
      <c r="JP338" s="31"/>
      <c r="JQ338" s="31"/>
      <c r="JR338" s="31"/>
      <c r="JS338" s="31"/>
      <c r="JT338" s="31"/>
      <c r="JU338" s="31"/>
      <c r="JV338" s="31"/>
      <c r="JW338" s="31"/>
      <c r="JX338" s="31"/>
      <c r="JY338" s="31"/>
      <c r="JZ338" s="31"/>
      <c r="KA338" s="31"/>
      <c r="KB338" s="31"/>
      <c r="KC338" s="31"/>
      <c r="KD338" s="31"/>
      <c r="KE338" s="31"/>
      <c r="KF338" s="31"/>
      <c r="KG338" s="31"/>
      <c r="KH338" s="31"/>
      <c r="KI338" s="31"/>
      <c r="KJ338" s="31"/>
      <c r="KK338" s="31"/>
      <c r="KL338" s="31"/>
      <c r="KM338" s="31"/>
      <c r="KN338" s="31"/>
      <c r="KO338" s="31"/>
      <c r="KP338" s="31"/>
      <c r="KQ338" s="31"/>
      <c r="KR338" s="31"/>
      <c r="KS338" s="31"/>
      <c r="KT338" s="31"/>
      <c r="KU338" s="31"/>
      <c r="KV338" s="31"/>
      <c r="KW338" s="31"/>
      <c r="KX338" s="31"/>
      <c r="KY338" s="31"/>
      <c r="KZ338" s="31"/>
      <c r="LA338" s="31"/>
      <c r="LB338" s="31"/>
      <c r="LC338" s="31"/>
      <c r="LD338" s="31"/>
      <c r="LE338" s="31"/>
      <c r="LF338" s="31"/>
      <c r="LG338" s="31"/>
      <c r="LH338" s="31"/>
      <c r="LI338" s="31"/>
      <c r="LJ338" s="31"/>
      <c r="LK338" s="31"/>
      <c r="LL338" s="31"/>
      <c r="LM338" s="31"/>
      <c r="LN338" s="31"/>
      <c r="LO338" s="31"/>
      <c r="LP338" s="31"/>
      <c r="LQ338" s="31"/>
      <c r="LR338" s="31"/>
      <c r="LS338" s="31"/>
      <c r="LT338" s="31"/>
      <c r="LU338" s="31"/>
      <c r="LV338" s="31"/>
      <c r="LW338" s="31"/>
      <c r="LX338" s="31"/>
      <c r="LY338" s="31"/>
      <c r="LZ338" s="31"/>
      <c r="MA338" s="31"/>
      <c r="MB338" s="31"/>
      <c r="MC338" s="31"/>
      <c r="MD338" s="31"/>
      <c r="ME338" s="31"/>
      <c r="MF338" s="31"/>
      <c r="MG338" s="31"/>
      <c r="MH338" s="31"/>
      <c r="MI338" s="31"/>
      <c r="MJ338" s="31"/>
      <c r="MK338" s="31"/>
      <c r="ML338" s="31"/>
      <c r="MM338" s="31"/>
      <c r="MN338" s="31"/>
      <c r="MO338" s="31"/>
      <c r="MP338" s="31"/>
      <c r="MQ338" s="31"/>
      <c r="MR338" s="31"/>
      <c r="MS338" s="31"/>
      <c r="MT338" s="31"/>
      <c r="MU338" s="31"/>
      <c r="MV338" s="31"/>
      <c r="MW338" s="31"/>
      <c r="MX338" s="31"/>
      <c r="MY338" s="31"/>
      <c r="MZ338" s="31"/>
      <c r="NA338" s="31"/>
      <c r="NB338" s="31"/>
      <c r="NC338" s="31"/>
      <c r="ND338" s="31"/>
      <c r="NE338" s="31"/>
      <c r="NF338" s="31"/>
      <c r="NG338" s="31"/>
      <c r="NH338" s="31"/>
      <c r="NI338" s="31"/>
      <c r="NJ338" s="31"/>
      <c r="NK338" s="31"/>
      <c r="NL338" s="31"/>
      <c r="NM338" s="31"/>
      <c r="NN338" s="31"/>
      <c r="NO338" s="31"/>
      <c r="NP338" s="31"/>
      <c r="NQ338" s="31"/>
      <c r="NR338" s="31"/>
      <c r="NS338" s="31"/>
      <c r="NT338" s="31"/>
      <c r="NU338" s="31"/>
      <c r="NV338" s="31"/>
      <c r="NW338" s="31"/>
      <c r="NX338" s="31"/>
      <c r="NY338" s="31"/>
      <c r="NZ338" s="31"/>
      <c r="OA338" s="31"/>
      <c r="OB338" s="31"/>
      <c r="OC338" s="31"/>
      <c r="OD338" s="31"/>
      <c r="OE338" s="31"/>
      <c r="OF338" s="31"/>
      <c r="OG338" s="31"/>
      <c r="OH338" s="31"/>
      <c r="OI338" s="31"/>
      <c r="OJ338" s="31"/>
      <c r="OK338" s="31"/>
      <c r="OL338" s="31"/>
      <c r="OM338" s="31"/>
      <c r="ON338" s="31"/>
      <c r="OO338" s="31"/>
      <c r="OP338" s="31"/>
      <c r="OQ338" s="31"/>
      <c r="OR338" s="31"/>
      <c r="OS338" s="31"/>
      <c r="OT338" s="31"/>
      <c r="OU338" s="31"/>
      <c r="OV338" s="31"/>
      <c r="OW338" s="31"/>
      <c r="OX338" s="31"/>
    </row>
    <row r="339" spans="1:414" s="25" customFormat="1" ht="15.6">
      <c r="B339" s="25" t="s">
        <v>638</v>
      </c>
      <c r="C339" s="27" t="s">
        <v>928</v>
      </c>
      <c r="D339" s="30"/>
      <c r="G339" s="42"/>
      <c r="H339" s="89"/>
      <c r="I339" s="38"/>
      <c r="K339" s="42"/>
      <c r="L339" s="90"/>
      <c r="M339" s="38"/>
      <c r="O339" s="42"/>
      <c r="P339" s="38"/>
      <c r="Q339" s="38"/>
      <c r="R339" s="43"/>
      <c r="S339" s="38"/>
      <c r="T339" s="49">
        <v>425</v>
      </c>
      <c r="U339" s="42">
        <v>26.141100000000002</v>
      </c>
      <c r="V339" s="38">
        <f t="shared" si="107"/>
        <v>11109.967500000001</v>
      </c>
      <c r="W339" s="42"/>
      <c r="X339" s="42"/>
      <c r="Y339" s="42">
        <f t="shared" si="110"/>
        <v>0</v>
      </c>
      <c r="Z339" s="42"/>
      <c r="AA339" s="42"/>
      <c r="AB339" s="42">
        <f t="shared" si="125"/>
        <v>0</v>
      </c>
      <c r="AD339" s="42"/>
      <c r="AE339" s="42"/>
      <c r="AF339" s="42">
        <f t="shared" si="109"/>
        <v>0</v>
      </c>
      <c r="AG339" s="42"/>
      <c r="AH339" s="42"/>
      <c r="AI339" s="42"/>
      <c r="AJ339" s="42">
        <f t="shared" si="115"/>
        <v>0</v>
      </c>
      <c r="AL339" s="42"/>
      <c r="AM339" s="42"/>
      <c r="AN339" s="42"/>
      <c r="AO339" s="44"/>
      <c r="AP339" s="42"/>
      <c r="AQ339" s="42"/>
      <c r="AR339" s="42"/>
      <c r="AU339" s="98"/>
      <c r="AV339" s="35"/>
      <c r="AW339" s="104"/>
      <c r="AX339" s="42"/>
      <c r="AY339" s="42"/>
      <c r="AZ339" s="42">
        <f t="shared" si="113"/>
        <v>0</v>
      </c>
      <c r="BA339" s="42"/>
      <c r="BB339" s="42"/>
      <c r="BC339" s="42"/>
      <c r="BD339" s="38">
        <f t="shared" si="120"/>
        <v>0</v>
      </c>
      <c r="BE339" s="42"/>
      <c r="BF339" s="42"/>
      <c r="BG339" s="42"/>
      <c r="BH339" s="38">
        <f t="shared" si="121"/>
        <v>0</v>
      </c>
      <c r="BI339" s="42"/>
      <c r="BJ339" s="42"/>
      <c r="BK339" s="42"/>
      <c r="BL339" s="38">
        <f t="shared" si="122"/>
        <v>0</v>
      </c>
      <c r="BM339" s="42"/>
      <c r="BN339" s="42"/>
      <c r="BO339" s="42"/>
      <c r="BP339" s="42"/>
      <c r="BR339" s="42"/>
      <c r="BS339" s="43"/>
      <c r="BT339" s="42">
        <v>11109.97</v>
      </c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  <c r="FM339" s="31"/>
      <c r="FN339" s="31"/>
      <c r="FO339" s="31"/>
      <c r="FP339" s="31"/>
      <c r="FQ339" s="31"/>
      <c r="FR339" s="31"/>
      <c r="FS339" s="31"/>
      <c r="FT339" s="31"/>
      <c r="FU339" s="31"/>
      <c r="FV339" s="31"/>
      <c r="FW339" s="31"/>
      <c r="FX339" s="31"/>
      <c r="FY339" s="31"/>
      <c r="FZ339" s="31"/>
      <c r="GA339" s="31"/>
      <c r="GB339" s="31"/>
      <c r="GC339" s="31"/>
      <c r="GD339" s="31"/>
      <c r="GE339" s="31"/>
      <c r="GF339" s="31"/>
      <c r="GG339" s="31"/>
      <c r="GH339" s="31"/>
      <c r="GI339" s="31"/>
      <c r="GJ339" s="31"/>
      <c r="GK339" s="31"/>
      <c r="GL339" s="31"/>
      <c r="GM339" s="31"/>
      <c r="GN339" s="31"/>
      <c r="GO339" s="31"/>
      <c r="GP339" s="31"/>
      <c r="GQ339" s="31"/>
      <c r="GR339" s="31"/>
      <c r="GS339" s="31"/>
      <c r="GT339" s="31"/>
      <c r="GU339" s="31"/>
      <c r="GV339" s="31"/>
      <c r="GW339" s="31"/>
      <c r="GX339" s="31"/>
      <c r="GY339" s="31"/>
      <c r="GZ339" s="31"/>
      <c r="HA339" s="31"/>
      <c r="HB339" s="31"/>
      <c r="HC339" s="31"/>
      <c r="HD339" s="31"/>
      <c r="HE339" s="31"/>
      <c r="HF339" s="31"/>
      <c r="HG339" s="31"/>
      <c r="HH339" s="31"/>
      <c r="HI339" s="31"/>
      <c r="HJ339" s="31"/>
      <c r="HK339" s="31"/>
      <c r="HL339" s="31"/>
      <c r="HM339" s="31"/>
      <c r="HN339" s="31"/>
      <c r="HO339" s="31"/>
      <c r="HP339" s="31"/>
      <c r="HQ339" s="31"/>
      <c r="HR339" s="31"/>
      <c r="HS339" s="31"/>
      <c r="HT339" s="31"/>
      <c r="HU339" s="31"/>
      <c r="HV339" s="31"/>
      <c r="HW339" s="31"/>
      <c r="HX339" s="31"/>
      <c r="HY339" s="31"/>
      <c r="HZ339" s="31"/>
      <c r="IA339" s="31"/>
      <c r="IB339" s="31"/>
      <c r="IC339" s="31"/>
      <c r="ID339" s="31"/>
      <c r="IE339" s="31"/>
      <c r="IF339" s="31"/>
      <c r="IG339" s="31"/>
      <c r="IH339" s="31"/>
      <c r="II339" s="31"/>
      <c r="IJ339" s="31"/>
      <c r="IK339" s="31"/>
      <c r="IL339" s="31"/>
      <c r="IM339" s="31"/>
      <c r="IN339" s="31"/>
      <c r="IO339" s="31"/>
      <c r="IP339" s="31"/>
      <c r="IQ339" s="31"/>
      <c r="IR339" s="31"/>
      <c r="IS339" s="31"/>
      <c r="IT339" s="31"/>
      <c r="IU339" s="31"/>
      <c r="IV339" s="31"/>
      <c r="IW339" s="31"/>
      <c r="IX339" s="31"/>
      <c r="IY339" s="31"/>
      <c r="IZ339" s="31"/>
      <c r="JA339" s="31"/>
      <c r="JB339" s="31"/>
      <c r="JC339" s="31"/>
      <c r="JD339" s="31"/>
      <c r="JE339" s="31"/>
      <c r="JF339" s="31"/>
      <c r="JG339" s="31"/>
      <c r="JH339" s="31"/>
      <c r="JI339" s="31"/>
      <c r="JJ339" s="31"/>
      <c r="JK339" s="31"/>
      <c r="JL339" s="31"/>
      <c r="JM339" s="31"/>
      <c r="JN339" s="31"/>
      <c r="JO339" s="31"/>
      <c r="JP339" s="31"/>
      <c r="JQ339" s="31"/>
      <c r="JR339" s="31"/>
      <c r="JS339" s="31"/>
      <c r="JT339" s="31"/>
      <c r="JU339" s="31"/>
      <c r="JV339" s="31"/>
      <c r="JW339" s="31"/>
      <c r="JX339" s="31"/>
      <c r="JY339" s="31"/>
      <c r="JZ339" s="31"/>
      <c r="KA339" s="31"/>
      <c r="KB339" s="31"/>
      <c r="KC339" s="31"/>
      <c r="KD339" s="31"/>
      <c r="KE339" s="31"/>
      <c r="KF339" s="31"/>
      <c r="KG339" s="31"/>
      <c r="KH339" s="31"/>
      <c r="KI339" s="31"/>
      <c r="KJ339" s="31"/>
      <c r="KK339" s="31"/>
      <c r="KL339" s="31"/>
      <c r="KM339" s="31"/>
      <c r="KN339" s="31"/>
      <c r="KO339" s="31"/>
      <c r="KP339" s="31"/>
      <c r="KQ339" s="31"/>
      <c r="KR339" s="31"/>
      <c r="KS339" s="31"/>
      <c r="KT339" s="31"/>
      <c r="KU339" s="31"/>
      <c r="KV339" s="31"/>
      <c r="KW339" s="31"/>
      <c r="KX339" s="31"/>
      <c r="KY339" s="31"/>
      <c r="KZ339" s="31"/>
      <c r="LA339" s="31"/>
      <c r="LB339" s="31"/>
      <c r="LC339" s="31"/>
      <c r="LD339" s="31"/>
      <c r="LE339" s="31"/>
      <c r="LF339" s="31"/>
      <c r="LG339" s="31"/>
      <c r="LH339" s="31"/>
      <c r="LI339" s="31"/>
      <c r="LJ339" s="31"/>
      <c r="LK339" s="31"/>
      <c r="LL339" s="31"/>
      <c r="LM339" s="31"/>
      <c r="LN339" s="31"/>
      <c r="LO339" s="31"/>
      <c r="LP339" s="31"/>
      <c r="LQ339" s="31"/>
      <c r="LR339" s="31"/>
      <c r="LS339" s="31"/>
      <c r="LT339" s="31"/>
      <c r="LU339" s="31"/>
      <c r="LV339" s="31"/>
      <c r="LW339" s="31"/>
      <c r="LX339" s="31"/>
      <c r="LY339" s="31"/>
      <c r="LZ339" s="31"/>
      <c r="MA339" s="31"/>
      <c r="MB339" s="31"/>
      <c r="MC339" s="31"/>
      <c r="MD339" s="31"/>
      <c r="ME339" s="31"/>
      <c r="MF339" s="31"/>
      <c r="MG339" s="31"/>
      <c r="MH339" s="31"/>
      <c r="MI339" s="31"/>
      <c r="MJ339" s="31"/>
      <c r="MK339" s="31"/>
      <c r="ML339" s="31"/>
      <c r="MM339" s="31"/>
      <c r="MN339" s="31"/>
      <c r="MO339" s="31"/>
      <c r="MP339" s="31"/>
      <c r="MQ339" s="31"/>
      <c r="MR339" s="31"/>
      <c r="MS339" s="31"/>
      <c r="MT339" s="31"/>
      <c r="MU339" s="31"/>
      <c r="MV339" s="31"/>
      <c r="MW339" s="31"/>
      <c r="MX339" s="31"/>
      <c r="MY339" s="31"/>
      <c r="MZ339" s="31"/>
      <c r="NA339" s="31"/>
      <c r="NB339" s="31"/>
      <c r="NC339" s="31"/>
      <c r="ND339" s="31"/>
      <c r="NE339" s="31"/>
      <c r="NF339" s="31"/>
      <c r="NG339" s="31"/>
      <c r="NH339" s="31"/>
      <c r="NI339" s="31"/>
      <c r="NJ339" s="31"/>
      <c r="NK339" s="31"/>
      <c r="NL339" s="31"/>
      <c r="NM339" s="31"/>
      <c r="NN339" s="31"/>
      <c r="NO339" s="31"/>
      <c r="NP339" s="31"/>
      <c r="NQ339" s="31"/>
      <c r="NR339" s="31"/>
      <c r="NS339" s="31"/>
      <c r="NT339" s="31"/>
      <c r="NU339" s="31"/>
      <c r="NV339" s="31"/>
      <c r="NW339" s="31"/>
      <c r="NX339" s="31"/>
      <c r="NY339" s="31"/>
      <c r="NZ339" s="31"/>
      <c r="OA339" s="31"/>
      <c r="OB339" s="31"/>
      <c r="OC339" s="31"/>
      <c r="OD339" s="31"/>
      <c r="OE339" s="31"/>
      <c r="OF339" s="31"/>
      <c r="OG339" s="31"/>
      <c r="OH339" s="31"/>
      <c r="OI339" s="31"/>
      <c r="OJ339" s="31"/>
      <c r="OK339" s="31"/>
      <c r="OL339" s="31"/>
      <c r="OM339" s="31"/>
      <c r="ON339" s="31"/>
      <c r="OO339" s="31"/>
      <c r="OP339" s="31"/>
      <c r="OQ339" s="31"/>
      <c r="OR339" s="31"/>
      <c r="OS339" s="31"/>
      <c r="OT339" s="31"/>
      <c r="OU339" s="31"/>
      <c r="OV339" s="31"/>
      <c r="OW339" s="31"/>
      <c r="OX339" s="31"/>
    </row>
    <row r="340" spans="1:414" s="25" customFormat="1" ht="15.6">
      <c r="B340" s="25" t="s">
        <v>929</v>
      </c>
      <c r="C340" s="27" t="s">
        <v>169</v>
      </c>
      <c r="D340" s="30"/>
      <c r="G340" s="42"/>
      <c r="H340" s="89"/>
      <c r="I340" s="38"/>
      <c r="K340" s="42"/>
      <c r="L340" s="90"/>
      <c r="M340" s="38"/>
      <c r="O340" s="42"/>
      <c r="P340" s="38"/>
      <c r="Q340" s="38"/>
      <c r="R340" s="43"/>
      <c r="S340" s="38"/>
      <c r="T340" s="49">
        <v>440</v>
      </c>
      <c r="U340" s="42">
        <v>26.141100000000002</v>
      </c>
      <c r="V340" s="38">
        <f t="shared" si="107"/>
        <v>11502.084000000001</v>
      </c>
      <c r="W340" s="42"/>
      <c r="X340" s="42"/>
      <c r="Y340" s="42">
        <f t="shared" si="110"/>
        <v>0</v>
      </c>
      <c r="Z340" s="42"/>
      <c r="AA340" s="42"/>
      <c r="AB340" s="42">
        <f t="shared" si="125"/>
        <v>0</v>
      </c>
      <c r="AD340" s="42"/>
      <c r="AE340" s="42"/>
      <c r="AF340" s="42">
        <f t="shared" si="109"/>
        <v>0</v>
      </c>
      <c r="AG340" s="42"/>
      <c r="AH340" s="42"/>
      <c r="AI340" s="42"/>
      <c r="AJ340" s="42">
        <f t="shared" si="115"/>
        <v>0</v>
      </c>
      <c r="AL340" s="42"/>
      <c r="AM340" s="42"/>
      <c r="AN340" s="42"/>
      <c r="AO340" s="44"/>
      <c r="AP340" s="42"/>
      <c r="AQ340" s="42"/>
      <c r="AR340" s="42"/>
      <c r="AU340" s="98"/>
      <c r="AV340" s="35"/>
      <c r="AW340" s="104"/>
      <c r="AX340" s="42"/>
      <c r="AY340" s="42"/>
      <c r="AZ340" s="42">
        <f t="shared" si="113"/>
        <v>0</v>
      </c>
      <c r="BA340" s="42"/>
      <c r="BB340" s="42"/>
      <c r="BC340" s="42"/>
      <c r="BD340" s="38">
        <f t="shared" si="120"/>
        <v>0</v>
      </c>
      <c r="BE340" s="42"/>
      <c r="BF340" s="42"/>
      <c r="BG340" s="42"/>
      <c r="BH340" s="38">
        <f t="shared" si="121"/>
        <v>0</v>
      </c>
      <c r="BI340" s="42"/>
      <c r="BJ340" s="42"/>
      <c r="BK340" s="42"/>
      <c r="BL340" s="38">
        <f t="shared" si="122"/>
        <v>0</v>
      </c>
      <c r="BM340" s="42"/>
      <c r="BN340" s="42"/>
      <c r="BO340" s="42"/>
      <c r="BP340" s="42"/>
      <c r="BR340" s="42"/>
      <c r="BS340" s="43"/>
      <c r="BT340" s="42">
        <v>11502.08</v>
      </c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  <c r="FM340" s="31"/>
      <c r="FN340" s="31"/>
      <c r="FO340" s="31"/>
      <c r="FP340" s="31"/>
      <c r="FQ340" s="31"/>
      <c r="FR340" s="31"/>
      <c r="FS340" s="31"/>
      <c r="FT340" s="31"/>
      <c r="FU340" s="31"/>
      <c r="FV340" s="31"/>
      <c r="FW340" s="31"/>
      <c r="FX340" s="31"/>
      <c r="FY340" s="31"/>
      <c r="FZ340" s="31"/>
      <c r="GA340" s="31"/>
      <c r="GB340" s="31"/>
      <c r="GC340" s="31"/>
      <c r="GD340" s="31"/>
      <c r="GE340" s="31"/>
      <c r="GF340" s="31"/>
      <c r="GG340" s="31"/>
      <c r="GH340" s="31"/>
      <c r="GI340" s="31"/>
      <c r="GJ340" s="31"/>
      <c r="GK340" s="31"/>
      <c r="GL340" s="31"/>
      <c r="GM340" s="31"/>
      <c r="GN340" s="31"/>
      <c r="GO340" s="31"/>
      <c r="GP340" s="31"/>
      <c r="GQ340" s="31"/>
      <c r="GR340" s="31"/>
      <c r="GS340" s="31"/>
      <c r="GT340" s="31"/>
      <c r="GU340" s="31"/>
      <c r="GV340" s="31"/>
      <c r="GW340" s="31"/>
      <c r="GX340" s="31"/>
      <c r="GY340" s="31"/>
      <c r="GZ340" s="31"/>
      <c r="HA340" s="31"/>
      <c r="HB340" s="31"/>
      <c r="HC340" s="31"/>
      <c r="HD340" s="31"/>
      <c r="HE340" s="31"/>
      <c r="HF340" s="31"/>
      <c r="HG340" s="31"/>
      <c r="HH340" s="31"/>
      <c r="HI340" s="31"/>
      <c r="HJ340" s="31"/>
      <c r="HK340" s="31"/>
      <c r="HL340" s="31"/>
      <c r="HM340" s="31"/>
      <c r="HN340" s="31"/>
      <c r="HO340" s="31"/>
      <c r="HP340" s="31"/>
      <c r="HQ340" s="31"/>
      <c r="HR340" s="31"/>
      <c r="HS340" s="31"/>
      <c r="HT340" s="31"/>
      <c r="HU340" s="31"/>
      <c r="HV340" s="31"/>
      <c r="HW340" s="31"/>
      <c r="HX340" s="31"/>
      <c r="HY340" s="31"/>
      <c r="HZ340" s="31"/>
      <c r="IA340" s="31"/>
      <c r="IB340" s="31"/>
      <c r="IC340" s="31"/>
      <c r="ID340" s="31"/>
      <c r="IE340" s="31"/>
      <c r="IF340" s="31"/>
      <c r="IG340" s="31"/>
      <c r="IH340" s="31"/>
      <c r="II340" s="31"/>
      <c r="IJ340" s="31"/>
      <c r="IK340" s="31"/>
      <c r="IL340" s="31"/>
      <c r="IM340" s="31"/>
      <c r="IN340" s="31"/>
      <c r="IO340" s="31"/>
      <c r="IP340" s="31"/>
      <c r="IQ340" s="31"/>
      <c r="IR340" s="31"/>
      <c r="IS340" s="31"/>
      <c r="IT340" s="31"/>
      <c r="IU340" s="31"/>
      <c r="IV340" s="31"/>
      <c r="IW340" s="31"/>
      <c r="IX340" s="31"/>
      <c r="IY340" s="31"/>
      <c r="IZ340" s="31"/>
      <c r="JA340" s="31"/>
      <c r="JB340" s="31"/>
      <c r="JC340" s="31"/>
      <c r="JD340" s="31"/>
      <c r="JE340" s="31"/>
      <c r="JF340" s="31"/>
      <c r="JG340" s="31"/>
      <c r="JH340" s="31"/>
      <c r="JI340" s="31"/>
      <c r="JJ340" s="31"/>
      <c r="JK340" s="31"/>
      <c r="JL340" s="31"/>
      <c r="JM340" s="31"/>
      <c r="JN340" s="31"/>
      <c r="JO340" s="31"/>
      <c r="JP340" s="31"/>
      <c r="JQ340" s="31"/>
      <c r="JR340" s="31"/>
      <c r="JS340" s="31"/>
      <c r="JT340" s="31"/>
      <c r="JU340" s="31"/>
      <c r="JV340" s="31"/>
      <c r="JW340" s="31"/>
      <c r="JX340" s="31"/>
      <c r="JY340" s="31"/>
      <c r="JZ340" s="31"/>
      <c r="KA340" s="31"/>
      <c r="KB340" s="31"/>
      <c r="KC340" s="31"/>
      <c r="KD340" s="31"/>
      <c r="KE340" s="31"/>
      <c r="KF340" s="31"/>
      <c r="KG340" s="31"/>
      <c r="KH340" s="31"/>
      <c r="KI340" s="31"/>
      <c r="KJ340" s="31"/>
      <c r="KK340" s="31"/>
      <c r="KL340" s="31"/>
      <c r="KM340" s="31"/>
      <c r="KN340" s="31"/>
      <c r="KO340" s="31"/>
      <c r="KP340" s="31"/>
      <c r="KQ340" s="31"/>
      <c r="KR340" s="31"/>
      <c r="KS340" s="31"/>
      <c r="KT340" s="31"/>
      <c r="KU340" s="31"/>
      <c r="KV340" s="31"/>
      <c r="KW340" s="31"/>
      <c r="KX340" s="31"/>
      <c r="KY340" s="31"/>
      <c r="KZ340" s="31"/>
      <c r="LA340" s="31"/>
      <c r="LB340" s="31"/>
      <c r="LC340" s="31"/>
      <c r="LD340" s="31"/>
      <c r="LE340" s="31"/>
      <c r="LF340" s="31"/>
      <c r="LG340" s="31"/>
      <c r="LH340" s="31"/>
      <c r="LI340" s="31"/>
      <c r="LJ340" s="31"/>
      <c r="LK340" s="31"/>
      <c r="LL340" s="31"/>
      <c r="LM340" s="31"/>
      <c r="LN340" s="31"/>
      <c r="LO340" s="31"/>
      <c r="LP340" s="31"/>
      <c r="LQ340" s="31"/>
      <c r="LR340" s="31"/>
      <c r="LS340" s="31"/>
      <c r="LT340" s="31"/>
      <c r="LU340" s="31"/>
      <c r="LV340" s="31"/>
      <c r="LW340" s="31"/>
      <c r="LX340" s="31"/>
      <c r="LY340" s="31"/>
      <c r="LZ340" s="31"/>
      <c r="MA340" s="31"/>
      <c r="MB340" s="31"/>
      <c r="MC340" s="31"/>
      <c r="MD340" s="31"/>
      <c r="ME340" s="31"/>
      <c r="MF340" s="31"/>
      <c r="MG340" s="31"/>
      <c r="MH340" s="31"/>
      <c r="MI340" s="31"/>
      <c r="MJ340" s="31"/>
      <c r="MK340" s="31"/>
      <c r="ML340" s="31"/>
      <c r="MM340" s="31"/>
      <c r="MN340" s="31"/>
      <c r="MO340" s="31"/>
      <c r="MP340" s="31"/>
      <c r="MQ340" s="31"/>
      <c r="MR340" s="31"/>
      <c r="MS340" s="31"/>
      <c r="MT340" s="31"/>
      <c r="MU340" s="31"/>
      <c r="MV340" s="31"/>
      <c r="MW340" s="31"/>
      <c r="MX340" s="31"/>
      <c r="MY340" s="31"/>
      <c r="MZ340" s="31"/>
      <c r="NA340" s="31"/>
      <c r="NB340" s="31"/>
      <c r="NC340" s="31"/>
      <c r="ND340" s="31"/>
      <c r="NE340" s="31"/>
      <c r="NF340" s="31"/>
      <c r="NG340" s="31"/>
      <c r="NH340" s="31"/>
      <c r="NI340" s="31"/>
      <c r="NJ340" s="31"/>
      <c r="NK340" s="31"/>
      <c r="NL340" s="31"/>
      <c r="NM340" s="31"/>
      <c r="NN340" s="31"/>
      <c r="NO340" s="31"/>
      <c r="NP340" s="31"/>
      <c r="NQ340" s="31"/>
      <c r="NR340" s="31"/>
      <c r="NS340" s="31"/>
      <c r="NT340" s="31"/>
      <c r="NU340" s="31"/>
      <c r="NV340" s="31"/>
      <c r="NW340" s="31"/>
      <c r="NX340" s="31"/>
      <c r="NY340" s="31"/>
      <c r="NZ340" s="31"/>
      <c r="OA340" s="31"/>
      <c r="OB340" s="31"/>
      <c r="OC340" s="31"/>
      <c r="OD340" s="31"/>
      <c r="OE340" s="31"/>
      <c r="OF340" s="31"/>
      <c r="OG340" s="31"/>
      <c r="OH340" s="31"/>
      <c r="OI340" s="31"/>
      <c r="OJ340" s="31"/>
      <c r="OK340" s="31"/>
      <c r="OL340" s="31"/>
      <c r="OM340" s="31"/>
      <c r="ON340" s="31"/>
      <c r="OO340" s="31"/>
      <c r="OP340" s="31"/>
      <c r="OQ340" s="31"/>
      <c r="OR340" s="31"/>
      <c r="OS340" s="31"/>
      <c r="OT340" s="31"/>
      <c r="OU340" s="31"/>
      <c r="OV340" s="31"/>
      <c r="OW340" s="31"/>
      <c r="OX340" s="31"/>
    </row>
    <row r="341" spans="1:414" s="25" customFormat="1" ht="15.6">
      <c r="B341" s="25" t="s">
        <v>934</v>
      </c>
      <c r="C341" s="27" t="s">
        <v>390</v>
      </c>
      <c r="D341" s="30"/>
      <c r="G341" s="42"/>
      <c r="H341" s="89"/>
      <c r="I341" s="38"/>
      <c r="K341" s="42"/>
      <c r="L341" s="90"/>
      <c r="M341" s="38"/>
      <c r="O341" s="42"/>
      <c r="P341" s="38"/>
      <c r="Q341" s="38"/>
      <c r="R341" s="43"/>
      <c r="S341" s="38"/>
      <c r="T341" s="49">
        <v>440</v>
      </c>
      <c r="U341" s="42">
        <v>26.141100000000002</v>
      </c>
      <c r="V341" s="38">
        <f t="shared" si="107"/>
        <v>11502.084000000001</v>
      </c>
      <c r="W341" s="42"/>
      <c r="X341" s="42"/>
      <c r="Y341" s="42">
        <f t="shared" si="110"/>
        <v>0</v>
      </c>
      <c r="Z341" s="42"/>
      <c r="AA341" s="42"/>
      <c r="AB341" s="42">
        <f t="shared" si="125"/>
        <v>0</v>
      </c>
      <c r="AD341" s="42"/>
      <c r="AE341" s="42"/>
      <c r="AF341" s="42">
        <f t="shared" si="109"/>
        <v>0</v>
      </c>
      <c r="AG341" s="42"/>
      <c r="AH341" s="42"/>
      <c r="AI341" s="42"/>
      <c r="AJ341" s="42">
        <f t="shared" si="115"/>
        <v>0</v>
      </c>
      <c r="AL341" s="42"/>
      <c r="AM341" s="42"/>
      <c r="AN341" s="42"/>
      <c r="AO341" s="44"/>
      <c r="AP341" s="42"/>
      <c r="AQ341" s="42"/>
      <c r="AR341" s="42"/>
      <c r="AU341" s="98"/>
      <c r="AV341" s="35"/>
      <c r="AW341" s="104"/>
      <c r="AX341" s="42"/>
      <c r="AY341" s="42"/>
      <c r="AZ341" s="42">
        <f t="shared" si="113"/>
        <v>0</v>
      </c>
      <c r="BA341" s="42"/>
      <c r="BB341" s="42"/>
      <c r="BC341" s="42"/>
      <c r="BD341" s="38">
        <f t="shared" si="120"/>
        <v>0</v>
      </c>
      <c r="BE341" s="42"/>
      <c r="BF341" s="42"/>
      <c r="BG341" s="42"/>
      <c r="BH341" s="38">
        <f t="shared" si="121"/>
        <v>0</v>
      </c>
      <c r="BI341" s="42"/>
      <c r="BJ341" s="42"/>
      <c r="BK341" s="42"/>
      <c r="BL341" s="38">
        <f t="shared" si="122"/>
        <v>0</v>
      </c>
      <c r="BM341" s="42"/>
      <c r="BN341" s="42"/>
      <c r="BO341" s="42"/>
      <c r="BP341" s="42"/>
      <c r="BR341" s="42"/>
      <c r="BS341" s="43"/>
      <c r="BT341" s="42">
        <v>11502.08</v>
      </c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  <c r="FM341" s="31"/>
      <c r="FN341" s="31"/>
      <c r="FO341" s="31"/>
      <c r="FP341" s="31"/>
      <c r="FQ341" s="31"/>
      <c r="FR341" s="31"/>
      <c r="FS341" s="31"/>
      <c r="FT341" s="31"/>
      <c r="FU341" s="31"/>
      <c r="FV341" s="31"/>
      <c r="FW341" s="31"/>
      <c r="FX341" s="31"/>
      <c r="FY341" s="31"/>
      <c r="FZ341" s="31"/>
      <c r="GA341" s="31"/>
      <c r="GB341" s="31"/>
      <c r="GC341" s="31"/>
      <c r="GD341" s="31"/>
      <c r="GE341" s="31"/>
      <c r="GF341" s="31"/>
      <c r="GG341" s="31"/>
      <c r="GH341" s="31"/>
      <c r="GI341" s="31"/>
      <c r="GJ341" s="31"/>
      <c r="GK341" s="31"/>
      <c r="GL341" s="31"/>
      <c r="GM341" s="31"/>
      <c r="GN341" s="31"/>
      <c r="GO341" s="31"/>
      <c r="GP341" s="31"/>
      <c r="GQ341" s="31"/>
      <c r="GR341" s="31"/>
      <c r="GS341" s="31"/>
      <c r="GT341" s="31"/>
      <c r="GU341" s="31"/>
      <c r="GV341" s="31"/>
      <c r="GW341" s="31"/>
      <c r="GX341" s="31"/>
      <c r="GY341" s="31"/>
      <c r="GZ341" s="31"/>
      <c r="HA341" s="31"/>
      <c r="HB341" s="31"/>
      <c r="HC341" s="31"/>
      <c r="HD341" s="31"/>
      <c r="HE341" s="31"/>
      <c r="HF341" s="31"/>
      <c r="HG341" s="31"/>
      <c r="HH341" s="31"/>
      <c r="HI341" s="31"/>
      <c r="HJ341" s="31"/>
      <c r="HK341" s="31"/>
      <c r="HL341" s="31"/>
      <c r="HM341" s="31"/>
      <c r="HN341" s="31"/>
      <c r="HO341" s="31"/>
      <c r="HP341" s="31"/>
      <c r="HQ341" s="31"/>
      <c r="HR341" s="31"/>
      <c r="HS341" s="31"/>
      <c r="HT341" s="31"/>
      <c r="HU341" s="31"/>
      <c r="HV341" s="31"/>
      <c r="HW341" s="31"/>
      <c r="HX341" s="31"/>
      <c r="HY341" s="31"/>
      <c r="HZ341" s="31"/>
      <c r="IA341" s="31"/>
      <c r="IB341" s="31"/>
      <c r="IC341" s="31"/>
      <c r="ID341" s="31"/>
      <c r="IE341" s="31"/>
      <c r="IF341" s="31"/>
      <c r="IG341" s="31"/>
      <c r="IH341" s="31"/>
      <c r="II341" s="31"/>
      <c r="IJ341" s="31"/>
      <c r="IK341" s="31"/>
      <c r="IL341" s="31"/>
      <c r="IM341" s="31"/>
      <c r="IN341" s="31"/>
      <c r="IO341" s="31"/>
      <c r="IP341" s="31"/>
      <c r="IQ341" s="31"/>
      <c r="IR341" s="31"/>
      <c r="IS341" s="31"/>
      <c r="IT341" s="31"/>
      <c r="IU341" s="31"/>
      <c r="IV341" s="31"/>
      <c r="IW341" s="31"/>
      <c r="IX341" s="31"/>
      <c r="IY341" s="31"/>
      <c r="IZ341" s="31"/>
      <c r="JA341" s="31"/>
      <c r="JB341" s="31"/>
      <c r="JC341" s="31"/>
      <c r="JD341" s="31"/>
      <c r="JE341" s="31"/>
      <c r="JF341" s="31"/>
      <c r="JG341" s="31"/>
      <c r="JH341" s="31"/>
      <c r="JI341" s="31"/>
      <c r="JJ341" s="31"/>
      <c r="JK341" s="31"/>
      <c r="JL341" s="31"/>
      <c r="JM341" s="31"/>
      <c r="JN341" s="31"/>
      <c r="JO341" s="31"/>
      <c r="JP341" s="31"/>
      <c r="JQ341" s="31"/>
      <c r="JR341" s="31"/>
      <c r="JS341" s="31"/>
      <c r="JT341" s="31"/>
      <c r="JU341" s="31"/>
      <c r="JV341" s="31"/>
      <c r="JW341" s="31"/>
      <c r="JX341" s="31"/>
      <c r="JY341" s="31"/>
      <c r="JZ341" s="31"/>
      <c r="KA341" s="31"/>
      <c r="KB341" s="31"/>
      <c r="KC341" s="31"/>
      <c r="KD341" s="31"/>
      <c r="KE341" s="31"/>
      <c r="KF341" s="31"/>
      <c r="KG341" s="31"/>
      <c r="KH341" s="31"/>
      <c r="KI341" s="31"/>
      <c r="KJ341" s="31"/>
      <c r="KK341" s="31"/>
      <c r="KL341" s="31"/>
      <c r="KM341" s="31"/>
      <c r="KN341" s="31"/>
      <c r="KO341" s="31"/>
      <c r="KP341" s="31"/>
      <c r="KQ341" s="31"/>
      <c r="KR341" s="31"/>
      <c r="KS341" s="31"/>
      <c r="KT341" s="31"/>
      <c r="KU341" s="31"/>
      <c r="KV341" s="31"/>
      <c r="KW341" s="31"/>
      <c r="KX341" s="31"/>
      <c r="KY341" s="31"/>
      <c r="KZ341" s="31"/>
      <c r="LA341" s="31"/>
      <c r="LB341" s="31"/>
      <c r="LC341" s="31"/>
      <c r="LD341" s="31"/>
      <c r="LE341" s="31"/>
      <c r="LF341" s="31"/>
      <c r="LG341" s="31"/>
      <c r="LH341" s="31"/>
      <c r="LI341" s="31"/>
      <c r="LJ341" s="31"/>
      <c r="LK341" s="31"/>
      <c r="LL341" s="31"/>
      <c r="LM341" s="31"/>
      <c r="LN341" s="31"/>
      <c r="LO341" s="31"/>
      <c r="LP341" s="31"/>
      <c r="LQ341" s="31"/>
      <c r="LR341" s="31"/>
      <c r="LS341" s="31"/>
      <c r="LT341" s="31"/>
      <c r="LU341" s="31"/>
      <c r="LV341" s="31"/>
      <c r="LW341" s="31"/>
      <c r="LX341" s="31"/>
      <c r="LY341" s="31"/>
      <c r="LZ341" s="31"/>
      <c r="MA341" s="31"/>
      <c r="MB341" s="31"/>
      <c r="MC341" s="31"/>
      <c r="MD341" s="31"/>
      <c r="ME341" s="31"/>
      <c r="MF341" s="31"/>
      <c r="MG341" s="31"/>
      <c r="MH341" s="31"/>
      <c r="MI341" s="31"/>
      <c r="MJ341" s="31"/>
      <c r="MK341" s="31"/>
      <c r="ML341" s="31"/>
      <c r="MM341" s="31"/>
      <c r="MN341" s="31"/>
      <c r="MO341" s="31"/>
      <c r="MP341" s="31"/>
      <c r="MQ341" s="31"/>
      <c r="MR341" s="31"/>
      <c r="MS341" s="31"/>
      <c r="MT341" s="31"/>
      <c r="MU341" s="31"/>
      <c r="MV341" s="31"/>
      <c r="MW341" s="31"/>
      <c r="MX341" s="31"/>
      <c r="MY341" s="31"/>
      <c r="MZ341" s="31"/>
      <c r="NA341" s="31"/>
      <c r="NB341" s="31"/>
      <c r="NC341" s="31"/>
      <c r="ND341" s="31"/>
      <c r="NE341" s="31"/>
      <c r="NF341" s="31"/>
      <c r="NG341" s="31"/>
      <c r="NH341" s="31"/>
      <c r="NI341" s="31"/>
      <c r="NJ341" s="31"/>
      <c r="NK341" s="31"/>
      <c r="NL341" s="31"/>
      <c r="NM341" s="31"/>
      <c r="NN341" s="31"/>
      <c r="NO341" s="31"/>
      <c r="NP341" s="31"/>
      <c r="NQ341" s="31"/>
      <c r="NR341" s="31"/>
      <c r="NS341" s="31"/>
      <c r="NT341" s="31"/>
      <c r="NU341" s="31"/>
      <c r="NV341" s="31"/>
      <c r="NW341" s="31"/>
      <c r="NX341" s="31"/>
      <c r="NY341" s="31"/>
      <c r="NZ341" s="31"/>
      <c r="OA341" s="31"/>
      <c r="OB341" s="31"/>
      <c r="OC341" s="31"/>
      <c r="OD341" s="31"/>
      <c r="OE341" s="31"/>
      <c r="OF341" s="31"/>
      <c r="OG341" s="31"/>
      <c r="OH341" s="31"/>
      <c r="OI341" s="31"/>
      <c r="OJ341" s="31"/>
      <c r="OK341" s="31"/>
      <c r="OL341" s="31"/>
      <c r="OM341" s="31"/>
      <c r="ON341" s="31"/>
      <c r="OO341" s="31"/>
      <c r="OP341" s="31"/>
      <c r="OQ341" s="31"/>
      <c r="OR341" s="31"/>
      <c r="OS341" s="31"/>
      <c r="OT341" s="31"/>
      <c r="OU341" s="31"/>
      <c r="OV341" s="31"/>
      <c r="OW341" s="31"/>
      <c r="OX341" s="31"/>
    </row>
    <row r="342" spans="1:414" s="25" customFormat="1" ht="15.6">
      <c r="B342" s="25" t="s">
        <v>933</v>
      </c>
      <c r="C342" s="27" t="s">
        <v>203</v>
      </c>
      <c r="D342" s="30"/>
      <c r="G342" s="42"/>
      <c r="H342" s="89"/>
      <c r="I342" s="38"/>
      <c r="K342" s="42"/>
      <c r="L342" s="90"/>
      <c r="M342" s="38"/>
      <c r="O342" s="42"/>
      <c r="P342" s="38"/>
      <c r="Q342" s="38"/>
      <c r="R342" s="43"/>
      <c r="S342" s="38"/>
      <c r="T342" s="49">
        <v>440</v>
      </c>
      <c r="U342" s="42">
        <v>26.141100000000002</v>
      </c>
      <c r="V342" s="38">
        <f t="shared" si="107"/>
        <v>11502.084000000001</v>
      </c>
      <c r="W342" s="42"/>
      <c r="X342" s="42"/>
      <c r="Y342" s="42">
        <f t="shared" si="110"/>
        <v>0</v>
      </c>
      <c r="Z342" s="42"/>
      <c r="AA342" s="42"/>
      <c r="AB342" s="42">
        <f t="shared" si="125"/>
        <v>0</v>
      </c>
      <c r="AD342" s="42"/>
      <c r="AE342" s="42"/>
      <c r="AF342" s="42">
        <f t="shared" si="109"/>
        <v>0</v>
      </c>
      <c r="AG342" s="42"/>
      <c r="AH342" s="42"/>
      <c r="AI342" s="42"/>
      <c r="AJ342" s="42">
        <f t="shared" si="115"/>
        <v>0</v>
      </c>
      <c r="AL342" s="42"/>
      <c r="AM342" s="42"/>
      <c r="AN342" s="42"/>
      <c r="AO342" s="44"/>
      <c r="AP342" s="42"/>
      <c r="AQ342" s="42"/>
      <c r="AR342" s="42"/>
      <c r="AU342" s="98"/>
      <c r="AV342" s="35"/>
      <c r="AW342" s="104"/>
      <c r="AX342" s="42"/>
      <c r="AY342" s="42"/>
      <c r="AZ342" s="42">
        <f t="shared" si="113"/>
        <v>0</v>
      </c>
      <c r="BA342" s="42"/>
      <c r="BB342" s="42"/>
      <c r="BC342" s="42"/>
      <c r="BD342" s="38">
        <f t="shared" si="120"/>
        <v>0</v>
      </c>
      <c r="BE342" s="42"/>
      <c r="BF342" s="42"/>
      <c r="BG342" s="42"/>
      <c r="BH342" s="38">
        <f t="shared" si="121"/>
        <v>0</v>
      </c>
      <c r="BI342" s="42"/>
      <c r="BJ342" s="42"/>
      <c r="BK342" s="42"/>
      <c r="BL342" s="38">
        <f t="shared" si="122"/>
        <v>0</v>
      </c>
      <c r="BM342" s="42"/>
      <c r="BN342" s="42"/>
      <c r="BO342" s="42"/>
      <c r="BP342" s="42"/>
      <c r="BR342" s="42"/>
      <c r="BS342" s="43"/>
      <c r="BT342" s="42">
        <v>11502.08</v>
      </c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  <c r="FM342" s="31"/>
      <c r="FN342" s="31"/>
      <c r="FO342" s="31"/>
      <c r="FP342" s="31"/>
      <c r="FQ342" s="31"/>
      <c r="FR342" s="31"/>
      <c r="FS342" s="31"/>
      <c r="FT342" s="31"/>
      <c r="FU342" s="31"/>
      <c r="FV342" s="31"/>
      <c r="FW342" s="31"/>
      <c r="FX342" s="31"/>
      <c r="FY342" s="31"/>
      <c r="FZ342" s="31"/>
      <c r="GA342" s="31"/>
      <c r="GB342" s="31"/>
      <c r="GC342" s="31"/>
      <c r="GD342" s="31"/>
      <c r="GE342" s="31"/>
      <c r="GF342" s="31"/>
      <c r="GG342" s="31"/>
      <c r="GH342" s="31"/>
      <c r="GI342" s="31"/>
      <c r="GJ342" s="31"/>
      <c r="GK342" s="31"/>
      <c r="GL342" s="31"/>
      <c r="GM342" s="31"/>
      <c r="GN342" s="31"/>
      <c r="GO342" s="31"/>
      <c r="GP342" s="31"/>
      <c r="GQ342" s="31"/>
      <c r="GR342" s="31"/>
      <c r="GS342" s="31"/>
      <c r="GT342" s="31"/>
      <c r="GU342" s="31"/>
      <c r="GV342" s="31"/>
      <c r="GW342" s="31"/>
      <c r="GX342" s="31"/>
      <c r="GY342" s="31"/>
      <c r="GZ342" s="31"/>
      <c r="HA342" s="31"/>
      <c r="HB342" s="31"/>
      <c r="HC342" s="31"/>
      <c r="HD342" s="31"/>
      <c r="HE342" s="31"/>
      <c r="HF342" s="31"/>
      <c r="HG342" s="31"/>
      <c r="HH342" s="31"/>
      <c r="HI342" s="31"/>
      <c r="HJ342" s="31"/>
      <c r="HK342" s="31"/>
      <c r="HL342" s="31"/>
      <c r="HM342" s="31"/>
      <c r="HN342" s="31"/>
      <c r="HO342" s="31"/>
      <c r="HP342" s="31"/>
      <c r="HQ342" s="31"/>
      <c r="HR342" s="31"/>
      <c r="HS342" s="31"/>
      <c r="HT342" s="31"/>
      <c r="HU342" s="31"/>
      <c r="HV342" s="31"/>
      <c r="HW342" s="31"/>
      <c r="HX342" s="31"/>
      <c r="HY342" s="31"/>
      <c r="HZ342" s="31"/>
      <c r="IA342" s="31"/>
      <c r="IB342" s="31"/>
      <c r="IC342" s="31"/>
      <c r="ID342" s="31"/>
      <c r="IE342" s="31"/>
      <c r="IF342" s="31"/>
      <c r="IG342" s="31"/>
      <c r="IH342" s="31"/>
      <c r="II342" s="31"/>
      <c r="IJ342" s="31"/>
      <c r="IK342" s="31"/>
      <c r="IL342" s="31"/>
      <c r="IM342" s="31"/>
      <c r="IN342" s="31"/>
      <c r="IO342" s="31"/>
      <c r="IP342" s="31"/>
      <c r="IQ342" s="31"/>
      <c r="IR342" s="31"/>
      <c r="IS342" s="31"/>
      <c r="IT342" s="31"/>
      <c r="IU342" s="31"/>
      <c r="IV342" s="31"/>
      <c r="IW342" s="31"/>
      <c r="IX342" s="31"/>
      <c r="IY342" s="31"/>
      <c r="IZ342" s="31"/>
      <c r="JA342" s="31"/>
      <c r="JB342" s="31"/>
      <c r="JC342" s="31"/>
      <c r="JD342" s="31"/>
      <c r="JE342" s="31"/>
      <c r="JF342" s="31"/>
      <c r="JG342" s="31"/>
      <c r="JH342" s="31"/>
      <c r="JI342" s="31"/>
      <c r="JJ342" s="31"/>
      <c r="JK342" s="31"/>
      <c r="JL342" s="31"/>
      <c r="JM342" s="31"/>
      <c r="JN342" s="31"/>
      <c r="JO342" s="31"/>
      <c r="JP342" s="31"/>
      <c r="JQ342" s="31"/>
      <c r="JR342" s="31"/>
      <c r="JS342" s="31"/>
      <c r="JT342" s="31"/>
      <c r="JU342" s="31"/>
      <c r="JV342" s="31"/>
      <c r="JW342" s="31"/>
      <c r="JX342" s="31"/>
      <c r="JY342" s="31"/>
      <c r="JZ342" s="31"/>
      <c r="KA342" s="31"/>
      <c r="KB342" s="31"/>
      <c r="KC342" s="31"/>
      <c r="KD342" s="31"/>
      <c r="KE342" s="31"/>
      <c r="KF342" s="31"/>
      <c r="KG342" s="31"/>
      <c r="KH342" s="31"/>
      <c r="KI342" s="31"/>
      <c r="KJ342" s="31"/>
      <c r="KK342" s="31"/>
      <c r="KL342" s="31"/>
      <c r="KM342" s="31"/>
      <c r="KN342" s="31"/>
      <c r="KO342" s="31"/>
      <c r="KP342" s="31"/>
      <c r="KQ342" s="31"/>
      <c r="KR342" s="31"/>
      <c r="KS342" s="31"/>
      <c r="KT342" s="31"/>
      <c r="KU342" s="31"/>
      <c r="KV342" s="31"/>
      <c r="KW342" s="31"/>
      <c r="KX342" s="31"/>
      <c r="KY342" s="31"/>
      <c r="KZ342" s="31"/>
      <c r="LA342" s="31"/>
      <c r="LB342" s="31"/>
      <c r="LC342" s="31"/>
      <c r="LD342" s="31"/>
      <c r="LE342" s="31"/>
      <c r="LF342" s="31"/>
      <c r="LG342" s="31"/>
      <c r="LH342" s="31"/>
      <c r="LI342" s="31"/>
      <c r="LJ342" s="31"/>
      <c r="LK342" s="31"/>
      <c r="LL342" s="31"/>
      <c r="LM342" s="31"/>
      <c r="LN342" s="31"/>
      <c r="LO342" s="31"/>
      <c r="LP342" s="31"/>
      <c r="LQ342" s="31"/>
      <c r="LR342" s="31"/>
      <c r="LS342" s="31"/>
      <c r="LT342" s="31"/>
      <c r="LU342" s="31"/>
      <c r="LV342" s="31"/>
      <c r="LW342" s="31"/>
      <c r="LX342" s="31"/>
      <c r="LY342" s="31"/>
      <c r="LZ342" s="31"/>
      <c r="MA342" s="31"/>
      <c r="MB342" s="31"/>
      <c r="MC342" s="31"/>
      <c r="MD342" s="31"/>
      <c r="ME342" s="31"/>
      <c r="MF342" s="31"/>
      <c r="MG342" s="31"/>
      <c r="MH342" s="31"/>
      <c r="MI342" s="31"/>
      <c r="MJ342" s="31"/>
      <c r="MK342" s="31"/>
      <c r="ML342" s="31"/>
      <c r="MM342" s="31"/>
      <c r="MN342" s="31"/>
      <c r="MO342" s="31"/>
      <c r="MP342" s="31"/>
      <c r="MQ342" s="31"/>
      <c r="MR342" s="31"/>
      <c r="MS342" s="31"/>
      <c r="MT342" s="31"/>
      <c r="MU342" s="31"/>
      <c r="MV342" s="31"/>
      <c r="MW342" s="31"/>
      <c r="MX342" s="31"/>
      <c r="MY342" s="31"/>
      <c r="MZ342" s="31"/>
      <c r="NA342" s="31"/>
      <c r="NB342" s="31"/>
      <c r="NC342" s="31"/>
      <c r="ND342" s="31"/>
      <c r="NE342" s="31"/>
      <c r="NF342" s="31"/>
      <c r="NG342" s="31"/>
      <c r="NH342" s="31"/>
      <c r="NI342" s="31"/>
      <c r="NJ342" s="31"/>
      <c r="NK342" s="31"/>
      <c r="NL342" s="31"/>
      <c r="NM342" s="31"/>
      <c r="NN342" s="31"/>
      <c r="NO342" s="31"/>
      <c r="NP342" s="31"/>
      <c r="NQ342" s="31"/>
      <c r="NR342" s="31"/>
      <c r="NS342" s="31"/>
      <c r="NT342" s="31"/>
      <c r="NU342" s="31"/>
      <c r="NV342" s="31"/>
      <c r="NW342" s="31"/>
      <c r="NX342" s="31"/>
      <c r="NY342" s="31"/>
      <c r="NZ342" s="31"/>
      <c r="OA342" s="31"/>
      <c r="OB342" s="31"/>
      <c r="OC342" s="31"/>
      <c r="OD342" s="31"/>
      <c r="OE342" s="31"/>
      <c r="OF342" s="31"/>
      <c r="OG342" s="31"/>
      <c r="OH342" s="31"/>
      <c r="OI342" s="31"/>
      <c r="OJ342" s="31"/>
      <c r="OK342" s="31"/>
      <c r="OL342" s="31"/>
      <c r="OM342" s="31"/>
      <c r="ON342" s="31"/>
      <c r="OO342" s="31"/>
      <c r="OP342" s="31"/>
      <c r="OQ342" s="31"/>
      <c r="OR342" s="31"/>
      <c r="OS342" s="31"/>
      <c r="OT342" s="31"/>
      <c r="OU342" s="31"/>
      <c r="OV342" s="31"/>
      <c r="OW342" s="31"/>
      <c r="OX342" s="31"/>
    </row>
    <row r="343" spans="1:414" s="25" customFormat="1" ht="15.6">
      <c r="B343" s="25" t="s">
        <v>932</v>
      </c>
      <c r="C343" s="27" t="s">
        <v>455</v>
      </c>
      <c r="D343" s="30"/>
      <c r="G343" s="42"/>
      <c r="H343" s="89"/>
      <c r="I343" s="38"/>
      <c r="K343" s="42"/>
      <c r="L343" s="90"/>
      <c r="M343" s="38"/>
      <c r="O343" s="42"/>
      <c r="P343" s="38"/>
      <c r="Q343" s="38"/>
      <c r="R343" s="43"/>
      <c r="S343" s="38"/>
      <c r="T343" s="49">
        <v>440</v>
      </c>
      <c r="U343" s="42">
        <v>26.141100000000002</v>
      </c>
      <c r="V343" s="38">
        <f t="shared" si="107"/>
        <v>11502.084000000001</v>
      </c>
      <c r="W343" s="42"/>
      <c r="X343" s="42"/>
      <c r="Y343" s="42">
        <f t="shared" si="110"/>
        <v>0</v>
      </c>
      <c r="Z343" s="42"/>
      <c r="AA343" s="42"/>
      <c r="AB343" s="42">
        <f t="shared" si="125"/>
        <v>0</v>
      </c>
      <c r="AD343" s="42"/>
      <c r="AE343" s="42"/>
      <c r="AF343" s="42">
        <f t="shared" si="109"/>
        <v>0</v>
      </c>
      <c r="AG343" s="42"/>
      <c r="AH343" s="42"/>
      <c r="AI343" s="42"/>
      <c r="AJ343" s="42">
        <f t="shared" si="115"/>
        <v>0</v>
      </c>
      <c r="AL343" s="42"/>
      <c r="AM343" s="42"/>
      <c r="AN343" s="42"/>
      <c r="AO343" s="44"/>
      <c r="AP343" s="42"/>
      <c r="AQ343" s="42"/>
      <c r="AR343" s="42"/>
      <c r="AU343" s="98"/>
      <c r="AV343" s="35"/>
      <c r="AW343" s="104"/>
      <c r="AX343" s="42"/>
      <c r="AY343" s="42"/>
      <c r="AZ343" s="42">
        <f t="shared" si="113"/>
        <v>0</v>
      </c>
      <c r="BA343" s="42"/>
      <c r="BB343" s="42"/>
      <c r="BC343" s="42"/>
      <c r="BD343" s="38">
        <f t="shared" si="120"/>
        <v>0</v>
      </c>
      <c r="BE343" s="42"/>
      <c r="BF343" s="42"/>
      <c r="BG343" s="42"/>
      <c r="BH343" s="38">
        <f t="shared" si="121"/>
        <v>0</v>
      </c>
      <c r="BI343" s="42"/>
      <c r="BJ343" s="42"/>
      <c r="BK343" s="42"/>
      <c r="BL343" s="38">
        <f t="shared" si="122"/>
        <v>0</v>
      </c>
      <c r="BM343" s="42"/>
      <c r="BN343" s="42"/>
      <c r="BO343" s="42"/>
      <c r="BP343" s="42"/>
      <c r="BR343" s="42"/>
      <c r="BS343" s="43"/>
      <c r="BT343" s="42">
        <v>11502.08</v>
      </c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  <c r="FM343" s="31"/>
      <c r="FN343" s="31"/>
      <c r="FO343" s="31"/>
      <c r="FP343" s="31"/>
      <c r="FQ343" s="31"/>
      <c r="FR343" s="31"/>
      <c r="FS343" s="31"/>
      <c r="FT343" s="31"/>
      <c r="FU343" s="31"/>
      <c r="FV343" s="31"/>
      <c r="FW343" s="31"/>
      <c r="FX343" s="31"/>
      <c r="FY343" s="31"/>
      <c r="FZ343" s="31"/>
      <c r="GA343" s="31"/>
      <c r="GB343" s="31"/>
      <c r="GC343" s="31"/>
      <c r="GD343" s="31"/>
      <c r="GE343" s="31"/>
      <c r="GF343" s="31"/>
      <c r="GG343" s="31"/>
      <c r="GH343" s="31"/>
      <c r="GI343" s="31"/>
      <c r="GJ343" s="31"/>
      <c r="GK343" s="31"/>
      <c r="GL343" s="31"/>
      <c r="GM343" s="31"/>
      <c r="GN343" s="31"/>
      <c r="GO343" s="31"/>
      <c r="GP343" s="31"/>
      <c r="GQ343" s="31"/>
      <c r="GR343" s="31"/>
      <c r="GS343" s="31"/>
      <c r="GT343" s="31"/>
      <c r="GU343" s="31"/>
      <c r="GV343" s="31"/>
      <c r="GW343" s="31"/>
      <c r="GX343" s="31"/>
      <c r="GY343" s="31"/>
      <c r="GZ343" s="31"/>
      <c r="HA343" s="31"/>
      <c r="HB343" s="31"/>
      <c r="HC343" s="31"/>
      <c r="HD343" s="31"/>
      <c r="HE343" s="31"/>
      <c r="HF343" s="31"/>
      <c r="HG343" s="31"/>
      <c r="HH343" s="31"/>
      <c r="HI343" s="31"/>
      <c r="HJ343" s="31"/>
      <c r="HK343" s="31"/>
      <c r="HL343" s="31"/>
      <c r="HM343" s="31"/>
      <c r="HN343" s="31"/>
      <c r="HO343" s="31"/>
      <c r="HP343" s="31"/>
      <c r="HQ343" s="31"/>
      <c r="HR343" s="31"/>
      <c r="HS343" s="31"/>
      <c r="HT343" s="31"/>
      <c r="HU343" s="31"/>
      <c r="HV343" s="31"/>
      <c r="HW343" s="31"/>
      <c r="HX343" s="31"/>
      <c r="HY343" s="31"/>
      <c r="HZ343" s="31"/>
      <c r="IA343" s="31"/>
      <c r="IB343" s="31"/>
      <c r="IC343" s="31"/>
      <c r="ID343" s="31"/>
      <c r="IE343" s="31"/>
      <c r="IF343" s="31"/>
      <c r="IG343" s="31"/>
      <c r="IH343" s="31"/>
      <c r="II343" s="31"/>
      <c r="IJ343" s="31"/>
      <c r="IK343" s="31"/>
      <c r="IL343" s="31"/>
      <c r="IM343" s="31"/>
      <c r="IN343" s="31"/>
      <c r="IO343" s="31"/>
      <c r="IP343" s="31"/>
      <c r="IQ343" s="31"/>
      <c r="IR343" s="31"/>
      <c r="IS343" s="31"/>
      <c r="IT343" s="31"/>
      <c r="IU343" s="31"/>
      <c r="IV343" s="31"/>
      <c r="IW343" s="31"/>
      <c r="IX343" s="31"/>
      <c r="IY343" s="31"/>
      <c r="IZ343" s="31"/>
      <c r="JA343" s="31"/>
      <c r="JB343" s="31"/>
      <c r="JC343" s="31"/>
      <c r="JD343" s="31"/>
      <c r="JE343" s="31"/>
      <c r="JF343" s="31"/>
      <c r="JG343" s="31"/>
      <c r="JH343" s="31"/>
      <c r="JI343" s="31"/>
      <c r="JJ343" s="31"/>
      <c r="JK343" s="31"/>
      <c r="JL343" s="31"/>
      <c r="JM343" s="31"/>
      <c r="JN343" s="31"/>
      <c r="JO343" s="31"/>
      <c r="JP343" s="31"/>
      <c r="JQ343" s="31"/>
      <c r="JR343" s="31"/>
      <c r="JS343" s="31"/>
      <c r="JT343" s="31"/>
      <c r="JU343" s="31"/>
      <c r="JV343" s="31"/>
      <c r="JW343" s="31"/>
      <c r="JX343" s="31"/>
      <c r="JY343" s="31"/>
      <c r="JZ343" s="31"/>
      <c r="KA343" s="31"/>
      <c r="KB343" s="31"/>
      <c r="KC343" s="31"/>
      <c r="KD343" s="31"/>
      <c r="KE343" s="31"/>
      <c r="KF343" s="31"/>
      <c r="KG343" s="31"/>
      <c r="KH343" s="31"/>
      <c r="KI343" s="31"/>
      <c r="KJ343" s="31"/>
      <c r="KK343" s="31"/>
      <c r="KL343" s="31"/>
      <c r="KM343" s="31"/>
      <c r="KN343" s="31"/>
      <c r="KO343" s="31"/>
      <c r="KP343" s="31"/>
      <c r="KQ343" s="31"/>
      <c r="KR343" s="31"/>
      <c r="KS343" s="31"/>
      <c r="KT343" s="31"/>
      <c r="KU343" s="31"/>
      <c r="KV343" s="31"/>
      <c r="KW343" s="31"/>
      <c r="KX343" s="31"/>
      <c r="KY343" s="31"/>
      <c r="KZ343" s="31"/>
      <c r="LA343" s="31"/>
      <c r="LB343" s="31"/>
      <c r="LC343" s="31"/>
      <c r="LD343" s="31"/>
      <c r="LE343" s="31"/>
      <c r="LF343" s="31"/>
      <c r="LG343" s="31"/>
      <c r="LH343" s="31"/>
      <c r="LI343" s="31"/>
      <c r="LJ343" s="31"/>
      <c r="LK343" s="31"/>
      <c r="LL343" s="31"/>
      <c r="LM343" s="31"/>
      <c r="LN343" s="31"/>
      <c r="LO343" s="31"/>
      <c r="LP343" s="31"/>
      <c r="LQ343" s="31"/>
      <c r="LR343" s="31"/>
      <c r="LS343" s="31"/>
      <c r="LT343" s="31"/>
      <c r="LU343" s="31"/>
      <c r="LV343" s="31"/>
      <c r="LW343" s="31"/>
      <c r="LX343" s="31"/>
      <c r="LY343" s="31"/>
      <c r="LZ343" s="31"/>
      <c r="MA343" s="31"/>
      <c r="MB343" s="31"/>
      <c r="MC343" s="31"/>
      <c r="MD343" s="31"/>
      <c r="ME343" s="31"/>
      <c r="MF343" s="31"/>
      <c r="MG343" s="31"/>
      <c r="MH343" s="31"/>
      <c r="MI343" s="31"/>
      <c r="MJ343" s="31"/>
      <c r="MK343" s="31"/>
      <c r="ML343" s="31"/>
      <c r="MM343" s="31"/>
      <c r="MN343" s="31"/>
      <c r="MO343" s="31"/>
      <c r="MP343" s="31"/>
      <c r="MQ343" s="31"/>
      <c r="MR343" s="31"/>
      <c r="MS343" s="31"/>
      <c r="MT343" s="31"/>
      <c r="MU343" s="31"/>
      <c r="MV343" s="31"/>
      <c r="MW343" s="31"/>
      <c r="MX343" s="31"/>
      <c r="MY343" s="31"/>
      <c r="MZ343" s="31"/>
      <c r="NA343" s="31"/>
      <c r="NB343" s="31"/>
      <c r="NC343" s="31"/>
      <c r="ND343" s="31"/>
      <c r="NE343" s="31"/>
      <c r="NF343" s="31"/>
      <c r="NG343" s="31"/>
      <c r="NH343" s="31"/>
      <c r="NI343" s="31"/>
      <c r="NJ343" s="31"/>
      <c r="NK343" s="31"/>
      <c r="NL343" s="31"/>
      <c r="NM343" s="31"/>
      <c r="NN343" s="31"/>
      <c r="NO343" s="31"/>
      <c r="NP343" s="31"/>
      <c r="NQ343" s="31"/>
      <c r="NR343" s="31"/>
      <c r="NS343" s="31"/>
      <c r="NT343" s="31"/>
      <c r="NU343" s="31"/>
      <c r="NV343" s="31"/>
      <c r="NW343" s="31"/>
      <c r="NX343" s="31"/>
      <c r="NY343" s="31"/>
      <c r="NZ343" s="31"/>
      <c r="OA343" s="31"/>
      <c r="OB343" s="31"/>
      <c r="OC343" s="31"/>
      <c r="OD343" s="31"/>
      <c r="OE343" s="31"/>
      <c r="OF343" s="31"/>
      <c r="OG343" s="31"/>
      <c r="OH343" s="31"/>
      <c r="OI343" s="31"/>
      <c r="OJ343" s="31"/>
      <c r="OK343" s="31"/>
      <c r="OL343" s="31"/>
      <c r="OM343" s="31"/>
      <c r="ON343" s="31"/>
      <c r="OO343" s="31"/>
      <c r="OP343" s="31"/>
      <c r="OQ343" s="31"/>
      <c r="OR343" s="31"/>
      <c r="OS343" s="31"/>
      <c r="OT343" s="31"/>
      <c r="OU343" s="31"/>
      <c r="OV343" s="31"/>
      <c r="OW343" s="31"/>
      <c r="OX343" s="31"/>
    </row>
    <row r="344" spans="1:414" s="25" customFormat="1" ht="15.6">
      <c r="B344" s="25" t="s">
        <v>931</v>
      </c>
      <c r="C344" s="27" t="s">
        <v>157</v>
      </c>
      <c r="D344" s="30"/>
      <c r="G344" s="42"/>
      <c r="H344" s="89"/>
      <c r="I344" s="38"/>
      <c r="K344" s="42"/>
      <c r="L344" s="90"/>
      <c r="M344" s="38"/>
      <c r="O344" s="42"/>
      <c r="P344" s="38"/>
      <c r="Q344" s="38"/>
      <c r="R344" s="43"/>
      <c r="S344" s="38"/>
      <c r="T344" s="49">
        <v>440</v>
      </c>
      <c r="U344" s="42">
        <v>26.141100000000002</v>
      </c>
      <c r="V344" s="38">
        <f t="shared" si="107"/>
        <v>11502.084000000001</v>
      </c>
      <c r="W344" s="42"/>
      <c r="X344" s="42"/>
      <c r="Y344" s="42">
        <f t="shared" si="110"/>
        <v>0</v>
      </c>
      <c r="Z344" s="42"/>
      <c r="AA344" s="42"/>
      <c r="AB344" s="42">
        <f t="shared" si="125"/>
        <v>0</v>
      </c>
      <c r="AD344" s="42"/>
      <c r="AE344" s="42"/>
      <c r="AF344" s="42">
        <f t="shared" si="109"/>
        <v>0</v>
      </c>
      <c r="AG344" s="42"/>
      <c r="AH344" s="42"/>
      <c r="AI344" s="42"/>
      <c r="AJ344" s="42">
        <f t="shared" si="115"/>
        <v>0</v>
      </c>
      <c r="AL344" s="42"/>
      <c r="AM344" s="42"/>
      <c r="AN344" s="42"/>
      <c r="AO344" s="44"/>
      <c r="AP344" s="42"/>
      <c r="AQ344" s="42"/>
      <c r="AR344" s="42"/>
      <c r="AU344" s="98"/>
      <c r="AV344" s="35"/>
      <c r="AW344" s="104"/>
      <c r="AX344" s="42"/>
      <c r="AY344" s="42"/>
      <c r="AZ344" s="42">
        <f t="shared" si="113"/>
        <v>0</v>
      </c>
      <c r="BA344" s="42"/>
      <c r="BB344" s="42"/>
      <c r="BC344" s="42"/>
      <c r="BD344" s="38">
        <f t="shared" si="120"/>
        <v>0</v>
      </c>
      <c r="BE344" s="42"/>
      <c r="BF344" s="42"/>
      <c r="BG344" s="42"/>
      <c r="BH344" s="38">
        <f t="shared" si="121"/>
        <v>0</v>
      </c>
      <c r="BI344" s="42"/>
      <c r="BJ344" s="42"/>
      <c r="BK344" s="42"/>
      <c r="BL344" s="38">
        <f t="shared" si="122"/>
        <v>0</v>
      </c>
      <c r="BM344" s="42"/>
      <c r="BN344" s="42"/>
      <c r="BO344" s="42"/>
      <c r="BP344" s="42"/>
      <c r="BR344" s="42"/>
      <c r="BS344" s="43"/>
      <c r="BT344" s="42">
        <v>11502.08</v>
      </c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  <c r="FM344" s="31"/>
      <c r="FN344" s="31"/>
      <c r="FO344" s="31"/>
      <c r="FP344" s="31"/>
      <c r="FQ344" s="31"/>
      <c r="FR344" s="31"/>
      <c r="FS344" s="31"/>
      <c r="FT344" s="31"/>
      <c r="FU344" s="31"/>
      <c r="FV344" s="31"/>
      <c r="FW344" s="31"/>
      <c r="FX344" s="31"/>
      <c r="FY344" s="31"/>
      <c r="FZ344" s="31"/>
      <c r="GA344" s="31"/>
      <c r="GB344" s="31"/>
      <c r="GC344" s="31"/>
      <c r="GD344" s="31"/>
      <c r="GE344" s="31"/>
      <c r="GF344" s="31"/>
      <c r="GG344" s="31"/>
      <c r="GH344" s="31"/>
      <c r="GI344" s="31"/>
      <c r="GJ344" s="31"/>
      <c r="GK344" s="31"/>
      <c r="GL344" s="31"/>
      <c r="GM344" s="31"/>
      <c r="GN344" s="31"/>
      <c r="GO344" s="31"/>
      <c r="GP344" s="31"/>
      <c r="GQ344" s="31"/>
      <c r="GR344" s="31"/>
      <c r="GS344" s="31"/>
      <c r="GT344" s="31"/>
      <c r="GU344" s="31"/>
      <c r="GV344" s="31"/>
      <c r="GW344" s="31"/>
      <c r="GX344" s="31"/>
      <c r="GY344" s="31"/>
      <c r="GZ344" s="31"/>
      <c r="HA344" s="31"/>
      <c r="HB344" s="31"/>
      <c r="HC344" s="31"/>
      <c r="HD344" s="31"/>
      <c r="HE344" s="31"/>
      <c r="HF344" s="31"/>
      <c r="HG344" s="31"/>
      <c r="HH344" s="31"/>
      <c r="HI344" s="31"/>
      <c r="HJ344" s="31"/>
      <c r="HK344" s="31"/>
      <c r="HL344" s="31"/>
      <c r="HM344" s="31"/>
      <c r="HN344" s="31"/>
      <c r="HO344" s="31"/>
      <c r="HP344" s="31"/>
      <c r="HQ344" s="31"/>
      <c r="HR344" s="31"/>
      <c r="HS344" s="31"/>
      <c r="HT344" s="31"/>
      <c r="HU344" s="31"/>
      <c r="HV344" s="31"/>
      <c r="HW344" s="31"/>
      <c r="HX344" s="31"/>
      <c r="HY344" s="31"/>
      <c r="HZ344" s="31"/>
      <c r="IA344" s="31"/>
      <c r="IB344" s="31"/>
      <c r="IC344" s="31"/>
      <c r="ID344" s="31"/>
      <c r="IE344" s="31"/>
      <c r="IF344" s="31"/>
      <c r="IG344" s="31"/>
      <c r="IH344" s="31"/>
      <c r="II344" s="31"/>
      <c r="IJ344" s="31"/>
      <c r="IK344" s="31"/>
      <c r="IL344" s="31"/>
      <c r="IM344" s="31"/>
      <c r="IN344" s="31"/>
      <c r="IO344" s="31"/>
      <c r="IP344" s="31"/>
      <c r="IQ344" s="31"/>
      <c r="IR344" s="31"/>
      <c r="IS344" s="31"/>
      <c r="IT344" s="31"/>
      <c r="IU344" s="31"/>
      <c r="IV344" s="31"/>
      <c r="IW344" s="31"/>
      <c r="IX344" s="31"/>
      <c r="IY344" s="31"/>
      <c r="IZ344" s="31"/>
      <c r="JA344" s="31"/>
      <c r="JB344" s="31"/>
      <c r="JC344" s="31"/>
      <c r="JD344" s="31"/>
      <c r="JE344" s="31"/>
      <c r="JF344" s="31"/>
      <c r="JG344" s="31"/>
      <c r="JH344" s="31"/>
      <c r="JI344" s="31"/>
      <c r="JJ344" s="31"/>
      <c r="JK344" s="31"/>
      <c r="JL344" s="31"/>
      <c r="JM344" s="31"/>
      <c r="JN344" s="31"/>
      <c r="JO344" s="31"/>
      <c r="JP344" s="31"/>
      <c r="JQ344" s="31"/>
      <c r="JR344" s="31"/>
      <c r="JS344" s="31"/>
      <c r="JT344" s="31"/>
      <c r="JU344" s="31"/>
      <c r="JV344" s="31"/>
      <c r="JW344" s="31"/>
      <c r="JX344" s="31"/>
      <c r="JY344" s="31"/>
      <c r="JZ344" s="31"/>
      <c r="KA344" s="31"/>
      <c r="KB344" s="31"/>
      <c r="KC344" s="31"/>
      <c r="KD344" s="31"/>
      <c r="KE344" s="31"/>
      <c r="KF344" s="31"/>
      <c r="KG344" s="31"/>
      <c r="KH344" s="31"/>
      <c r="KI344" s="31"/>
      <c r="KJ344" s="31"/>
      <c r="KK344" s="31"/>
      <c r="KL344" s="31"/>
      <c r="KM344" s="31"/>
      <c r="KN344" s="31"/>
      <c r="KO344" s="31"/>
      <c r="KP344" s="31"/>
      <c r="KQ344" s="31"/>
      <c r="KR344" s="31"/>
      <c r="KS344" s="31"/>
      <c r="KT344" s="31"/>
      <c r="KU344" s="31"/>
      <c r="KV344" s="31"/>
      <c r="KW344" s="31"/>
      <c r="KX344" s="31"/>
      <c r="KY344" s="31"/>
      <c r="KZ344" s="31"/>
      <c r="LA344" s="31"/>
      <c r="LB344" s="31"/>
      <c r="LC344" s="31"/>
      <c r="LD344" s="31"/>
      <c r="LE344" s="31"/>
      <c r="LF344" s="31"/>
      <c r="LG344" s="31"/>
      <c r="LH344" s="31"/>
      <c r="LI344" s="31"/>
      <c r="LJ344" s="31"/>
      <c r="LK344" s="31"/>
      <c r="LL344" s="31"/>
      <c r="LM344" s="31"/>
      <c r="LN344" s="31"/>
      <c r="LO344" s="31"/>
      <c r="LP344" s="31"/>
      <c r="LQ344" s="31"/>
      <c r="LR344" s="31"/>
      <c r="LS344" s="31"/>
      <c r="LT344" s="31"/>
      <c r="LU344" s="31"/>
      <c r="LV344" s="31"/>
      <c r="LW344" s="31"/>
      <c r="LX344" s="31"/>
      <c r="LY344" s="31"/>
      <c r="LZ344" s="31"/>
      <c r="MA344" s="31"/>
      <c r="MB344" s="31"/>
      <c r="MC344" s="31"/>
      <c r="MD344" s="31"/>
      <c r="ME344" s="31"/>
      <c r="MF344" s="31"/>
      <c r="MG344" s="31"/>
      <c r="MH344" s="31"/>
      <c r="MI344" s="31"/>
      <c r="MJ344" s="31"/>
      <c r="MK344" s="31"/>
      <c r="ML344" s="31"/>
      <c r="MM344" s="31"/>
      <c r="MN344" s="31"/>
      <c r="MO344" s="31"/>
      <c r="MP344" s="31"/>
      <c r="MQ344" s="31"/>
      <c r="MR344" s="31"/>
      <c r="MS344" s="31"/>
      <c r="MT344" s="31"/>
      <c r="MU344" s="31"/>
      <c r="MV344" s="31"/>
      <c r="MW344" s="31"/>
      <c r="MX344" s="31"/>
      <c r="MY344" s="31"/>
      <c r="MZ344" s="31"/>
      <c r="NA344" s="31"/>
      <c r="NB344" s="31"/>
      <c r="NC344" s="31"/>
      <c r="ND344" s="31"/>
      <c r="NE344" s="31"/>
      <c r="NF344" s="31"/>
      <c r="NG344" s="31"/>
      <c r="NH344" s="31"/>
      <c r="NI344" s="31"/>
      <c r="NJ344" s="31"/>
      <c r="NK344" s="31"/>
      <c r="NL344" s="31"/>
      <c r="NM344" s="31"/>
      <c r="NN344" s="31"/>
      <c r="NO344" s="31"/>
      <c r="NP344" s="31"/>
      <c r="NQ344" s="31"/>
      <c r="NR344" s="31"/>
      <c r="NS344" s="31"/>
      <c r="NT344" s="31"/>
      <c r="NU344" s="31"/>
      <c r="NV344" s="31"/>
      <c r="NW344" s="31"/>
      <c r="NX344" s="31"/>
      <c r="NY344" s="31"/>
      <c r="NZ344" s="31"/>
      <c r="OA344" s="31"/>
      <c r="OB344" s="31"/>
      <c r="OC344" s="31"/>
      <c r="OD344" s="31"/>
      <c r="OE344" s="31"/>
      <c r="OF344" s="31"/>
      <c r="OG344" s="31"/>
      <c r="OH344" s="31"/>
      <c r="OI344" s="31"/>
      <c r="OJ344" s="31"/>
      <c r="OK344" s="31"/>
      <c r="OL344" s="31"/>
      <c r="OM344" s="31"/>
      <c r="ON344" s="31"/>
      <c r="OO344" s="31"/>
      <c r="OP344" s="31"/>
      <c r="OQ344" s="31"/>
      <c r="OR344" s="31"/>
      <c r="OS344" s="31"/>
      <c r="OT344" s="31"/>
      <c r="OU344" s="31"/>
      <c r="OV344" s="31"/>
      <c r="OW344" s="31"/>
      <c r="OX344" s="31"/>
    </row>
    <row r="345" spans="1:414" s="25" customFormat="1" ht="15.6">
      <c r="B345" s="25" t="s">
        <v>930</v>
      </c>
      <c r="C345" s="27" t="s">
        <v>333</v>
      </c>
      <c r="D345" s="30"/>
      <c r="G345" s="42"/>
      <c r="H345" s="89"/>
      <c r="I345" s="38"/>
      <c r="K345" s="42"/>
      <c r="L345" s="90"/>
      <c r="M345" s="38"/>
      <c r="O345" s="42"/>
      <c r="P345" s="38"/>
      <c r="Q345" s="38"/>
      <c r="R345" s="43"/>
      <c r="S345" s="38"/>
      <c r="T345" s="49">
        <v>300</v>
      </c>
      <c r="U345" s="42">
        <v>26.141100000000002</v>
      </c>
      <c r="V345" s="38">
        <f t="shared" ref="V345:V408" si="126">T345*U345</f>
        <v>7842.3300000000008</v>
      </c>
      <c r="W345" s="42"/>
      <c r="X345" s="42"/>
      <c r="Y345" s="42">
        <f t="shared" si="110"/>
        <v>0</v>
      </c>
      <c r="Z345" s="42"/>
      <c r="AA345" s="42"/>
      <c r="AB345" s="42">
        <f t="shared" si="125"/>
        <v>0</v>
      </c>
      <c r="AD345" s="42"/>
      <c r="AE345" s="42"/>
      <c r="AF345" s="42">
        <f t="shared" si="109"/>
        <v>0</v>
      </c>
      <c r="AG345" s="42"/>
      <c r="AH345" s="42"/>
      <c r="AI345" s="42"/>
      <c r="AJ345" s="42">
        <f t="shared" si="115"/>
        <v>0</v>
      </c>
      <c r="AL345" s="42"/>
      <c r="AM345" s="42"/>
      <c r="AN345" s="42"/>
      <c r="AO345" s="44"/>
      <c r="AP345" s="42"/>
      <c r="AQ345" s="42"/>
      <c r="AR345" s="42"/>
      <c r="AU345" s="98"/>
      <c r="AV345" s="35"/>
      <c r="AW345" s="104"/>
      <c r="AX345" s="42"/>
      <c r="AY345" s="42"/>
      <c r="AZ345" s="42">
        <f t="shared" si="113"/>
        <v>0</v>
      </c>
      <c r="BA345" s="42"/>
      <c r="BB345" s="42"/>
      <c r="BC345" s="42"/>
      <c r="BD345" s="38">
        <f t="shared" si="120"/>
        <v>0</v>
      </c>
      <c r="BE345" s="42"/>
      <c r="BF345" s="42"/>
      <c r="BG345" s="42"/>
      <c r="BH345" s="38">
        <f t="shared" si="121"/>
        <v>0</v>
      </c>
      <c r="BI345" s="42"/>
      <c r="BJ345" s="42"/>
      <c r="BK345" s="42"/>
      <c r="BL345" s="38">
        <f t="shared" si="122"/>
        <v>0</v>
      </c>
      <c r="BM345" s="42"/>
      <c r="BN345" s="42"/>
      <c r="BO345" s="42"/>
      <c r="BP345" s="42"/>
      <c r="BR345" s="42"/>
      <c r="BS345" s="43"/>
      <c r="BT345" s="42">
        <v>7842.33</v>
      </c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  <c r="FM345" s="31"/>
      <c r="FN345" s="31"/>
      <c r="FO345" s="31"/>
      <c r="FP345" s="31"/>
      <c r="FQ345" s="31"/>
      <c r="FR345" s="31"/>
      <c r="FS345" s="31"/>
      <c r="FT345" s="31"/>
      <c r="FU345" s="31"/>
      <c r="FV345" s="31"/>
      <c r="FW345" s="31"/>
      <c r="FX345" s="31"/>
      <c r="FY345" s="31"/>
      <c r="FZ345" s="31"/>
      <c r="GA345" s="31"/>
      <c r="GB345" s="31"/>
      <c r="GC345" s="31"/>
      <c r="GD345" s="31"/>
      <c r="GE345" s="31"/>
      <c r="GF345" s="31"/>
      <c r="GG345" s="31"/>
      <c r="GH345" s="31"/>
      <c r="GI345" s="31"/>
      <c r="GJ345" s="31"/>
      <c r="GK345" s="31"/>
      <c r="GL345" s="31"/>
      <c r="GM345" s="31"/>
      <c r="GN345" s="31"/>
      <c r="GO345" s="31"/>
      <c r="GP345" s="31"/>
      <c r="GQ345" s="31"/>
      <c r="GR345" s="31"/>
      <c r="GS345" s="31"/>
      <c r="GT345" s="31"/>
      <c r="GU345" s="31"/>
      <c r="GV345" s="31"/>
      <c r="GW345" s="31"/>
      <c r="GX345" s="31"/>
      <c r="GY345" s="31"/>
      <c r="GZ345" s="31"/>
      <c r="HA345" s="31"/>
      <c r="HB345" s="31"/>
      <c r="HC345" s="31"/>
      <c r="HD345" s="31"/>
      <c r="HE345" s="31"/>
      <c r="HF345" s="31"/>
      <c r="HG345" s="31"/>
      <c r="HH345" s="31"/>
      <c r="HI345" s="31"/>
      <c r="HJ345" s="31"/>
      <c r="HK345" s="31"/>
      <c r="HL345" s="31"/>
      <c r="HM345" s="31"/>
      <c r="HN345" s="31"/>
      <c r="HO345" s="31"/>
      <c r="HP345" s="31"/>
      <c r="HQ345" s="31"/>
      <c r="HR345" s="31"/>
      <c r="HS345" s="31"/>
      <c r="HT345" s="31"/>
      <c r="HU345" s="31"/>
      <c r="HV345" s="31"/>
      <c r="HW345" s="31"/>
      <c r="HX345" s="31"/>
      <c r="HY345" s="31"/>
      <c r="HZ345" s="31"/>
      <c r="IA345" s="31"/>
      <c r="IB345" s="31"/>
      <c r="IC345" s="31"/>
      <c r="ID345" s="31"/>
      <c r="IE345" s="31"/>
      <c r="IF345" s="31"/>
      <c r="IG345" s="31"/>
      <c r="IH345" s="31"/>
      <c r="II345" s="31"/>
      <c r="IJ345" s="31"/>
      <c r="IK345" s="31"/>
      <c r="IL345" s="31"/>
      <c r="IM345" s="31"/>
      <c r="IN345" s="31"/>
      <c r="IO345" s="31"/>
      <c r="IP345" s="31"/>
      <c r="IQ345" s="31"/>
      <c r="IR345" s="31"/>
      <c r="IS345" s="31"/>
      <c r="IT345" s="31"/>
      <c r="IU345" s="31"/>
      <c r="IV345" s="31"/>
      <c r="IW345" s="31"/>
      <c r="IX345" s="31"/>
      <c r="IY345" s="31"/>
      <c r="IZ345" s="31"/>
      <c r="JA345" s="31"/>
      <c r="JB345" s="31"/>
      <c r="JC345" s="31"/>
      <c r="JD345" s="31"/>
      <c r="JE345" s="31"/>
      <c r="JF345" s="31"/>
      <c r="JG345" s="31"/>
      <c r="JH345" s="31"/>
      <c r="JI345" s="31"/>
      <c r="JJ345" s="31"/>
      <c r="JK345" s="31"/>
      <c r="JL345" s="31"/>
      <c r="JM345" s="31"/>
      <c r="JN345" s="31"/>
      <c r="JO345" s="31"/>
      <c r="JP345" s="31"/>
      <c r="JQ345" s="31"/>
      <c r="JR345" s="31"/>
      <c r="JS345" s="31"/>
      <c r="JT345" s="31"/>
      <c r="JU345" s="31"/>
      <c r="JV345" s="31"/>
      <c r="JW345" s="31"/>
      <c r="JX345" s="31"/>
      <c r="JY345" s="31"/>
      <c r="JZ345" s="31"/>
      <c r="KA345" s="31"/>
      <c r="KB345" s="31"/>
      <c r="KC345" s="31"/>
      <c r="KD345" s="31"/>
      <c r="KE345" s="31"/>
      <c r="KF345" s="31"/>
      <c r="KG345" s="31"/>
      <c r="KH345" s="31"/>
      <c r="KI345" s="31"/>
      <c r="KJ345" s="31"/>
      <c r="KK345" s="31"/>
      <c r="KL345" s="31"/>
      <c r="KM345" s="31"/>
      <c r="KN345" s="31"/>
      <c r="KO345" s="31"/>
      <c r="KP345" s="31"/>
      <c r="KQ345" s="31"/>
      <c r="KR345" s="31"/>
      <c r="KS345" s="31"/>
      <c r="KT345" s="31"/>
      <c r="KU345" s="31"/>
      <c r="KV345" s="31"/>
      <c r="KW345" s="31"/>
      <c r="KX345" s="31"/>
      <c r="KY345" s="31"/>
      <c r="KZ345" s="31"/>
      <c r="LA345" s="31"/>
      <c r="LB345" s="31"/>
      <c r="LC345" s="31"/>
      <c r="LD345" s="31"/>
      <c r="LE345" s="31"/>
      <c r="LF345" s="31"/>
      <c r="LG345" s="31"/>
      <c r="LH345" s="31"/>
      <c r="LI345" s="31"/>
      <c r="LJ345" s="31"/>
      <c r="LK345" s="31"/>
      <c r="LL345" s="31"/>
      <c r="LM345" s="31"/>
      <c r="LN345" s="31"/>
      <c r="LO345" s="31"/>
      <c r="LP345" s="31"/>
      <c r="LQ345" s="31"/>
      <c r="LR345" s="31"/>
      <c r="LS345" s="31"/>
      <c r="LT345" s="31"/>
      <c r="LU345" s="31"/>
      <c r="LV345" s="31"/>
      <c r="LW345" s="31"/>
      <c r="LX345" s="31"/>
      <c r="LY345" s="31"/>
      <c r="LZ345" s="31"/>
      <c r="MA345" s="31"/>
      <c r="MB345" s="31"/>
      <c r="MC345" s="31"/>
      <c r="MD345" s="31"/>
      <c r="ME345" s="31"/>
      <c r="MF345" s="31"/>
      <c r="MG345" s="31"/>
      <c r="MH345" s="31"/>
      <c r="MI345" s="31"/>
      <c r="MJ345" s="31"/>
      <c r="MK345" s="31"/>
      <c r="ML345" s="31"/>
      <c r="MM345" s="31"/>
      <c r="MN345" s="31"/>
      <c r="MO345" s="31"/>
      <c r="MP345" s="31"/>
      <c r="MQ345" s="31"/>
      <c r="MR345" s="31"/>
      <c r="MS345" s="31"/>
      <c r="MT345" s="31"/>
      <c r="MU345" s="31"/>
      <c r="MV345" s="31"/>
      <c r="MW345" s="31"/>
      <c r="MX345" s="31"/>
      <c r="MY345" s="31"/>
      <c r="MZ345" s="31"/>
      <c r="NA345" s="31"/>
      <c r="NB345" s="31"/>
      <c r="NC345" s="31"/>
      <c r="ND345" s="31"/>
      <c r="NE345" s="31"/>
      <c r="NF345" s="31"/>
      <c r="NG345" s="31"/>
      <c r="NH345" s="31"/>
      <c r="NI345" s="31"/>
      <c r="NJ345" s="31"/>
      <c r="NK345" s="31"/>
      <c r="NL345" s="31"/>
      <c r="NM345" s="31"/>
      <c r="NN345" s="31"/>
      <c r="NO345" s="31"/>
      <c r="NP345" s="31"/>
      <c r="NQ345" s="31"/>
      <c r="NR345" s="31"/>
      <c r="NS345" s="31"/>
      <c r="NT345" s="31"/>
      <c r="NU345" s="31"/>
      <c r="NV345" s="31"/>
      <c r="NW345" s="31"/>
      <c r="NX345" s="31"/>
      <c r="NY345" s="31"/>
      <c r="NZ345" s="31"/>
      <c r="OA345" s="31"/>
      <c r="OB345" s="31"/>
      <c r="OC345" s="31"/>
      <c r="OD345" s="31"/>
      <c r="OE345" s="31"/>
      <c r="OF345" s="31"/>
      <c r="OG345" s="31"/>
      <c r="OH345" s="31"/>
      <c r="OI345" s="31"/>
      <c r="OJ345" s="31"/>
      <c r="OK345" s="31"/>
      <c r="OL345" s="31"/>
      <c r="OM345" s="31"/>
      <c r="ON345" s="31"/>
      <c r="OO345" s="31"/>
      <c r="OP345" s="31"/>
      <c r="OQ345" s="31"/>
      <c r="OR345" s="31"/>
      <c r="OS345" s="31"/>
      <c r="OT345" s="31"/>
      <c r="OU345" s="31"/>
      <c r="OV345" s="31"/>
      <c r="OW345" s="31"/>
      <c r="OX345" s="31"/>
    </row>
    <row r="346" spans="1:414" s="25" customFormat="1" ht="15.6">
      <c r="B346" s="25" t="s">
        <v>270</v>
      </c>
      <c r="C346" s="27" t="s">
        <v>338</v>
      </c>
      <c r="D346" s="30"/>
      <c r="G346" s="42"/>
      <c r="H346" s="89"/>
      <c r="I346" s="38"/>
      <c r="K346" s="42"/>
      <c r="L346" s="90"/>
      <c r="M346" s="38"/>
      <c r="O346" s="42"/>
      <c r="P346" s="38"/>
      <c r="Q346" s="38"/>
      <c r="R346" s="43"/>
      <c r="S346" s="38"/>
      <c r="T346" s="49">
        <v>200</v>
      </c>
      <c r="U346" s="42">
        <v>26.141100000000002</v>
      </c>
      <c r="V346" s="38">
        <f t="shared" si="126"/>
        <v>5228.22</v>
      </c>
      <c r="W346" s="42"/>
      <c r="X346" s="42"/>
      <c r="Y346" s="42">
        <f t="shared" si="110"/>
        <v>0</v>
      </c>
      <c r="Z346" s="42"/>
      <c r="AA346" s="42"/>
      <c r="AB346" s="42">
        <f t="shared" si="125"/>
        <v>0</v>
      </c>
      <c r="AD346" s="42"/>
      <c r="AE346" s="42"/>
      <c r="AF346" s="42">
        <f t="shared" si="109"/>
        <v>0</v>
      </c>
      <c r="AG346" s="42"/>
      <c r="AH346" s="42"/>
      <c r="AI346" s="42"/>
      <c r="AJ346" s="42">
        <f t="shared" si="115"/>
        <v>0</v>
      </c>
      <c r="AL346" s="42"/>
      <c r="AM346" s="42"/>
      <c r="AN346" s="42"/>
      <c r="AO346" s="44"/>
      <c r="AP346" s="42"/>
      <c r="AQ346" s="42"/>
      <c r="AR346" s="42"/>
      <c r="AU346" s="98"/>
      <c r="AV346" s="35"/>
      <c r="AW346" s="104"/>
      <c r="AX346" s="42"/>
      <c r="AY346" s="42"/>
      <c r="AZ346" s="42">
        <f t="shared" si="113"/>
        <v>0</v>
      </c>
      <c r="BA346" s="42"/>
      <c r="BB346" s="42"/>
      <c r="BC346" s="42"/>
      <c r="BD346" s="38">
        <f t="shared" si="120"/>
        <v>0</v>
      </c>
      <c r="BE346" s="42"/>
      <c r="BF346" s="42"/>
      <c r="BG346" s="42"/>
      <c r="BH346" s="38">
        <f t="shared" si="121"/>
        <v>0</v>
      </c>
      <c r="BI346" s="42"/>
      <c r="BJ346" s="42"/>
      <c r="BK346" s="42"/>
      <c r="BL346" s="38">
        <f t="shared" si="122"/>
        <v>0</v>
      </c>
      <c r="BM346" s="42"/>
      <c r="BN346" s="42"/>
      <c r="BO346" s="42"/>
      <c r="BP346" s="42"/>
      <c r="BR346" s="42"/>
      <c r="BS346" s="43"/>
      <c r="BT346" s="42">
        <v>5228.22</v>
      </c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  <c r="FM346" s="31"/>
      <c r="FN346" s="31"/>
      <c r="FO346" s="31"/>
      <c r="FP346" s="31"/>
      <c r="FQ346" s="31"/>
      <c r="FR346" s="31"/>
      <c r="FS346" s="31"/>
      <c r="FT346" s="31"/>
      <c r="FU346" s="31"/>
      <c r="FV346" s="31"/>
      <c r="FW346" s="31"/>
      <c r="FX346" s="31"/>
      <c r="FY346" s="31"/>
      <c r="FZ346" s="31"/>
      <c r="GA346" s="31"/>
      <c r="GB346" s="31"/>
      <c r="GC346" s="31"/>
      <c r="GD346" s="31"/>
      <c r="GE346" s="31"/>
      <c r="GF346" s="31"/>
      <c r="GG346" s="31"/>
      <c r="GH346" s="31"/>
      <c r="GI346" s="31"/>
      <c r="GJ346" s="31"/>
      <c r="GK346" s="31"/>
      <c r="GL346" s="31"/>
      <c r="GM346" s="31"/>
      <c r="GN346" s="31"/>
      <c r="GO346" s="31"/>
      <c r="GP346" s="31"/>
      <c r="GQ346" s="31"/>
      <c r="GR346" s="31"/>
      <c r="GS346" s="31"/>
      <c r="GT346" s="31"/>
      <c r="GU346" s="31"/>
      <c r="GV346" s="31"/>
      <c r="GW346" s="31"/>
      <c r="GX346" s="31"/>
      <c r="GY346" s="31"/>
      <c r="GZ346" s="31"/>
      <c r="HA346" s="31"/>
      <c r="HB346" s="31"/>
      <c r="HC346" s="31"/>
      <c r="HD346" s="31"/>
      <c r="HE346" s="31"/>
      <c r="HF346" s="31"/>
      <c r="HG346" s="31"/>
      <c r="HH346" s="31"/>
      <c r="HI346" s="31"/>
      <c r="HJ346" s="31"/>
      <c r="HK346" s="31"/>
      <c r="HL346" s="31"/>
      <c r="HM346" s="31"/>
      <c r="HN346" s="31"/>
      <c r="HO346" s="31"/>
      <c r="HP346" s="31"/>
      <c r="HQ346" s="31"/>
      <c r="HR346" s="31"/>
      <c r="HS346" s="31"/>
      <c r="HT346" s="31"/>
      <c r="HU346" s="31"/>
      <c r="HV346" s="31"/>
      <c r="HW346" s="31"/>
      <c r="HX346" s="31"/>
      <c r="HY346" s="31"/>
      <c r="HZ346" s="31"/>
      <c r="IA346" s="31"/>
      <c r="IB346" s="31"/>
      <c r="IC346" s="31"/>
      <c r="ID346" s="31"/>
      <c r="IE346" s="31"/>
      <c r="IF346" s="31"/>
      <c r="IG346" s="31"/>
      <c r="IH346" s="31"/>
      <c r="II346" s="31"/>
      <c r="IJ346" s="31"/>
      <c r="IK346" s="31"/>
      <c r="IL346" s="31"/>
      <c r="IM346" s="31"/>
      <c r="IN346" s="31"/>
      <c r="IO346" s="31"/>
      <c r="IP346" s="31"/>
      <c r="IQ346" s="31"/>
      <c r="IR346" s="31"/>
      <c r="IS346" s="31"/>
      <c r="IT346" s="31"/>
      <c r="IU346" s="31"/>
      <c r="IV346" s="31"/>
      <c r="IW346" s="31"/>
      <c r="IX346" s="31"/>
      <c r="IY346" s="31"/>
      <c r="IZ346" s="31"/>
      <c r="JA346" s="31"/>
      <c r="JB346" s="31"/>
      <c r="JC346" s="31"/>
      <c r="JD346" s="31"/>
      <c r="JE346" s="31"/>
      <c r="JF346" s="31"/>
      <c r="JG346" s="31"/>
      <c r="JH346" s="31"/>
      <c r="JI346" s="31"/>
      <c r="JJ346" s="31"/>
      <c r="JK346" s="31"/>
      <c r="JL346" s="31"/>
      <c r="JM346" s="31"/>
      <c r="JN346" s="31"/>
      <c r="JO346" s="31"/>
      <c r="JP346" s="31"/>
      <c r="JQ346" s="31"/>
      <c r="JR346" s="31"/>
      <c r="JS346" s="31"/>
      <c r="JT346" s="31"/>
      <c r="JU346" s="31"/>
      <c r="JV346" s="31"/>
      <c r="JW346" s="31"/>
      <c r="JX346" s="31"/>
      <c r="JY346" s="31"/>
      <c r="JZ346" s="31"/>
      <c r="KA346" s="31"/>
      <c r="KB346" s="31"/>
      <c r="KC346" s="31"/>
      <c r="KD346" s="31"/>
      <c r="KE346" s="31"/>
      <c r="KF346" s="31"/>
      <c r="KG346" s="31"/>
      <c r="KH346" s="31"/>
      <c r="KI346" s="31"/>
      <c r="KJ346" s="31"/>
      <c r="KK346" s="31"/>
      <c r="KL346" s="31"/>
      <c r="KM346" s="31"/>
      <c r="KN346" s="31"/>
      <c r="KO346" s="31"/>
      <c r="KP346" s="31"/>
      <c r="KQ346" s="31"/>
      <c r="KR346" s="31"/>
      <c r="KS346" s="31"/>
      <c r="KT346" s="31"/>
      <c r="KU346" s="31"/>
      <c r="KV346" s="31"/>
      <c r="KW346" s="31"/>
      <c r="KX346" s="31"/>
      <c r="KY346" s="31"/>
      <c r="KZ346" s="31"/>
      <c r="LA346" s="31"/>
      <c r="LB346" s="31"/>
      <c r="LC346" s="31"/>
      <c r="LD346" s="31"/>
      <c r="LE346" s="31"/>
      <c r="LF346" s="31"/>
      <c r="LG346" s="31"/>
      <c r="LH346" s="31"/>
      <c r="LI346" s="31"/>
      <c r="LJ346" s="31"/>
      <c r="LK346" s="31"/>
      <c r="LL346" s="31"/>
      <c r="LM346" s="31"/>
      <c r="LN346" s="31"/>
      <c r="LO346" s="31"/>
      <c r="LP346" s="31"/>
      <c r="LQ346" s="31"/>
      <c r="LR346" s="31"/>
      <c r="LS346" s="31"/>
      <c r="LT346" s="31"/>
      <c r="LU346" s="31"/>
      <c r="LV346" s="31"/>
      <c r="LW346" s="31"/>
      <c r="LX346" s="31"/>
      <c r="LY346" s="31"/>
      <c r="LZ346" s="31"/>
      <c r="MA346" s="31"/>
      <c r="MB346" s="31"/>
      <c r="MC346" s="31"/>
      <c r="MD346" s="31"/>
      <c r="ME346" s="31"/>
      <c r="MF346" s="31"/>
      <c r="MG346" s="31"/>
      <c r="MH346" s="31"/>
      <c r="MI346" s="31"/>
      <c r="MJ346" s="31"/>
      <c r="MK346" s="31"/>
      <c r="ML346" s="31"/>
      <c r="MM346" s="31"/>
      <c r="MN346" s="31"/>
      <c r="MO346" s="31"/>
      <c r="MP346" s="31"/>
      <c r="MQ346" s="31"/>
      <c r="MR346" s="31"/>
      <c r="MS346" s="31"/>
      <c r="MT346" s="31"/>
      <c r="MU346" s="31"/>
      <c r="MV346" s="31"/>
      <c r="MW346" s="31"/>
      <c r="MX346" s="31"/>
      <c r="MY346" s="31"/>
      <c r="MZ346" s="31"/>
      <c r="NA346" s="31"/>
      <c r="NB346" s="31"/>
      <c r="NC346" s="31"/>
      <c r="ND346" s="31"/>
      <c r="NE346" s="31"/>
      <c r="NF346" s="31"/>
      <c r="NG346" s="31"/>
      <c r="NH346" s="31"/>
      <c r="NI346" s="31"/>
      <c r="NJ346" s="31"/>
      <c r="NK346" s="31"/>
      <c r="NL346" s="31"/>
      <c r="NM346" s="31"/>
      <c r="NN346" s="31"/>
      <c r="NO346" s="31"/>
      <c r="NP346" s="31"/>
      <c r="NQ346" s="31"/>
      <c r="NR346" s="31"/>
      <c r="NS346" s="31"/>
      <c r="NT346" s="31"/>
      <c r="NU346" s="31"/>
      <c r="NV346" s="31"/>
      <c r="NW346" s="31"/>
      <c r="NX346" s="31"/>
      <c r="NY346" s="31"/>
      <c r="NZ346" s="31"/>
      <c r="OA346" s="31"/>
      <c r="OB346" s="31"/>
      <c r="OC346" s="31"/>
      <c r="OD346" s="31"/>
      <c r="OE346" s="31"/>
      <c r="OF346" s="31"/>
      <c r="OG346" s="31"/>
      <c r="OH346" s="31"/>
      <c r="OI346" s="31"/>
      <c r="OJ346" s="31"/>
      <c r="OK346" s="31"/>
      <c r="OL346" s="31"/>
      <c r="OM346" s="31"/>
      <c r="ON346" s="31"/>
      <c r="OO346" s="31"/>
      <c r="OP346" s="31"/>
      <c r="OQ346" s="31"/>
      <c r="OR346" s="31"/>
      <c r="OS346" s="31"/>
      <c r="OT346" s="31"/>
      <c r="OU346" s="31"/>
      <c r="OV346" s="31"/>
      <c r="OW346" s="31"/>
      <c r="OX346" s="31"/>
    </row>
    <row r="347" spans="1:414" s="25" customFormat="1" ht="15.6">
      <c r="B347" s="25" t="s">
        <v>935</v>
      </c>
      <c r="C347" s="27" t="s">
        <v>936</v>
      </c>
      <c r="D347" s="30"/>
      <c r="G347" s="42"/>
      <c r="H347" s="89"/>
      <c r="I347" s="38"/>
      <c r="K347" s="42"/>
      <c r="L347" s="90"/>
      <c r="M347" s="38"/>
      <c r="O347" s="42"/>
      <c r="P347" s="38"/>
      <c r="Q347" s="38"/>
      <c r="R347" s="43"/>
      <c r="S347" s="38"/>
      <c r="T347" s="49">
        <v>400</v>
      </c>
      <c r="U347" s="42">
        <v>26.141100000000002</v>
      </c>
      <c r="V347" s="38">
        <f t="shared" si="126"/>
        <v>10456.44</v>
      </c>
      <c r="W347" s="42"/>
      <c r="X347" s="42"/>
      <c r="Y347" s="42">
        <f t="shared" si="110"/>
        <v>0</v>
      </c>
      <c r="Z347" s="42"/>
      <c r="AA347" s="42"/>
      <c r="AB347" s="42">
        <f t="shared" si="125"/>
        <v>0</v>
      </c>
      <c r="AD347" s="42"/>
      <c r="AE347" s="42"/>
      <c r="AF347" s="42">
        <f t="shared" ref="AF347:AF354" si="127">AD347*AE347</f>
        <v>0</v>
      </c>
      <c r="AG347" s="42"/>
      <c r="AH347" s="42"/>
      <c r="AI347" s="42"/>
      <c r="AJ347" s="42">
        <f t="shared" si="115"/>
        <v>0</v>
      </c>
      <c r="AL347" s="42"/>
      <c r="AM347" s="42"/>
      <c r="AN347" s="42"/>
      <c r="AO347" s="44"/>
      <c r="AP347" s="42"/>
      <c r="AQ347" s="42"/>
      <c r="AR347" s="42"/>
      <c r="AU347" s="98"/>
      <c r="AV347" s="35"/>
      <c r="AW347" s="104"/>
      <c r="AX347" s="42"/>
      <c r="AY347" s="42"/>
      <c r="AZ347" s="42">
        <f t="shared" si="113"/>
        <v>0</v>
      </c>
      <c r="BA347" s="42"/>
      <c r="BB347" s="42"/>
      <c r="BC347" s="42"/>
      <c r="BD347" s="38">
        <f t="shared" si="120"/>
        <v>0</v>
      </c>
      <c r="BE347" s="42"/>
      <c r="BF347" s="42"/>
      <c r="BG347" s="42"/>
      <c r="BH347" s="38">
        <f t="shared" si="121"/>
        <v>0</v>
      </c>
      <c r="BI347" s="42"/>
      <c r="BJ347" s="42"/>
      <c r="BK347" s="42"/>
      <c r="BL347" s="38">
        <f t="shared" si="122"/>
        <v>0</v>
      </c>
      <c r="BM347" s="42"/>
      <c r="BN347" s="42"/>
      <c r="BO347" s="42"/>
      <c r="BP347" s="42"/>
      <c r="BR347" s="42"/>
      <c r="BS347" s="43"/>
      <c r="BT347" s="42">
        <v>10456.44</v>
      </c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  <c r="FM347" s="31"/>
      <c r="FN347" s="31"/>
      <c r="FO347" s="31"/>
      <c r="FP347" s="31"/>
      <c r="FQ347" s="31"/>
      <c r="FR347" s="31"/>
      <c r="FS347" s="31"/>
      <c r="FT347" s="31"/>
      <c r="FU347" s="31"/>
      <c r="FV347" s="31"/>
      <c r="FW347" s="31"/>
      <c r="FX347" s="31"/>
      <c r="FY347" s="31"/>
      <c r="FZ347" s="31"/>
      <c r="GA347" s="31"/>
      <c r="GB347" s="31"/>
      <c r="GC347" s="31"/>
      <c r="GD347" s="31"/>
      <c r="GE347" s="31"/>
      <c r="GF347" s="31"/>
      <c r="GG347" s="31"/>
      <c r="GH347" s="31"/>
      <c r="GI347" s="31"/>
      <c r="GJ347" s="31"/>
      <c r="GK347" s="31"/>
      <c r="GL347" s="31"/>
      <c r="GM347" s="31"/>
      <c r="GN347" s="31"/>
      <c r="GO347" s="31"/>
      <c r="GP347" s="31"/>
      <c r="GQ347" s="31"/>
      <c r="GR347" s="31"/>
      <c r="GS347" s="31"/>
      <c r="GT347" s="31"/>
      <c r="GU347" s="31"/>
      <c r="GV347" s="31"/>
      <c r="GW347" s="31"/>
      <c r="GX347" s="31"/>
      <c r="GY347" s="31"/>
      <c r="GZ347" s="31"/>
      <c r="HA347" s="31"/>
      <c r="HB347" s="31"/>
      <c r="HC347" s="31"/>
      <c r="HD347" s="31"/>
      <c r="HE347" s="31"/>
      <c r="HF347" s="31"/>
      <c r="HG347" s="31"/>
      <c r="HH347" s="31"/>
      <c r="HI347" s="31"/>
      <c r="HJ347" s="31"/>
      <c r="HK347" s="31"/>
      <c r="HL347" s="31"/>
      <c r="HM347" s="31"/>
      <c r="HN347" s="31"/>
      <c r="HO347" s="31"/>
      <c r="HP347" s="31"/>
      <c r="HQ347" s="31"/>
      <c r="HR347" s="31"/>
      <c r="HS347" s="31"/>
      <c r="HT347" s="31"/>
      <c r="HU347" s="31"/>
      <c r="HV347" s="31"/>
      <c r="HW347" s="31"/>
      <c r="HX347" s="31"/>
      <c r="HY347" s="31"/>
      <c r="HZ347" s="31"/>
      <c r="IA347" s="31"/>
      <c r="IB347" s="31"/>
      <c r="IC347" s="31"/>
      <c r="ID347" s="31"/>
      <c r="IE347" s="31"/>
      <c r="IF347" s="31"/>
      <c r="IG347" s="31"/>
      <c r="IH347" s="31"/>
      <c r="II347" s="31"/>
      <c r="IJ347" s="31"/>
      <c r="IK347" s="31"/>
      <c r="IL347" s="31"/>
      <c r="IM347" s="31"/>
      <c r="IN347" s="31"/>
      <c r="IO347" s="31"/>
      <c r="IP347" s="31"/>
      <c r="IQ347" s="31"/>
      <c r="IR347" s="31"/>
      <c r="IS347" s="31"/>
      <c r="IT347" s="31"/>
      <c r="IU347" s="31"/>
      <c r="IV347" s="31"/>
      <c r="IW347" s="31"/>
      <c r="IX347" s="31"/>
      <c r="IY347" s="31"/>
      <c r="IZ347" s="31"/>
      <c r="JA347" s="31"/>
      <c r="JB347" s="31"/>
      <c r="JC347" s="31"/>
      <c r="JD347" s="31"/>
      <c r="JE347" s="31"/>
      <c r="JF347" s="31"/>
      <c r="JG347" s="31"/>
      <c r="JH347" s="31"/>
      <c r="JI347" s="31"/>
      <c r="JJ347" s="31"/>
      <c r="JK347" s="31"/>
      <c r="JL347" s="31"/>
      <c r="JM347" s="31"/>
      <c r="JN347" s="31"/>
      <c r="JO347" s="31"/>
      <c r="JP347" s="31"/>
      <c r="JQ347" s="31"/>
      <c r="JR347" s="31"/>
      <c r="JS347" s="31"/>
      <c r="JT347" s="31"/>
      <c r="JU347" s="31"/>
      <c r="JV347" s="31"/>
      <c r="JW347" s="31"/>
      <c r="JX347" s="31"/>
      <c r="JY347" s="31"/>
      <c r="JZ347" s="31"/>
      <c r="KA347" s="31"/>
      <c r="KB347" s="31"/>
      <c r="KC347" s="31"/>
      <c r="KD347" s="31"/>
      <c r="KE347" s="31"/>
      <c r="KF347" s="31"/>
      <c r="KG347" s="31"/>
      <c r="KH347" s="31"/>
      <c r="KI347" s="31"/>
      <c r="KJ347" s="31"/>
      <c r="KK347" s="31"/>
      <c r="KL347" s="31"/>
      <c r="KM347" s="31"/>
      <c r="KN347" s="31"/>
      <c r="KO347" s="31"/>
      <c r="KP347" s="31"/>
      <c r="KQ347" s="31"/>
      <c r="KR347" s="31"/>
      <c r="KS347" s="31"/>
      <c r="KT347" s="31"/>
      <c r="KU347" s="31"/>
      <c r="KV347" s="31"/>
      <c r="KW347" s="31"/>
      <c r="KX347" s="31"/>
      <c r="KY347" s="31"/>
      <c r="KZ347" s="31"/>
      <c r="LA347" s="31"/>
      <c r="LB347" s="31"/>
      <c r="LC347" s="31"/>
      <c r="LD347" s="31"/>
      <c r="LE347" s="31"/>
      <c r="LF347" s="31"/>
      <c r="LG347" s="31"/>
      <c r="LH347" s="31"/>
      <c r="LI347" s="31"/>
      <c r="LJ347" s="31"/>
      <c r="LK347" s="31"/>
      <c r="LL347" s="31"/>
      <c r="LM347" s="31"/>
      <c r="LN347" s="31"/>
      <c r="LO347" s="31"/>
      <c r="LP347" s="31"/>
      <c r="LQ347" s="31"/>
      <c r="LR347" s="31"/>
      <c r="LS347" s="31"/>
      <c r="LT347" s="31"/>
      <c r="LU347" s="31"/>
      <c r="LV347" s="31"/>
      <c r="LW347" s="31"/>
      <c r="LX347" s="31"/>
      <c r="LY347" s="31"/>
      <c r="LZ347" s="31"/>
      <c r="MA347" s="31"/>
      <c r="MB347" s="31"/>
      <c r="MC347" s="31"/>
      <c r="MD347" s="31"/>
      <c r="ME347" s="31"/>
      <c r="MF347" s="31"/>
      <c r="MG347" s="31"/>
      <c r="MH347" s="31"/>
      <c r="MI347" s="31"/>
      <c r="MJ347" s="31"/>
      <c r="MK347" s="31"/>
      <c r="ML347" s="31"/>
      <c r="MM347" s="31"/>
      <c r="MN347" s="31"/>
      <c r="MO347" s="31"/>
      <c r="MP347" s="31"/>
      <c r="MQ347" s="31"/>
      <c r="MR347" s="31"/>
      <c r="MS347" s="31"/>
      <c r="MT347" s="31"/>
      <c r="MU347" s="31"/>
      <c r="MV347" s="31"/>
      <c r="MW347" s="31"/>
      <c r="MX347" s="31"/>
      <c r="MY347" s="31"/>
      <c r="MZ347" s="31"/>
      <c r="NA347" s="31"/>
      <c r="NB347" s="31"/>
      <c r="NC347" s="31"/>
      <c r="ND347" s="31"/>
      <c r="NE347" s="31"/>
      <c r="NF347" s="31"/>
      <c r="NG347" s="31"/>
      <c r="NH347" s="31"/>
      <c r="NI347" s="31"/>
      <c r="NJ347" s="31"/>
      <c r="NK347" s="31"/>
      <c r="NL347" s="31"/>
      <c r="NM347" s="31"/>
      <c r="NN347" s="31"/>
      <c r="NO347" s="31"/>
      <c r="NP347" s="31"/>
      <c r="NQ347" s="31"/>
      <c r="NR347" s="31"/>
      <c r="NS347" s="31"/>
      <c r="NT347" s="31"/>
      <c r="NU347" s="31"/>
      <c r="NV347" s="31"/>
      <c r="NW347" s="31"/>
      <c r="NX347" s="31"/>
      <c r="NY347" s="31"/>
      <c r="NZ347" s="31"/>
      <c r="OA347" s="31"/>
      <c r="OB347" s="31"/>
      <c r="OC347" s="31"/>
      <c r="OD347" s="31"/>
      <c r="OE347" s="31"/>
      <c r="OF347" s="31"/>
      <c r="OG347" s="31"/>
      <c r="OH347" s="31"/>
      <c r="OI347" s="31"/>
      <c r="OJ347" s="31"/>
      <c r="OK347" s="31"/>
      <c r="OL347" s="31"/>
      <c r="OM347" s="31"/>
      <c r="ON347" s="31"/>
      <c r="OO347" s="31"/>
      <c r="OP347" s="31"/>
      <c r="OQ347" s="31"/>
      <c r="OR347" s="31"/>
      <c r="OS347" s="31"/>
      <c r="OT347" s="31"/>
      <c r="OU347" s="31"/>
      <c r="OV347" s="31"/>
      <c r="OW347" s="31"/>
      <c r="OX347" s="31"/>
    </row>
    <row r="348" spans="1:414" s="25" customFormat="1" ht="15.6">
      <c r="B348" s="25" t="s">
        <v>937</v>
      </c>
      <c r="C348" s="27" t="s">
        <v>182</v>
      </c>
      <c r="D348" s="30"/>
      <c r="G348" s="42"/>
      <c r="H348" s="89"/>
      <c r="I348" s="38"/>
      <c r="K348" s="42"/>
      <c r="L348" s="90"/>
      <c r="M348" s="38"/>
      <c r="O348" s="42"/>
      <c r="P348" s="38"/>
      <c r="Q348" s="38"/>
      <c r="R348" s="43"/>
      <c r="S348" s="38"/>
      <c r="T348" s="49">
        <v>440</v>
      </c>
      <c r="U348" s="42">
        <v>26.141100000000002</v>
      </c>
      <c r="V348" s="38">
        <f t="shared" si="126"/>
        <v>11502.084000000001</v>
      </c>
      <c r="W348" s="42"/>
      <c r="X348" s="42"/>
      <c r="Y348" s="42">
        <f t="shared" si="110"/>
        <v>0</v>
      </c>
      <c r="Z348" s="42"/>
      <c r="AA348" s="42"/>
      <c r="AB348" s="42">
        <f t="shared" si="125"/>
        <v>0</v>
      </c>
      <c r="AD348" s="42"/>
      <c r="AE348" s="42"/>
      <c r="AF348" s="42">
        <f t="shared" si="127"/>
        <v>0</v>
      </c>
      <c r="AG348" s="42"/>
      <c r="AH348" s="42"/>
      <c r="AI348" s="42"/>
      <c r="AJ348" s="42">
        <f t="shared" si="115"/>
        <v>0</v>
      </c>
      <c r="AL348" s="42"/>
      <c r="AM348" s="42"/>
      <c r="AN348" s="42"/>
      <c r="AO348" s="44"/>
      <c r="AP348" s="42"/>
      <c r="AQ348" s="42"/>
      <c r="AR348" s="42"/>
      <c r="AU348" s="98"/>
      <c r="AV348" s="35"/>
      <c r="AW348" s="104"/>
      <c r="AX348" s="42"/>
      <c r="AY348" s="42"/>
      <c r="AZ348" s="42">
        <f t="shared" si="113"/>
        <v>0</v>
      </c>
      <c r="BA348" s="42"/>
      <c r="BB348" s="42"/>
      <c r="BC348" s="42"/>
      <c r="BD348" s="38">
        <f t="shared" si="120"/>
        <v>0</v>
      </c>
      <c r="BE348" s="42"/>
      <c r="BF348" s="42"/>
      <c r="BG348" s="42"/>
      <c r="BH348" s="38">
        <f t="shared" si="121"/>
        <v>0</v>
      </c>
      <c r="BI348" s="42"/>
      <c r="BJ348" s="42"/>
      <c r="BK348" s="42"/>
      <c r="BL348" s="38">
        <f t="shared" si="122"/>
        <v>0</v>
      </c>
      <c r="BM348" s="42"/>
      <c r="BN348" s="42"/>
      <c r="BO348" s="42"/>
      <c r="BP348" s="42"/>
      <c r="BR348" s="42"/>
      <c r="BS348" s="43"/>
      <c r="BT348" s="42">
        <v>11502.08</v>
      </c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  <c r="FM348" s="31"/>
      <c r="FN348" s="31"/>
      <c r="FO348" s="31"/>
      <c r="FP348" s="31"/>
      <c r="FQ348" s="31"/>
      <c r="FR348" s="31"/>
      <c r="FS348" s="31"/>
      <c r="FT348" s="31"/>
      <c r="FU348" s="31"/>
      <c r="FV348" s="31"/>
      <c r="FW348" s="31"/>
      <c r="FX348" s="31"/>
      <c r="FY348" s="31"/>
      <c r="FZ348" s="31"/>
      <c r="GA348" s="31"/>
      <c r="GB348" s="31"/>
      <c r="GC348" s="31"/>
      <c r="GD348" s="31"/>
      <c r="GE348" s="31"/>
      <c r="GF348" s="31"/>
      <c r="GG348" s="31"/>
      <c r="GH348" s="31"/>
      <c r="GI348" s="31"/>
      <c r="GJ348" s="31"/>
      <c r="GK348" s="31"/>
      <c r="GL348" s="31"/>
      <c r="GM348" s="31"/>
      <c r="GN348" s="31"/>
      <c r="GO348" s="31"/>
      <c r="GP348" s="31"/>
      <c r="GQ348" s="31"/>
      <c r="GR348" s="31"/>
      <c r="GS348" s="31"/>
      <c r="GT348" s="31"/>
      <c r="GU348" s="31"/>
      <c r="GV348" s="31"/>
      <c r="GW348" s="31"/>
      <c r="GX348" s="31"/>
      <c r="GY348" s="31"/>
      <c r="GZ348" s="31"/>
      <c r="HA348" s="31"/>
      <c r="HB348" s="31"/>
      <c r="HC348" s="31"/>
      <c r="HD348" s="31"/>
      <c r="HE348" s="31"/>
      <c r="HF348" s="31"/>
      <c r="HG348" s="31"/>
      <c r="HH348" s="31"/>
      <c r="HI348" s="31"/>
      <c r="HJ348" s="31"/>
      <c r="HK348" s="31"/>
      <c r="HL348" s="31"/>
      <c r="HM348" s="31"/>
      <c r="HN348" s="31"/>
      <c r="HO348" s="31"/>
      <c r="HP348" s="31"/>
      <c r="HQ348" s="31"/>
      <c r="HR348" s="31"/>
      <c r="HS348" s="31"/>
      <c r="HT348" s="31"/>
      <c r="HU348" s="31"/>
      <c r="HV348" s="31"/>
      <c r="HW348" s="31"/>
      <c r="HX348" s="31"/>
      <c r="HY348" s="31"/>
      <c r="HZ348" s="31"/>
      <c r="IA348" s="31"/>
      <c r="IB348" s="31"/>
      <c r="IC348" s="31"/>
      <c r="ID348" s="31"/>
      <c r="IE348" s="31"/>
      <c r="IF348" s="31"/>
      <c r="IG348" s="31"/>
      <c r="IH348" s="31"/>
      <c r="II348" s="31"/>
      <c r="IJ348" s="31"/>
      <c r="IK348" s="31"/>
      <c r="IL348" s="31"/>
      <c r="IM348" s="31"/>
      <c r="IN348" s="31"/>
      <c r="IO348" s="31"/>
      <c r="IP348" s="31"/>
      <c r="IQ348" s="31"/>
      <c r="IR348" s="31"/>
      <c r="IS348" s="31"/>
      <c r="IT348" s="31"/>
      <c r="IU348" s="31"/>
      <c r="IV348" s="31"/>
      <c r="IW348" s="31"/>
      <c r="IX348" s="31"/>
      <c r="IY348" s="31"/>
      <c r="IZ348" s="31"/>
      <c r="JA348" s="31"/>
      <c r="JB348" s="31"/>
      <c r="JC348" s="31"/>
      <c r="JD348" s="31"/>
      <c r="JE348" s="31"/>
      <c r="JF348" s="31"/>
      <c r="JG348" s="31"/>
      <c r="JH348" s="31"/>
      <c r="JI348" s="31"/>
      <c r="JJ348" s="31"/>
      <c r="JK348" s="31"/>
      <c r="JL348" s="31"/>
      <c r="JM348" s="31"/>
      <c r="JN348" s="31"/>
      <c r="JO348" s="31"/>
      <c r="JP348" s="31"/>
      <c r="JQ348" s="31"/>
      <c r="JR348" s="31"/>
      <c r="JS348" s="31"/>
      <c r="JT348" s="31"/>
      <c r="JU348" s="31"/>
      <c r="JV348" s="31"/>
      <c r="JW348" s="31"/>
      <c r="JX348" s="31"/>
      <c r="JY348" s="31"/>
      <c r="JZ348" s="31"/>
      <c r="KA348" s="31"/>
      <c r="KB348" s="31"/>
      <c r="KC348" s="31"/>
      <c r="KD348" s="31"/>
      <c r="KE348" s="31"/>
      <c r="KF348" s="31"/>
      <c r="KG348" s="31"/>
      <c r="KH348" s="31"/>
      <c r="KI348" s="31"/>
      <c r="KJ348" s="31"/>
      <c r="KK348" s="31"/>
      <c r="KL348" s="31"/>
      <c r="KM348" s="31"/>
      <c r="KN348" s="31"/>
      <c r="KO348" s="31"/>
      <c r="KP348" s="31"/>
      <c r="KQ348" s="31"/>
      <c r="KR348" s="31"/>
      <c r="KS348" s="31"/>
      <c r="KT348" s="31"/>
      <c r="KU348" s="31"/>
      <c r="KV348" s="31"/>
      <c r="KW348" s="31"/>
      <c r="KX348" s="31"/>
      <c r="KY348" s="31"/>
      <c r="KZ348" s="31"/>
      <c r="LA348" s="31"/>
      <c r="LB348" s="31"/>
      <c r="LC348" s="31"/>
      <c r="LD348" s="31"/>
      <c r="LE348" s="31"/>
      <c r="LF348" s="31"/>
      <c r="LG348" s="31"/>
      <c r="LH348" s="31"/>
      <c r="LI348" s="31"/>
      <c r="LJ348" s="31"/>
      <c r="LK348" s="31"/>
      <c r="LL348" s="31"/>
      <c r="LM348" s="31"/>
      <c r="LN348" s="31"/>
      <c r="LO348" s="31"/>
      <c r="LP348" s="31"/>
      <c r="LQ348" s="31"/>
      <c r="LR348" s="31"/>
      <c r="LS348" s="31"/>
      <c r="LT348" s="31"/>
      <c r="LU348" s="31"/>
      <c r="LV348" s="31"/>
      <c r="LW348" s="31"/>
      <c r="LX348" s="31"/>
      <c r="LY348" s="31"/>
      <c r="LZ348" s="31"/>
      <c r="MA348" s="31"/>
      <c r="MB348" s="31"/>
      <c r="MC348" s="31"/>
      <c r="MD348" s="31"/>
      <c r="ME348" s="31"/>
      <c r="MF348" s="31"/>
      <c r="MG348" s="31"/>
      <c r="MH348" s="31"/>
      <c r="MI348" s="31"/>
      <c r="MJ348" s="31"/>
      <c r="MK348" s="31"/>
      <c r="ML348" s="31"/>
      <c r="MM348" s="31"/>
      <c r="MN348" s="31"/>
      <c r="MO348" s="31"/>
      <c r="MP348" s="31"/>
      <c r="MQ348" s="31"/>
      <c r="MR348" s="31"/>
      <c r="MS348" s="31"/>
      <c r="MT348" s="31"/>
      <c r="MU348" s="31"/>
      <c r="MV348" s="31"/>
      <c r="MW348" s="31"/>
      <c r="MX348" s="31"/>
      <c r="MY348" s="31"/>
      <c r="MZ348" s="31"/>
      <c r="NA348" s="31"/>
      <c r="NB348" s="31"/>
      <c r="NC348" s="31"/>
      <c r="ND348" s="31"/>
      <c r="NE348" s="31"/>
      <c r="NF348" s="31"/>
      <c r="NG348" s="31"/>
      <c r="NH348" s="31"/>
      <c r="NI348" s="31"/>
      <c r="NJ348" s="31"/>
      <c r="NK348" s="31"/>
      <c r="NL348" s="31"/>
      <c r="NM348" s="31"/>
      <c r="NN348" s="31"/>
      <c r="NO348" s="31"/>
      <c r="NP348" s="31"/>
      <c r="NQ348" s="31"/>
      <c r="NR348" s="31"/>
      <c r="NS348" s="31"/>
      <c r="NT348" s="31"/>
      <c r="NU348" s="31"/>
      <c r="NV348" s="31"/>
      <c r="NW348" s="31"/>
      <c r="NX348" s="31"/>
      <c r="NY348" s="31"/>
      <c r="NZ348" s="31"/>
      <c r="OA348" s="31"/>
      <c r="OB348" s="31"/>
      <c r="OC348" s="31"/>
      <c r="OD348" s="31"/>
      <c r="OE348" s="31"/>
      <c r="OF348" s="31"/>
      <c r="OG348" s="31"/>
      <c r="OH348" s="31"/>
      <c r="OI348" s="31"/>
      <c r="OJ348" s="31"/>
      <c r="OK348" s="31"/>
      <c r="OL348" s="31"/>
      <c r="OM348" s="31"/>
      <c r="ON348" s="31"/>
      <c r="OO348" s="31"/>
      <c r="OP348" s="31"/>
      <c r="OQ348" s="31"/>
      <c r="OR348" s="31"/>
      <c r="OS348" s="31"/>
      <c r="OT348" s="31"/>
      <c r="OU348" s="31"/>
      <c r="OV348" s="31"/>
      <c r="OW348" s="31"/>
      <c r="OX348" s="31"/>
    </row>
    <row r="349" spans="1:414" s="25" customFormat="1" ht="15.6">
      <c r="B349" s="25" t="s">
        <v>938</v>
      </c>
      <c r="C349" s="27" t="s">
        <v>939</v>
      </c>
      <c r="D349" s="30"/>
      <c r="G349" s="42"/>
      <c r="H349" s="89"/>
      <c r="I349" s="38"/>
      <c r="K349" s="42"/>
      <c r="L349" s="90"/>
      <c r="M349" s="38"/>
      <c r="O349" s="42"/>
      <c r="P349" s="38"/>
      <c r="Q349" s="38"/>
      <c r="R349" s="43"/>
      <c r="S349" s="38"/>
      <c r="T349" s="49">
        <v>340</v>
      </c>
      <c r="U349" s="42">
        <v>26.141100000000002</v>
      </c>
      <c r="V349" s="38">
        <f t="shared" si="126"/>
        <v>8887.9740000000002</v>
      </c>
      <c r="W349" s="42"/>
      <c r="X349" s="42"/>
      <c r="Y349" s="42">
        <f t="shared" si="110"/>
        <v>0</v>
      </c>
      <c r="Z349" s="42"/>
      <c r="AA349" s="42"/>
      <c r="AB349" s="42">
        <f t="shared" si="125"/>
        <v>0</v>
      </c>
      <c r="AD349" s="42"/>
      <c r="AE349" s="42"/>
      <c r="AF349" s="42">
        <f t="shared" si="127"/>
        <v>0</v>
      </c>
      <c r="AG349" s="42"/>
      <c r="AH349" s="42"/>
      <c r="AI349" s="42"/>
      <c r="AJ349" s="42">
        <f t="shared" si="115"/>
        <v>0</v>
      </c>
      <c r="AL349" s="42"/>
      <c r="AM349" s="42"/>
      <c r="AN349" s="42"/>
      <c r="AO349" s="44"/>
      <c r="AP349" s="42"/>
      <c r="AQ349" s="42"/>
      <c r="AR349" s="42"/>
      <c r="AU349" s="98"/>
      <c r="AV349" s="35"/>
      <c r="AW349" s="104"/>
      <c r="AX349" s="42"/>
      <c r="AY349" s="42"/>
      <c r="AZ349" s="42">
        <f t="shared" si="113"/>
        <v>0</v>
      </c>
      <c r="BA349" s="42"/>
      <c r="BB349" s="42"/>
      <c r="BC349" s="42"/>
      <c r="BD349" s="38">
        <f t="shared" si="120"/>
        <v>0</v>
      </c>
      <c r="BE349" s="42"/>
      <c r="BF349" s="42"/>
      <c r="BG349" s="42"/>
      <c r="BH349" s="38">
        <f t="shared" si="121"/>
        <v>0</v>
      </c>
      <c r="BI349" s="42"/>
      <c r="BJ349" s="42"/>
      <c r="BK349" s="42"/>
      <c r="BL349" s="38">
        <f t="shared" si="122"/>
        <v>0</v>
      </c>
      <c r="BM349" s="42"/>
      <c r="BN349" s="42"/>
      <c r="BO349" s="42"/>
      <c r="BP349" s="42"/>
      <c r="BR349" s="42"/>
      <c r="BS349" s="43"/>
      <c r="BT349" s="42">
        <v>8887.9699999999993</v>
      </c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  <c r="FM349" s="31"/>
      <c r="FN349" s="31"/>
      <c r="FO349" s="31"/>
      <c r="FP349" s="31"/>
      <c r="FQ349" s="31"/>
      <c r="FR349" s="31"/>
      <c r="FS349" s="31"/>
      <c r="FT349" s="31"/>
      <c r="FU349" s="31"/>
      <c r="FV349" s="31"/>
      <c r="FW349" s="31"/>
      <c r="FX349" s="31"/>
      <c r="FY349" s="31"/>
      <c r="FZ349" s="31"/>
      <c r="GA349" s="31"/>
      <c r="GB349" s="31"/>
      <c r="GC349" s="31"/>
      <c r="GD349" s="31"/>
      <c r="GE349" s="31"/>
      <c r="GF349" s="31"/>
      <c r="GG349" s="31"/>
      <c r="GH349" s="31"/>
      <c r="GI349" s="31"/>
      <c r="GJ349" s="31"/>
      <c r="GK349" s="31"/>
      <c r="GL349" s="31"/>
      <c r="GM349" s="31"/>
      <c r="GN349" s="31"/>
      <c r="GO349" s="31"/>
      <c r="GP349" s="31"/>
      <c r="GQ349" s="31"/>
      <c r="GR349" s="31"/>
      <c r="GS349" s="31"/>
      <c r="GT349" s="31"/>
      <c r="GU349" s="31"/>
      <c r="GV349" s="31"/>
      <c r="GW349" s="31"/>
      <c r="GX349" s="31"/>
      <c r="GY349" s="31"/>
      <c r="GZ349" s="31"/>
      <c r="HA349" s="31"/>
      <c r="HB349" s="31"/>
      <c r="HC349" s="31"/>
      <c r="HD349" s="31"/>
      <c r="HE349" s="31"/>
      <c r="HF349" s="31"/>
      <c r="HG349" s="31"/>
      <c r="HH349" s="31"/>
      <c r="HI349" s="31"/>
      <c r="HJ349" s="31"/>
      <c r="HK349" s="31"/>
      <c r="HL349" s="31"/>
      <c r="HM349" s="31"/>
      <c r="HN349" s="31"/>
      <c r="HO349" s="31"/>
      <c r="HP349" s="31"/>
      <c r="HQ349" s="31"/>
      <c r="HR349" s="31"/>
      <c r="HS349" s="31"/>
      <c r="HT349" s="31"/>
      <c r="HU349" s="31"/>
      <c r="HV349" s="31"/>
      <c r="HW349" s="31"/>
      <c r="HX349" s="31"/>
      <c r="HY349" s="31"/>
      <c r="HZ349" s="31"/>
      <c r="IA349" s="31"/>
      <c r="IB349" s="31"/>
      <c r="IC349" s="31"/>
      <c r="ID349" s="31"/>
      <c r="IE349" s="31"/>
      <c r="IF349" s="31"/>
      <c r="IG349" s="31"/>
      <c r="IH349" s="31"/>
      <c r="II349" s="31"/>
      <c r="IJ349" s="31"/>
      <c r="IK349" s="31"/>
      <c r="IL349" s="31"/>
      <c r="IM349" s="31"/>
      <c r="IN349" s="31"/>
      <c r="IO349" s="31"/>
      <c r="IP349" s="31"/>
      <c r="IQ349" s="31"/>
      <c r="IR349" s="31"/>
      <c r="IS349" s="31"/>
      <c r="IT349" s="31"/>
      <c r="IU349" s="31"/>
      <c r="IV349" s="31"/>
      <c r="IW349" s="31"/>
      <c r="IX349" s="31"/>
      <c r="IY349" s="31"/>
      <c r="IZ349" s="31"/>
      <c r="JA349" s="31"/>
      <c r="JB349" s="31"/>
      <c r="JC349" s="31"/>
      <c r="JD349" s="31"/>
      <c r="JE349" s="31"/>
      <c r="JF349" s="31"/>
      <c r="JG349" s="31"/>
      <c r="JH349" s="31"/>
      <c r="JI349" s="31"/>
      <c r="JJ349" s="31"/>
      <c r="JK349" s="31"/>
      <c r="JL349" s="31"/>
      <c r="JM349" s="31"/>
      <c r="JN349" s="31"/>
      <c r="JO349" s="31"/>
      <c r="JP349" s="31"/>
      <c r="JQ349" s="31"/>
      <c r="JR349" s="31"/>
      <c r="JS349" s="31"/>
      <c r="JT349" s="31"/>
      <c r="JU349" s="31"/>
      <c r="JV349" s="31"/>
      <c r="JW349" s="31"/>
      <c r="JX349" s="31"/>
      <c r="JY349" s="31"/>
      <c r="JZ349" s="31"/>
      <c r="KA349" s="31"/>
      <c r="KB349" s="31"/>
      <c r="KC349" s="31"/>
      <c r="KD349" s="31"/>
      <c r="KE349" s="31"/>
      <c r="KF349" s="31"/>
      <c r="KG349" s="31"/>
      <c r="KH349" s="31"/>
      <c r="KI349" s="31"/>
      <c r="KJ349" s="31"/>
      <c r="KK349" s="31"/>
      <c r="KL349" s="31"/>
      <c r="KM349" s="31"/>
      <c r="KN349" s="31"/>
      <c r="KO349" s="31"/>
      <c r="KP349" s="31"/>
      <c r="KQ349" s="31"/>
      <c r="KR349" s="31"/>
      <c r="KS349" s="31"/>
      <c r="KT349" s="31"/>
      <c r="KU349" s="31"/>
      <c r="KV349" s="31"/>
      <c r="KW349" s="31"/>
      <c r="KX349" s="31"/>
      <c r="KY349" s="31"/>
      <c r="KZ349" s="31"/>
      <c r="LA349" s="31"/>
      <c r="LB349" s="31"/>
      <c r="LC349" s="31"/>
      <c r="LD349" s="31"/>
      <c r="LE349" s="31"/>
      <c r="LF349" s="31"/>
      <c r="LG349" s="31"/>
      <c r="LH349" s="31"/>
      <c r="LI349" s="31"/>
      <c r="LJ349" s="31"/>
      <c r="LK349" s="31"/>
      <c r="LL349" s="31"/>
      <c r="LM349" s="31"/>
      <c r="LN349" s="31"/>
      <c r="LO349" s="31"/>
      <c r="LP349" s="31"/>
      <c r="LQ349" s="31"/>
      <c r="LR349" s="31"/>
      <c r="LS349" s="31"/>
      <c r="LT349" s="31"/>
      <c r="LU349" s="31"/>
      <c r="LV349" s="31"/>
      <c r="LW349" s="31"/>
      <c r="LX349" s="31"/>
      <c r="LY349" s="31"/>
      <c r="LZ349" s="31"/>
      <c r="MA349" s="31"/>
      <c r="MB349" s="31"/>
      <c r="MC349" s="31"/>
      <c r="MD349" s="31"/>
      <c r="ME349" s="31"/>
      <c r="MF349" s="31"/>
      <c r="MG349" s="31"/>
      <c r="MH349" s="31"/>
      <c r="MI349" s="31"/>
      <c r="MJ349" s="31"/>
      <c r="MK349" s="31"/>
      <c r="ML349" s="31"/>
      <c r="MM349" s="31"/>
      <c r="MN349" s="31"/>
      <c r="MO349" s="31"/>
      <c r="MP349" s="31"/>
      <c r="MQ349" s="31"/>
      <c r="MR349" s="31"/>
      <c r="MS349" s="31"/>
      <c r="MT349" s="31"/>
      <c r="MU349" s="31"/>
      <c r="MV349" s="31"/>
      <c r="MW349" s="31"/>
      <c r="MX349" s="31"/>
      <c r="MY349" s="31"/>
      <c r="MZ349" s="31"/>
      <c r="NA349" s="31"/>
      <c r="NB349" s="31"/>
      <c r="NC349" s="31"/>
      <c r="ND349" s="31"/>
      <c r="NE349" s="31"/>
      <c r="NF349" s="31"/>
      <c r="NG349" s="31"/>
      <c r="NH349" s="31"/>
      <c r="NI349" s="31"/>
      <c r="NJ349" s="31"/>
      <c r="NK349" s="31"/>
      <c r="NL349" s="31"/>
      <c r="NM349" s="31"/>
      <c r="NN349" s="31"/>
      <c r="NO349" s="31"/>
      <c r="NP349" s="31"/>
      <c r="NQ349" s="31"/>
      <c r="NR349" s="31"/>
      <c r="NS349" s="31"/>
      <c r="NT349" s="31"/>
      <c r="NU349" s="31"/>
      <c r="NV349" s="31"/>
      <c r="NW349" s="31"/>
      <c r="NX349" s="31"/>
      <c r="NY349" s="31"/>
      <c r="NZ349" s="31"/>
      <c r="OA349" s="31"/>
      <c r="OB349" s="31"/>
      <c r="OC349" s="31"/>
      <c r="OD349" s="31"/>
      <c r="OE349" s="31"/>
      <c r="OF349" s="31"/>
      <c r="OG349" s="31"/>
      <c r="OH349" s="31"/>
      <c r="OI349" s="31"/>
      <c r="OJ349" s="31"/>
      <c r="OK349" s="31"/>
      <c r="OL349" s="31"/>
      <c r="OM349" s="31"/>
      <c r="ON349" s="31"/>
      <c r="OO349" s="31"/>
      <c r="OP349" s="31"/>
      <c r="OQ349" s="31"/>
      <c r="OR349" s="31"/>
      <c r="OS349" s="31"/>
      <c r="OT349" s="31"/>
      <c r="OU349" s="31"/>
      <c r="OV349" s="31"/>
      <c r="OW349" s="31"/>
      <c r="OX349" s="31"/>
    </row>
    <row r="350" spans="1:414" s="25" customFormat="1" ht="15.6">
      <c r="A350" s="26">
        <v>45866</v>
      </c>
      <c r="C350" s="28" t="s">
        <v>574</v>
      </c>
      <c r="D350" s="30"/>
      <c r="G350" s="27"/>
      <c r="H350" s="89"/>
      <c r="I350" s="38"/>
      <c r="J350" s="27"/>
      <c r="K350" s="27"/>
      <c r="L350" s="90"/>
      <c r="M350" s="38"/>
      <c r="N350" s="27"/>
      <c r="O350" s="49"/>
      <c r="P350" s="38"/>
      <c r="Q350" s="38"/>
      <c r="R350" s="43"/>
      <c r="S350" s="38"/>
      <c r="T350" s="49"/>
      <c r="U350" s="49"/>
      <c r="V350" s="38">
        <f t="shared" si="126"/>
        <v>0</v>
      </c>
      <c r="W350" s="49"/>
      <c r="X350" s="49"/>
      <c r="Y350" s="42">
        <f t="shared" ref="Y350:Y405" si="128">W350*X350</f>
        <v>0</v>
      </c>
      <c r="Z350" s="49"/>
      <c r="AA350" s="49"/>
      <c r="AB350" s="42">
        <f t="shared" si="125"/>
        <v>0</v>
      </c>
      <c r="AC350" s="27"/>
      <c r="AD350" s="49"/>
      <c r="AE350" s="49"/>
      <c r="AF350" s="42">
        <f t="shared" si="127"/>
        <v>0</v>
      </c>
      <c r="AG350" s="49"/>
      <c r="AH350" s="49"/>
      <c r="AI350" s="49"/>
      <c r="AJ350" s="42">
        <f t="shared" si="115"/>
        <v>0</v>
      </c>
      <c r="AK350" s="27"/>
      <c r="AL350" s="49"/>
      <c r="AM350" s="49"/>
      <c r="AN350" s="49"/>
      <c r="AO350" s="50"/>
      <c r="AP350" s="49"/>
      <c r="AQ350" s="49"/>
      <c r="AR350" s="49"/>
      <c r="AS350" s="27"/>
      <c r="AT350" s="27"/>
      <c r="AU350" s="100"/>
      <c r="AV350" s="35"/>
      <c r="AW350" s="105"/>
      <c r="AX350" s="49"/>
      <c r="AY350" s="49"/>
      <c r="AZ350" s="42">
        <f t="shared" si="113"/>
        <v>0</v>
      </c>
      <c r="BA350" s="49"/>
      <c r="BB350" s="49"/>
      <c r="BC350" s="49"/>
      <c r="BD350" s="38">
        <f t="shared" si="120"/>
        <v>0</v>
      </c>
      <c r="BE350" s="49"/>
      <c r="BF350" s="49"/>
      <c r="BG350" s="49"/>
      <c r="BH350" s="38">
        <f t="shared" si="121"/>
        <v>0</v>
      </c>
      <c r="BI350" s="49"/>
      <c r="BJ350" s="49"/>
      <c r="BK350" s="49"/>
      <c r="BL350" s="38">
        <f t="shared" si="122"/>
        <v>0</v>
      </c>
      <c r="BM350" s="49"/>
      <c r="BN350" s="49"/>
      <c r="BO350" s="49"/>
      <c r="BP350" s="49"/>
      <c r="BQ350" s="27"/>
      <c r="BR350" s="42">
        <f t="shared" si="123"/>
        <v>0</v>
      </c>
      <c r="BS350" s="43">
        <f t="shared" si="124"/>
        <v>0</v>
      </c>
      <c r="BT350" s="49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  <c r="FM350" s="31"/>
      <c r="FN350" s="31"/>
      <c r="FO350" s="31"/>
      <c r="FP350" s="31"/>
      <c r="FQ350" s="31"/>
      <c r="FR350" s="31"/>
      <c r="FS350" s="31"/>
      <c r="FT350" s="31"/>
      <c r="FU350" s="31"/>
      <c r="FV350" s="31"/>
      <c r="FW350" s="31"/>
      <c r="FX350" s="31"/>
      <c r="FY350" s="31"/>
      <c r="FZ350" s="31"/>
      <c r="GA350" s="31"/>
      <c r="GB350" s="31"/>
      <c r="GC350" s="31"/>
      <c r="GD350" s="31"/>
      <c r="GE350" s="31"/>
      <c r="GF350" s="31"/>
      <c r="GG350" s="31"/>
      <c r="GH350" s="31"/>
      <c r="GI350" s="31"/>
      <c r="GJ350" s="31"/>
      <c r="GK350" s="31"/>
      <c r="GL350" s="31"/>
      <c r="GM350" s="31"/>
      <c r="GN350" s="31"/>
      <c r="GO350" s="31"/>
      <c r="GP350" s="31"/>
      <c r="GQ350" s="31"/>
      <c r="GR350" s="31"/>
      <c r="GS350" s="31"/>
      <c r="GT350" s="31"/>
      <c r="GU350" s="31"/>
      <c r="GV350" s="31"/>
      <c r="GW350" s="31"/>
      <c r="GX350" s="31"/>
      <c r="GY350" s="31"/>
      <c r="GZ350" s="31"/>
      <c r="HA350" s="31"/>
      <c r="HB350" s="31"/>
      <c r="HC350" s="31"/>
      <c r="HD350" s="31"/>
      <c r="HE350" s="31"/>
      <c r="HF350" s="31"/>
      <c r="HG350" s="31"/>
      <c r="HH350" s="31"/>
      <c r="HI350" s="31"/>
      <c r="HJ350" s="31"/>
      <c r="HK350" s="31"/>
      <c r="HL350" s="31"/>
      <c r="HM350" s="31"/>
      <c r="HN350" s="31"/>
      <c r="HO350" s="31"/>
      <c r="HP350" s="31"/>
      <c r="HQ350" s="31"/>
      <c r="HR350" s="31"/>
      <c r="HS350" s="31"/>
      <c r="HT350" s="31"/>
      <c r="HU350" s="31"/>
      <c r="HV350" s="31"/>
      <c r="HW350" s="31"/>
      <c r="HX350" s="31"/>
      <c r="HY350" s="31"/>
      <c r="HZ350" s="31"/>
      <c r="IA350" s="31"/>
      <c r="IB350" s="31"/>
      <c r="IC350" s="31"/>
      <c r="ID350" s="31"/>
      <c r="IE350" s="31"/>
      <c r="IF350" s="31"/>
      <c r="IG350" s="31"/>
      <c r="IH350" s="31"/>
      <c r="II350" s="31"/>
      <c r="IJ350" s="31"/>
      <c r="IK350" s="31"/>
      <c r="IL350" s="31"/>
      <c r="IM350" s="31"/>
      <c r="IN350" s="31"/>
      <c r="IO350" s="31"/>
      <c r="IP350" s="31"/>
      <c r="IQ350" s="31"/>
      <c r="IR350" s="31"/>
      <c r="IS350" s="31"/>
      <c r="IT350" s="31"/>
      <c r="IU350" s="31"/>
      <c r="IV350" s="31"/>
      <c r="IW350" s="31"/>
      <c r="IX350" s="31"/>
      <c r="IY350" s="31"/>
      <c r="IZ350" s="31"/>
      <c r="JA350" s="31"/>
      <c r="JB350" s="31"/>
      <c r="JC350" s="31"/>
      <c r="JD350" s="31"/>
      <c r="JE350" s="31"/>
      <c r="JF350" s="31"/>
      <c r="JG350" s="31"/>
      <c r="JH350" s="31"/>
      <c r="JI350" s="31"/>
      <c r="JJ350" s="31"/>
      <c r="JK350" s="31"/>
      <c r="JL350" s="31"/>
      <c r="JM350" s="31"/>
      <c r="JN350" s="31"/>
      <c r="JO350" s="31"/>
      <c r="JP350" s="31"/>
      <c r="JQ350" s="31"/>
      <c r="JR350" s="31"/>
      <c r="JS350" s="31"/>
      <c r="JT350" s="31"/>
      <c r="JU350" s="31"/>
      <c r="JV350" s="31"/>
      <c r="JW350" s="31"/>
      <c r="JX350" s="31"/>
      <c r="JY350" s="31"/>
      <c r="JZ350" s="31"/>
      <c r="KA350" s="31"/>
      <c r="KB350" s="31"/>
      <c r="KC350" s="31"/>
      <c r="KD350" s="31"/>
      <c r="KE350" s="31"/>
      <c r="KF350" s="31"/>
      <c r="KG350" s="31"/>
      <c r="KH350" s="31"/>
      <c r="KI350" s="31"/>
      <c r="KJ350" s="31"/>
      <c r="KK350" s="31"/>
      <c r="KL350" s="31"/>
      <c r="KM350" s="31"/>
      <c r="KN350" s="31"/>
      <c r="KO350" s="31"/>
      <c r="KP350" s="31"/>
      <c r="KQ350" s="31"/>
      <c r="KR350" s="31"/>
      <c r="KS350" s="31"/>
      <c r="KT350" s="31"/>
      <c r="KU350" s="31"/>
      <c r="KV350" s="31"/>
      <c r="KW350" s="31"/>
      <c r="KX350" s="31"/>
      <c r="KY350" s="31"/>
      <c r="KZ350" s="31"/>
      <c r="LA350" s="31"/>
      <c r="LB350" s="31"/>
      <c r="LC350" s="31"/>
      <c r="LD350" s="31"/>
      <c r="LE350" s="31"/>
      <c r="LF350" s="31"/>
      <c r="LG350" s="31"/>
      <c r="LH350" s="31"/>
      <c r="LI350" s="31"/>
      <c r="LJ350" s="31"/>
      <c r="LK350" s="31"/>
      <c r="LL350" s="31"/>
      <c r="LM350" s="31"/>
      <c r="LN350" s="31"/>
      <c r="LO350" s="31"/>
      <c r="LP350" s="31"/>
      <c r="LQ350" s="31"/>
      <c r="LR350" s="31"/>
      <c r="LS350" s="31"/>
      <c r="LT350" s="31"/>
      <c r="LU350" s="31"/>
      <c r="LV350" s="31"/>
      <c r="LW350" s="31"/>
      <c r="LX350" s="31"/>
      <c r="LY350" s="31"/>
      <c r="LZ350" s="31"/>
      <c r="MA350" s="31"/>
      <c r="MB350" s="31"/>
      <c r="MC350" s="31"/>
      <c r="MD350" s="31"/>
      <c r="ME350" s="31"/>
      <c r="MF350" s="31"/>
      <c r="MG350" s="31"/>
      <c r="MH350" s="31"/>
      <c r="MI350" s="31"/>
      <c r="MJ350" s="31"/>
      <c r="MK350" s="31"/>
      <c r="ML350" s="31"/>
      <c r="MM350" s="31"/>
      <c r="MN350" s="31"/>
      <c r="MO350" s="31"/>
      <c r="MP350" s="31"/>
      <c r="MQ350" s="31"/>
      <c r="MR350" s="31"/>
      <c r="MS350" s="31"/>
      <c r="MT350" s="31"/>
      <c r="MU350" s="31"/>
      <c r="MV350" s="31"/>
      <c r="MW350" s="31"/>
      <c r="MX350" s="31"/>
      <c r="MY350" s="31"/>
      <c r="MZ350" s="31"/>
      <c r="NA350" s="31"/>
      <c r="NB350" s="31"/>
      <c r="NC350" s="31"/>
      <c r="ND350" s="31"/>
      <c r="NE350" s="31"/>
      <c r="NF350" s="31"/>
      <c r="NG350" s="31"/>
      <c r="NH350" s="31"/>
      <c r="NI350" s="31"/>
      <c r="NJ350" s="31"/>
      <c r="NK350" s="31"/>
      <c r="NL350" s="31"/>
      <c r="NM350" s="31"/>
      <c r="NN350" s="31"/>
      <c r="NO350" s="31"/>
      <c r="NP350" s="31"/>
      <c r="NQ350" s="31"/>
      <c r="NR350" s="31"/>
      <c r="NS350" s="31"/>
      <c r="NT350" s="31"/>
      <c r="NU350" s="31"/>
      <c r="NV350" s="31"/>
      <c r="NW350" s="31"/>
      <c r="NX350" s="31"/>
      <c r="NY350" s="31"/>
      <c r="NZ350" s="31"/>
      <c r="OA350" s="31"/>
      <c r="OB350" s="31"/>
      <c r="OC350" s="31"/>
      <c r="OD350" s="31"/>
      <c r="OE350" s="31"/>
      <c r="OF350" s="31"/>
      <c r="OG350" s="31"/>
      <c r="OH350" s="31"/>
      <c r="OI350" s="31"/>
      <c r="OJ350" s="31"/>
      <c r="OK350" s="31"/>
      <c r="OL350" s="31"/>
      <c r="OM350" s="31"/>
      <c r="ON350" s="31"/>
      <c r="OO350" s="31"/>
      <c r="OP350" s="31"/>
      <c r="OQ350" s="31"/>
      <c r="OR350" s="31"/>
      <c r="OS350" s="31"/>
      <c r="OT350" s="31"/>
      <c r="OU350" s="31"/>
      <c r="OV350" s="31"/>
      <c r="OW350" s="31"/>
      <c r="OX350" s="31"/>
    </row>
    <row r="351" spans="1:414" s="25" customFormat="1" ht="15.6">
      <c r="A351" s="26">
        <v>45667</v>
      </c>
      <c r="C351" s="28" t="s">
        <v>574</v>
      </c>
      <c r="D351" s="30"/>
      <c r="G351" s="27">
        <v>415</v>
      </c>
      <c r="H351" s="89">
        <v>26.109000000000002</v>
      </c>
      <c r="I351" s="38">
        <f t="shared" si="116"/>
        <v>10835.235000000001</v>
      </c>
      <c r="J351" s="27"/>
      <c r="K351" s="27">
        <v>240</v>
      </c>
      <c r="L351" s="90">
        <v>26.849599999999999</v>
      </c>
      <c r="M351" s="38">
        <f t="shared" si="117"/>
        <v>6443.9039999999995</v>
      </c>
      <c r="N351" s="27"/>
      <c r="O351" s="27">
        <v>500</v>
      </c>
      <c r="P351" s="38">
        <v>26.728300000000001</v>
      </c>
      <c r="Q351" s="38">
        <f t="shared" si="118"/>
        <v>13364.15</v>
      </c>
      <c r="R351" s="43">
        <f t="shared" si="114"/>
        <v>1155</v>
      </c>
      <c r="S351" s="38">
        <f t="shared" si="119"/>
        <v>30643.288999999997</v>
      </c>
      <c r="T351" s="27">
        <v>500</v>
      </c>
      <c r="U351" s="49"/>
      <c r="V351" s="38">
        <f t="shared" si="126"/>
        <v>0</v>
      </c>
      <c r="W351" s="49"/>
      <c r="X351" s="49"/>
      <c r="Y351" s="42">
        <f t="shared" si="128"/>
        <v>0</v>
      </c>
      <c r="Z351" s="49"/>
      <c r="AA351" s="49"/>
      <c r="AB351" s="42">
        <f t="shared" si="125"/>
        <v>0</v>
      </c>
      <c r="AC351" s="27"/>
      <c r="AD351" s="49"/>
      <c r="AE351" s="49"/>
      <c r="AF351" s="42">
        <f t="shared" si="127"/>
        <v>0</v>
      </c>
      <c r="AG351" s="49"/>
      <c r="AH351" s="49"/>
      <c r="AI351" s="49"/>
      <c r="AJ351" s="42">
        <f t="shared" si="115"/>
        <v>0</v>
      </c>
      <c r="AK351" s="27"/>
      <c r="AL351" s="49"/>
      <c r="AM351" s="49"/>
      <c r="AN351" s="49"/>
      <c r="AO351" s="50"/>
      <c r="AP351" s="49"/>
      <c r="AQ351" s="49"/>
      <c r="AR351" s="49"/>
      <c r="AS351" s="27"/>
      <c r="AT351" s="27"/>
      <c r="AU351" s="100"/>
      <c r="AV351" s="35"/>
      <c r="AW351" s="105"/>
      <c r="AX351" s="49"/>
      <c r="AY351" s="49"/>
      <c r="AZ351" s="42">
        <f t="shared" si="113"/>
        <v>0</v>
      </c>
      <c r="BA351" s="49"/>
      <c r="BB351" s="49"/>
      <c r="BC351" s="49"/>
      <c r="BD351" s="38">
        <f t="shared" si="120"/>
        <v>0</v>
      </c>
      <c r="BE351" s="49"/>
      <c r="BF351" s="49"/>
      <c r="BG351" s="49"/>
      <c r="BH351" s="38">
        <f t="shared" si="121"/>
        <v>0</v>
      </c>
      <c r="BI351" s="49"/>
      <c r="BJ351" s="49"/>
      <c r="BK351" s="49"/>
      <c r="BL351" s="38">
        <f t="shared" si="122"/>
        <v>0</v>
      </c>
      <c r="BM351" s="49"/>
      <c r="BN351" s="49"/>
      <c r="BO351" s="49"/>
      <c r="BP351" s="49"/>
      <c r="BQ351" s="27"/>
      <c r="BR351" s="42">
        <f t="shared" si="123"/>
        <v>0</v>
      </c>
      <c r="BS351" s="43">
        <f t="shared" si="124"/>
        <v>30643.288999999997</v>
      </c>
      <c r="BT351" s="49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  <c r="FM351" s="31"/>
      <c r="FN351" s="31"/>
      <c r="FO351" s="31"/>
      <c r="FP351" s="31"/>
      <c r="FQ351" s="31"/>
      <c r="FR351" s="31"/>
      <c r="FS351" s="31"/>
      <c r="FT351" s="31"/>
      <c r="FU351" s="31"/>
      <c r="FV351" s="31"/>
      <c r="FW351" s="31"/>
      <c r="FX351" s="31"/>
      <c r="FY351" s="31"/>
      <c r="FZ351" s="31"/>
      <c r="GA351" s="31"/>
      <c r="GB351" s="31"/>
      <c r="GC351" s="31"/>
      <c r="GD351" s="31"/>
      <c r="GE351" s="31"/>
      <c r="GF351" s="31"/>
      <c r="GG351" s="31"/>
      <c r="GH351" s="31"/>
      <c r="GI351" s="31"/>
      <c r="GJ351" s="31"/>
      <c r="GK351" s="31"/>
      <c r="GL351" s="31"/>
      <c r="GM351" s="31"/>
      <c r="GN351" s="31"/>
      <c r="GO351" s="31"/>
      <c r="GP351" s="31"/>
      <c r="GQ351" s="31"/>
      <c r="GR351" s="31"/>
      <c r="GS351" s="31"/>
      <c r="GT351" s="31"/>
      <c r="GU351" s="31"/>
      <c r="GV351" s="31"/>
      <c r="GW351" s="31"/>
      <c r="GX351" s="31"/>
      <c r="GY351" s="31"/>
      <c r="GZ351" s="31"/>
      <c r="HA351" s="31"/>
      <c r="HB351" s="31"/>
      <c r="HC351" s="31"/>
      <c r="HD351" s="31"/>
      <c r="HE351" s="31"/>
      <c r="HF351" s="31"/>
      <c r="HG351" s="31"/>
      <c r="HH351" s="31"/>
      <c r="HI351" s="31"/>
      <c r="HJ351" s="31"/>
      <c r="HK351" s="31"/>
      <c r="HL351" s="31"/>
      <c r="HM351" s="31"/>
      <c r="HN351" s="31"/>
      <c r="HO351" s="31"/>
      <c r="HP351" s="31"/>
      <c r="HQ351" s="31"/>
      <c r="HR351" s="31"/>
      <c r="HS351" s="31"/>
      <c r="HT351" s="31"/>
      <c r="HU351" s="31"/>
      <c r="HV351" s="31"/>
      <c r="HW351" s="31"/>
      <c r="HX351" s="31"/>
      <c r="HY351" s="31"/>
      <c r="HZ351" s="31"/>
      <c r="IA351" s="31"/>
      <c r="IB351" s="31"/>
      <c r="IC351" s="31"/>
      <c r="ID351" s="31"/>
      <c r="IE351" s="31"/>
      <c r="IF351" s="31"/>
      <c r="IG351" s="31"/>
      <c r="IH351" s="31"/>
      <c r="II351" s="31"/>
      <c r="IJ351" s="31"/>
      <c r="IK351" s="31"/>
      <c r="IL351" s="31"/>
      <c r="IM351" s="31"/>
      <c r="IN351" s="31"/>
      <c r="IO351" s="31"/>
      <c r="IP351" s="31"/>
      <c r="IQ351" s="31"/>
      <c r="IR351" s="31"/>
      <c r="IS351" s="31"/>
      <c r="IT351" s="31"/>
      <c r="IU351" s="31"/>
      <c r="IV351" s="31"/>
      <c r="IW351" s="31"/>
      <c r="IX351" s="31"/>
      <c r="IY351" s="31"/>
      <c r="IZ351" s="31"/>
      <c r="JA351" s="31"/>
      <c r="JB351" s="31"/>
      <c r="JC351" s="31"/>
      <c r="JD351" s="31"/>
      <c r="JE351" s="31"/>
      <c r="JF351" s="31"/>
      <c r="JG351" s="31"/>
      <c r="JH351" s="31"/>
      <c r="JI351" s="31"/>
      <c r="JJ351" s="31"/>
      <c r="JK351" s="31"/>
      <c r="JL351" s="31"/>
      <c r="JM351" s="31"/>
      <c r="JN351" s="31"/>
      <c r="JO351" s="31"/>
      <c r="JP351" s="31"/>
      <c r="JQ351" s="31"/>
      <c r="JR351" s="31"/>
      <c r="JS351" s="31"/>
      <c r="JT351" s="31"/>
      <c r="JU351" s="31"/>
      <c r="JV351" s="31"/>
      <c r="JW351" s="31"/>
      <c r="JX351" s="31"/>
      <c r="JY351" s="31"/>
      <c r="JZ351" s="31"/>
      <c r="KA351" s="31"/>
      <c r="KB351" s="31"/>
      <c r="KC351" s="31"/>
      <c r="KD351" s="31"/>
      <c r="KE351" s="31"/>
      <c r="KF351" s="31"/>
      <c r="KG351" s="31"/>
      <c r="KH351" s="31"/>
      <c r="KI351" s="31"/>
      <c r="KJ351" s="31"/>
      <c r="KK351" s="31"/>
      <c r="KL351" s="31"/>
      <c r="KM351" s="31"/>
      <c r="KN351" s="31"/>
      <c r="KO351" s="31"/>
      <c r="KP351" s="31"/>
      <c r="KQ351" s="31"/>
      <c r="KR351" s="31"/>
      <c r="KS351" s="31"/>
      <c r="KT351" s="31"/>
      <c r="KU351" s="31"/>
      <c r="KV351" s="31"/>
      <c r="KW351" s="31"/>
      <c r="KX351" s="31"/>
      <c r="KY351" s="31"/>
      <c r="KZ351" s="31"/>
      <c r="LA351" s="31"/>
      <c r="LB351" s="31"/>
      <c r="LC351" s="31"/>
      <c r="LD351" s="31"/>
      <c r="LE351" s="31"/>
      <c r="LF351" s="31"/>
      <c r="LG351" s="31"/>
      <c r="LH351" s="31"/>
      <c r="LI351" s="31"/>
      <c r="LJ351" s="31"/>
      <c r="LK351" s="31"/>
      <c r="LL351" s="31"/>
      <c r="LM351" s="31"/>
      <c r="LN351" s="31"/>
      <c r="LO351" s="31"/>
      <c r="LP351" s="31"/>
      <c r="LQ351" s="31"/>
      <c r="LR351" s="31"/>
      <c r="LS351" s="31"/>
      <c r="LT351" s="31"/>
      <c r="LU351" s="31"/>
      <c r="LV351" s="31"/>
      <c r="LW351" s="31"/>
      <c r="LX351" s="31"/>
      <c r="LY351" s="31"/>
      <c r="LZ351" s="31"/>
      <c r="MA351" s="31"/>
      <c r="MB351" s="31"/>
      <c r="MC351" s="31"/>
      <c r="MD351" s="31"/>
      <c r="ME351" s="31"/>
      <c r="MF351" s="31"/>
      <c r="MG351" s="31"/>
      <c r="MH351" s="31"/>
      <c r="MI351" s="31"/>
      <c r="MJ351" s="31"/>
      <c r="MK351" s="31"/>
      <c r="ML351" s="31"/>
      <c r="MM351" s="31"/>
      <c r="MN351" s="31"/>
      <c r="MO351" s="31"/>
      <c r="MP351" s="31"/>
      <c r="MQ351" s="31"/>
      <c r="MR351" s="31"/>
      <c r="MS351" s="31"/>
      <c r="MT351" s="31"/>
      <c r="MU351" s="31"/>
      <c r="MV351" s="31"/>
      <c r="MW351" s="31"/>
      <c r="MX351" s="31"/>
      <c r="MY351" s="31"/>
      <c r="MZ351" s="31"/>
      <c r="NA351" s="31"/>
      <c r="NB351" s="31"/>
      <c r="NC351" s="31"/>
      <c r="ND351" s="31"/>
      <c r="NE351" s="31"/>
      <c r="NF351" s="31"/>
      <c r="NG351" s="31"/>
      <c r="NH351" s="31"/>
      <c r="NI351" s="31"/>
      <c r="NJ351" s="31"/>
      <c r="NK351" s="31"/>
      <c r="NL351" s="31"/>
      <c r="NM351" s="31"/>
      <c r="NN351" s="31"/>
      <c r="NO351" s="31"/>
      <c r="NP351" s="31"/>
      <c r="NQ351" s="31"/>
      <c r="NR351" s="31"/>
      <c r="NS351" s="31"/>
      <c r="NT351" s="31"/>
      <c r="NU351" s="31"/>
      <c r="NV351" s="31"/>
      <c r="NW351" s="31"/>
      <c r="NX351" s="31"/>
      <c r="NY351" s="31"/>
      <c r="NZ351" s="31"/>
      <c r="OA351" s="31"/>
      <c r="OB351" s="31"/>
      <c r="OC351" s="31"/>
      <c r="OD351" s="31"/>
      <c r="OE351" s="31"/>
      <c r="OF351" s="31"/>
      <c r="OG351" s="31"/>
      <c r="OH351" s="31"/>
      <c r="OI351" s="31"/>
      <c r="OJ351" s="31"/>
      <c r="OK351" s="31"/>
      <c r="OL351" s="31"/>
      <c r="OM351" s="31"/>
      <c r="ON351" s="31"/>
      <c r="OO351" s="31"/>
      <c r="OP351" s="31"/>
      <c r="OQ351" s="31"/>
      <c r="OR351" s="31"/>
      <c r="OS351" s="31"/>
      <c r="OT351" s="31"/>
      <c r="OU351" s="31"/>
      <c r="OV351" s="31"/>
      <c r="OW351" s="31"/>
      <c r="OX351" s="31"/>
    </row>
    <row r="352" spans="1:414" s="25" customFormat="1" ht="15.6">
      <c r="A352" s="26">
        <v>45677</v>
      </c>
      <c r="C352" s="28" t="s">
        <v>593</v>
      </c>
      <c r="D352" s="30"/>
      <c r="G352" s="27"/>
      <c r="H352" s="89"/>
      <c r="I352" s="38">
        <f t="shared" si="116"/>
        <v>0</v>
      </c>
      <c r="J352" s="27"/>
      <c r="K352" s="27">
        <v>415</v>
      </c>
      <c r="L352" s="90">
        <v>26.849599999999999</v>
      </c>
      <c r="M352" s="38">
        <f t="shared" si="117"/>
        <v>11142.583999999999</v>
      </c>
      <c r="N352" s="27"/>
      <c r="O352" s="49"/>
      <c r="P352" s="38">
        <v>26.728300000000001</v>
      </c>
      <c r="Q352" s="38">
        <f t="shared" si="118"/>
        <v>0</v>
      </c>
      <c r="R352" s="43">
        <f t="shared" si="114"/>
        <v>415</v>
      </c>
      <c r="S352" s="38">
        <f t="shared" si="119"/>
        <v>11142.583999999999</v>
      </c>
      <c r="T352" s="49"/>
      <c r="U352" s="49"/>
      <c r="V352" s="38">
        <f t="shared" si="126"/>
        <v>0</v>
      </c>
      <c r="W352" s="49"/>
      <c r="X352" s="49"/>
      <c r="Y352" s="42">
        <f t="shared" si="128"/>
        <v>0</v>
      </c>
      <c r="Z352" s="49"/>
      <c r="AA352" s="49"/>
      <c r="AB352" s="42">
        <f t="shared" si="125"/>
        <v>0</v>
      </c>
      <c r="AC352" s="27"/>
      <c r="AD352" s="49"/>
      <c r="AE352" s="49"/>
      <c r="AF352" s="42">
        <f t="shared" si="127"/>
        <v>0</v>
      </c>
      <c r="AG352" s="49"/>
      <c r="AH352" s="49"/>
      <c r="AI352" s="49"/>
      <c r="AJ352" s="42">
        <f t="shared" si="115"/>
        <v>0</v>
      </c>
      <c r="AK352" s="27"/>
      <c r="AL352" s="49"/>
      <c r="AM352" s="49"/>
      <c r="AN352" s="49"/>
      <c r="AO352" s="50"/>
      <c r="AP352" s="49"/>
      <c r="AQ352" s="49"/>
      <c r="AR352" s="49"/>
      <c r="AS352" s="27"/>
      <c r="AT352" s="27"/>
      <c r="AU352" s="100"/>
      <c r="AV352" s="35"/>
      <c r="AW352" s="105"/>
      <c r="AX352" s="49"/>
      <c r="AY352" s="49"/>
      <c r="AZ352" s="42">
        <f t="shared" si="113"/>
        <v>0</v>
      </c>
      <c r="BA352" s="49"/>
      <c r="BB352" s="49"/>
      <c r="BC352" s="49"/>
      <c r="BD352" s="38">
        <f t="shared" si="120"/>
        <v>0</v>
      </c>
      <c r="BE352" s="49"/>
      <c r="BF352" s="49"/>
      <c r="BG352" s="49"/>
      <c r="BH352" s="38">
        <f t="shared" si="121"/>
        <v>0</v>
      </c>
      <c r="BI352" s="49"/>
      <c r="BJ352" s="49"/>
      <c r="BK352" s="49"/>
      <c r="BL352" s="38">
        <f t="shared" si="122"/>
        <v>0</v>
      </c>
      <c r="BM352" s="49"/>
      <c r="BN352" s="49"/>
      <c r="BO352" s="49"/>
      <c r="BP352" s="49"/>
      <c r="BQ352" s="27"/>
      <c r="BR352" s="42">
        <f t="shared" si="123"/>
        <v>0</v>
      </c>
      <c r="BS352" s="43">
        <f t="shared" si="124"/>
        <v>11142.583999999999</v>
      </c>
      <c r="BT352" s="49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  <c r="FM352" s="31"/>
      <c r="FN352" s="31"/>
      <c r="FO352" s="31"/>
      <c r="FP352" s="31"/>
      <c r="FQ352" s="31"/>
      <c r="FR352" s="31"/>
      <c r="FS352" s="31"/>
      <c r="FT352" s="31"/>
      <c r="FU352" s="31"/>
      <c r="FV352" s="31"/>
      <c r="FW352" s="31"/>
      <c r="FX352" s="31"/>
      <c r="FY352" s="31"/>
      <c r="FZ352" s="31"/>
      <c r="GA352" s="31"/>
      <c r="GB352" s="31"/>
      <c r="GC352" s="31"/>
      <c r="GD352" s="31"/>
      <c r="GE352" s="31"/>
      <c r="GF352" s="31"/>
      <c r="GG352" s="31"/>
      <c r="GH352" s="31"/>
      <c r="GI352" s="31"/>
      <c r="GJ352" s="31"/>
      <c r="GK352" s="31"/>
      <c r="GL352" s="31"/>
      <c r="GM352" s="31"/>
      <c r="GN352" s="31"/>
      <c r="GO352" s="31"/>
      <c r="GP352" s="31"/>
      <c r="GQ352" s="31"/>
      <c r="GR352" s="31"/>
      <c r="GS352" s="31"/>
      <c r="GT352" s="31"/>
      <c r="GU352" s="31"/>
      <c r="GV352" s="31"/>
      <c r="GW352" s="31"/>
      <c r="GX352" s="31"/>
      <c r="GY352" s="31"/>
      <c r="GZ352" s="31"/>
      <c r="HA352" s="31"/>
      <c r="HB352" s="31"/>
      <c r="HC352" s="31"/>
      <c r="HD352" s="31"/>
      <c r="HE352" s="31"/>
      <c r="HF352" s="31"/>
      <c r="HG352" s="31"/>
      <c r="HH352" s="31"/>
      <c r="HI352" s="31"/>
      <c r="HJ352" s="31"/>
      <c r="HK352" s="31"/>
      <c r="HL352" s="31"/>
      <c r="HM352" s="31"/>
      <c r="HN352" s="31"/>
      <c r="HO352" s="31"/>
      <c r="HP352" s="31"/>
      <c r="HQ352" s="31"/>
      <c r="HR352" s="31"/>
      <c r="HS352" s="31"/>
      <c r="HT352" s="31"/>
      <c r="HU352" s="31"/>
      <c r="HV352" s="31"/>
      <c r="HW352" s="31"/>
      <c r="HX352" s="31"/>
      <c r="HY352" s="31"/>
      <c r="HZ352" s="31"/>
      <c r="IA352" s="31"/>
      <c r="IB352" s="31"/>
      <c r="IC352" s="31"/>
      <c r="ID352" s="31"/>
      <c r="IE352" s="31"/>
      <c r="IF352" s="31"/>
      <c r="IG352" s="31"/>
      <c r="IH352" s="31"/>
      <c r="II352" s="31"/>
      <c r="IJ352" s="31"/>
      <c r="IK352" s="31"/>
      <c r="IL352" s="31"/>
      <c r="IM352" s="31"/>
      <c r="IN352" s="31"/>
      <c r="IO352" s="31"/>
      <c r="IP352" s="31"/>
      <c r="IQ352" s="31"/>
      <c r="IR352" s="31"/>
      <c r="IS352" s="31"/>
      <c r="IT352" s="31"/>
      <c r="IU352" s="31"/>
      <c r="IV352" s="31"/>
      <c r="IW352" s="31"/>
      <c r="IX352" s="31"/>
      <c r="IY352" s="31"/>
      <c r="IZ352" s="31"/>
      <c r="JA352" s="31"/>
      <c r="JB352" s="31"/>
      <c r="JC352" s="31"/>
      <c r="JD352" s="31"/>
      <c r="JE352" s="31"/>
      <c r="JF352" s="31"/>
      <c r="JG352" s="31"/>
      <c r="JH352" s="31"/>
      <c r="JI352" s="31"/>
      <c r="JJ352" s="31"/>
      <c r="JK352" s="31"/>
      <c r="JL352" s="31"/>
      <c r="JM352" s="31"/>
      <c r="JN352" s="31"/>
      <c r="JO352" s="31"/>
      <c r="JP352" s="31"/>
      <c r="JQ352" s="31"/>
      <c r="JR352" s="31"/>
      <c r="JS352" s="31"/>
      <c r="JT352" s="31"/>
      <c r="JU352" s="31"/>
      <c r="JV352" s="31"/>
      <c r="JW352" s="31"/>
      <c r="JX352" s="31"/>
      <c r="JY352" s="31"/>
      <c r="JZ352" s="31"/>
      <c r="KA352" s="31"/>
      <c r="KB352" s="31"/>
      <c r="KC352" s="31"/>
      <c r="KD352" s="31"/>
      <c r="KE352" s="31"/>
      <c r="KF352" s="31"/>
      <c r="KG352" s="31"/>
      <c r="KH352" s="31"/>
      <c r="KI352" s="31"/>
      <c r="KJ352" s="31"/>
      <c r="KK352" s="31"/>
      <c r="KL352" s="31"/>
      <c r="KM352" s="31"/>
      <c r="KN352" s="31"/>
      <c r="KO352" s="31"/>
      <c r="KP352" s="31"/>
      <c r="KQ352" s="31"/>
      <c r="KR352" s="31"/>
      <c r="KS352" s="31"/>
      <c r="KT352" s="31"/>
      <c r="KU352" s="31"/>
      <c r="KV352" s="31"/>
      <c r="KW352" s="31"/>
      <c r="KX352" s="31"/>
      <c r="KY352" s="31"/>
      <c r="KZ352" s="31"/>
      <c r="LA352" s="31"/>
      <c r="LB352" s="31"/>
      <c r="LC352" s="31"/>
      <c r="LD352" s="31"/>
      <c r="LE352" s="31"/>
      <c r="LF352" s="31"/>
      <c r="LG352" s="31"/>
      <c r="LH352" s="31"/>
      <c r="LI352" s="31"/>
      <c r="LJ352" s="31"/>
      <c r="LK352" s="31"/>
      <c r="LL352" s="31"/>
      <c r="LM352" s="31"/>
      <c r="LN352" s="31"/>
      <c r="LO352" s="31"/>
      <c r="LP352" s="31"/>
      <c r="LQ352" s="31"/>
      <c r="LR352" s="31"/>
      <c r="LS352" s="31"/>
      <c r="LT352" s="31"/>
      <c r="LU352" s="31"/>
      <c r="LV352" s="31"/>
      <c r="LW352" s="31"/>
      <c r="LX352" s="31"/>
      <c r="LY352" s="31"/>
      <c r="LZ352" s="31"/>
      <c r="MA352" s="31"/>
      <c r="MB352" s="31"/>
      <c r="MC352" s="31"/>
      <c r="MD352" s="31"/>
      <c r="ME352" s="31"/>
      <c r="MF352" s="31"/>
      <c r="MG352" s="31"/>
      <c r="MH352" s="31"/>
      <c r="MI352" s="31"/>
      <c r="MJ352" s="31"/>
      <c r="MK352" s="31"/>
      <c r="ML352" s="31"/>
      <c r="MM352" s="31"/>
      <c r="MN352" s="31"/>
      <c r="MO352" s="31"/>
      <c r="MP352" s="31"/>
      <c r="MQ352" s="31"/>
      <c r="MR352" s="31"/>
      <c r="MS352" s="31"/>
      <c r="MT352" s="31"/>
      <c r="MU352" s="31"/>
      <c r="MV352" s="31"/>
      <c r="MW352" s="31"/>
      <c r="MX352" s="31"/>
      <c r="MY352" s="31"/>
      <c r="MZ352" s="31"/>
      <c r="NA352" s="31"/>
      <c r="NB352" s="31"/>
      <c r="NC352" s="31"/>
      <c r="ND352" s="31"/>
      <c r="NE352" s="31"/>
      <c r="NF352" s="31"/>
      <c r="NG352" s="31"/>
      <c r="NH352" s="31"/>
      <c r="NI352" s="31"/>
      <c r="NJ352" s="31"/>
      <c r="NK352" s="31"/>
      <c r="NL352" s="31"/>
      <c r="NM352" s="31"/>
      <c r="NN352" s="31"/>
      <c r="NO352" s="31"/>
      <c r="NP352" s="31"/>
      <c r="NQ352" s="31"/>
      <c r="NR352" s="31"/>
      <c r="NS352" s="31"/>
      <c r="NT352" s="31"/>
      <c r="NU352" s="31"/>
      <c r="NV352" s="31"/>
      <c r="NW352" s="31"/>
      <c r="NX352" s="31"/>
      <c r="NY352" s="31"/>
      <c r="NZ352" s="31"/>
      <c r="OA352" s="31"/>
      <c r="OB352" s="31"/>
      <c r="OC352" s="31"/>
      <c r="OD352" s="31"/>
      <c r="OE352" s="31"/>
      <c r="OF352" s="31"/>
      <c r="OG352" s="31"/>
      <c r="OH352" s="31"/>
      <c r="OI352" s="31"/>
      <c r="OJ352" s="31"/>
      <c r="OK352" s="31"/>
      <c r="OL352" s="31"/>
      <c r="OM352" s="31"/>
      <c r="ON352" s="31"/>
      <c r="OO352" s="31"/>
      <c r="OP352" s="31"/>
      <c r="OQ352" s="31"/>
      <c r="OR352" s="31"/>
      <c r="OS352" s="31"/>
      <c r="OT352" s="31"/>
      <c r="OU352" s="31"/>
      <c r="OV352" s="31"/>
      <c r="OW352" s="31"/>
      <c r="OX352" s="31"/>
    </row>
    <row r="353" spans="1:414" s="25" customFormat="1" ht="15.6">
      <c r="A353" s="26">
        <v>45946</v>
      </c>
      <c r="C353" s="28" t="s">
        <v>914</v>
      </c>
      <c r="D353" s="30"/>
      <c r="G353" s="27"/>
      <c r="H353" s="89"/>
      <c r="I353" s="38">
        <f t="shared" si="116"/>
        <v>0</v>
      </c>
      <c r="J353" s="27"/>
      <c r="K353" s="27">
        <v>500</v>
      </c>
      <c r="L353" s="90">
        <v>26.849599999999999</v>
      </c>
      <c r="M353" s="38">
        <f t="shared" si="117"/>
        <v>13424.8</v>
      </c>
      <c r="N353" s="27"/>
      <c r="O353" s="49"/>
      <c r="P353" s="38">
        <v>26.728300000000001</v>
      </c>
      <c r="Q353" s="38">
        <f t="shared" si="118"/>
        <v>0</v>
      </c>
      <c r="R353" s="43">
        <f t="shared" si="114"/>
        <v>500</v>
      </c>
      <c r="S353" s="38">
        <f t="shared" si="119"/>
        <v>13424.8</v>
      </c>
      <c r="T353" s="49"/>
      <c r="U353" s="49"/>
      <c r="V353" s="38">
        <f t="shared" si="126"/>
        <v>0</v>
      </c>
      <c r="W353" s="49"/>
      <c r="X353" s="49"/>
      <c r="Y353" s="42">
        <f t="shared" si="128"/>
        <v>0</v>
      </c>
      <c r="Z353" s="49"/>
      <c r="AA353" s="49"/>
      <c r="AB353" s="42">
        <f t="shared" si="125"/>
        <v>0</v>
      </c>
      <c r="AC353" s="27"/>
      <c r="AD353" s="49"/>
      <c r="AE353" s="49"/>
      <c r="AF353" s="42">
        <f t="shared" si="127"/>
        <v>0</v>
      </c>
      <c r="AG353" s="49"/>
      <c r="AH353" s="49"/>
      <c r="AI353" s="49"/>
      <c r="AJ353" s="42">
        <f t="shared" si="115"/>
        <v>0</v>
      </c>
      <c r="AK353" s="27"/>
      <c r="AL353" s="49"/>
      <c r="AM353" s="49"/>
      <c r="AN353" s="49"/>
      <c r="AO353" s="50"/>
      <c r="AP353" s="49"/>
      <c r="AQ353" s="49"/>
      <c r="AR353" s="49"/>
      <c r="AS353" s="27"/>
      <c r="AT353" s="27"/>
      <c r="AU353" s="100"/>
      <c r="AV353" s="35"/>
      <c r="AW353" s="105"/>
      <c r="AX353" s="49"/>
      <c r="AY353" s="49"/>
      <c r="AZ353" s="42">
        <f t="shared" si="113"/>
        <v>0</v>
      </c>
      <c r="BA353" s="49"/>
      <c r="BB353" s="49"/>
      <c r="BC353" s="49"/>
      <c r="BD353" s="38">
        <f t="shared" si="120"/>
        <v>0</v>
      </c>
      <c r="BE353" s="49"/>
      <c r="BF353" s="49"/>
      <c r="BG353" s="49"/>
      <c r="BH353" s="38">
        <f t="shared" si="121"/>
        <v>0</v>
      </c>
      <c r="BI353" s="49"/>
      <c r="BJ353" s="49"/>
      <c r="BK353" s="49"/>
      <c r="BL353" s="38">
        <f t="shared" si="122"/>
        <v>0</v>
      </c>
      <c r="BM353" s="49"/>
      <c r="BN353" s="49"/>
      <c r="BO353" s="49"/>
      <c r="BP353" s="49"/>
      <c r="BQ353" s="27"/>
      <c r="BR353" s="42">
        <f t="shared" si="123"/>
        <v>0</v>
      </c>
      <c r="BS353" s="43">
        <f t="shared" si="124"/>
        <v>13424.8</v>
      </c>
      <c r="BT353" s="49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</row>
    <row r="354" spans="1:414" s="25" customFormat="1" ht="15.6">
      <c r="A354" s="26">
        <v>46002</v>
      </c>
      <c r="C354" s="28" t="s">
        <v>343</v>
      </c>
      <c r="D354" s="30"/>
      <c r="G354" s="27"/>
      <c r="H354" s="89"/>
      <c r="I354" s="38">
        <f t="shared" si="116"/>
        <v>0</v>
      </c>
      <c r="J354" s="27"/>
      <c r="K354" s="27">
        <v>960</v>
      </c>
      <c r="L354" s="90">
        <v>26.849599999999999</v>
      </c>
      <c r="M354" s="38">
        <f t="shared" si="117"/>
        <v>25775.615999999998</v>
      </c>
      <c r="N354" s="27"/>
      <c r="O354" s="27"/>
      <c r="P354" s="38">
        <v>26.728300000000001</v>
      </c>
      <c r="Q354" s="38">
        <f t="shared" si="118"/>
        <v>0</v>
      </c>
      <c r="R354" s="43">
        <f t="shared" si="114"/>
        <v>960</v>
      </c>
      <c r="S354" s="38">
        <f t="shared" si="119"/>
        <v>25775.615999999998</v>
      </c>
      <c r="T354" s="27"/>
      <c r="U354" s="27"/>
      <c r="V354" s="38">
        <f t="shared" si="126"/>
        <v>0</v>
      </c>
      <c r="W354" s="27"/>
      <c r="X354" s="27"/>
      <c r="Y354" s="42">
        <f t="shared" si="128"/>
        <v>0</v>
      </c>
      <c r="Z354" s="27"/>
      <c r="AA354" s="27"/>
      <c r="AB354" s="42">
        <f t="shared" si="125"/>
        <v>0</v>
      </c>
      <c r="AC354" s="27"/>
      <c r="AD354" s="27"/>
      <c r="AE354" s="27"/>
      <c r="AF354" s="42">
        <f t="shared" si="127"/>
        <v>0</v>
      </c>
      <c r="AG354" s="27"/>
      <c r="AH354" s="27"/>
      <c r="AI354" s="27"/>
      <c r="AJ354" s="42">
        <f t="shared" si="115"/>
        <v>0</v>
      </c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100"/>
      <c r="AV354" s="35"/>
      <c r="AW354" s="78"/>
      <c r="AX354" s="27"/>
      <c r="AY354" s="27"/>
      <c r="AZ354" s="42">
        <f t="shared" si="113"/>
        <v>0</v>
      </c>
      <c r="BA354" s="27"/>
      <c r="BB354" s="27"/>
      <c r="BC354" s="27"/>
      <c r="BD354" s="38">
        <f t="shared" si="120"/>
        <v>0</v>
      </c>
      <c r="BE354" s="27"/>
      <c r="BF354" s="27"/>
      <c r="BG354" s="27"/>
      <c r="BH354" s="38">
        <f t="shared" si="121"/>
        <v>0</v>
      </c>
      <c r="BI354" s="27"/>
      <c r="BJ354" s="27"/>
      <c r="BK354" s="27"/>
      <c r="BL354" s="38">
        <f t="shared" si="122"/>
        <v>0</v>
      </c>
      <c r="BM354" s="27"/>
      <c r="BN354" s="27"/>
      <c r="BO354" s="27"/>
      <c r="BP354" s="27"/>
      <c r="BQ354" s="27"/>
      <c r="BR354" s="42">
        <f t="shared" si="123"/>
        <v>0</v>
      </c>
      <c r="BS354" s="43">
        <f t="shared" si="124"/>
        <v>25775.615999999998</v>
      </c>
      <c r="BT354" s="27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  <c r="FM354" s="31"/>
      <c r="FN354" s="31"/>
      <c r="FO354" s="31"/>
      <c r="FP354" s="31"/>
      <c r="FQ354" s="31"/>
      <c r="FR354" s="31"/>
      <c r="FS354" s="31"/>
      <c r="FT354" s="31"/>
      <c r="FU354" s="31"/>
      <c r="FV354" s="31"/>
      <c r="FW354" s="31"/>
      <c r="FX354" s="31"/>
      <c r="FY354" s="31"/>
      <c r="FZ354" s="31"/>
      <c r="GA354" s="31"/>
      <c r="GB354" s="31"/>
      <c r="GC354" s="31"/>
      <c r="GD354" s="31"/>
      <c r="GE354" s="31"/>
      <c r="GF354" s="31"/>
      <c r="GG354" s="31"/>
      <c r="GH354" s="31"/>
      <c r="GI354" s="31"/>
      <c r="GJ354" s="31"/>
      <c r="GK354" s="31"/>
      <c r="GL354" s="31"/>
      <c r="GM354" s="31"/>
      <c r="GN354" s="31"/>
      <c r="GO354" s="31"/>
      <c r="GP354" s="31"/>
      <c r="GQ354" s="31"/>
      <c r="GR354" s="31"/>
      <c r="GS354" s="31"/>
      <c r="GT354" s="31"/>
      <c r="GU354" s="31"/>
      <c r="GV354" s="31"/>
      <c r="GW354" s="31"/>
      <c r="GX354" s="31"/>
      <c r="GY354" s="31"/>
      <c r="GZ354" s="31"/>
      <c r="HA354" s="31"/>
      <c r="HB354" s="31"/>
      <c r="HC354" s="31"/>
      <c r="HD354" s="31"/>
      <c r="HE354" s="31"/>
      <c r="HF354" s="31"/>
      <c r="HG354" s="31"/>
      <c r="HH354" s="31"/>
      <c r="HI354" s="31"/>
      <c r="HJ354" s="31"/>
      <c r="HK354" s="31"/>
      <c r="HL354" s="31"/>
      <c r="HM354" s="31"/>
      <c r="HN354" s="31"/>
      <c r="HO354" s="31"/>
      <c r="HP354" s="31"/>
      <c r="HQ354" s="31"/>
      <c r="HR354" s="31"/>
      <c r="HS354" s="31"/>
      <c r="HT354" s="31"/>
      <c r="HU354" s="31"/>
      <c r="HV354" s="31"/>
      <c r="HW354" s="31"/>
      <c r="HX354" s="31"/>
      <c r="HY354" s="31"/>
      <c r="HZ354" s="31"/>
      <c r="IA354" s="31"/>
      <c r="IB354" s="31"/>
      <c r="IC354" s="31"/>
      <c r="ID354" s="31"/>
      <c r="IE354" s="31"/>
      <c r="IF354" s="31"/>
      <c r="IG354" s="31"/>
      <c r="IH354" s="31"/>
      <c r="II354" s="31"/>
      <c r="IJ354" s="31"/>
      <c r="IK354" s="31"/>
      <c r="IL354" s="31"/>
      <c r="IM354" s="31"/>
      <c r="IN354" s="31"/>
      <c r="IO354" s="31"/>
      <c r="IP354" s="31"/>
      <c r="IQ354" s="31"/>
      <c r="IR354" s="31"/>
      <c r="IS354" s="31"/>
      <c r="IT354" s="31"/>
      <c r="IU354" s="31"/>
      <c r="IV354" s="31"/>
      <c r="IW354" s="31"/>
      <c r="IX354" s="31"/>
      <c r="IY354" s="31"/>
      <c r="IZ354" s="31"/>
      <c r="JA354" s="31"/>
      <c r="JB354" s="31"/>
      <c r="JC354" s="31"/>
      <c r="JD354" s="31"/>
      <c r="JE354" s="31"/>
      <c r="JF354" s="31"/>
      <c r="JG354" s="31"/>
      <c r="JH354" s="31"/>
      <c r="JI354" s="31"/>
      <c r="JJ354" s="31"/>
      <c r="JK354" s="31"/>
      <c r="JL354" s="31"/>
      <c r="JM354" s="31"/>
      <c r="JN354" s="31"/>
      <c r="JO354" s="31"/>
      <c r="JP354" s="31"/>
      <c r="JQ354" s="31"/>
      <c r="JR354" s="31"/>
      <c r="JS354" s="31"/>
      <c r="JT354" s="31"/>
      <c r="JU354" s="31"/>
      <c r="JV354" s="31"/>
      <c r="JW354" s="31"/>
      <c r="JX354" s="31"/>
      <c r="JY354" s="31"/>
      <c r="JZ354" s="31"/>
      <c r="KA354" s="31"/>
      <c r="KB354" s="31"/>
      <c r="KC354" s="31"/>
      <c r="KD354" s="31"/>
      <c r="KE354" s="31"/>
      <c r="KF354" s="31"/>
      <c r="KG354" s="31"/>
      <c r="KH354" s="31"/>
      <c r="KI354" s="31"/>
      <c r="KJ354" s="31"/>
      <c r="KK354" s="31"/>
      <c r="KL354" s="31"/>
      <c r="KM354" s="31"/>
      <c r="KN354" s="31"/>
      <c r="KO354" s="31"/>
      <c r="KP354" s="31"/>
      <c r="KQ354" s="31"/>
      <c r="KR354" s="31"/>
      <c r="KS354" s="31"/>
      <c r="KT354" s="31"/>
      <c r="KU354" s="31"/>
      <c r="KV354" s="31"/>
      <c r="KW354" s="31"/>
      <c r="KX354" s="31"/>
      <c r="KY354" s="31"/>
      <c r="KZ354" s="31"/>
      <c r="LA354" s="31"/>
      <c r="LB354" s="31"/>
      <c r="LC354" s="31"/>
      <c r="LD354" s="31"/>
      <c r="LE354" s="31"/>
      <c r="LF354" s="31"/>
      <c r="LG354" s="31"/>
      <c r="LH354" s="31"/>
      <c r="LI354" s="31"/>
      <c r="LJ354" s="31"/>
      <c r="LK354" s="31"/>
      <c r="LL354" s="31"/>
      <c r="LM354" s="31"/>
      <c r="LN354" s="31"/>
      <c r="LO354" s="31"/>
      <c r="LP354" s="31"/>
      <c r="LQ354" s="31"/>
      <c r="LR354" s="31"/>
      <c r="LS354" s="31"/>
      <c r="LT354" s="31"/>
      <c r="LU354" s="31"/>
      <c r="LV354" s="31"/>
      <c r="LW354" s="31"/>
      <c r="LX354" s="31"/>
      <c r="LY354" s="31"/>
      <c r="LZ354" s="31"/>
      <c r="MA354" s="31"/>
      <c r="MB354" s="31"/>
      <c r="MC354" s="31"/>
      <c r="MD354" s="31"/>
      <c r="ME354" s="31"/>
      <c r="MF354" s="31"/>
      <c r="MG354" s="31"/>
      <c r="MH354" s="31"/>
      <c r="MI354" s="31"/>
      <c r="MJ354" s="31"/>
      <c r="MK354" s="31"/>
      <c r="ML354" s="31"/>
      <c r="MM354" s="31"/>
      <c r="MN354" s="31"/>
      <c r="MO354" s="31"/>
      <c r="MP354" s="31"/>
      <c r="MQ354" s="31"/>
      <c r="MR354" s="31"/>
      <c r="MS354" s="31"/>
      <c r="MT354" s="31"/>
      <c r="MU354" s="31"/>
      <c r="MV354" s="31"/>
      <c r="MW354" s="31"/>
      <c r="MX354" s="31"/>
      <c r="MY354" s="31"/>
      <c r="MZ354" s="31"/>
      <c r="NA354" s="31"/>
      <c r="NB354" s="31"/>
      <c r="NC354" s="31"/>
      <c r="ND354" s="31"/>
      <c r="NE354" s="31"/>
      <c r="NF354" s="31"/>
      <c r="NG354" s="31"/>
      <c r="NH354" s="31"/>
      <c r="NI354" s="31"/>
      <c r="NJ354" s="31"/>
      <c r="NK354" s="31"/>
      <c r="NL354" s="31"/>
      <c r="NM354" s="31"/>
      <c r="NN354" s="31"/>
      <c r="NO354" s="31"/>
      <c r="NP354" s="31"/>
      <c r="NQ354" s="31"/>
      <c r="NR354" s="31"/>
      <c r="NS354" s="31"/>
      <c r="NT354" s="31"/>
      <c r="NU354" s="31"/>
      <c r="NV354" s="31"/>
      <c r="NW354" s="31"/>
      <c r="NX354" s="31"/>
      <c r="NY354" s="31"/>
      <c r="NZ354" s="31"/>
      <c r="OA354" s="31"/>
      <c r="OB354" s="31"/>
      <c r="OC354" s="31"/>
      <c r="OD354" s="31"/>
      <c r="OE354" s="31"/>
      <c r="OF354" s="31"/>
      <c r="OG354" s="31"/>
      <c r="OH354" s="31"/>
      <c r="OI354" s="31"/>
      <c r="OJ354" s="31"/>
      <c r="OK354" s="31"/>
      <c r="OL354" s="31"/>
      <c r="OM354" s="31"/>
      <c r="ON354" s="31"/>
      <c r="OO354" s="31"/>
      <c r="OP354" s="31"/>
      <c r="OQ354" s="31"/>
      <c r="OR354" s="31"/>
      <c r="OS354" s="31"/>
      <c r="OT354" s="31"/>
      <c r="OU354" s="31"/>
      <c r="OV354" s="31"/>
      <c r="OW354" s="31"/>
      <c r="OX354" s="31"/>
    </row>
    <row r="355" spans="1:414" s="25" customFormat="1" ht="15.6">
      <c r="B355" s="25" t="s">
        <v>670</v>
      </c>
      <c r="C355" s="27" t="s">
        <v>146</v>
      </c>
      <c r="D355" s="30" t="s">
        <v>105</v>
      </c>
      <c r="G355" s="42">
        <v>80</v>
      </c>
      <c r="H355" s="89">
        <v>26.109000000000002</v>
      </c>
      <c r="I355" s="38">
        <f t="shared" si="116"/>
        <v>2088.7200000000003</v>
      </c>
      <c r="K355" s="42">
        <v>80</v>
      </c>
      <c r="L355" s="90">
        <v>26.849599999999999</v>
      </c>
      <c r="M355" s="38">
        <f t="shared" si="117"/>
        <v>2147.9679999999998</v>
      </c>
      <c r="O355" s="42">
        <v>505</v>
      </c>
      <c r="P355" s="38">
        <v>26.728300000000001</v>
      </c>
      <c r="Q355" s="38">
        <f t="shared" si="118"/>
        <v>13497.791500000001</v>
      </c>
      <c r="R355" s="43">
        <f t="shared" si="114"/>
        <v>665</v>
      </c>
      <c r="S355" s="38">
        <f t="shared" si="119"/>
        <v>17734.479500000001</v>
      </c>
      <c r="T355" s="49">
        <v>120</v>
      </c>
      <c r="U355" s="42">
        <v>26.728300000000001</v>
      </c>
      <c r="V355" s="38">
        <f t="shared" si="126"/>
        <v>3207.3960000000002</v>
      </c>
      <c r="W355" s="42">
        <v>40</v>
      </c>
      <c r="X355" s="42">
        <v>26.7941</v>
      </c>
      <c r="Y355" s="42">
        <f t="shared" si="128"/>
        <v>1071.7640000000001</v>
      </c>
      <c r="Z355" s="42">
        <v>30</v>
      </c>
      <c r="AA355" s="42">
        <v>26.484400000000001</v>
      </c>
      <c r="AB355" s="42">
        <f t="shared" si="125"/>
        <v>794.53200000000004</v>
      </c>
      <c r="AD355" s="42"/>
      <c r="AE355" s="42"/>
      <c r="AF355" s="42">
        <v>1456</v>
      </c>
      <c r="AG355" s="42"/>
      <c r="AH355" s="42">
        <v>300</v>
      </c>
      <c r="AI355" s="42">
        <v>26.728300000000001</v>
      </c>
      <c r="AJ355" s="42">
        <f t="shared" si="115"/>
        <v>8018.4900000000007</v>
      </c>
      <c r="AL355" s="42">
        <v>170</v>
      </c>
      <c r="AM355" s="42">
        <v>26.73</v>
      </c>
      <c r="AN355" s="42">
        <f>AL355*AM355</f>
        <v>4544.1000000000004</v>
      </c>
      <c r="AO355" s="44"/>
      <c r="AP355" s="42">
        <v>85</v>
      </c>
      <c r="AQ355" s="42">
        <v>26.73</v>
      </c>
      <c r="AR355" s="42"/>
      <c r="AU355" s="98"/>
      <c r="AV355" s="35"/>
      <c r="AW355" s="104"/>
      <c r="AX355" s="42"/>
      <c r="AY355" s="42"/>
      <c r="AZ355" s="42">
        <f t="shared" si="113"/>
        <v>0</v>
      </c>
      <c r="BA355" s="42"/>
      <c r="BB355" s="42"/>
      <c r="BC355" s="42"/>
      <c r="BD355" s="38">
        <f t="shared" si="120"/>
        <v>0</v>
      </c>
      <c r="BE355" s="42"/>
      <c r="BF355" s="42"/>
      <c r="BG355" s="42"/>
      <c r="BH355" s="38">
        <f t="shared" si="121"/>
        <v>0</v>
      </c>
      <c r="BI355" s="42"/>
      <c r="BJ355" s="42"/>
      <c r="BK355" s="42"/>
      <c r="BL355" s="38">
        <f t="shared" si="122"/>
        <v>0</v>
      </c>
      <c r="BM355" s="42"/>
      <c r="BN355" s="42"/>
      <c r="BO355" s="42"/>
      <c r="BP355" s="42"/>
      <c r="BR355" s="42">
        <f t="shared" si="123"/>
        <v>19092.281999999999</v>
      </c>
      <c r="BS355" s="43"/>
      <c r="BT355" s="42">
        <v>1357.8</v>
      </c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  <c r="FM355" s="31"/>
      <c r="FN355" s="31"/>
      <c r="FO355" s="31"/>
      <c r="FP355" s="31"/>
      <c r="FQ355" s="31"/>
      <c r="FR355" s="31"/>
      <c r="FS355" s="31"/>
      <c r="FT355" s="31"/>
      <c r="FU355" s="31"/>
      <c r="FV355" s="31"/>
      <c r="FW355" s="31"/>
      <c r="FX355" s="31"/>
      <c r="FY355" s="31"/>
      <c r="FZ355" s="31"/>
      <c r="GA355" s="31"/>
      <c r="GB355" s="31"/>
      <c r="GC355" s="31"/>
      <c r="GD355" s="31"/>
      <c r="GE355" s="31"/>
      <c r="GF355" s="31"/>
      <c r="GG355" s="31"/>
      <c r="GH355" s="31"/>
      <c r="GI355" s="31"/>
      <c r="GJ355" s="31"/>
      <c r="GK355" s="31"/>
      <c r="GL355" s="31"/>
      <c r="GM355" s="31"/>
      <c r="GN355" s="31"/>
      <c r="GO355" s="31"/>
      <c r="GP355" s="31"/>
      <c r="GQ355" s="31"/>
      <c r="GR355" s="31"/>
      <c r="GS355" s="31"/>
      <c r="GT355" s="31"/>
      <c r="GU355" s="31"/>
      <c r="GV355" s="31"/>
      <c r="GW355" s="31"/>
      <c r="GX355" s="31"/>
      <c r="GY355" s="31"/>
      <c r="GZ355" s="31"/>
      <c r="HA355" s="31"/>
      <c r="HB355" s="31"/>
      <c r="HC355" s="31"/>
      <c r="HD355" s="31"/>
      <c r="HE355" s="31"/>
      <c r="HF355" s="31"/>
      <c r="HG355" s="31"/>
      <c r="HH355" s="31"/>
      <c r="HI355" s="31"/>
      <c r="HJ355" s="31"/>
      <c r="HK355" s="31"/>
      <c r="HL355" s="31"/>
      <c r="HM355" s="31"/>
      <c r="HN355" s="31"/>
      <c r="HO355" s="31"/>
      <c r="HP355" s="31"/>
      <c r="HQ355" s="31"/>
      <c r="HR355" s="31"/>
      <c r="HS355" s="31"/>
      <c r="HT355" s="31"/>
      <c r="HU355" s="31"/>
      <c r="HV355" s="31"/>
      <c r="HW355" s="31"/>
      <c r="HX355" s="31"/>
      <c r="HY355" s="31"/>
      <c r="HZ355" s="31"/>
      <c r="IA355" s="31"/>
      <c r="IB355" s="31"/>
      <c r="IC355" s="31"/>
      <c r="ID355" s="31"/>
      <c r="IE355" s="31"/>
      <c r="IF355" s="31"/>
      <c r="IG355" s="31"/>
      <c r="IH355" s="31"/>
      <c r="II355" s="31"/>
      <c r="IJ355" s="31"/>
      <c r="IK355" s="31"/>
      <c r="IL355" s="31"/>
      <c r="IM355" s="31"/>
      <c r="IN355" s="31"/>
      <c r="IO355" s="31"/>
      <c r="IP355" s="31"/>
      <c r="IQ355" s="31"/>
      <c r="IR355" s="31"/>
      <c r="IS355" s="31"/>
      <c r="IT355" s="31"/>
      <c r="IU355" s="31"/>
      <c r="IV355" s="31"/>
      <c r="IW355" s="31"/>
      <c r="IX355" s="31"/>
      <c r="IY355" s="31"/>
      <c r="IZ355" s="31"/>
      <c r="JA355" s="31"/>
      <c r="JB355" s="31"/>
      <c r="JC355" s="31"/>
      <c r="JD355" s="31"/>
      <c r="JE355" s="31"/>
      <c r="JF355" s="31"/>
      <c r="JG355" s="31"/>
      <c r="JH355" s="31"/>
      <c r="JI355" s="31"/>
      <c r="JJ355" s="31"/>
      <c r="JK355" s="31"/>
      <c r="JL355" s="31"/>
      <c r="JM355" s="31"/>
      <c r="JN355" s="31"/>
      <c r="JO355" s="31"/>
      <c r="JP355" s="31"/>
      <c r="JQ355" s="31"/>
      <c r="JR355" s="31"/>
      <c r="JS355" s="31"/>
      <c r="JT355" s="31"/>
      <c r="JU355" s="31"/>
      <c r="JV355" s="31"/>
      <c r="JW355" s="31"/>
      <c r="JX355" s="31"/>
      <c r="JY355" s="31"/>
      <c r="JZ355" s="31"/>
      <c r="KA355" s="31"/>
      <c r="KB355" s="31"/>
      <c r="KC355" s="31"/>
      <c r="KD355" s="31"/>
      <c r="KE355" s="31"/>
      <c r="KF355" s="31"/>
      <c r="KG355" s="31"/>
      <c r="KH355" s="31"/>
      <c r="KI355" s="31"/>
      <c r="KJ355" s="31"/>
      <c r="KK355" s="31"/>
      <c r="KL355" s="31"/>
      <c r="KM355" s="31"/>
      <c r="KN355" s="31"/>
      <c r="KO355" s="31"/>
      <c r="KP355" s="31"/>
      <c r="KQ355" s="31"/>
      <c r="KR355" s="31"/>
      <c r="KS355" s="31"/>
      <c r="KT355" s="31"/>
      <c r="KU355" s="31"/>
      <c r="KV355" s="31"/>
      <c r="KW355" s="31"/>
      <c r="KX355" s="31"/>
      <c r="KY355" s="31"/>
      <c r="KZ355" s="31"/>
      <c r="LA355" s="31"/>
      <c r="LB355" s="31"/>
      <c r="LC355" s="31"/>
      <c r="LD355" s="31"/>
      <c r="LE355" s="31"/>
      <c r="LF355" s="31"/>
      <c r="LG355" s="31"/>
      <c r="LH355" s="31"/>
      <c r="LI355" s="31"/>
      <c r="LJ355" s="31"/>
      <c r="LK355" s="31"/>
      <c r="LL355" s="31"/>
      <c r="LM355" s="31"/>
      <c r="LN355" s="31"/>
      <c r="LO355" s="31"/>
      <c r="LP355" s="31"/>
      <c r="LQ355" s="31"/>
      <c r="LR355" s="31"/>
      <c r="LS355" s="31"/>
      <c r="LT355" s="31"/>
      <c r="LU355" s="31"/>
      <c r="LV355" s="31"/>
      <c r="LW355" s="31"/>
      <c r="LX355" s="31"/>
      <c r="LY355" s="31"/>
      <c r="LZ355" s="31"/>
      <c r="MA355" s="31"/>
      <c r="MB355" s="31"/>
      <c r="MC355" s="31"/>
      <c r="MD355" s="31"/>
      <c r="ME355" s="31"/>
      <c r="MF355" s="31"/>
      <c r="MG355" s="31"/>
      <c r="MH355" s="31"/>
      <c r="MI355" s="31"/>
      <c r="MJ355" s="31"/>
      <c r="MK355" s="31"/>
      <c r="ML355" s="31"/>
      <c r="MM355" s="31"/>
      <c r="MN355" s="31"/>
      <c r="MO355" s="31"/>
      <c r="MP355" s="31"/>
      <c r="MQ355" s="31"/>
      <c r="MR355" s="31"/>
      <c r="MS355" s="31"/>
      <c r="MT355" s="31"/>
      <c r="MU355" s="31"/>
      <c r="MV355" s="31"/>
      <c r="MW355" s="31"/>
      <c r="MX355" s="31"/>
      <c r="MY355" s="31"/>
      <c r="MZ355" s="31"/>
      <c r="NA355" s="31"/>
      <c r="NB355" s="31"/>
      <c r="NC355" s="31"/>
      <c r="ND355" s="31"/>
      <c r="NE355" s="31"/>
      <c r="NF355" s="31"/>
      <c r="NG355" s="31"/>
      <c r="NH355" s="31"/>
      <c r="NI355" s="31"/>
      <c r="NJ355" s="31"/>
      <c r="NK355" s="31"/>
      <c r="NL355" s="31"/>
      <c r="NM355" s="31"/>
      <c r="NN355" s="31"/>
      <c r="NO355" s="31"/>
      <c r="NP355" s="31"/>
      <c r="NQ355" s="31"/>
      <c r="NR355" s="31"/>
      <c r="NS355" s="31"/>
      <c r="NT355" s="31"/>
      <c r="NU355" s="31"/>
      <c r="NV355" s="31"/>
      <c r="NW355" s="31"/>
      <c r="NX355" s="31"/>
      <c r="NY355" s="31"/>
      <c r="NZ355" s="31"/>
      <c r="OA355" s="31"/>
      <c r="OB355" s="31"/>
      <c r="OC355" s="31"/>
      <c r="OD355" s="31"/>
      <c r="OE355" s="31"/>
      <c r="OF355" s="31"/>
      <c r="OG355" s="31"/>
      <c r="OH355" s="31"/>
      <c r="OI355" s="31"/>
      <c r="OJ355" s="31"/>
      <c r="OK355" s="31"/>
      <c r="OL355" s="31"/>
      <c r="OM355" s="31"/>
      <c r="ON355" s="31"/>
      <c r="OO355" s="31"/>
      <c r="OP355" s="31"/>
      <c r="OQ355" s="31"/>
      <c r="OR355" s="31"/>
      <c r="OS355" s="31"/>
      <c r="OT355" s="31"/>
      <c r="OU355" s="31"/>
      <c r="OV355" s="31"/>
      <c r="OW355" s="31"/>
      <c r="OX355" s="31"/>
    </row>
    <row r="356" spans="1:414" s="25" customFormat="1" ht="15.6">
      <c r="B356" s="25" t="s">
        <v>855</v>
      </c>
      <c r="C356" s="27" t="s">
        <v>856</v>
      </c>
      <c r="D356" s="30" t="s">
        <v>105</v>
      </c>
      <c r="G356" s="42">
        <v>80</v>
      </c>
      <c r="H356" s="89">
        <v>26.109000000000002</v>
      </c>
      <c r="I356" s="38">
        <f t="shared" si="116"/>
        <v>2088.7200000000003</v>
      </c>
      <c r="K356" s="42">
        <v>80</v>
      </c>
      <c r="L356" s="90">
        <v>26.849599999999999</v>
      </c>
      <c r="M356" s="38">
        <f t="shared" si="117"/>
        <v>2147.9679999999998</v>
      </c>
      <c r="O356" s="42">
        <v>505</v>
      </c>
      <c r="P356" s="38">
        <v>26.728300000000001</v>
      </c>
      <c r="Q356" s="38">
        <f t="shared" si="118"/>
        <v>13497.791500000001</v>
      </c>
      <c r="R356" s="43">
        <f t="shared" si="114"/>
        <v>665</v>
      </c>
      <c r="S356" s="38">
        <f t="shared" si="119"/>
        <v>17734.479500000001</v>
      </c>
      <c r="T356" s="49">
        <v>240</v>
      </c>
      <c r="U356" s="42">
        <v>26.73</v>
      </c>
      <c r="V356" s="38">
        <f t="shared" si="126"/>
        <v>6415.2</v>
      </c>
      <c r="W356" s="42">
        <v>420</v>
      </c>
      <c r="X356" s="42">
        <v>26.79</v>
      </c>
      <c r="Y356" s="42">
        <f t="shared" si="128"/>
        <v>11251.8</v>
      </c>
      <c r="Z356" s="42">
        <v>85</v>
      </c>
      <c r="AA356" s="42">
        <v>26.48</v>
      </c>
      <c r="AB356" s="42">
        <f t="shared" si="125"/>
        <v>2250.8000000000002</v>
      </c>
      <c r="AD356" s="42"/>
      <c r="AE356" s="42"/>
      <c r="AF356" s="42">
        <f>AD356*AE356</f>
        <v>0</v>
      </c>
      <c r="AG356" s="42"/>
      <c r="AH356" s="42"/>
      <c r="AI356" s="42"/>
      <c r="AJ356" s="42">
        <f t="shared" si="115"/>
        <v>0</v>
      </c>
      <c r="AL356" s="42"/>
      <c r="AM356" s="42"/>
      <c r="AN356" s="42">
        <f t="shared" ref="AN356:AN370" si="129">AL356*AM356</f>
        <v>0</v>
      </c>
      <c r="AO356" s="44"/>
      <c r="AP356" s="42"/>
      <c r="AQ356" s="42"/>
      <c r="AR356" s="42"/>
      <c r="AU356" s="98"/>
      <c r="AV356" s="35"/>
      <c r="AW356" s="104"/>
      <c r="AX356" s="42"/>
      <c r="AY356" s="42"/>
      <c r="AZ356" s="42">
        <f t="shared" si="113"/>
        <v>0</v>
      </c>
      <c r="BA356" s="42"/>
      <c r="BB356" s="42"/>
      <c r="BC356" s="42"/>
      <c r="BD356" s="38">
        <f t="shared" si="120"/>
        <v>0</v>
      </c>
      <c r="BE356" s="42"/>
      <c r="BF356" s="42"/>
      <c r="BG356" s="42"/>
      <c r="BH356" s="38">
        <f t="shared" si="121"/>
        <v>0</v>
      </c>
      <c r="BI356" s="42"/>
      <c r="BJ356" s="42"/>
      <c r="BK356" s="42"/>
      <c r="BL356" s="38">
        <f t="shared" si="122"/>
        <v>0</v>
      </c>
      <c r="BM356" s="42"/>
      <c r="BN356" s="42"/>
      <c r="BO356" s="42"/>
      <c r="BP356" s="42"/>
      <c r="BR356" s="42">
        <f t="shared" si="123"/>
        <v>19917.8</v>
      </c>
      <c r="BS356" s="43"/>
      <c r="BT356" s="42">
        <v>2183.3200000000002</v>
      </c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  <c r="FM356" s="31"/>
      <c r="FN356" s="31"/>
      <c r="FO356" s="31"/>
      <c r="FP356" s="31"/>
      <c r="FQ356" s="31"/>
      <c r="FR356" s="31"/>
      <c r="FS356" s="31"/>
      <c r="FT356" s="31"/>
      <c r="FU356" s="31"/>
      <c r="FV356" s="31"/>
      <c r="FW356" s="31"/>
      <c r="FX356" s="31"/>
      <c r="FY356" s="31"/>
      <c r="FZ356" s="31"/>
      <c r="GA356" s="31"/>
      <c r="GB356" s="31"/>
      <c r="GC356" s="31"/>
      <c r="GD356" s="31"/>
      <c r="GE356" s="31"/>
      <c r="GF356" s="31"/>
      <c r="GG356" s="31"/>
      <c r="GH356" s="31"/>
      <c r="GI356" s="31"/>
      <c r="GJ356" s="31"/>
      <c r="GK356" s="31"/>
      <c r="GL356" s="31"/>
      <c r="GM356" s="31"/>
      <c r="GN356" s="31"/>
      <c r="GO356" s="31"/>
      <c r="GP356" s="31"/>
      <c r="GQ356" s="31"/>
      <c r="GR356" s="31"/>
      <c r="GS356" s="31"/>
      <c r="GT356" s="31"/>
      <c r="GU356" s="31"/>
      <c r="GV356" s="31"/>
      <c r="GW356" s="31"/>
      <c r="GX356" s="31"/>
      <c r="GY356" s="31"/>
      <c r="GZ356" s="31"/>
      <c r="HA356" s="31"/>
      <c r="HB356" s="31"/>
      <c r="HC356" s="31"/>
      <c r="HD356" s="31"/>
      <c r="HE356" s="31"/>
      <c r="HF356" s="31"/>
      <c r="HG356" s="31"/>
      <c r="HH356" s="31"/>
      <c r="HI356" s="31"/>
      <c r="HJ356" s="31"/>
      <c r="HK356" s="31"/>
      <c r="HL356" s="31"/>
      <c r="HM356" s="31"/>
      <c r="HN356" s="31"/>
      <c r="HO356" s="31"/>
      <c r="HP356" s="31"/>
      <c r="HQ356" s="31"/>
      <c r="HR356" s="31"/>
      <c r="HS356" s="31"/>
      <c r="HT356" s="31"/>
      <c r="HU356" s="31"/>
      <c r="HV356" s="31"/>
      <c r="HW356" s="31"/>
      <c r="HX356" s="31"/>
      <c r="HY356" s="31"/>
      <c r="HZ356" s="31"/>
      <c r="IA356" s="31"/>
      <c r="IB356" s="31"/>
      <c r="IC356" s="31"/>
      <c r="ID356" s="31"/>
      <c r="IE356" s="31"/>
      <c r="IF356" s="31"/>
      <c r="IG356" s="31"/>
      <c r="IH356" s="31"/>
      <c r="II356" s="31"/>
      <c r="IJ356" s="31"/>
      <c r="IK356" s="31"/>
      <c r="IL356" s="31"/>
      <c r="IM356" s="31"/>
      <c r="IN356" s="31"/>
      <c r="IO356" s="31"/>
      <c r="IP356" s="31"/>
      <c r="IQ356" s="31"/>
      <c r="IR356" s="31"/>
      <c r="IS356" s="31"/>
      <c r="IT356" s="31"/>
      <c r="IU356" s="31"/>
      <c r="IV356" s="31"/>
      <c r="IW356" s="31"/>
      <c r="IX356" s="31"/>
      <c r="IY356" s="31"/>
      <c r="IZ356" s="31"/>
      <c r="JA356" s="31"/>
      <c r="JB356" s="31"/>
      <c r="JC356" s="31"/>
      <c r="JD356" s="31"/>
      <c r="JE356" s="31"/>
      <c r="JF356" s="31"/>
      <c r="JG356" s="31"/>
      <c r="JH356" s="31"/>
      <c r="JI356" s="31"/>
      <c r="JJ356" s="31"/>
      <c r="JK356" s="31"/>
      <c r="JL356" s="31"/>
      <c r="JM356" s="31"/>
      <c r="JN356" s="31"/>
      <c r="JO356" s="31"/>
      <c r="JP356" s="31"/>
      <c r="JQ356" s="31"/>
      <c r="JR356" s="31"/>
      <c r="JS356" s="31"/>
      <c r="JT356" s="31"/>
      <c r="JU356" s="31"/>
      <c r="JV356" s="31"/>
      <c r="JW356" s="31"/>
      <c r="JX356" s="31"/>
      <c r="JY356" s="31"/>
      <c r="JZ356" s="31"/>
      <c r="KA356" s="31"/>
      <c r="KB356" s="31"/>
      <c r="KC356" s="31"/>
      <c r="KD356" s="31"/>
      <c r="KE356" s="31"/>
      <c r="KF356" s="31"/>
      <c r="KG356" s="31"/>
      <c r="KH356" s="31"/>
      <c r="KI356" s="31"/>
      <c r="KJ356" s="31"/>
      <c r="KK356" s="31"/>
      <c r="KL356" s="31"/>
      <c r="KM356" s="31"/>
      <c r="KN356" s="31"/>
      <c r="KO356" s="31"/>
      <c r="KP356" s="31"/>
      <c r="KQ356" s="31"/>
      <c r="KR356" s="31"/>
      <c r="KS356" s="31"/>
      <c r="KT356" s="31"/>
      <c r="KU356" s="31"/>
      <c r="KV356" s="31"/>
      <c r="KW356" s="31"/>
      <c r="KX356" s="31"/>
      <c r="KY356" s="31"/>
      <c r="KZ356" s="31"/>
      <c r="LA356" s="31"/>
      <c r="LB356" s="31"/>
      <c r="LC356" s="31"/>
      <c r="LD356" s="31"/>
      <c r="LE356" s="31"/>
      <c r="LF356" s="31"/>
      <c r="LG356" s="31"/>
      <c r="LH356" s="31"/>
      <c r="LI356" s="31"/>
      <c r="LJ356" s="31"/>
      <c r="LK356" s="31"/>
      <c r="LL356" s="31"/>
      <c r="LM356" s="31"/>
      <c r="LN356" s="31"/>
      <c r="LO356" s="31"/>
      <c r="LP356" s="31"/>
      <c r="LQ356" s="31"/>
      <c r="LR356" s="31"/>
      <c r="LS356" s="31"/>
      <c r="LT356" s="31"/>
      <c r="LU356" s="31"/>
      <c r="LV356" s="31"/>
      <c r="LW356" s="31"/>
      <c r="LX356" s="31"/>
      <c r="LY356" s="31"/>
      <c r="LZ356" s="31"/>
      <c r="MA356" s="31"/>
      <c r="MB356" s="31"/>
      <c r="MC356" s="31"/>
      <c r="MD356" s="31"/>
      <c r="ME356" s="31"/>
      <c r="MF356" s="31"/>
      <c r="MG356" s="31"/>
      <c r="MH356" s="31"/>
      <c r="MI356" s="31"/>
      <c r="MJ356" s="31"/>
      <c r="MK356" s="31"/>
      <c r="ML356" s="31"/>
      <c r="MM356" s="31"/>
      <c r="MN356" s="31"/>
      <c r="MO356" s="31"/>
      <c r="MP356" s="31"/>
      <c r="MQ356" s="31"/>
      <c r="MR356" s="31"/>
      <c r="MS356" s="31"/>
      <c r="MT356" s="31"/>
      <c r="MU356" s="31"/>
      <c r="MV356" s="31"/>
      <c r="MW356" s="31"/>
      <c r="MX356" s="31"/>
      <c r="MY356" s="31"/>
      <c r="MZ356" s="31"/>
      <c r="NA356" s="31"/>
      <c r="NB356" s="31"/>
      <c r="NC356" s="31"/>
      <c r="ND356" s="31"/>
      <c r="NE356" s="31"/>
      <c r="NF356" s="31"/>
      <c r="NG356" s="31"/>
      <c r="NH356" s="31"/>
      <c r="NI356" s="31"/>
      <c r="NJ356" s="31"/>
      <c r="NK356" s="31"/>
      <c r="NL356" s="31"/>
      <c r="NM356" s="31"/>
      <c r="NN356" s="31"/>
      <c r="NO356" s="31"/>
      <c r="NP356" s="31"/>
      <c r="NQ356" s="31"/>
      <c r="NR356" s="31"/>
      <c r="NS356" s="31"/>
      <c r="NT356" s="31"/>
      <c r="NU356" s="31"/>
      <c r="NV356" s="31"/>
      <c r="NW356" s="31"/>
      <c r="NX356" s="31"/>
      <c r="NY356" s="31"/>
      <c r="NZ356" s="31"/>
      <c r="OA356" s="31"/>
      <c r="OB356" s="31"/>
      <c r="OC356" s="31"/>
      <c r="OD356" s="31"/>
      <c r="OE356" s="31"/>
      <c r="OF356" s="31"/>
      <c r="OG356" s="31"/>
      <c r="OH356" s="31"/>
      <c r="OI356" s="31"/>
      <c r="OJ356" s="31"/>
      <c r="OK356" s="31"/>
      <c r="OL356" s="31"/>
      <c r="OM356" s="31"/>
      <c r="ON356" s="31"/>
      <c r="OO356" s="31"/>
      <c r="OP356" s="31"/>
      <c r="OQ356" s="31"/>
      <c r="OR356" s="31"/>
      <c r="OS356" s="31"/>
      <c r="OT356" s="31"/>
      <c r="OU356" s="31"/>
      <c r="OV356" s="31"/>
      <c r="OW356" s="31"/>
      <c r="OX356" s="31"/>
    </row>
    <row r="357" spans="1:414" s="25" customFormat="1" ht="15.6">
      <c r="B357" s="25" t="s">
        <v>943</v>
      </c>
      <c r="C357" s="27" t="s">
        <v>886</v>
      </c>
      <c r="D357" s="30" t="s">
        <v>105</v>
      </c>
      <c r="G357" s="42">
        <v>80</v>
      </c>
      <c r="H357" s="89">
        <v>26.109000000000002</v>
      </c>
      <c r="I357" s="38">
        <f t="shared" si="116"/>
        <v>2088.7200000000003</v>
      </c>
      <c r="K357" s="42">
        <v>80</v>
      </c>
      <c r="L357" s="90">
        <v>26.849599999999999</v>
      </c>
      <c r="M357" s="38">
        <f t="shared" si="117"/>
        <v>2147.9679999999998</v>
      </c>
      <c r="O357" s="42">
        <v>505</v>
      </c>
      <c r="P357" s="38">
        <v>26.728300000000001</v>
      </c>
      <c r="Q357" s="38">
        <f t="shared" si="118"/>
        <v>13497.791500000001</v>
      </c>
      <c r="R357" s="43">
        <f t="shared" si="114"/>
        <v>665</v>
      </c>
      <c r="S357" s="38">
        <f t="shared" si="119"/>
        <v>17734.479500000001</v>
      </c>
      <c r="T357" s="49">
        <v>240</v>
      </c>
      <c r="U357" s="42">
        <v>26.73</v>
      </c>
      <c r="V357" s="38">
        <f t="shared" si="126"/>
        <v>6415.2</v>
      </c>
      <c r="W357" s="42">
        <v>505</v>
      </c>
      <c r="X357" s="42">
        <v>26.79</v>
      </c>
      <c r="Y357" s="42">
        <f t="shared" si="128"/>
        <v>13528.949999999999</v>
      </c>
      <c r="Z357" s="42"/>
      <c r="AA357" s="42"/>
      <c r="AB357" s="42">
        <f t="shared" si="125"/>
        <v>0</v>
      </c>
      <c r="AD357" s="42"/>
      <c r="AE357" s="42"/>
      <c r="AF357" s="42">
        <f t="shared" ref="AF357:AF420" si="130">AD357*AE357</f>
        <v>0</v>
      </c>
      <c r="AG357" s="42"/>
      <c r="AH357" s="42"/>
      <c r="AI357" s="42"/>
      <c r="AJ357" s="42">
        <f t="shared" si="115"/>
        <v>0</v>
      </c>
      <c r="AL357" s="42"/>
      <c r="AM357" s="42"/>
      <c r="AN357" s="42">
        <f t="shared" si="129"/>
        <v>0</v>
      </c>
      <c r="AO357" s="44"/>
      <c r="AP357" s="42"/>
      <c r="AQ357" s="42"/>
      <c r="AR357" s="42"/>
      <c r="AU357" s="98"/>
      <c r="AV357" s="35"/>
      <c r="AW357" s="104"/>
      <c r="AX357" s="42"/>
      <c r="AY357" s="42"/>
      <c r="AZ357" s="42">
        <f t="shared" si="113"/>
        <v>0</v>
      </c>
      <c r="BA357" s="42"/>
      <c r="BB357" s="42"/>
      <c r="BC357" s="42"/>
      <c r="BD357" s="38">
        <f t="shared" si="120"/>
        <v>0</v>
      </c>
      <c r="BE357" s="42"/>
      <c r="BF357" s="42"/>
      <c r="BG357" s="42"/>
      <c r="BH357" s="38">
        <f t="shared" si="121"/>
        <v>0</v>
      </c>
      <c r="BI357" s="42"/>
      <c r="BJ357" s="42"/>
      <c r="BK357" s="42"/>
      <c r="BL357" s="38">
        <f t="shared" si="122"/>
        <v>0</v>
      </c>
      <c r="BM357" s="42"/>
      <c r="BN357" s="42"/>
      <c r="BO357" s="42"/>
      <c r="BP357" s="42"/>
      <c r="BR357" s="42">
        <f t="shared" si="123"/>
        <v>19944.149999999998</v>
      </c>
      <c r="BS357" s="43"/>
      <c r="BT357" s="42">
        <v>2209.67</v>
      </c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  <c r="FM357" s="31"/>
      <c r="FN357" s="31"/>
      <c r="FO357" s="31"/>
      <c r="FP357" s="31"/>
      <c r="FQ357" s="31"/>
      <c r="FR357" s="31"/>
      <c r="FS357" s="31"/>
      <c r="FT357" s="31"/>
      <c r="FU357" s="31"/>
      <c r="FV357" s="31"/>
      <c r="FW357" s="31"/>
      <c r="FX357" s="31"/>
      <c r="FY357" s="31"/>
      <c r="FZ357" s="31"/>
      <c r="GA357" s="31"/>
      <c r="GB357" s="31"/>
      <c r="GC357" s="31"/>
      <c r="GD357" s="31"/>
      <c r="GE357" s="31"/>
      <c r="GF357" s="31"/>
      <c r="GG357" s="31"/>
      <c r="GH357" s="31"/>
      <c r="GI357" s="31"/>
      <c r="GJ357" s="31"/>
      <c r="GK357" s="31"/>
      <c r="GL357" s="31"/>
      <c r="GM357" s="31"/>
      <c r="GN357" s="31"/>
      <c r="GO357" s="31"/>
      <c r="GP357" s="31"/>
      <c r="GQ357" s="31"/>
      <c r="GR357" s="31"/>
      <c r="GS357" s="31"/>
      <c r="GT357" s="31"/>
      <c r="GU357" s="31"/>
      <c r="GV357" s="31"/>
      <c r="GW357" s="31"/>
      <c r="GX357" s="31"/>
      <c r="GY357" s="31"/>
      <c r="GZ357" s="31"/>
      <c r="HA357" s="31"/>
      <c r="HB357" s="31"/>
      <c r="HC357" s="31"/>
      <c r="HD357" s="31"/>
      <c r="HE357" s="31"/>
      <c r="HF357" s="31"/>
      <c r="HG357" s="31"/>
      <c r="HH357" s="31"/>
      <c r="HI357" s="31"/>
      <c r="HJ357" s="31"/>
      <c r="HK357" s="31"/>
      <c r="HL357" s="31"/>
      <c r="HM357" s="31"/>
      <c r="HN357" s="31"/>
      <c r="HO357" s="31"/>
      <c r="HP357" s="31"/>
      <c r="HQ357" s="31"/>
      <c r="HR357" s="31"/>
      <c r="HS357" s="31"/>
      <c r="HT357" s="31"/>
      <c r="HU357" s="31"/>
      <c r="HV357" s="31"/>
      <c r="HW357" s="31"/>
      <c r="HX357" s="31"/>
      <c r="HY357" s="31"/>
      <c r="HZ357" s="31"/>
      <c r="IA357" s="31"/>
      <c r="IB357" s="31"/>
      <c r="IC357" s="31"/>
      <c r="ID357" s="31"/>
      <c r="IE357" s="31"/>
      <c r="IF357" s="31"/>
      <c r="IG357" s="31"/>
      <c r="IH357" s="31"/>
      <c r="II357" s="31"/>
      <c r="IJ357" s="31"/>
      <c r="IK357" s="31"/>
      <c r="IL357" s="31"/>
      <c r="IM357" s="31"/>
      <c r="IN357" s="31"/>
      <c r="IO357" s="31"/>
      <c r="IP357" s="31"/>
      <c r="IQ357" s="31"/>
      <c r="IR357" s="31"/>
      <c r="IS357" s="31"/>
      <c r="IT357" s="31"/>
      <c r="IU357" s="31"/>
      <c r="IV357" s="31"/>
      <c r="IW357" s="31"/>
      <c r="IX357" s="31"/>
      <c r="IY357" s="31"/>
      <c r="IZ357" s="31"/>
      <c r="JA357" s="31"/>
      <c r="JB357" s="31"/>
      <c r="JC357" s="31"/>
      <c r="JD357" s="31"/>
      <c r="JE357" s="31"/>
      <c r="JF357" s="31"/>
      <c r="JG357" s="31"/>
      <c r="JH357" s="31"/>
      <c r="JI357" s="31"/>
      <c r="JJ357" s="31"/>
      <c r="JK357" s="31"/>
      <c r="JL357" s="31"/>
      <c r="JM357" s="31"/>
      <c r="JN357" s="31"/>
      <c r="JO357" s="31"/>
      <c r="JP357" s="31"/>
      <c r="JQ357" s="31"/>
      <c r="JR357" s="31"/>
      <c r="JS357" s="31"/>
      <c r="JT357" s="31"/>
      <c r="JU357" s="31"/>
      <c r="JV357" s="31"/>
      <c r="JW357" s="31"/>
      <c r="JX357" s="31"/>
      <c r="JY357" s="31"/>
      <c r="JZ357" s="31"/>
      <c r="KA357" s="31"/>
      <c r="KB357" s="31"/>
      <c r="KC357" s="31"/>
      <c r="KD357" s="31"/>
      <c r="KE357" s="31"/>
      <c r="KF357" s="31"/>
      <c r="KG357" s="31"/>
      <c r="KH357" s="31"/>
      <c r="KI357" s="31"/>
      <c r="KJ357" s="31"/>
      <c r="KK357" s="31"/>
      <c r="KL357" s="31"/>
      <c r="KM357" s="31"/>
      <c r="KN357" s="31"/>
      <c r="KO357" s="31"/>
      <c r="KP357" s="31"/>
      <c r="KQ357" s="31"/>
      <c r="KR357" s="31"/>
      <c r="KS357" s="31"/>
      <c r="KT357" s="31"/>
      <c r="KU357" s="31"/>
      <c r="KV357" s="31"/>
      <c r="KW357" s="31"/>
      <c r="KX357" s="31"/>
      <c r="KY357" s="31"/>
      <c r="KZ357" s="31"/>
      <c r="LA357" s="31"/>
      <c r="LB357" s="31"/>
      <c r="LC357" s="31"/>
      <c r="LD357" s="31"/>
      <c r="LE357" s="31"/>
      <c r="LF357" s="31"/>
      <c r="LG357" s="31"/>
      <c r="LH357" s="31"/>
      <c r="LI357" s="31"/>
      <c r="LJ357" s="31"/>
      <c r="LK357" s="31"/>
      <c r="LL357" s="31"/>
      <c r="LM357" s="31"/>
      <c r="LN357" s="31"/>
      <c r="LO357" s="31"/>
      <c r="LP357" s="31"/>
      <c r="LQ357" s="31"/>
      <c r="LR357" s="31"/>
      <c r="LS357" s="31"/>
      <c r="LT357" s="31"/>
      <c r="LU357" s="31"/>
      <c r="LV357" s="31"/>
      <c r="LW357" s="31"/>
      <c r="LX357" s="31"/>
      <c r="LY357" s="31"/>
      <c r="LZ357" s="31"/>
      <c r="MA357" s="31"/>
      <c r="MB357" s="31"/>
      <c r="MC357" s="31"/>
      <c r="MD357" s="31"/>
      <c r="ME357" s="31"/>
      <c r="MF357" s="31"/>
      <c r="MG357" s="31"/>
      <c r="MH357" s="31"/>
      <c r="MI357" s="31"/>
      <c r="MJ357" s="31"/>
      <c r="MK357" s="31"/>
      <c r="ML357" s="31"/>
      <c r="MM357" s="31"/>
      <c r="MN357" s="31"/>
      <c r="MO357" s="31"/>
      <c r="MP357" s="31"/>
      <c r="MQ357" s="31"/>
      <c r="MR357" s="31"/>
      <c r="MS357" s="31"/>
      <c r="MT357" s="31"/>
      <c r="MU357" s="31"/>
      <c r="MV357" s="31"/>
      <c r="MW357" s="31"/>
      <c r="MX357" s="31"/>
      <c r="MY357" s="31"/>
      <c r="MZ357" s="31"/>
      <c r="NA357" s="31"/>
      <c r="NB357" s="31"/>
      <c r="NC357" s="31"/>
      <c r="ND357" s="31"/>
      <c r="NE357" s="31"/>
      <c r="NF357" s="31"/>
      <c r="NG357" s="31"/>
      <c r="NH357" s="31"/>
      <c r="NI357" s="31"/>
      <c r="NJ357" s="31"/>
      <c r="NK357" s="31"/>
      <c r="NL357" s="31"/>
      <c r="NM357" s="31"/>
      <c r="NN357" s="31"/>
      <c r="NO357" s="31"/>
      <c r="NP357" s="31"/>
      <c r="NQ357" s="31"/>
      <c r="NR357" s="31"/>
      <c r="NS357" s="31"/>
      <c r="NT357" s="31"/>
      <c r="NU357" s="31"/>
      <c r="NV357" s="31"/>
      <c r="NW357" s="31"/>
      <c r="NX357" s="31"/>
      <c r="NY357" s="31"/>
      <c r="NZ357" s="31"/>
      <c r="OA357" s="31"/>
      <c r="OB357" s="31"/>
      <c r="OC357" s="31"/>
      <c r="OD357" s="31"/>
      <c r="OE357" s="31"/>
      <c r="OF357" s="31"/>
      <c r="OG357" s="31"/>
      <c r="OH357" s="31"/>
      <c r="OI357" s="31"/>
      <c r="OJ357" s="31"/>
      <c r="OK357" s="31"/>
      <c r="OL357" s="31"/>
      <c r="OM357" s="31"/>
      <c r="ON357" s="31"/>
      <c r="OO357" s="31"/>
      <c r="OP357" s="31"/>
      <c r="OQ357" s="31"/>
      <c r="OR357" s="31"/>
      <c r="OS357" s="31"/>
      <c r="OT357" s="31"/>
      <c r="OU357" s="31"/>
      <c r="OV357" s="31"/>
      <c r="OW357" s="31"/>
      <c r="OX357" s="31"/>
    </row>
    <row r="358" spans="1:414" s="25" customFormat="1" ht="15.6">
      <c r="B358" s="25" t="s">
        <v>706</v>
      </c>
      <c r="C358" s="27" t="s">
        <v>646</v>
      </c>
      <c r="D358" s="30" t="s">
        <v>105</v>
      </c>
      <c r="G358" s="42">
        <v>80</v>
      </c>
      <c r="H358" s="89">
        <v>26.109000000000002</v>
      </c>
      <c r="I358" s="38">
        <f t="shared" si="116"/>
        <v>2088.7200000000003</v>
      </c>
      <c r="K358" s="42">
        <v>80</v>
      </c>
      <c r="L358" s="90">
        <v>26.849599999999999</v>
      </c>
      <c r="M358" s="38">
        <f t="shared" si="117"/>
        <v>2147.9679999999998</v>
      </c>
      <c r="O358" s="42">
        <v>505</v>
      </c>
      <c r="P358" s="38">
        <v>26.728300000000001</v>
      </c>
      <c r="Q358" s="38">
        <f t="shared" si="118"/>
        <v>13497.791500000001</v>
      </c>
      <c r="R358" s="43">
        <f t="shared" si="114"/>
        <v>665</v>
      </c>
      <c r="S358" s="38">
        <f t="shared" si="119"/>
        <v>17734.479500000001</v>
      </c>
      <c r="T358" s="49">
        <v>240</v>
      </c>
      <c r="U358" s="42">
        <v>26.73</v>
      </c>
      <c r="V358" s="38">
        <f t="shared" si="126"/>
        <v>6415.2</v>
      </c>
      <c r="W358" s="42">
        <v>240</v>
      </c>
      <c r="X358" s="42">
        <v>26.79</v>
      </c>
      <c r="Y358" s="42">
        <f t="shared" si="128"/>
        <v>6429.5999999999995</v>
      </c>
      <c r="Z358" s="42">
        <v>250</v>
      </c>
      <c r="AA358" s="42">
        <v>26.48</v>
      </c>
      <c r="AB358" s="42">
        <f t="shared" si="125"/>
        <v>6620</v>
      </c>
      <c r="AD358" s="42">
        <v>5</v>
      </c>
      <c r="AE358" s="42">
        <v>26.48</v>
      </c>
      <c r="AF358" s="42">
        <f t="shared" si="130"/>
        <v>132.4</v>
      </c>
      <c r="AG358" s="42"/>
      <c r="AH358" s="42"/>
      <c r="AI358" s="42"/>
      <c r="AJ358" s="42">
        <f t="shared" si="115"/>
        <v>0</v>
      </c>
      <c r="AL358" s="42"/>
      <c r="AM358" s="42"/>
      <c r="AN358" s="42">
        <f t="shared" si="129"/>
        <v>0</v>
      </c>
      <c r="AO358" s="44"/>
      <c r="AP358" s="42"/>
      <c r="AQ358" s="42"/>
      <c r="AR358" s="42"/>
      <c r="AU358" s="98"/>
      <c r="AV358" s="35"/>
      <c r="AW358" s="104"/>
      <c r="AX358" s="42"/>
      <c r="AY358" s="42"/>
      <c r="AZ358" s="42">
        <f t="shared" si="113"/>
        <v>0</v>
      </c>
      <c r="BA358" s="42"/>
      <c r="BB358" s="42"/>
      <c r="BC358" s="42"/>
      <c r="BD358" s="38">
        <f t="shared" si="120"/>
        <v>0</v>
      </c>
      <c r="BE358" s="42"/>
      <c r="BF358" s="42"/>
      <c r="BG358" s="42"/>
      <c r="BH358" s="38">
        <f t="shared" si="121"/>
        <v>0</v>
      </c>
      <c r="BI358" s="42"/>
      <c r="BJ358" s="42"/>
      <c r="BK358" s="42"/>
      <c r="BL358" s="38">
        <f t="shared" si="122"/>
        <v>0</v>
      </c>
      <c r="BM358" s="42"/>
      <c r="BN358" s="42"/>
      <c r="BO358" s="42"/>
      <c r="BP358" s="42"/>
      <c r="BR358" s="42">
        <f t="shared" si="123"/>
        <v>19597.2</v>
      </c>
      <c r="BS358" s="43"/>
      <c r="BT358" s="42">
        <v>1862.72</v>
      </c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  <c r="FM358" s="31"/>
      <c r="FN358" s="31"/>
      <c r="FO358" s="31"/>
      <c r="FP358" s="31"/>
      <c r="FQ358" s="31"/>
      <c r="FR358" s="31"/>
      <c r="FS358" s="31"/>
      <c r="FT358" s="31"/>
      <c r="FU358" s="31"/>
      <c r="FV358" s="31"/>
      <c r="FW358" s="31"/>
      <c r="FX358" s="31"/>
      <c r="FY358" s="31"/>
      <c r="FZ358" s="31"/>
      <c r="GA358" s="31"/>
      <c r="GB358" s="31"/>
      <c r="GC358" s="31"/>
      <c r="GD358" s="31"/>
      <c r="GE358" s="31"/>
      <c r="GF358" s="31"/>
      <c r="GG358" s="31"/>
      <c r="GH358" s="31"/>
      <c r="GI358" s="31"/>
      <c r="GJ358" s="31"/>
      <c r="GK358" s="31"/>
      <c r="GL358" s="31"/>
      <c r="GM358" s="31"/>
      <c r="GN358" s="31"/>
      <c r="GO358" s="31"/>
      <c r="GP358" s="31"/>
      <c r="GQ358" s="31"/>
      <c r="GR358" s="31"/>
      <c r="GS358" s="31"/>
      <c r="GT358" s="31"/>
      <c r="GU358" s="31"/>
      <c r="GV358" s="31"/>
      <c r="GW358" s="31"/>
      <c r="GX358" s="31"/>
      <c r="GY358" s="31"/>
      <c r="GZ358" s="31"/>
      <c r="HA358" s="31"/>
      <c r="HB358" s="31"/>
      <c r="HC358" s="31"/>
      <c r="HD358" s="31"/>
      <c r="HE358" s="31"/>
      <c r="HF358" s="31"/>
      <c r="HG358" s="31"/>
      <c r="HH358" s="31"/>
      <c r="HI358" s="31"/>
      <c r="HJ358" s="31"/>
      <c r="HK358" s="31"/>
      <c r="HL358" s="31"/>
      <c r="HM358" s="31"/>
      <c r="HN358" s="31"/>
      <c r="HO358" s="31"/>
      <c r="HP358" s="31"/>
      <c r="HQ358" s="31"/>
      <c r="HR358" s="31"/>
      <c r="HS358" s="31"/>
      <c r="HT358" s="31"/>
      <c r="HU358" s="31"/>
      <c r="HV358" s="31"/>
      <c r="HW358" s="31"/>
      <c r="HX358" s="31"/>
      <c r="HY358" s="31"/>
      <c r="HZ358" s="31"/>
      <c r="IA358" s="31"/>
      <c r="IB358" s="31"/>
      <c r="IC358" s="31"/>
      <c r="ID358" s="31"/>
      <c r="IE358" s="31"/>
      <c r="IF358" s="31"/>
      <c r="IG358" s="31"/>
      <c r="IH358" s="31"/>
      <c r="II358" s="31"/>
      <c r="IJ358" s="31"/>
      <c r="IK358" s="31"/>
      <c r="IL358" s="31"/>
      <c r="IM358" s="31"/>
      <c r="IN358" s="31"/>
      <c r="IO358" s="31"/>
      <c r="IP358" s="31"/>
      <c r="IQ358" s="31"/>
      <c r="IR358" s="31"/>
      <c r="IS358" s="31"/>
      <c r="IT358" s="31"/>
      <c r="IU358" s="31"/>
      <c r="IV358" s="31"/>
      <c r="IW358" s="31"/>
      <c r="IX358" s="31"/>
      <c r="IY358" s="31"/>
      <c r="IZ358" s="31"/>
      <c r="JA358" s="31"/>
      <c r="JB358" s="31"/>
      <c r="JC358" s="31"/>
      <c r="JD358" s="31"/>
      <c r="JE358" s="31"/>
      <c r="JF358" s="31"/>
      <c r="JG358" s="31"/>
      <c r="JH358" s="31"/>
      <c r="JI358" s="31"/>
      <c r="JJ358" s="31"/>
      <c r="JK358" s="31"/>
      <c r="JL358" s="31"/>
      <c r="JM358" s="31"/>
      <c r="JN358" s="31"/>
      <c r="JO358" s="31"/>
      <c r="JP358" s="31"/>
      <c r="JQ358" s="31"/>
      <c r="JR358" s="31"/>
      <c r="JS358" s="31"/>
      <c r="JT358" s="31"/>
      <c r="JU358" s="31"/>
      <c r="JV358" s="31"/>
      <c r="JW358" s="31"/>
      <c r="JX358" s="31"/>
      <c r="JY358" s="31"/>
      <c r="JZ358" s="31"/>
      <c r="KA358" s="31"/>
      <c r="KB358" s="31"/>
      <c r="KC358" s="31"/>
      <c r="KD358" s="31"/>
      <c r="KE358" s="31"/>
      <c r="KF358" s="31"/>
      <c r="KG358" s="31"/>
      <c r="KH358" s="31"/>
      <c r="KI358" s="31"/>
      <c r="KJ358" s="31"/>
      <c r="KK358" s="31"/>
      <c r="KL358" s="31"/>
      <c r="KM358" s="31"/>
      <c r="KN358" s="31"/>
      <c r="KO358" s="31"/>
      <c r="KP358" s="31"/>
      <c r="KQ358" s="31"/>
      <c r="KR358" s="31"/>
      <c r="KS358" s="31"/>
      <c r="KT358" s="31"/>
      <c r="KU358" s="31"/>
      <c r="KV358" s="31"/>
      <c r="KW358" s="31"/>
      <c r="KX358" s="31"/>
      <c r="KY358" s="31"/>
      <c r="KZ358" s="31"/>
      <c r="LA358" s="31"/>
      <c r="LB358" s="31"/>
      <c r="LC358" s="31"/>
      <c r="LD358" s="31"/>
      <c r="LE358" s="31"/>
      <c r="LF358" s="31"/>
      <c r="LG358" s="31"/>
      <c r="LH358" s="31"/>
      <c r="LI358" s="31"/>
      <c r="LJ358" s="31"/>
      <c r="LK358" s="31"/>
      <c r="LL358" s="31"/>
      <c r="LM358" s="31"/>
      <c r="LN358" s="31"/>
      <c r="LO358" s="31"/>
      <c r="LP358" s="31"/>
      <c r="LQ358" s="31"/>
      <c r="LR358" s="31"/>
      <c r="LS358" s="31"/>
      <c r="LT358" s="31"/>
      <c r="LU358" s="31"/>
      <c r="LV358" s="31"/>
      <c r="LW358" s="31"/>
      <c r="LX358" s="31"/>
      <c r="LY358" s="31"/>
      <c r="LZ358" s="31"/>
      <c r="MA358" s="31"/>
      <c r="MB358" s="31"/>
      <c r="MC358" s="31"/>
      <c r="MD358" s="31"/>
      <c r="ME358" s="31"/>
      <c r="MF358" s="31"/>
      <c r="MG358" s="31"/>
      <c r="MH358" s="31"/>
      <c r="MI358" s="31"/>
      <c r="MJ358" s="31"/>
      <c r="MK358" s="31"/>
      <c r="ML358" s="31"/>
      <c r="MM358" s="31"/>
      <c r="MN358" s="31"/>
      <c r="MO358" s="31"/>
      <c r="MP358" s="31"/>
      <c r="MQ358" s="31"/>
      <c r="MR358" s="31"/>
      <c r="MS358" s="31"/>
      <c r="MT358" s="31"/>
      <c r="MU358" s="31"/>
      <c r="MV358" s="31"/>
      <c r="MW358" s="31"/>
      <c r="MX358" s="31"/>
      <c r="MY358" s="31"/>
      <c r="MZ358" s="31"/>
      <c r="NA358" s="31"/>
      <c r="NB358" s="31"/>
      <c r="NC358" s="31"/>
      <c r="ND358" s="31"/>
      <c r="NE358" s="31"/>
      <c r="NF358" s="31"/>
      <c r="NG358" s="31"/>
      <c r="NH358" s="31"/>
      <c r="NI358" s="31"/>
      <c r="NJ358" s="31"/>
      <c r="NK358" s="31"/>
      <c r="NL358" s="31"/>
      <c r="NM358" s="31"/>
      <c r="NN358" s="31"/>
      <c r="NO358" s="31"/>
      <c r="NP358" s="31"/>
      <c r="NQ358" s="31"/>
      <c r="NR358" s="31"/>
      <c r="NS358" s="31"/>
      <c r="NT358" s="31"/>
      <c r="NU358" s="31"/>
      <c r="NV358" s="31"/>
      <c r="NW358" s="31"/>
      <c r="NX358" s="31"/>
      <c r="NY358" s="31"/>
      <c r="NZ358" s="31"/>
      <c r="OA358" s="31"/>
      <c r="OB358" s="31"/>
      <c r="OC358" s="31"/>
      <c r="OD358" s="31"/>
      <c r="OE358" s="31"/>
      <c r="OF358" s="31"/>
      <c r="OG358" s="31"/>
      <c r="OH358" s="31"/>
      <c r="OI358" s="31"/>
      <c r="OJ358" s="31"/>
      <c r="OK358" s="31"/>
      <c r="OL358" s="31"/>
      <c r="OM358" s="31"/>
      <c r="ON358" s="31"/>
      <c r="OO358" s="31"/>
      <c r="OP358" s="31"/>
      <c r="OQ358" s="31"/>
      <c r="OR358" s="31"/>
      <c r="OS358" s="31"/>
      <c r="OT358" s="31"/>
      <c r="OU358" s="31"/>
      <c r="OV358" s="31"/>
      <c r="OW358" s="31"/>
      <c r="OX358" s="31"/>
    </row>
    <row r="359" spans="1:414" s="25" customFormat="1" ht="15.6">
      <c r="B359" s="25" t="s">
        <v>794</v>
      </c>
      <c r="C359" s="27" t="s">
        <v>646</v>
      </c>
      <c r="D359" s="30" t="s">
        <v>105</v>
      </c>
      <c r="G359" s="42">
        <v>80</v>
      </c>
      <c r="H359" s="89">
        <v>26.109000000000002</v>
      </c>
      <c r="I359" s="38">
        <f t="shared" si="116"/>
        <v>2088.7200000000003</v>
      </c>
      <c r="K359" s="42">
        <v>80</v>
      </c>
      <c r="L359" s="90">
        <v>26.849599999999999</v>
      </c>
      <c r="M359" s="38">
        <f t="shared" si="117"/>
        <v>2147.9679999999998</v>
      </c>
      <c r="O359" s="42">
        <v>505</v>
      </c>
      <c r="P359" s="38">
        <v>26.728300000000001</v>
      </c>
      <c r="Q359" s="38">
        <f t="shared" si="118"/>
        <v>13497.791500000001</v>
      </c>
      <c r="R359" s="43">
        <f t="shared" si="114"/>
        <v>665</v>
      </c>
      <c r="S359" s="38">
        <f t="shared" si="119"/>
        <v>17734.479500000001</v>
      </c>
      <c r="T359" s="49">
        <v>240</v>
      </c>
      <c r="U359" s="42">
        <v>26.766200000000001</v>
      </c>
      <c r="V359" s="38">
        <f t="shared" si="126"/>
        <v>6423.8879999999999</v>
      </c>
      <c r="W359" s="42">
        <v>420</v>
      </c>
      <c r="X359" s="42">
        <v>26.626300000000001</v>
      </c>
      <c r="Y359" s="42">
        <f t="shared" si="128"/>
        <v>11183.046</v>
      </c>
      <c r="Z359" s="42">
        <v>85</v>
      </c>
      <c r="AA359" s="42">
        <v>26.766200000000001</v>
      </c>
      <c r="AB359" s="42">
        <f t="shared" si="125"/>
        <v>2275.127</v>
      </c>
      <c r="AD359" s="42"/>
      <c r="AE359" s="42"/>
      <c r="AF359" s="42">
        <f t="shared" si="130"/>
        <v>0</v>
      </c>
      <c r="AG359" s="42"/>
      <c r="AH359" s="42"/>
      <c r="AI359" s="42"/>
      <c r="AJ359" s="42">
        <f t="shared" si="115"/>
        <v>0</v>
      </c>
      <c r="AL359" s="42"/>
      <c r="AM359" s="42"/>
      <c r="AN359" s="42">
        <f t="shared" si="129"/>
        <v>0</v>
      </c>
      <c r="AO359" s="44"/>
      <c r="AP359" s="42"/>
      <c r="AQ359" s="42"/>
      <c r="AR359" s="42"/>
      <c r="AU359" s="98"/>
      <c r="AV359" s="35"/>
      <c r="AW359" s="104"/>
      <c r="AX359" s="42"/>
      <c r="AY359" s="42"/>
      <c r="AZ359" s="42">
        <f t="shared" si="113"/>
        <v>0</v>
      </c>
      <c r="BA359" s="42"/>
      <c r="BB359" s="42"/>
      <c r="BC359" s="42"/>
      <c r="BD359" s="38">
        <f t="shared" si="120"/>
        <v>0</v>
      </c>
      <c r="BE359" s="42"/>
      <c r="BF359" s="42"/>
      <c r="BG359" s="42"/>
      <c r="BH359" s="38">
        <f t="shared" si="121"/>
        <v>0</v>
      </c>
      <c r="BI359" s="42"/>
      <c r="BJ359" s="42"/>
      <c r="BK359" s="42"/>
      <c r="BL359" s="38">
        <f t="shared" si="122"/>
        <v>0</v>
      </c>
      <c r="BM359" s="42"/>
      <c r="BN359" s="42"/>
      <c r="BO359" s="42"/>
      <c r="BP359" s="42"/>
      <c r="BR359" s="42">
        <f t="shared" si="123"/>
        <v>19882.061000000002</v>
      </c>
      <c r="BS359" s="43"/>
      <c r="BT359" s="42">
        <v>2147.58</v>
      </c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  <c r="FM359" s="31"/>
      <c r="FN359" s="31"/>
      <c r="FO359" s="31"/>
      <c r="FP359" s="31"/>
      <c r="FQ359" s="31"/>
      <c r="FR359" s="31"/>
      <c r="FS359" s="31"/>
      <c r="FT359" s="31"/>
      <c r="FU359" s="31"/>
      <c r="FV359" s="31"/>
      <c r="FW359" s="31"/>
      <c r="FX359" s="31"/>
      <c r="FY359" s="31"/>
      <c r="FZ359" s="31"/>
      <c r="GA359" s="31"/>
      <c r="GB359" s="31"/>
      <c r="GC359" s="31"/>
      <c r="GD359" s="31"/>
      <c r="GE359" s="31"/>
      <c r="GF359" s="31"/>
      <c r="GG359" s="31"/>
      <c r="GH359" s="31"/>
      <c r="GI359" s="31"/>
      <c r="GJ359" s="31"/>
      <c r="GK359" s="31"/>
      <c r="GL359" s="31"/>
      <c r="GM359" s="31"/>
      <c r="GN359" s="31"/>
      <c r="GO359" s="31"/>
      <c r="GP359" s="31"/>
      <c r="GQ359" s="31"/>
      <c r="GR359" s="31"/>
      <c r="GS359" s="31"/>
      <c r="GT359" s="31"/>
      <c r="GU359" s="31"/>
      <c r="GV359" s="31"/>
      <c r="GW359" s="31"/>
      <c r="GX359" s="31"/>
      <c r="GY359" s="31"/>
      <c r="GZ359" s="31"/>
      <c r="HA359" s="31"/>
      <c r="HB359" s="31"/>
      <c r="HC359" s="31"/>
      <c r="HD359" s="31"/>
      <c r="HE359" s="31"/>
      <c r="HF359" s="31"/>
      <c r="HG359" s="31"/>
      <c r="HH359" s="31"/>
      <c r="HI359" s="31"/>
      <c r="HJ359" s="31"/>
      <c r="HK359" s="31"/>
      <c r="HL359" s="31"/>
      <c r="HM359" s="31"/>
      <c r="HN359" s="31"/>
      <c r="HO359" s="31"/>
      <c r="HP359" s="31"/>
      <c r="HQ359" s="31"/>
      <c r="HR359" s="31"/>
      <c r="HS359" s="31"/>
      <c r="HT359" s="31"/>
      <c r="HU359" s="31"/>
      <c r="HV359" s="31"/>
      <c r="HW359" s="31"/>
      <c r="HX359" s="31"/>
      <c r="HY359" s="31"/>
      <c r="HZ359" s="31"/>
      <c r="IA359" s="31"/>
      <c r="IB359" s="31"/>
      <c r="IC359" s="31"/>
      <c r="ID359" s="31"/>
      <c r="IE359" s="31"/>
      <c r="IF359" s="31"/>
      <c r="IG359" s="31"/>
      <c r="IH359" s="31"/>
      <c r="II359" s="31"/>
      <c r="IJ359" s="31"/>
      <c r="IK359" s="31"/>
      <c r="IL359" s="31"/>
      <c r="IM359" s="31"/>
      <c r="IN359" s="31"/>
      <c r="IO359" s="31"/>
      <c r="IP359" s="31"/>
      <c r="IQ359" s="31"/>
      <c r="IR359" s="31"/>
      <c r="IS359" s="31"/>
      <c r="IT359" s="31"/>
      <c r="IU359" s="31"/>
      <c r="IV359" s="31"/>
      <c r="IW359" s="31"/>
      <c r="IX359" s="31"/>
      <c r="IY359" s="31"/>
      <c r="IZ359" s="31"/>
      <c r="JA359" s="31"/>
      <c r="JB359" s="31"/>
      <c r="JC359" s="31"/>
      <c r="JD359" s="31"/>
      <c r="JE359" s="31"/>
      <c r="JF359" s="31"/>
      <c r="JG359" s="31"/>
      <c r="JH359" s="31"/>
      <c r="JI359" s="31"/>
      <c r="JJ359" s="31"/>
      <c r="JK359" s="31"/>
      <c r="JL359" s="31"/>
      <c r="JM359" s="31"/>
      <c r="JN359" s="31"/>
      <c r="JO359" s="31"/>
      <c r="JP359" s="31"/>
      <c r="JQ359" s="31"/>
      <c r="JR359" s="31"/>
      <c r="JS359" s="31"/>
      <c r="JT359" s="31"/>
      <c r="JU359" s="31"/>
      <c r="JV359" s="31"/>
      <c r="JW359" s="31"/>
      <c r="JX359" s="31"/>
      <c r="JY359" s="31"/>
      <c r="JZ359" s="31"/>
      <c r="KA359" s="31"/>
      <c r="KB359" s="31"/>
      <c r="KC359" s="31"/>
      <c r="KD359" s="31"/>
      <c r="KE359" s="31"/>
      <c r="KF359" s="31"/>
      <c r="KG359" s="31"/>
      <c r="KH359" s="31"/>
      <c r="KI359" s="31"/>
      <c r="KJ359" s="31"/>
      <c r="KK359" s="31"/>
      <c r="KL359" s="31"/>
      <c r="KM359" s="31"/>
      <c r="KN359" s="31"/>
      <c r="KO359" s="31"/>
      <c r="KP359" s="31"/>
      <c r="KQ359" s="31"/>
      <c r="KR359" s="31"/>
      <c r="KS359" s="31"/>
      <c r="KT359" s="31"/>
      <c r="KU359" s="31"/>
      <c r="KV359" s="31"/>
      <c r="KW359" s="31"/>
      <c r="KX359" s="31"/>
      <c r="KY359" s="31"/>
      <c r="KZ359" s="31"/>
      <c r="LA359" s="31"/>
      <c r="LB359" s="31"/>
      <c r="LC359" s="31"/>
      <c r="LD359" s="31"/>
      <c r="LE359" s="31"/>
      <c r="LF359" s="31"/>
      <c r="LG359" s="31"/>
      <c r="LH359" s="31"/>
      <c r="LI359" s="31"/>
      <c r="LJ359" s="31"/>
      <c r="LK359" s="31"/>
      <c r="LL359" s="31"/>
      <c r="LM359" s="31"/>
      <c r="LN359" s="31"/>
      <c r="LO359" s="31"/>
      <c r="LP359" s="31"/>
      <c r="LQ359" s="31"/>
      <c r="LR359" s="31"/>
      <c r="LS359" s="31"/>
      <c r="LT359" s="31"/>
      <c r="LU359" s="31"/>
      <c r="LV359" s="31"/>
      <c r="LW359" s="31"/>
      <c r="LX359" s="31"/>
      <c r="LY359" s="31"/>
      <c r="LZ359" s="31"/>
      <c r="MA359" s="31"/>
      <c r="MB359" s="31"/>
      <c r="MC359" s="31"/>
      <c r="MD359" s="31"/>
      <c r="ME359" s="31"/>
      <c r="MF359" s="31"/>
      <c r="MG359" s="31"/>
      <c r="MH359" s="31"/>
      <c r="MI359" s="31"/>
      <c r="MJ359" s="31"/>
      <c r="MK359" s="31"/>
      <c r="ML359" s="31"/>
      <c r="MM359" s="31"/>
      <c r="MN359" s="31"/>
      <c r="MO359" s="31"/>
      <c r="MP359" s="31"/>
      <c r="MQ359" s="31"/>
      <c r="MR359" s="31"/>
      <c r="MS359" s="31"/>
      <c r="MT359" s="31"/>
      <c r="MU359" s="31"/>
      <c r="MV359" s="31"/>
      <c r="MW359" s="31"/>
      <c r="MX359" s="31"/>
      <c r="MY359" s="31"/>
      <c r="MZ359" s="31"/>
      <c r="NA359" s="31"/>
      <c r="NB359" s="31"/>
      <c r="NC359" s="31"/>
      <c r="ND359" s="31"/>
      <c r="NE359" s="31"/>
      <c r="NF359" s="31"/>
      <c r="NG359" s="31"/>
      <c r="NH359" s="31"/>
      <c r="NI359" s="31"/>
      <c r="NJ359" s="31"/>
      <c r="NK359" s="31"/>
      <c r="NL359" s="31"/>
      <c r="NM359" s="31"/>
      <c r="NN359" s="31"/>
      <c r="NO359" s="31"/>
      <c r="NP359" s="31"/>
      <c r="NQ359" s="31"/>
      <c r="NR359" s="31"/>
      <c r="NS359" s="31"/>
      <c r="NT359" s="31"/>
      <c r="NU359" s="31"/>
      <c r="NV359" s="31"/>
      <c r="NW359" s="31"/>
      <c r="NX359" s="31"/>
      <c r="NY359" s="31"/>
      <c r="NZ359" s="31"/>
      <c r="OA359" s="31"/>
      <c r="OB359" s="31"/>
      <c r="OC359" s="31"/>
      <c r="OD359" s="31"/>
      <c r="OE359" s="31"/>
      <c r="OF359" s="31"/>
      <c r="OG359" s="31"/>
      <c r="OH359" s="31"/>
      <c r="OI359" s="31"/>
      <c r="OJ359" s="31"/>
      <c r="OK359" s="31"/>
      <c r="OL359" s="31"/>
      <c r="OM359" s="31"/>
      <c r="ON359" s="31"/>
      <c r="OO359" s="31"/>
      <c r="OP359" s="31"/>
      <c r="OQ359" s="31"/>
      <c r="OR359" s="31"/>
      <c r="OS359" s="31"/>
      <c r="OT359" s="31"/>
      <c r="OU359" s="31"/>
      <c r="OV359" s="31"/>
      <c r="OW359" s="31"/>
      <c r="OX359" s="31"/>
    </row>
    <row r="360" spans="1:414" s="25" customFormat="1" ht="15.6">
      <c r="B360" s="25" t="s">
        <v>944</v>
      </c>
      <c r="C360" s="27" t="s">
        <v>945</v>
      </c>
      <c r="D360" s="30" t="s">
        <v>105</v>
      </c>
      <c r="G360" s="42">
        <v>80</v>
      </c>
      <c r="H360" s="89">
        <v>26.109000000000002</v>
      </c>
      <c r="I360" s="38">
        <f t="shared" si="116"/>
        <v>2088.7200000000003</v>
      </c>
      <c r="K360" s="42">
        <v>80</v>
      </c>
      <c r="L360" s="90">
        <v>26.849599999999999</v>
      </c>
      <c r="M360" s="38">
        <f t="shared" si="117"/>
        <v>2147.9679999999998</v>
      </c>
      <c r="O360" s="42">
        <v>505</v>
      </c>
      <c r="P360" s="38">
        <v>26.728300000000001</v>
      </c>
      <c r="Q360" s="38">
        <f t="shared" si="118"/>
        <v>13497.791500000001</v>
      </c>
      <c r="R360" s="43">
        <f t="shared" si="114"/>
        <v>665</v>
      </c>
      <c r="S360" s="38">
        <f t="shared" si="119"/>
        <v>17734.479500000001</v>
      </c>
      <c r="T360" s="49">
        <v>240</v>
      </c>
      <c r="U360" s="42">
        <v>26.869499999999999</v>
      </c>
      <c r="V360" s="38">
        <f t="shared" si="126"/>
        <v>6448.6799999999994</v>
      </c>
      <c r="W360" s="42">
        <v>420</v>
      </c>
      <c r="X360" s="42">
        <v>26.934999999999999</v>
      </c>
      <c r="Y360" s="42">
        <f t="shared" si="128"/>
        <v>11312.699999999999</v>
      </c>
      <c r="Z360" s="42">
        <v>85</v>
      </c>
      <c r="AA360" s="42">
        <v>26.934999999999999</v>
      </c>
      <c r="AB360" s="42">
        <f t="shared" si="125"/>
        <v>2289.4749999999999</v>
      </c>
      <c r="AD360" s="42"/>
      <c r="AE360" s="42"/>
      <c r="AF360" s="42">
        <f t="shared" si="130"/>
        <v>0</v>
      </c>
      <c r="AG360" s="42"/>
      <c r="AH360" s="42"/>
      <c r="AI360" s="42"/>
      <c r="AJ360" s="42">
        <f t="shared" si="115"/>
        <v>0</v>
      </c>
      <c r="AL360" s="42"/>
      <c r="AM360" s="42"/>
      <c r="AN360" s="42">
        <f t="shared" si="129"/>
        <v>0</v>
      </c>
      <c r="AO360" s="44"/>
      <c r="AP360" s="42"/>
      <c r="AQ360" s="42"/>
      <c r="AR360" s="42"/>
      <c r="AU360" s="98"/>
      <c r="AV360" s="35"/>
      <c r="AW360" s="104"/>
      <c r="AX360" s="42"/>
      <c r="AY360" s="42"/>
      <c r="AZ360" s="42">
        <f t="shared" si="113"/>
        <v>0</v>
      </c>
      <c r="BA360" s="42"/>
      <c r="BB360" s="42"/>
      <c r="BC360" s="42"/>
      <c r="BD360" s="38">
        <f t="shared" si="120"/>
        <v>0</v>
      </c>
      <c r="BE360" s="42"/>
      <c r="BF360" s="42"/>
      <c r="BG360" s="42"/>
      <c r="BH360" s="38">
        <f t="shared" si="121"/>
        <v>0</v>
      </c>
      <c r="BI360" s="42"/>
      <c r="BJ360" s="42"/>
      <c r="BK360" s="42"/>
      <c r="BL360" s="38">
        <f t="shared" si="122"/>
        <v>0</v>
      </c>
      <c r="BM360" s="42"/>
      <c r="BN360" s="42"/>
      <c r="BO360" s="42"/>
      <c r="BP360" s="42"/>
      <c r="BR360" s="42">
        <f t="shared" si="123"/>
        <v>20050.854999999996</v>
      </c>
      <c r="BS360" s="43"/>
      <c r="BT360" s="42">
        <v>2316.38</v>
      </c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  <c r="FM360" s="31"/>
      <c r="FN360" s="31"/>
      <c r="FO360" s="31"/>
      <c r="FP360" s="31"/>
      <c r="FQ360" s="31"/>
      <c r="FR360" s="31"/>
      <c r="FS360" s="31"/>
      <c r="FT360" s="31"/>
      <c r="FU360" s="31"/>
      <c r="FV360" s="31"/>
      <c r="FW360" s="31"/>
      <c r="FX360" s="31"/>
      <c r="FY360" s="31"/>
      <c r="FZ360" s="31"/>
      <c r="GA360" s="31"/>
      <c r="GB360" s="31"/>
      <c r="GC360" s="31"/>
      <c r="GD360" s="31"/>
      <c r="GE360" s="31"/>
      <c r="GF360" s="31"/>
      <c r="GG360" s="31"/>
      <c r="GH360" s="31"/>
      <c r="GI360" s="31"/>
      <c r="GJ360" s="31"/>
      <c r="GK360" s="31"/>
      <c r="GL360" s="31"/>
      <c r="GM360" s="31"/>
      <c r="GN360" s="31"/>
      <c r="GO360" s="31"/>
      <c r="GP360" s="31"/>
      <c r="GQ360" s="31"/>
      <c r="GR360" s="31"/>
      <c r="GS360" s="31"/>
      <c r="GT360" s="31"/>
      <c r="GU360" s="31"/>
      <c r="GV360" s="31"/>
      <c r="GW360" s="31"/>
      <c r="GX360" s="31"/>
      <c r="GY360" s="31"/>
      <c r="GZ360" s="31"/>
      <c r="HA360" s="31"/>
      <c r="HB360" s="31"/>
      <c r="HC360" s="31"/>
      <c r="HD360" s="31"/>
      <c r="HE360" s="31"/>
      <c r="HF360" s="31"/>
      <c r="HG360" s="31"/>
      <c r="HH360" s="31"/>
      <c r="HI360" s="31"/>
      <c r="HJ360" s="31"/>
      <c r="HK360" s="31"/>
      <c r="HL360" s="31"/>
      <c r="HM360" s="31"/>
      <c r="HN360" s="31"/>
      <c r="HO360" s="31"/>
      <c r="HP360" s="31"/>
      <c r="HQ360" s="31"/>
      <c r="HR360" s="31"/>
      <c r="HS360" s="31"/>
      <c r="HT360" s="31"/>
      <c r="HU360" s="31"/>
      <c r="HV360" s="31"/>
      <c r="HW360" s="31"/>
      <c r="HX360" s="31"/>
      <c r="HY360" s="31"/>
      <c r="HZ360" s="31"/>
      <c r="IA360" s="31"/>
      <c r="IB360" s="31"/>
      <c r="IC360" s="31"/>
      <c r="ID360" s="31"/>
      <c r="IE360" s="31"/>
      <c r="IF360" s="31"/>
      <c r="IG360" s="31"/>
      <c r="IH360" s="31"/>
      <c r="II360" s="31"/>
      <c r="IJ360" s="31"/>
      <c r="IK360" s="31"/>
      <c r="IL360" s="31"/>
      <c r="IM360" s="31"/>
      <c r="IN360" s="31"/>
      <c r="IO360" s="31"/>
      <c r="IP360" s="31"/>
      <c r="IQ360" s="31"/>
      <c r="IR360" s="31"/>
      <c r="IS360" s="31"/>
      <c r="IT360" s="31"/>
      <c r="IU360" s="31"/>
      <c r="IV360" s="31"/>
      <c r="IW360" s="31"/>
      <c r="IX360" s="31"/>
      <c r="IY360" s="31"/>
      <c r="IZ360" s="31"/>
      <c r="JA360" s="31"/>
      <c r="JB360" s="31"/>
      <c r="JC360" s="31"/>
      <c r="JD360" s="31"/>
      <c r="JE360" s="31"/>
      <c r="JF360" s="31"/>
      <c r="JG360" s="31"/>
      <c r="JH360" s="31"/>
      <c r="JI360" s="31"/>
      <c r="JJ360" s="31"/>
      <c r="JK360" s="31"/>
      <c r="JL360" s="31"/>
      <c r="JM360" s="31"/>
      <c r="JN360" s="31"/>
      <c r="JO360" s="31"/>
      <c r="JP360" s="31"/>
      <c r="JQ360" s="31"/>
      <c r="JR360" s="31"/>
      <c r="JS360" s="31"/>
      <c r="JT360" s="31"/>
      <c r="JU360" s="31"/>
      <c r="JV360" s="31"/>
      <c r="JW360" s="31"/>
      <c r="JX360" s="31"/>
      <c r="JY360" s="31"/>
      <c r="JZ360" s="31"/>
      <c r="KA360" s="31"/>
      <c r="KB360" s="31"/>
      <c r="KC360" s="31"/>
      <c r="KD360" s="31"/>
      <c r="KE360" s="31"/>
      <c r="KF360" s="31"/>
      <c r="KG360" s="31"/>
      <c r="KH360" s="31"/>
      <c r="KI360" s="31"/>
      <c r="KJ360" s="31"/>
      <c r="KK360" s="31"/>
      <c r="KL360" s="31"/>
      <c r="KM360" s="31"/>
      <c r="KN360" s="31"/>
      <c r="KO360" s="31"/>
      <c r="KP360" s="31"/>
      <c r="KQ360" s="31"/>
      <c r="KR360" s="31"/>
      <c r="KS360" s="31"/>
      <c r="KT360" s="31"/>
      <c r="KU360" s="31"/>
      <c r="KV360" s="31"/>
      <c r="KW360" s="31"/>
      <c r="KX360" s="31"/>
      <c r="KY360" s="31"/>
      <c r="KZ360" s="31"/>
      <c r="LA360" s="31"/>
      <c r="LB360" s="31"/>
      <c r="LC360" s="31"/>
      <c r="LD360" s="31"/>
      <c r="LE360" s="31"/>
      <c r="LF360" s="31"/>
      <c r="LG360" s="31"/>
      <c r="LH360" s="31"/>
      <c r="LI360" s="31"/>
      <c r="LJ360" s="31"/>
      <c r="LK360" s="31"/>
      <c r="LL360" s="31"/>
      <c r="LM360" s="31"/>
      <c r="LN360" s="31"/>
      <c r="LO360" s="31"/>
      <c r="LP360" s="31"/>
      <c r="LQ360" s="31"/>
      <c r="LR360" s="31"/>
      <c r="LS360" s="31"/>
      <c r="LT360" s="31"/>
      <c r="LU360" s="31"/>
      <c r="LV360" s="31"/>
      <c r="LW360" s="31"/>
      <c r="LX360" s="31"/>
      <c r="LY360" s="31"/>
      <c r="LZ360" s="31"/>
      <c r="MA360" s="31"/>
      <c r="MB360" s="31"/>
      <c r="MC360" s="31"/>
      <c r="MD360" s="31"/>
      <c r="ME360" s="31"/>
      <c r="MF360" s="31"/>
      <c r="MG360" s="31"/>
      <c r="MH360" s="31"/>
      <c r="MI360" s="31"/>
      <c r="MJ360" s="31"/>
      <c r="MK360" s="31"/>
      <c r="ML360" s="31"/>
      <c r="MM360" s="31"/>
      <c r="MN360" s="31"/>
      <c r="MO360" s="31"/>
      <c r="MP360" s="31"/>
      <c r="MQ360" s="31"/>
      <c r="MR360" s="31"/>
      <c r="MS360" s="31"/>
      <c r="MT360" s="31"/>
      <c r="MU360" s="31"/>
      <c r="MV360" s="31"/>
      <c r="MW360" s="31"/>
      <c r="MX360" s="31"/>
      <c r="MY360" s="31"/>
      <c r="MZ360" s="31"/>
      <c r="NA360" s="31"/>
      <c r="NB360" s="31"/>
      <c r="NC360" s="31"/>
      <c r="ND360" s="31"/>
      <c r="NE360" s="31"/>
      <c r="NF360" s="31"/>
      <c r="NG360" s="31"/>
      <c r="NH360" s="31"/>
      <c r="NI360" s="31"/>
      <c r="NJ360" s="31"/>
      <c r="NK360" s="31"/>
      <c r="NL360" s="31"/>
      <c r="NM360" s="31"/>
      <c r="NN360" s="31"/>
      <c r="NO360" s="31"/>
      <c r="NP360" s="31"/>
      <c r="NQ360" s="31"/>
      <c r="NR360" s="31"/>
      <c r="NS360" s="31"/>
      <c r="NT360" s="31"/>
      <c r="NU360" s="31"/>
      <c r="NV360" s="31"/>
      <c r="NW360" s="31"/>
      <c r="NX360" s="31"/>
      <c r="NY360" s="31"/>
      <c r="NZ360" s="31"/>
      <c r="OA360" s="31"/>
      <c r="OB360" s="31"/>
      <c r="OC360" s="31"/>
      <c r="OD360" s="31"/>
      <c r="OE360" s="31"/>
      <c r="OF360" s="31"/>
      <c r="OG360" s="31"/>
      <c r="OH360" s="31"/>
      <c r="OI360" s="31"/>
      <c r="OJ360" s="31"/>
      <c r="OK360" s="31"/>
      <c r="OL360" s="31"/>
      <c r="OM360" s="31"/>
      <c r="ON360" s="31"/>
      <c r="OO360" s="31"/>
      <c r="OP360" s="31"/>
      <c r="OQ360" s="31"/>
      <c r="OR360" s="31"/>
      <c r="OS360" s="31"/>
      <c r="OT360" s="31"/>
      <c r="OU360" s="31"/>
      <c r="OV360" s="31"/>
      <c r="OW360" s="31"/>
      <c r="OX360" s="31"/>
    </row>
    <row r="361" spans="1:414" s="25" customFormat="1" ht="15.6">
      <c r="B361" s="25" t="s">
        <v>946</v>
      </c>
      <c r="C361" s="27" t="s">
        <v>947</v>
      </c>
      <c r="D361" s="30" t="s">
        <v>105</v>
      </c>
      <c r="G361" s="42">
        <v>80</v>
      </c>
      <c r="H361" s="89">
        <v>26.109000000000002</v>
      </c>
      <c r="I361" s="38">
        <f t="shared" si="116"/>
        <v>2088.7200000000003</v>
      </c>
      <c r="K361" s="42">
        <v>80</v>
      </c>
      <c r="L361" s="90">
        <v>26.849599999999999</v>
      </c>
      <c r="M361" s="38">
        <f t="shared" si="117"/>
        <v>2147.9679999999998</v>
      </c>
      <c r="O361" s="42">
        <v>505</v>
      </c>
      <c r="P361" s="38">
        <v>26.728300000000001</v>
      </c>
      <c r="Q361" s="38">
        <f t="shared" si="118"/>
        <v>13497.791500000001</v>
      </c>
      <c r="R361" s="43">
        <f t="shared" si="114"/>
        <v>665</v>
      </c>
      <c r="S361" s="38">
        <f t="shared" si="119"/>
        <v>17734.479500000001</v>
      </c>
      <c r="T361" s="49">
        <v>300</v>
      </c>
      <c r="U361" s="42">
        <v>26.87</v>
      </c>
      <c r="V361" s="38">
        <f t="shared" si="126"/>
        <v>8061</v>
      </c>
      <c r="W361" s="42">
        <v>260</v>
      </c>
      <c r="X361" s="42">
        <v>26.732500000000002</v>
      </c>
      <c r="Y361" s="42">
        <f t="shared" si="128"/>
        <v>6950.4500000000007</v>
      </c>
      <c r="Z361" s="42">
        <v>85</v>
      </c>
      <c r="AA361" s="42">
        <v>26.73</v>
      </c>
      <c r="AB361" s="42">
        <f t="shared" si="125"/>
        <v>2272.0500000000002</v>
      </c>
      <c r="AD361" s="42">
        <v>100</v>
      </c>
      <c r="AE361" s="42">
        <v>26.569700000000001</v>
      </c>
      <c r="AF361" s="42">
        <f t="shared" si="130"/>
        <v>2656.9700000000003</v>
      </c>
      <c r="AG361" s="42"/>
      <c r="AH361" s="42"/>
      <c r="AI361" s="42"/>
      <c r="AJ361" s="42">
        <f t="shared" si="115"/>
        <v>0</v>
      </c>
      <c r="AL361" s="42"/>
      <c r="AM361" s="42"/>
      <c r="AN361" s="42">
        <f t="shared" si="129"/>
        <v>0</v>
      </c>
      <c r="AO361" s="44"/>
      <c r="AP361" s="42"/>
      <c r="AQ361" s="42"/>
      <c r="AR361" s="42"/>
      <c r="AU361" s="98"/>
      <c r="AV361" s="35"/>
      <c r="AW361" s="104"/>
      <c r="AX361" s="42"/>
      <c r="AY361" s="42"/>
      <c r="AZ361" s="42">
        <f t="shared" si="113"/>
        <v>0</v>
      </c>
      <c r="BA361" s="42"/>
      <c r="BB361" s="42"/>
      <c r="BC361" s="42"/>
      <c r="BD361" s="38">
        <f t="shared" si="120"/>
        <v>0</v>
      </c>
      <c r="BE361" s="42"/>
      <c r="BF361" s="42"/>
      <c r="BG361" s="42"/>
      <c r="BH361" s="38">
        <f t="shared" si="121"/>
        <v>0</v>
      </c>
      <c r="BI361" s="42"/>
      <c r="BJ361" s="42"/>
      <c r="BK361" s="42"/>
      <c r="BL361" s="38">
        <f t="shared" si="122"/>
        <v>0</v>
      </c>
      <c r="BM361" s="42"/>
      <c r="BN361" s="42"/>
      <c r="BO361" s="42"/>
      <c r="BP361" s="42"/>
      <c r="BR361" s="42">
        <f t="shared" si="123"/>
        <v>19940.47</v>
      </c>
      <c r="BS361" s="43"/>
      <c r="BT361" s="42">
        <v>2205.9899999999998</v>
      </c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  <c r="FM361" s="31"/>
      <c r="FN361" s="31"/>
      <c r="FO361" s="31"/>
      <c r="FP361" s="31"/>
      <c r="FQ361" s="31"/>
      <c r="FR361" s="31"/>
      <c r="FS361" s="31"/>
      <c r="FT361" s="31"/>
      <c r="FU361" s="31"/>
      <c r="FV361" s="31"/>
      <c r="FW361" s="31"/>
      <c r="FX361" s="31"/>
      <c r="FY361" s="31"/>
      <c r="FZ361" s="31"/>
      <c r="GA361" s="31"/>
      <c r="GB361" s="31"/>
      <c r="GC361" s="31"/>
      <c r="GD361" s="31"/>
      <c r="GE361" s="31"/>
      <c r="GF361" s="31"/>
      <c r="GG361" s="31"/>
      <c r="GH361" s="31"/>
      <c r="GI361" s="31"/>
      <c r="GJ361" s="31"/>
      <c r="GK361" s="31"/>
      <c r="GL361" s="31"/>
      <c r="GM361" s="31"/>
      <c r="GN361" s="31"/>
      <c r="GO361" s="31"/>
      <c r="GP361" s="31"/>
      <c r="GQ361" s="31"/>
      <c r="GR361" s="31"/>
      <c r="GS361" s="31"/>
      <c r="GT361" s="31"/>
      <c r="GU361" s="31"/>
      <c r="GV361" s="31"/>
      <c r="GW361" s="31"/>
      <c r="GX361" s="31"/>
      <c r="GY361" s="31"/>
      <c r="GZ361" s="31"/>
      <c r="HA361" s="31"/>
      <c r="HB361" s="31"/>
      <c r="HC361" s="31"/>
      <c r="HD361" s="31"/>
      <c r="HE361" s="31"/>
      <c r="HF361" s="31"/>
      <c r="HG361" s="31"/>
      <c r="HH361" s="31"/>
      <c r="HI361" s="31"/>
      <c r="HJ361" s="31"/>
      <c r="HK361" s="31"/>
      <c r="HL361" s="31"/>
      <c r="HM361" s="31"/>
      <c r="HN361" s="31"/>
      <c r="HO361" s="31"/>
      <c r="HP361" s="31"/>
      <c r="HQ361" s="31"/>
      <c r="HR361" s="31"/>
      <c r="HS361" s="31"/>
      <c r="HT361" s="31"/>
      <c r="HU361" s="31"/>
      <c r="HV361" s="31"/>
      <c r="HW361" s="31"/>
      <c r="HX361" s="31"/>
      <c r="HY361" s="31"/>
      <c r="HZ361" s="31"/>
      <c r="IA361" s="31"/>
      <c r="IB361" s="31"/>
      <c r="IC361" s="31"/>
      <c r="ID361" s="31"/>
      <c r="IE361" s="31"/>
      <c r="IF361" s="31"/>
      <c r="IG361" s="31"/>
      <c r="IH361" s="31"/>
      <c r="II361" s="31"/>
      <c r="IJ361" s="31"/>
      <c r="IK361" s="31"/>
      <c r="IL361" s="31"/>
      <c r="IM361" s="31"/>
      <c r="IN361" s="31"/>
      <c r="IO361" s="31"/>
      <c r="IP361" s="31"/>
      <c r="IQ361" s="31"/>
      <c r="IR361" s="31"/>
      <c r="IS361" s="31"/>
      <c r="IT361" s="31"/>
      <c r="IU361" s="31"/>
      <c r="IV361" s="31"/>
      <c r="IW361" s="31"/>
      <c r="IX361" s="31"/>
      <c r="IY361" s="31"/>
      <c r="IZ361" s="31"/>
      <c r="JA361" s="31"/>
      <c r="JB361" s="31"/>
      <c r="JC361" s="31"/>
      <c r="JD361" s="31"/>
      <c r="JE361" s="31"/>
      <c r="JF361" s="31"/>
      <c r="JG361" s="31"/>
      <c r="JH361" s="31"/>
      <c r="JI361" s="31"/>
      <c r="JJ361" s="31"/>
      <c r="JK361" s="31"/>
      <c r="JL361" s="31"/>
      <c r="JM361" s="31"/>
      <c r="JN361" s="31"/>
      <c r="JO361" s="31"/>
      <c r="JP361" s="31"/>
      <c r="JQ361" s="31"/>
      <c r="JR361" s="31"/>
      <c r="JS361" s="31"/>
      <c r="JT361" s="31"/>
      <c r="JU361" s="31"/>
      <c r="JV361" s="31"/>
      <c r="JW361" s="31"/>
      <c r="JX361" s="31"/>
      <c r="JY361" s="31"/>
      <c r="JZ361" s="31"/>
      <c r="KA361" s="31"/>
      <c r="KB361" s="31"/>
      <c r="KC361" s="31"/>
      <c r="KD361" s="31"/>
      <c r="KE361" s="31"/>
      <c r="KF361" s="31"/>
      <c r="KG361" s="31"/>
      <c r="KH361" s="31"/>
      <c r="KI361" s="31"/>
      <c r="KJ361" s="31"/>
      <c r="KK361" s="31"/>
      <c r="KL361" s="31"/>
      <c r="KM361" s="31"/>
      <c r="KN361" s="31"/>
      <c r="KO361" s="31"/>
      <c r="KP361" s="31"/>
      <c r="KQ361" s="31"/>
      <c r="KR361" s="31"/>
      <c r="KS361" s="31"/>
      <c r="KT361" s="31"/>
      <c r="KU361" s="31"/>
      <c r="KV361" s="31"/>
      <c r="KW361" s="31"/>
      <c r="KX361" s="31"/>
      <c r="KY361" s="31"/>
      <c r="KZ361" s="31"/>
      <c r="LA361" s="31"/>
      <c r="LB361" s="31"/>
      <c r="LC361" s="31"/>
      <c r="LD361" s="31"/>
      <c r="LE361" s="31"/>
      <c r="LF361" s="31"/>
      <c r="LG361" s="31"/>
      <c r="LH361" s="31"/>
      <c r="LI361" s="31"/>
      <c r="LJ361" s="31"/>
      <c r="LK361" s="31"/>
      <c r="LL361" s="31"/>
      <c r="LM361" s="31"/>
      <c r="LN361" s="31"/>
      <c r="LO361" s="31"/>
      <c r="LP361" s="31"/>
      <c r="LQ361" s="31"/>
      <c r="LR361" s="31"/>
      <c r="LS361" s="31"/>
      <c r="LT361" s="31"/>
      <c r="LU361" s="31"/>
      <c r="LV361" s="31"/>
      <c r="LW361" s="31"/>
      <c r="LX361" s="31"/>
      <c r="LY361" s="31"/>
      <c r="LZ361" s="31"/>
      <c r="MA361" s="31"/>
      <c r="MB361" s="31"/>
      <c r="MC361" s="31"/>
      <c r="MD361" s="31"/>
      <c r="ME361" s="31"/>
      <c r="MF361" s="31"/>
      <c r="MG361" s="31"/>
      <c r="MH361" s="31"/>
      <c r="MI361" s="31"/>
      <c r="MJ361" s="31"/>
      <c r="MK361" s="31"/>
      <c r="ML361" s="31"/>
      <c r="MM361" s="31"/>
      <c r="MN361" s="31"/>
      <c r="MO361" s="31"/>
      <c r="MP361" s="31"/>
      <c r="MQ361" s="31"/>
      <c r="MR361" s="31"/>
      <c r="MS361" s="31"/>
      <c r="MT361" s="31"/>
      <c r="MU361" s="31"/>
      <c r="MV361" s="31"/>
      <c r="MW361" s="31"/>
      <c r="MX361" s="31"/>
      <c r="MY361" s="31"/>
      <c r="MZ361" s="31"/>
      <c r="NA361" s="31"/>
      <c r="NB361" s="31"/>
      <c r="NC361" s="31"/>
      <c r="ND361" s="31"/>
      <c r="NE361" s="31"/>
      <c r="NF361" s="31"/>
      <c r="NG361" s="31"/>
      <c r="NH361" s="31"/>
      <c r="NI361" s="31"/>
      <c r="NJ361" s="31"/>
      <c r="NK361" s="31"/>
      <c r="NL361" s="31"/>
      <c r="NM361" s="31"/>
      <c r="NN361" s="31"/>
      <c r="NO361" s="31"/>
      <c r="NP361" s="31"/>
      <c r="NQ361" s="31"/>
      <c r="NR361" s="31"/>
      <c r="NS361" s="31"/>
      <c r="NT361" s="31"/>
      <c r="NU361" s="31"/>
      <c r="NV361" s="31"/>
      <c r="NW361" s="31"/>
      <c r="NX361" s="31"/>
      <c r="NY361" s="31"/>
      <c r="NZ361" s="31"/>
      <c r="OA361" s="31"/>
      <c r="OB361" s="31"/>
      <c r="OC361" s="31"/>
      <c r="OD361" s="31"/>
      <c r="OE361" s="31"/>
      <c r="OF361" s="31"/>
      <c r="OG361" s="31"/>
      <c r="OH361" s="31"/>
      <c r="OI361" s="31"/>
      <c r="OJ361" s="31"/>
      <c r="OK361" s="31"/>
      <c r="OL361" s="31"/>
      <c r="OM361" s="31"/>
      <c r="ON361" s="31"/>
      <c r="OO361" s="31"/>
      <c r="OP361" s="31"/>
      <c r="OQ361" s="31"/>
      <c r="OR361" s="31"/>
      <c r="OS361" s="31"/>
      <c r="OT361" s="31"/>
      <c r="OU361" s="31"/>
      <c r="OV361" s="31"/>
      <c r="OW361" s="31"/>
      <c r="OX361" s="31"/>
    </row>
    <row r="362" spans="1:414" s="25" customFormat="1" ht="15.6">
      <c r="B362" s="25" t="s">
        <v>699</v>
      </c>
      <c r="C362" s="27" t="s">
        <v>698</v>
      </c>
      <c r="D362" s="30" t="s">
        <v>105</v>
      </c>
      <c r="G362" s="42">
        <v>80</v>
      </c>
      <c r="H362" s="89">
        <v>26.109000000000002</v>
      </c>
      <c r="I362" s="38">
        <f t="shared" si="116"/>
        <v>2088.7200000000003</v>
      </c>
      <c r="K362" s="42">
        <v>80</v>
      </c>
      <c r="L362" s="90">
        <v>26.849599999999999</v>
      </c>
      <c r="M362" s="38">
        <f t="shared" si="117"/>
        <v>2147.9679999999998</v>
      </c>
      <c r="O362" s="42">
        <v>505</v>
      </c>
      <c r="P362" s="38">
        <v>26.728300000000001</v>
      </c>
      <c r="Q362" s="38">
        <f t="shared" si="118"/>
        <v>13497.791500000001</v>
      </c>
      <c r="R362" s="43">
        <f t="shared" si="114"/>
        <v>665</v>
      </c>
      <c r="S362" s="38">
        <f t="shared" si="119"/>
        <v>17734.479500000001</v>
      </c>
      <c r="T362" s="49">
        <v>200</v>
      </c>
      <c r="U362" s="42">
        <v>26.677399999999999</v>
      </c>
      <c r="V362" s="38">
        <f t="shared" si="126"/>
        <v>5335.48</v>
      </c>
      <c r="W362" s="42">
        <v>40</v>
      </c>
      <c r="X362" s="42">
        <v>26.73</v>
      </c>
      <c r="Y362" s="42">
        <f t="shared" si="128"/>
        <v>1069.2</v>
      </c>
      <c r="Z362" s="42">
        <v>300</v>
      </c>
      <c r="AA362" s="42">
        <v>26.73</v>
      </c>
      <c r="AB362" s="42">
        <f t="shared" si="125"/>
        <v>8019</v>
      </c>
      <c r="AD362" s="42">
        <v>85</v>
      </c>
      <c r="AE362" s="42">
        <v>26.48</v>
      </c>
      <c r="AF362" s="42">
        <f t="shared" si="130"/>
        <v>2250.8000000000002</v>
      </c>
      <c r="AG362" s="42"/>
      <c r="AH362" s="42">
        <v>100</v>
      </c>
      <c r="AI362" s="42">
        <v>26.73</v>
      </c>
      <c r="AJ362" s="42">
        <f t="shared" si="115"/>
        <v>2673</v>
      </c>
      <c r="AL362" s="42">
        <v>20</v>
      </c>
      <c r="AM362" s="42">
        <v>26.73</v>
      </c>
      <c r="AN362" s="42">
        <f t="shared" si="129"/>
        <v>534.6</v>
      </c>
      <c r="AO362" s="44"/>
      <c r="AP362" s="42"/>
      <c r="AQ362" s="42"/>
      <c r="AR362" s="42"/>
      <c r="AU362" s="98"/>
      <c r="AV362" s="35"/>
      <c r="AW362" s="104"/>
      <c r="AX362" s="42"/>
      <c r="AY362" s="42"/>
      <c r="AZ362" s="42">
        <f t="shared" si="113"/>
        <v>0</v>
      </c>
      <c r="BA362" s="42"/>
      <c r="BB362" s="42"/>
      <c r="BC362" s="42"/>
      <c r="BD362" s="38">
        <f t="shared" si="120"/>
        <v>0</v>
      </c>
      <c r="BE362" s="42"/>
      <c r="BF362" s="42"/>
      <c r="BG362" s="42"/>
      <c r="BH362" s="38">
        <f t="shared" si="121"/>
        <v>0</v>
      </c>
      <c r="BI362" s="42"/>
      <c r="BJ362" s="42"/>
      <c r="BK362" s="42"/>
      <c r="BL362" s="38">
        <f t="shared" si="122"/>
        <v>0</v>
      </c>
      <c r="BM362" s="42"/>
      <c r="BN362" s="42"/>
      <c r="BO362" s="42"/>
      <c r="BP362" s="42"/>
      <c r="BR362" s="42">
        <f t="shared" si="123"/>
        <v>19882.079999999998</v>
      </c>
      <c r="BS362" s="43"/>
      <c r="BT362" s="42">
        <v>2147.6</v>
      </c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  <c r="FM362" s="31"/>
      <c r="FN362" s="31"/>
      <c r="FO362" s="31"/>
      <c r="FP362" s="31"/>
      <c r="FQ362" s="31"/>
      <c r="FR362" s="31"/>
      <c r="FS362" s="31"/>
      <c r="FT362" s="31"/>
      <c r="FU362" s="31"/>
      <c r="FV362" s="31"/>
      <c r="FW362" s="31"/>
      <c r="FX362" s="31"/>
      <c r="FY362" s="31"/>
      <c r="FZ362" s="31"/>
      <c r="GA362" s="31"/>
      <c r="GB362" s="31"/>
      <c r="GC362" s="31"/>
      <c r="GD362" s="31"/>
      <c r="GE362" s="31"/>
      <c r="GF362" s="31"/>
      <c r="GG362" s="31"/>
      <c r="GH362" s="31"/>
      <c r="GI362" s="31"/>
      <c r="GJ362" s="31"/>
      <c r="GK362" s="31"/>
      <c r="GL362" s="31"/>
      <c r="GM362" s="31"/>
      <c r="GN362" s="31"/>
      <c r="GO362" s="31"/>
      <c r="GP362" s="31"/>
      <c r="GQ362" s="31"/>
      <c r="GR362" s="31"/>
      <c r="GS362" s="31"/>
      <c r="GT362" s="31"/>
      <c r="GU362" s="31"/>
      <c r="GV362" s="31"/>
      <c r="GW362" s="31"/>
      <c r="GX362" s="31"/>
      <c r="GY362" s="31"/>
      <c r="GZ362" s="31"/>
      <c r="HA362" s="31"/>
      <c r="HB362" s="31"/>
      <c r="HC362" s="31"/>
      <c r="HD362" s="31"/>
      <c r="HE362" s="31"/>
      <c r="HF362" s="31"/>
      <c r="HG362" s="31"/>
      <c r="HH362" s="31"/>
      <c r="HI362" s="31"/>
      <c r="HJ362" s="31"/>
      <c r="HK362" s="31"/>
      <c r="HL362" s="31"/>
      <c r="HM362" s="31"/>
      <c r="HN362" s="31"/>
      <c r="HO362" s="31"/>
      <c r="HP362" s="31"/>
      <c r="HQ362" s="31"/>
      <c r="HR362" s="31"/>
      <c r="HS362" s="31"/>
      <c r="HT362" s="31"/>
      <c r="HU362" s="31"/>
      <c r="HV362" s="31"/>
      <c r="HW362" s="31"/>
      <c r="HX362" s="31"/>
      <c r="HY362" s="31"/>
      <c r="HZ362" s="31"/>
      <c r="IA362" s="31"/>
      <c r="IB362" s="31"/>
      <c r="IC362" s="31"/>
      <c r="ID362" s="31"/>
      <c r="IE362" s="31"/>
      <c r="IF362" s="31"/>
      <c r="IG362" s="31"/>
      <c r="IH362" s="31"/>
      <c r="II362" s="31"/>
      <c r="IJ362" s="31"/>
      <c r="IK362" s="31"/>
      <c r="IL362" s="31"/>
      <c r="IM362" s="31"/>
      <c r="IN362" s="31"/>
      <c r="IO362" s="31"/>
      <c r="IP362" s="31"/>
      <c r="IQ362" s="31"/>
      <c r="IR362" s="31"/>
      <c r="IS362" s="31"/>
      <c r="IT362" s="31"/>
      <c r="IU362" s="31"/>
      <c r="IV362" s="31"/>
      <c r="IW362" s="31"/>
      <c r="IX362" s="31"/>
      <c r="IY362" s="31"/>
      <c r="IZ362" s="31"/>
      <c r="JA362" s="31"/>
      <c r="JB362" s="31"/>
      <c r="JC362" s="31"/>
      <c r="JD362" s="31"/>
      <c r="JE362" s="31"/>
      <c r="JF362" s="31"/>
      <c r="JG362" s="31"/>
      <c r="JH362" s="31"/>
      <c r="JI362" s="31"/>
      <c r="JJ362" s="31"/>
      <c r="JK362" s="31"/>
      <c r="JL362" s="31"/>
      <c r="JM362" s="31"/>
      <c r="JN362" s="31"/>
      <c r="JO362" s="31"/>
      <c r="JP362" s="31"/>
      <c r="JQ362" s="31"/>
      <c r="JR362" s="31"/>
      <c r="JS362" s="31"/>
      <c r="JT362" s="31"/>
      <c r="JU362" s="31"/>
      <c r="JV362" s="31"/>
      <c r="JW362" s="31"/>
      <c r="JX362" s="31"/>
      <c r="JY362" s="31"/>
      <c r="JZ362" s="31"/>
      <c r="KA362" s="31"/>
      <c r="KB362" s="31"/>
      <c r="KC362" s="31"/>
      <c r="KD362" s="31"/>
      <c r="KE362" s="31"/>
      <c r="KF362" s="31"/>
      <c r="KG362" s="31"/>
      <c r="KH362" s="31"/>
      <c r="KI362" s="31"/>
      <c r="KJ362" s="31"/>
      <c r="KK362" s="31"/>
      <c r="KL362" s="31"/>
      <c r="KM362" s="31"/>
      <c r="KN362" s="31"/>
      <c r="KO362" s="31"/>
      <c r="KP362" s="31"/>
      <c r="KQ362" s="31"/>
      <c r="KR362" s="31"/>
      <c r="KS362" s="31"/>
      <c r="KT362" s="31"/>
      <c r="KU362" s="31"/>
      <c r="KV362" s="31"/>
      <c r="KW362" s="31"/>
      <c r="KX362" s="31"/>
      <c r="KY362" s="31"/>
      <c r="KZ362" s="31"/>
      <c r="LA362" s="31"/>
      <c r="LB362" s="31"/>
      <c r="LC362" s="31"/>
      <c r="LD362" s="31"/>
      <c r="LE362" s="31"/>
      <c r="LF362" s="31"/>
      <c r="LG362" s="31"/>
      <c r="LH362" s="31"/>
      <c r="LI362" s="31"/>
      <c r="LJ362" s="31"/>
      <c r="LK362" s="31"/>
      <c r="LL362" s="31"/>
      <c r="LM362" s="31"/>
      <c r="LN362" s="31"/>
      <c r="LO362" s="31"/>
      <c r="LP362" s="31"/>
      <c r="LQ362" s="31"/>
      <c r="LR362" s="31"/>
      <c r="LS362" s="31"/>
      <c r="LT362" s="31"/>
      <c r="LU362" s="31"/>
      <c r="LV362" s="31"/>
      <c r="LW362" s="31"/>
      <c r="LX362" s="31"/>
      <c r="LY362" s="31"/>
      <c r="LZ362" s="31"/>
      <c r="MA362" s="31"/>
      <c r="MB362" s="31"/>
      <c r="MC362" s="31"/>
      <c r="MD362" s="31"/>
      <c r="ME362" s="31"/>
      <c r="MF362" s="31"/>
      <c r="MG362" s="31"/>
      <c r="MH362" s="31"/>
      <c r="MI362" s="31"/>
      <c r="MJ362" s="31"/>
      <c r="MK362" s="31"/>
      <c r="ML362" s="31"/>
      <c r="MM362" s="31"/>
      <c r="MN362" s="31"/>
      <c r="MO362" s="31"/>
      <c r="MP362" s="31"/>
      <c r="MQ362" s="31"/>
      <c r="MR362" s="31"/>
      <c r="MS362" s="31"/>
      <c r="MT362" s="31"/>
      <c r="MU362" s="31"/>
      <c r="MV362" s="31"/>
      <c r="MW362" s="31"/>
      <c r="MX362" s="31"/>
      <c r="MY362" s="31"/>
      <c r="MZ362" s="31"/>
      <c r="NA362" s="31"/>
      <c r="NB362" s="31"/>
      <c r="NC362" s="31"/>
      <c r="ND362" s="31"/>
      <c r="NE362" s="31"/>
      <c r="NF362" s="31"/>
      <c r="NG362" s="31"/>
      <c r="NH362" s="31"/>
      <c r="NI362" s="31"/>
      <c r="NJ362" s="31"/>
      <c r="NK362" s="31"/>
      <c r="NL362" s="31"/>
      <c r="NM362" s="31"/>
      <c r="NN362" s="31"/>
      <c r="NO362" s="31"/>
      <c r="NP362" s="31"/>
      <c r="NQ362" s="31"/>
      <c r="NR362" s="31"/>
      <c r="NS362" s="31"/>
      <c r="NT362" s="31"/>
      <c r="NU362" s="31"/>
      <c r="NV362" s="31"/>
      <c r="NW362" s="31"/>
      <c r="NX362" s="31"/>
      <c r="NY362" s="31"/>
      <c r="NZ362" s="31"/>
      <c r="OA362" s="31"/>
      <c r="OB362" s="31"/>
      <c r="OC362" s="31"/>
      <c r="OD362" s="31"/>
      <c r="OE362" s="31"/>
      <c r="OF362" s="31"/>
      <c r="OG362" s="31"/>
      <c r="OH362" s="31"/>
      <c r="OI362" s="31"/>
      <c r="OJ362" s="31"/>
      <c r="OK362" s="31"/>
      <c r="OL362" s="31"/>
      <c r="OM362" s="31"/>
      <c r="ON362" s="31"/>
      <c r="OO362" s="31"/>
      <c r="OP362" s="31"/>
      <c r="OQ362" s="31"/>
      <c r="OR362" s="31"/>
      <c r="OS362" s="31"/>
      <c r="OT362" s="31"/>
      <c r="OU362" s="31"/>
      <c r="OV362" s="31"/>
      <c r="OW362" s="31"/>
      <c r="OX362" s="31"/>
    </row>
    <row r="363" spans="1:414" s="25" customFormat="1" ht="15.6">
      <c r="B363" s="25" t="s">
        <v>948</v>
      </c>
      <c r="C363" s="27" t="s">
        <v>782</v>
      </c>
      <c r="D363" s="30" t="s">
        <v>105</v>
      </c>
      <c r="G363" s="42">
        <v>80</v>
      </c>
      <c r="H363" s="89">
        <v>26.109000000000002</v>
      </c>
      <c r="I363" s="38">
        <f t="shared" si="116"/>
        <v>2088.7200000000003</v>
      </c>
      <c r="K363" s="42">
        <v>80</v>
      </c>
      <c r="L363" s="90">
        <v>26.849599999999999</v>
      </c>
      <c r="M363" s="38">
        <f t="shared" si="117"/>
        <v>2147.9679999999998</v>
      </c>
      <c r="O363" s="42">
        <v>505</v>
      </c>
      <c r="P363" s="38">
        <v>26.728300000000001</v>
      </c>
      <c r="Q363" s="38">
        <f t="shared" si="118"/>
        <v>13497.791500000001</v>
      </c>
      <c r="R363" s="43">
        <f t="shared" si="114"/>
        <v>665</v>
      </c>
      <c r="S363" s="38">
        <f t="shared" si="119"/>
        <v>17734.479500000001</v>
      </c>
      <c r="T363" s="49">
        <v>120</v>
      </c>
      <c r="U363" s="42">
        <v>26.819600000000001</v>
      </c>
      <c r="V363" s="38">
        <f t="shared" si="126"/>
        <v>3218.3520000000003</v>
      </c>
      <c r="W363" s="42">
        <v>20</v>
      </c>
      <c r="X363" s="42">
        <v>26.73</v>
      </c>
      <c r="Y363" s="42">
        <f t="shared" si="128"/>
        <v>534.6</v>
      </c>
      <c r="Z363" s="42">
        <v>300</v>
      </c>
      <c r="AA363" s="42">
        <v>26.7624</v>
      </c>
      <c r="AB363" s="42">
        <f t="shared" si="125"/>
        <v>8028.72</v>
      </c>
      <c r="AD363" s="42">
        <v>120</v>
      </c>
      <c r="AE363" s="42">
        <v>26.728300000000001</v>
      </c>
      <c r="AF363" s="42">
        <f t="shared" si="130"/>
        <v>3207.3960000000002</v>
      </c>
      <c r="AG363" s="42"/>
      <c r="AH363" s="42">
        <v>85</v>
      </c>
      <c r="AI363" s="42">
        <v>26.7165</v>
      </c>
      <c r="AJ363" s="42">
        <f t="shared" si="115"/>
        <v>2270.9025000000001</v>
      </c>
      <c r="AL363" s="42"/>
      <c r="AM363" s="42"/>
      <c r="AN363" s="42">
        <f t="shared" si="129"/>
        <v>0</v>
      </c>
      <c r="AO363" s="44"/>
      <c r="AP363" s="42"/>
      <c r="AQ363" s="42"/>
      <c r="AR363" s="42"/>
      <c r="AU363" s="98"/>
      <c r="AV363" s="35"/>
      <c r="AW363" s="104"/>
      <c r="AX363" s="42"/>
      <c r="AY363" s="42"/>
      <c r="AZ363" s="42">
        <f t="shared" si="113"/>
        <v>0</v>
      </c>
      <c r="BA363" s="42"/>
      <c r="BB363" s="42"/>
      <c r="BC363" s="42"/>
      <c r="BD363" s="38">
        <f t="shared" si="120"/>
        <v>0</v>
      </c>
      <c r="BE363" s="42"/>
      <c r="BF363" s="42"/>
      <c r="BG363" s="42"/>
      <c r="BH363" s="38">
        <f t="shared" si="121"/>
        <v>0</v>
      </c>
      <c r="BI363" s="42"/>
      <c r="BJ363" s="42"/>
      <c r="BK363" s="42"/>
      <c r="BL363" s="38">
        <f t="shared" si="122"/>
        <v>0</v>
      </c>
      <c r="BM363" s="42"/>
      <c r="BN363" s="42"/>
      <c r="BO363" s="42"/>
      <c r="BP363" s="42"/>
      <c r="BR363" s="42">
        <f t="shared" si="123"/>
        <v>17259.970500000003</v>
      </c>
      <c r="BS363" s="43">
        <f t="shared" si="124"/>
        <v>474.5089999999982</v>
      </c>
      <c r="BT363" s="42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</row>
    <row r="364" spans="1:414" s="25" customFormat="1" ht="15.6">
      <c r="B364" s="25" t="s">
        <v>949</v>
      </c>
      <c r="C364" s="27" t="s">
        <v>950</v>
      </c>
      <c r="D364" s="30" t="s">
        <v>105</v>
      </c>
      <c r="G364" s="42">
        <v>80</v>
      </c>
      <c r="H364" s="89">
        <v>26.109000000000002</v>
      </c>
      <c r="I364" s="38">
        <f t="shared" si="116"/>
        <v>2088.7200000000003</v>
      </c>
      <c r="K364" s="42">
        <v>80</v>
      </c>
      <c r="L364" s="90">
        <v>26.849599999999999</v>
      </c>
      <c r="M364" s="38">
        <f t="shared" si="117"/>
        <v>2147.9679999999998</v>
      </c>
      <c r="O364" s="42">
        <v>505</v>
      </c>
      <c r="P364" s="38">
        <v>26.728300000000001</v>
      </c>
      <c r="Q364" s="38">
        <f t="shared" si="118"/>
        <v>13497.791500000001</v>
      </c>
      <c r="R364" s="43">
        <f t="shared" si="114"/>
        <v>665</v>
      </c>
      <c r="S364" s="38">
        <f t="shared" si="119"/>
        <v>17734.479500000001</v>
      </c>
      <c r="T364" s="49">
        <v>240</v>
      </c>
      <c r="U364" s="42">
        <v>26.82</v>
      </c>
      <c r="V364" s="38">
        <f t="shared" si="126"/>
        <v>6436.8</v>
      </c>
      <c r="W364" s="42">
        <v>420</v>
      </c>
      <c r="X364" s="42">
        <v>26.731200000000001</v>
      </c>
      <c r="Y364" s="42">
        <f t="shared" si="128"/>
        <v>11227.104000000001</v>
      </c>
      <c r="Z364" s="42">
        <v>85</v>
      </c>
      <c r="AA364" s="42">
        <v>26.732500000000002</v>
      </c>
      <c r="AB364" s="42">
        <f t="shared" si="125"/>
        <v>2272.2625000000003</v>
      </c>
      <c r="AD364" s="42"/>
      <c r="AE364" s="42"/>
      <c r="AF364" s="42">
        <f t="shared" si="130"/>
        <v>0</v>
      </c>
      <c r="AG364" s="42"/>
      <c r="AH364" s="42"/>
      <c r="AI364" s="42"/>
      <c r="AJ364" s="42">
        <f t="shared" si="115"/>
        <v>0</v>
      </c>
      <c r="AL364" s="42"/>
      <c r="AM364" s="42"/>
      <c r="AN364" s="42">
        <f t="shared" si="129"/>
        <v>0</v>
      </c>
      <c r="AO364" s="44"/>
      <c r="AP364" s="42"/>
      <c r="AQ364" s="42"/>
      <c r="AR364" s="42"/>
      <c r="AU364" s="98"/>
      <c r="AV364" s="35"/>
      <c r="AW364" s="104"/>
      <c r="AX364" s="42"/>
      <c r="AY364" s="42"/>
      <c r="AZ364" s="42">
        <f t="shared" si="113"/>
        <v>0</v>
      </c>
      <c r="BA364" s="42"/>
      <c r="BB364" s="42"/>
      <c r="BC364" s="42"/>
      <c r="BD364" s="38">
        <f t="shared" si="120"/>
        <v>0</v>
      </c>
      <c r="BE364" s="42"/>
      <c r="BF364" s="42"/>
      <c r="BG364" s="42"/>
      <c r="BH364" s="38">
        <f t="shared" si="121"/>
        <v>0</v>
      </c>
      <c r="BI364" s="42"/>
      <c r="BJ364" s="42"/>
      <c r="BK364" s="42"/>
      <c r="BL364" s="38">
        <f t="shared" si="122"/>
        <v>0</v>
      </c>
      <c r="BM364" s="42"/>
      <c r="BN364" s="42"/>
      <c r="BO364" s="42"/>
      <c r="BP364" s="42"/>
      <c r="BR364" s="42">
        <f t="shared" si="123"/>
        <v>19936.166500000003</v>
      </c>
      <c r="BS364" s="43"/>
      <c r="BT364" s="42">
        <v>2201.69</v>
      </c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  <c r="FM364" s="31"/>
      <c r="FN364" s="31"/>
      <c r="FO364" s="31"/>
      <c r="FP364" s="31"/>
      <c r="FQ364" s="31"/>
      <c r="FR364" s="31"/>
      <c r="FS364" s="31"/>
      <c r="FT364" s="31"/>
      <c r="FU364" s="31"/>
      <c r="FV364" s="31"/>
      <c r="FW364" s="31"/>
      <c r="FX364" s="31"/>
      <c r="FY364" s="31"/>
      <c r="FZ364" s="31"/>
      <c r="GA364" s="31"/>
      <c r="GB364" s="31"/>
      <c r="GC364" s="31"/>
      <c r="GD364" s="31"/>
      <c r="GE364" s="31"/>
      <c r="GF364" s="31"/>
      <c r="GG364" s="31"/>
      <c r="GH364" s="31"/>
      <c r="GI364" s="31"/>
      <c r="GJ364" s="31"/>
      <c r="GK364" s="31"/>
      <c r="GL364" s="31"/>
      <c r="GM364" s="31"/>
      <c r="GN364" s="31"/>
      <c r="GO364" s="31"/>
      <c r="GP364" s="31"/>
      <c r="GQ364" s="31"/>
      <c r="GR364" s="31"/>
      <c r="GS364" s="31"/>
      <c r="GT364" s="31"/>
      <c r="GU364" s="31"/>
      <c r="GV364" s="31"/>
      <c r="GW364" s="31"/>
      <c r="GX364" s="31"/>
      <c r="GY364" s="31"/>
      <c r="GZ364" s="31"/>
      <c r="HA364" s="31"/>
      <c r="HB364" s="31"/>
      <c r="HC364" s="31"/>
      <c r="HD364" s="31"/>
      <c r="HE364" s="31"/>
      <c r="HF364" s="31"/>
      <c r="HG364" s="31"/>
      <c r="HH364" s="31"/>
      <c r="HI364" s="31"/>
      <c r="HJ364" s="31"/>
      <c r="HK364" s="31"/>
      <c r="HL364" s="31"/>
      <c r="HM364" s="31"/>
      <c r="HN364" s="31"/>
      <c r="HO364" s="31"/>
      <c r="HP364" s="31"/>
      <c r="HQ364" s="31"/>
      <c r="HR364" s="31"/>
      <c r="HS364" s="31"/>
      <c r="HT364" s="31"/>
      <c r="HU364" s="31"/>
      <c r="HV364" s="31"/>
      <c r="HW364" s="31"/>
      <c r="HX364" s="31"/>
      <c r="HY364" s="31"/>
      <c r="HZ364" s="31"/>
      <c r="IA364" s="31"/>
      <c r="IB364" s="31"/>
      <c r="IC364" s="31"/>
      <c r="ID364" s="31"/>
      <c r="IE364" s="31"/>
      <c r="IF364" s="31"/>
      <c r="IG364" s="31"/>
      <c r="IH364" s="31"/>
      <c r="II364" s="31"/>
      <c r="IJ364" s="31"/>
      <c r="IK364" s="31"/>
      <c r="IL364" s="31"/>
      <c r="IM364" s="31"/>
      <c r="IN364" s="31"/>
      <c r="IO364" s="31"/>
      <c r="IP364" s="31"/>
      <c r="IQ364" s="31"/>
      <c r="IR364" s="31"/>
      <c r="IS364" s="31"/>
      <c r="IT364" s="31"/>
      <c r="IU364" s="31"/>
      <c r="IV364" s="31"/>
      <c r="IW364" s="31"/>
      <c r="IX364" s="31"/>
      <c r="IY364" s="31"/>
      <c r="IZ364" s="31"/>
      <c r="JA364" s="31"/>
      <c r="JB364" s="31"/>
      <c r="JC364" s="31"/>
      <c r="JD364" s="31"/>
      <c r="JE364" s="31"/>
      <c r="JF364" s="31"/>
      <c r="JG364" s="31"/>
      <c r="JH364" s="31"/>
      <c r="JI364" s="31"/>
      <c r="JJ364" s="31"/>
      <c r="JK364" s="31"/>
      <c r="JL364" s="31"/>
      <c r="JM364" s="31"/>
      <c r="JN364" s="31"/>
      <c r="JO364" s="31"/>
      <c r="JP364" s="31"/>
      <c r="JQ364" s="31"/>
      <c r="JR364" s="31"/>
      <c r="JS364" s="31"/>
      <c r="JT364" s="31"/>
      <c r="JU364" s="31"/>
      <c r="JV364" s="31"/>
      <c r="JW364" s="31"/>
      <c r="JX364" s="31"/>
      <c r="JY364" s="31"/>
      <c r="JZ364" s="31"/>
      <c r="KA364" s="31"/>
      <c r="KB364" s="31"/>
      <c r="KC364" s="31"/>
      <c r="KD364" s="31"/>
      <c r="KE364" s="31"/>
      <c r="KF364" s="31"/>
      <c r="KG364" s="31"/>
      <c r="KH364" s="31"/>
      <c r="KI364" s="31"/>
      <c r="KJ364" s="31"/>
      <c r="KK364" s="31"/>
      <c r="KL364" s="31"/>
      <c r="KM364" s="31"/>
      <c r="KN364" s="31"/>
      <c r="KO364" s="31"/>
      <c r="KP364" s="31"/>
      <c r="KQ364" s="31"/>
      <c r="KR364" s="31"/>
      <c r="KS364" s="31"/>
      <c r="KT364" s="31"/>
      <c r="KU364" s="31"/>
      <c r="KV364" s="31"/>
      <c r="KW364" s="31"/>
      <c r="KX364" s="31"/>
      <c r="KY364" s="31"/>
      <c r="KZ364" s="31"/>
      <c r="LA364" s="31"/>
      <c r="LB364" s="31"/>
      <c r="LC364" s="31"/>
      <c r="LD364" s="31"/>
      <c r="LE364" s="31"/>
      <c r="LF364" s="31"/>
      <c r="LG364" s="31"/>
      <c r="LH364" s="31"/>
      <c r="LI364" s="31"/>
      <c r="LJ364" s="31"/>
      <c r="LK364" s="31"/>
      <c r="LL364" s="31"/>
      <c r="LM364" s="31"/>
      <c r="LN364" s="31"/>
      <c r="LO364" s="31"/>
      <c r="LP364" s="31"/>
      <c r="LQ364" s="31"/>
      <c r="LR364" s="31"/>
      <c r="LS364" s="31"/>
      <c r="LT364" s="31"/>
      <c r="LU364" s="31"/>
      <c r="LV364" s="31"/>
      <c r="LW364" s="31"/>
      <c r="LX364" s="31"/>
      <c r="LY364" s="31"/>
      <c r="LZ364" s="31"/>
      <c r="MA364" s="31"/>
      <c r="MB364" s="31"/>
      <c r="MC364" s="31"/>
      <c r="MD364" s="31"/>
      <c r="ME364" s="31"/>
      <c r="MF364" s="31"/>
      <c r="MG364" s="31"/>
      <c r="MH364" s="31"/>
      <c r="MI364" s="31"/>
      <c r="MJ364" s="31"/>
      <c r="MK364" s="31"/>
      <c r="ML364" s="31"/>
      <c r="MM364" s="31"/>
      <c r="MN364" s="31"/>
      <c r="MO364" s="31"/>
      <c r="MP364" s="31"/>
      <c r="MQ364" s="31"/>
      <c r="MR364" s="31"/>
      <c r="MS364" s="31"/>
      <c r="MT364" s="31"/>
      <c r="MU364" s="31"/>
      <c r="MV364" s="31"/>
      <c r="MW364" s="31"/>
      <c r="MX364" s="31"/>
      <c r="MY364" s="31"/>
      <c r="MZ364" s="31"/>
      <c r="NA364" s="31"/>
      <c r="NB364" s="31"/>
      <c r="NC364" s="31"/>
      <c r="ND364" s="31"/>
      <c r="NE364" s="31"/>
      <c r="NF364" s="31"/>
      <c r="NG364" s="31"/>
      <c r="NH364" s="31"/>
      <c r="NI364" s="31"/>
      <c r="NJ364" s="31"/>
      <c r="NK364" s="31"/>
      <c r="NL364" s="31"/>
      <c r="NM364" s="31"/>
      <c r="NN364" s="31"/>
      <c r="NO364" s="31"/>
      <c r="NP364" s="31"/>
      <c r="NQ364" s="31"/>
      <c r="NR364" s="31"/>
      <c r="NS364" s="31"/>
      <c r="NT364" s="31"/>
      <c r="NU364" s="31"/>
      <c r="NV364" s="31"/>
      <c r="NW364" s="31"/>
      <c r="NX364" s="31"/>
      <c r="NY364" s="31"/>
      <c r="NZ364" s="31"/>
      <c r="OA364" s="31"/>
      <c r="OB364" s="31"/>
      <c r="OC364" s="31"/>
      <c r="OD364" s="31"/>
      <c r="OE364" s="31"/>
      <c r="OF364" s="31"/>
      <c r="OG364" s="31"/>
      <c r="OH364" s="31"/>
      <c r="OI364" s="31"/>
      <c r="OJ364" s="31"/>
      <c r="OK364" s="31"/>
      <c r="OL364" s="31"/>
      <c r="OM364" s="31"/>
      <c r="ON364" s="31"/>
      <c r="OO364" s="31"/>
      <c r="OP364" s="31"/>
      <c r="OQ364" s="31"/>
      <c r="OR364" s="31"/>
      <c r="OS364" s="31"/>
      <c r="OT364" s="31"/>
      <c r="OU364" s="31"/>
      <c r="OV364" s="31"/>
      <c r="OW364" s="31"/>
      <c r="OX364" s="31"/>
    </row>
    <row r="365" spans="1:414" s="25" customFormat="1" ht="15.6">
      <c r="B365" s="25" t="s">
        <v>44</v>
      </c>
      <c r="C365" s="27" t="s">
        <v>951</v>
      </c>
      <c r="D365" s="30" t="s">
        <v>105</v>
      </c>
      <c r="G365" s="42">
        <v>80</v>
      </c>
      <c r="H365" s="89">
        <v>26.109000000000002</v>
      </c>
      <c r="I365" s="38">
        <f t="shared" si="116"/>
        <v>2088.7200000000003</v>
      </c>
      <c r="K365" s="42">
        <v>80</v>
      </c>
      <c r="L365" s="90">
        <v>26.849599999999999</v>
      </c>
      <c r="M365" s="38">
        <f t="shared" si="117"/>
        <v>2147.9679999999998</v>
      </c>
      <c r="O365" s="42">
        <v>505</v>
      </c>
      <c r="P365" s="38">
        <v>26.728300000000001</v>
      </c>
      <c r="Q365" s="38">
        <f t="shared" si="118"/>
        <v>13497.791500000001</v>
      </c>
      <c r="R365" s="43">
        <f t="shared" si="114"/>
        <v>665</v>
      </c>
      <c r="S365" s="38">
        <f t="shared" si="119"/>
        <v>17734.479500000001</v>
      </c>
      <c r="T365" s="49">
        <v>240</v>
      </c>
      <c r="U365" s="42">
        <v>26.4025</v>
      </c>
      <c r="V365" s="38">
        <f t="shared" si="126"/>
        <v>6336.6</v>
      </c>
      <c r="W365" s="42">
        <v>420</v>
      </c>
      <c r="X365" s="42">
        <v>26.73</v>
      </c>
      <c r="Y365" s="42">
        <f t="shared" si="128"/>
        <v>11226.6</v>
      </c>
      <c r="Z365" s="42">
        <v>85</v>
      </c>
      <c r="AA365" s="42">
        <v>26.73</v>
      </c>
      <c r="AB365" s="42">
        <f t="shared" si="125"/>
        <v>2272.0500000000002</v>
      </c>
      <c r="AD365" s="42"/>
      <c r="AE365" s="42"/>
      <c r="AF365" s="42">
        <f t="shared" si="130"/>
        <v>0</v>
      </c>
      <c r="AG365" s="42"/>
      <c r="AH365" s="42"/>
      <c r="AI365" s="42"/>
      <c r="AJ365" s="42">
        <f t="shared" si="115"/>
        <v>0</v>
      </c>
      <c r="AL365" s="42"/>
      <c r="AM365" s="42"/>
      <c r="AN365" s="42">
        <f t="shared" si="129"/>
        <v>0</v>
      </c>
      <c r="AO365" s="44"/>
      <c r="AP365" s="42"/>
      <c r="AQ365" s="42"/>
      <c r="AR365" s="42"/>
      <c r="AU365" s="98"/>
      <c r="AV365" s="35"/>
      <c r="AW365" s="104"/>
      <c r="AX365" s="42"/>
      <c r="AY365" s="42"/>
      <c r="AZ365" s="42">
        <f t="shared" si="113"/>
        <v>0</v>
      </c>
      <c r="BA365" s="42"/>
      <c r="BB365" s="42"/>
      <c r="BC365" s="42"/>
      <c r="BD365" s="38">
        <f t="shared" si="120"/>
        <v>0</v>
      </c>
      <c r="BE365" s="42"/>
      <c r="BF365" s="42"/>
      <c r="BG365" s="42"/>
      <c r="BH365" s="38">
        <f t="shared" si="121"/>
        <v>0</v>
      </c>
      <c r="BI365" s="42"/>
      <c r="BJ365" s="42"/>
      <c r="BK365" s="42"/>
      <c r="BL365" s="38">
        <f t="shared" si="122"/>
        <v>0</v>
      </c>
      <c r="BM365" s="42"/>
      <c r="BN365" s="42"/>
      <c r="BO365" s="42"/>
      <c r="BP365" s="42"/>
      <c r="BR365" s="42">
        <f t="shared" si="123"/>
        <v>19835.25</v>
      </c>
      <c r="BS365" s="43"/>
      <c r="BT365" s="42">
        <v>2100.77</v>
      </c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  <c r="FM365" s="31"/>
      <c r="FN365" s="31"/>
      <c r="FO365" s="31"/>
      <c r="FP365" s="31"/>
      <c r="FQ365" s="31"/>
      <c r="FR365" s="31"/>
      <c r="FS365" s="31"/>
      <c r="FT365" s="31"/>
      <c r="FU365" s="31"/>
      <c r="FV365" s="31"/>
      <c r="FW365" s="31"/>
      <c r="FX365" s="31"/>
      <c r="FY365" s="31"/>
      <c r="FZ365" s="31"/>
      <c r="GA365" s="31"/>
      <c r="GB365" s="31"/>
      <c r="GC365" s="31"/>
      <c r="GD365" s="31"/>
      <c r="GE365" s="31"/>
      <c r="GF365" s="31"/>
      <c r="GG365" s="31"/>
      <c r="GH365" s="31"/>
      <c r="GI365" s="31"/>
      <c r="GJ365" s="31"/>
      <c r="GK365" s="31"/>
      <c r="GL365" s="31"/>
      <c r="GM365" s="31"/>
      <c r="GN365" s="31"/>
      <c r="GO365" s="31"/>
      <c r="GP365" s="31"/>
      <c r="GQ365" s="31"/>
      <c r="GR365" s="31"/>
      <c r="GS365" s="31"/>
      <c r="GT365" s="31"/>
      <c r="GU365" s="31"/>
      <c r="GV365" s="31"/>
      <c r="GW365" s="31"/>
      <c r="GX365" s="31"/>
      <c r="GY365" s="31"/>
      <c r="GZ365" s="31"/>
      <c r="HA365" s="31"/>
      <c r="HB365" s="31"/>
      <c r="HC365" s="31"/>
      <c r="HD365" s="31"/>
      <c r="HE365" s="31"/>
      <c r="HF365" s="31"/>
      <c r="HG365" s="31"/>
      <c r="HH365" s="31"/>
      <c r="HI365" s="31"/>
      <c r="HJ365" s="31"/>
      <c r="HK365" s="31"/>
      <c r="HL365" s="31"/>
      <c r="HM365" s="31"/>
      <c r="HN365" s="31"/>
      <c r="HO365" s="31"/>
      <c r="HP365" s="31"/>
      <c r="HQ365" s="31"/>
      <c r="HR365" s="31"/>
      <c r="HS365" s="31"/>
      <c r="HT365" s="31"/>
      <c r="HU365" s="31"/>
      <c r="HV365" s="31"/>
      <c r="HW365" s="31"/>
      <c r="HX365" s="31"/>
      <c r="HY365" s="31"/>
      <c r="HZ365" s="31"/>
      <c r="IA365" s="31"/>
      <c r="IB365" s="31"/>
      <c r="IC365" s="31"/>
      <c r="ID365" s="31"/>
      <c r="IE365" s="31"/>
      <c r="IF365" s="31"/>
      <c r="IG365" s="31"/>
      <c r="IH365" s="31"/>
      <c r="II365" s="31"/>
      <c r="IJ365" s="31"/>
      <c r="IK365" s="31"/>
      <c r="IL365" s="31"/>
      <c r="IM365" s="31"/>
      <c r="IN365" s="31"/>
      <c r="IO365" s="31"/>
      <c r="IP365" s="31"/>
      <c r="IQ365" s="31"/>
      <c r="IR365" s="31"/>
      <c r="IS365" s="31"/>
      <c r="IT365" s="31"/>
      <c r="IU365" s="31"/>
      <c r="IV365" s="31"/>
      <c r="IW365" s="31"/>
      <c r="IX365" s="31"/>
      <c r="IY365" s="31"/>
      <c r="IZ365" s="31"/>
      <c r="JA365" s="31"/>
      <c r="JB365" s="31"/>
      <c r="JC365" s="31"/>
      <c r="JD365" s="31"/>
      <c r="JE365" s="31"/>
      <c r="JF365" s="31"/>
      <c r="JG365" s="31"/>
      <c r="JH365" s="31"/>
      <c r="JI365" s="31"/>
      <c r="JJ365" s="31"/>
      <c r="JK365" s="31"/>
      <c r="JL365" s="31"/>
      <c r="JM365" s="31"/>
      <c r="JN365" s="31"/>
      <c r="JO365" s="31"/>
      <c r="JP365" s="31"/>
      <c r="JQ365" s="31"/>
      <c r="JR365" s="31"/>
      <c r="JS365" s="31"/>
      <c r="JT365" s="31"/>
      <c r="JU365" s="31"/>
      <c r="JV365" s="31"/>
      <c r="JW365" s="31"/>
      <c r="JX365" s="31"/>
      <c r="JY365" s="31"/>
      <c r="JZ365" s="31"/>
      <c r="KA365" s="31"/>
      <c r="KB365" s="31"/>
      <c r="KC365" s="31"/>
      <c r="KD365" s="31"/>
      <c r="KE365" s="31"/>
      <c r="KF365" s="31"/>
      <c r="KG365" s="31"/>
      <c r="KH365" s="31"/>
      <c r="KI365" s="31"/>
      <c r="KJ365" s="31"/>
      <c r="KK365" s="31"/>
      <c r="KL365" s="31"/>
      <c r="KM365" s="31"/>
      <c r="KN365" s="31"/>
      <c r="KO365" s="31"/>
      <c r="KP365" s="31"/>
      <c r="KQ365" s="31"/>
      <c r="KR365" s="31"/>
      <c r="KS365" s="31"/>
      <c r="KT365" s="31"/>
      <c r="KU365" s="31"/>
      <c r="KV365" s="31"/>
      <c r="KW365" s="31"/>
      <c r="KX365" s="31"/>
      <c r="KY365" s="31"/>
      <c r="KZ365" s="31"/>
      <c r="LA365" s="31"/>
      <c r="LB365" s="31"/>
      <c r="LC365" s="31"/>
      <c r="LD365" s="31"/>
      <c r="LE365" s="31"/>
      <c r="LF365" s="31"/>
      <c r="LG365" s="31"/>
      <c r="LH365" s="31"/>
      <c r="LI365" s="31"/>
      <c r="LJ365" s="31"/>
      <c r="LK365" s="31"/>
      <c r="LL365" s="31"/>
      <c r="LM365" s="31"/>
      <c r="LN365" s="31"/>
      <c r="LO365" s="31"/>
      <c r="LP365" s="31"/>
      <c r="LQ365" s="31"/>
      <c r="LR365" s="31"/>
      <c r="LS365" s="31"/>
      <c r="LT365" s="31"/>
      <c r="LU365" s="31"/>
      <c r="LV365" s="31"/>
      <c r="LW365" s="31"/>
      <c r="LX365" s="31"/>
      <c r="LY365" s="31"/>
      <c r="LZ365" s="31"/>
      <c r="MA365" s="31"/>
      <c r="MB365" s="31"/>
      <c r="MC365" s="31"/>
      <c r="MD365" s="31"/>
      <c r="ME365" s="31"/>
      <c r="MF365" s="31"/>
      <c r="MG365" s="31"/>
      <c r="MH365" s="31"/>
      <c r="MI365" s="31"/>
      <c r="MJ365" s="31"/>
      <c r="MK365" s="31"/>
      <c r="ML365" s="31"/>
      <c r="MM365" s="31"/>
      <c r="MN365" s="31"/>
      <c r="MO365" s="31"/>
      <c r="MP365" s="31"/>
      <c r="MQ365" s="31"/>
      <c r="MR365" s="31"/>
      <c r="MS365" s="31"/>
      <c r="MT365" s="31"/>
      <c r="MU365" s="31"/>
      <c r="MV365" s="31"/>
      <c r="MW365" s="31"/>
      <c r="MX365" s="31"/>
      <c r="MY365" s="31"/>
      <c r="MZ365" s="31"/>
      <c r="NA365" s="31"/>
      <c r="NB365" s="31"/>
      <c r="NC365" s="31"/>
      <c r="ND365" s="31"/>
      <c r="NE365" s="31"/>
      <c r="NF365" s="31"/>
      <c r="NG365" s="31"/>
      <c r="NH365" s="31"/>
      <c r="NI365" s="31"/>
      <c r="NJ365" s="31"/>
      <c r="NK365" s="31"/>
      <c r="NL365" s="31"/>
      <c r="NM365" s="31"/>
      <c r="NN365" s="31"/>
      <c r="NO365" s="31"/>
      <c r="NP365" s="31"/>
      <c r="NQ365" s="31"/>
      <c r="NR365" s="31"/>
      <c r="NS365" s="31"/>
      <c r="NT365" s="31"/>
      <c r="NU365" s="31"/>
      <c r="NV365" s="31"/>
      <c r="NW365" s="31"/>
      <c r="NX365" s="31"/>
      <c r="NY365" s="31"/>
      <c r="NZ365" s="31"/>
      <c r="OA365" s="31"/>
      <c r="OB365" s="31"/>
      <c r="OC365" s="31"/>
      <c r="OD365" s="31"/>
      <c r="OE365" s="31"/>
      <c r="OF365" s="31"/>
      <c r="OG365" s="31"/>
      <c r="OH365" s="31"/>
      <c r="OI365" s="31"/>
      <c r="OJ365" s="31"/>
      <c r="OK365" s="31"/>
      <c r="OL365" s="31"/>
      <c r="OM365" s="31"/>
      <c r="ON365" s="31"/>
      <c r="OO365" s="31"/>
      <c r="OP365" s="31"/>
      <c r="OQ365" s="31"/>
      <c r="OR365" s="31"/>
      <c r="OS365" s="31"/>
      <c r="OT365" s="31"/>
      <c r="OU365" s="31"/>
      <c r="OV365" s="31"/>
      <c r="OW365" s="31"/>
      <c r="OX365" s="31"/>
    </row>
    <row r="366" spans="1:414" s="25" customFormat="1" ht="15.6">
      <c r="B366" s="25" t="s">
        <v>952</v>
      </c>
      <c r="C366" s="27" t="s">
        <v>841</v>
      </c>
      <c r="D366" s="30" t="s">
        <v>105</v>
      </c>
      <c r="G366" s="42">
        <v>80</v>
      </c>
      <c r="H366" s="89">
        <v>26.109000000000002</v>
      </c>
      <c r="I366" s="38">
        <f t="shared" si="116"/>
        <v>2088.7200000000003</v>
      </c>
      <c r="K366" s="42">
        <v>80</v>
      </c>
      <c r="L366" s="90">
        <v>26.849599999999999</v>
      </c>
      <c r="M366" s="38">
        <f t="shared" si="117"/>
        <v>2147.9679999999998</v>
      </c>
      <c r="O366" s="42">
        <v>505</v>
      </c>
      <c r="P366" s="38">
        <v>26.728300000000001</v>
      </c>
      <c r="Q366" s="38">
        <f t="shared" si="118"/>
        <v>13497.791500000001</v>
      </c>
      <c r="R366" s="43">
        <f t="shared" si="114"/>
        <v>665</v>
      </c>
      <c r="S366" s="38">
        <f t="shared" si="119"/>
        <v>17734.479500000001</v>
      </c>
      <c r="T366" s="49">
        <v>240</v>
      </c>
      <c r="U366" s="42">
        <v>26.4</v>
      </c>
      <c r="V366" s="38">
        <f t="shared" si="126"/>
        <v>6336</v>
      </c>
      <c r="W366" s="42">
        <v>420</v>
      </c>
      <c r="X366" s="42">
        <v>26.73</v>
      </c>
      <c r="Y366" s="42">
        <f t="shared" si="128"/>
        <v>11226.6</v>
      </c>
      <c r="Z366" s="42">
        <v>85</v>
      </c>
      <c r="AA366" s="42">
        <v>26.73</v>
      </c>
      <c r="AB366" s="42">
        <f t="shared" si="125"/>
        <v>2272.0500000000002</v>
      </c>
      <c r="AD366" s="42"/>
      <c r="AE366" s="42"/>
      <c r="AF366" s="42">
        <f t="shared" si="130"/>
        <v>0</v>
      </c>
      <c r="AG366" s="42"/>
      <c r="AH366" s="42"/>
      <c r="AI366" s="42"/>
      <c r="AJ366" s="42">
        <f t="shared" si="115"/>
        <v>0</v>
      </c>
      <c r="AL366" s="42"/>
      <c r="AM366" s="42"/>
      <c r="AN366" s="42">
        <f t="shared" si="129"/>
        <v>0</v>
      </c>
      <c r="AO366" s="44"/>
      <c r="AP366" s="42"/>
      <c r="AQ366" s="42"/>
      <c r="AR366" s="42"/>
      <c r="AU366" s="98"/>
      <c r="AV366" s="35"/>
      <c r="AW366" s="104"/>
      <c r="AX366" s="42"/>
      <c r="AY366" s="42"/>
      <c r="AZ366" s="42">
        <f t="shared" si="113"/>
        <v>0</v>
      </c>
      <c r="BA366" s="42"/>
      <c r="BB366" s="42"/>
      <c r="BC366" s="42"/>
      <c r="BD366" s="38">
        <f t="shared" si="120"/>
        <v>0</v>
      </c>
      <c r="BE366" s="42"/>
      <c r="BF366" s="42"/>
      <c r="BG366" s="42"/>
      <c r="BH366" s="38">
        <f t="shared" si="121"/>
        <v>0</v>
      </c>
      <c r="BI366" s="42"/>
      <c r="BJ366" s="42"/>
      <c r="BK366" s="42"/>
      <c r="BL366" s="38">
        <f t="shared" si="122"/>
        <v>0</v>
      </c>
      <c r="BM366" s="42"/>
      <c r="BN366" s="42"/>
      <c r="BO366" s="42"/>
      <c r="BP366" s="42"/>
      <c r="BR366" s="42">
        <f t="shared" si="123"/>
        <v>19834.649999999998</v>
      </c>
      <c r="BS366" s="43"/>
      <c r="BT366" s="42">
        <v>2100.17</v>
      </c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  <c r="FM366" s="31"/>
      <c r="FN366" s="31"/>
      <c r="FO366" s="31"/>
      <c r="FP366" s="31"/>
      <c r="FQ366" s="31"/>
      <c r="FR366" s="31"/>
      <c r="FS366" s="31"/>
      <c r="FT366" s="31"/>
      <c r="FU366" s="31"/>
      <c r="FV366" s="31"/>
      <c r="FW366" s="31"/>
      <c r="FX366" s="31"/>
      <c r="FY366" s="31"/>
      <c r="FZ366" s="31"/>
      <c r="GA366" s="31"/>
      <c r="GB366" s="31"/>
      <c r="GC366" s="31"/>
      <c r="GD366" s="31"/>
      <c r="GE366" s="31"/>
      <c r="GF366" s="31"/>
      <c r="GG366" s="31"/>
      <c r="GH366" s="31"/>
      <c r="GI366" s="31"/>
      <c r="GJ366" s="31"/>
      <c r="GK366" s="31"/>
      <c r="GL366" s="31"/>
      <c r="GM366" s="31"/>
      <c r="GN366" s="31"/>
      <c r="GO366" s="31"/>
      <c r="GP366" s="31"/>
      <c r="GQ366" s="31"/>
      <c r="GR366" s="31"/>
      <c r="GS366" s="31"/>
      <c r="GT366" s="31"/>
      <c r="GU366" s="31"/>
      <c r="GV366" s="31"/>
      <c r="GW366" s="31"/>
      <c r="GX366" s="31"/>
      <c r="GY366" s="31"/>
      <c r="GZ366" s="31"/>
      <c r="HA366" s="31"/>
      <c r="HB366" s="31"/>
      <c r="HC366" s="31"/>
      <c r="HD366" s="31"/>
      <c r="HE366" s="31"/>
      <c r="HF366" s="31"/>
      <c r="HG366" s="31"/>
      <c r="HH366" s="31"/>
      <c r="HI366" s="31"/>
      <c r="HJ366" s="31"/>
      <c r="HK366" s="31"/>
      <c r="HL366" s="31"/>
      <c r="HM366" s="31"/>
      <c r="HN366" s="31"/>
      <c r="HO366" s="31"/>
      <c r="HP366" s="31"/>
      <c r="HQ366" s="31"/>
      <c r="HR366" s="31"/>
      <c r="HS366" s="31"/>
      <c r="HT366" s="31"/>
      <c r="HU366" s="31"/>
      <c r="HV366" s="31"/>
      <c r="HW366" s="31"/>
      <c r="HX366" s="31"/>
      <c r="HY366" s="31"/>
      <c r="HZ366" s="31"/>
      <c r="IA366" s="31"/>
      <c r="IB366" s="31"/>
      <c r="IC366" s="31"/>
      <c r="ID366" s="31"/>
      <c r="IE366" s="31"/>
      <c r="IF366" s="31"/>
      <c r="IG366" s="31"/>
      <c r="IH366" s="31"/>
      <c r="II366" s="31"/>
      <c r="IJ366" s="31"/>
      <c r="IK366" s="31"/>
      <c r="IL366" s="31"/>
      <c r="IM366" s="31"/>
      <c r="IN366" s="31"/>
      <c r="IO366" s="31"/>
      <c r="IP366" s="31"/>
      <c r="IQ366" s="31"/>
      <c r="IR366" s="31"/>
      <c r="IS366" s="31"/>
      <c r="IT366" s="31"/>
      <c r="IU366" s="31"/>
      <c r="IV366" s="31"/>
      <c r="IW366" s="31"/>
      <c r="IX366" s="31"/>
      <c r="IY366" s="31"/>
      <c r="IZ366" s="31"/>
      <c r="JA366" s="31"/>
      <c r="JB366" s="31"/>
      <c r="JC366" s="31"/>
      <c r="JD366" s="31"/>
      <c r="JE366" s="31"/>
      <c r="JF366" s="31"/>
      <c r="JG366" s="31"/>
      <c r="JH366" s="31"/>
      <c r="JI366" s="31"/>
      <c r="JJ366" s="31"/>
      <c r="JK366" s="31"/>
      <c r="JL366" s="31"/>
      <c r="JM366" s="31"/>
      <c r="JN366" s="31"/>
      <c r="JO366" s="31"/>
      <c r="JP366" s="31"/>
      <c r="JQ366" s="31"/>
      <c r="JR366" s="31"/>
      <c r="JS366" s="31"/>
      <c r="JT366" s="31"/>
      <c r="JU366" s="31"/>
      <c r="JV366" s="31"/>
      <c r="JW366" s="31"/>
      <c r="JX366" s="31"/>
      <c r="JY366" s="31"/>
      <c r="JZ366" s="31"/>
      <c r="KA366" s="31"/>
      <c r="KB366" s="31"/>
      <c r="KC366" s="31"/>
      <c r="KD366" s="31"/>
      <c r="KE366" s="31"/>
      <c r="KF366" s="31"/>
      <c r="KG366" s="31"/>
      <c r="KH366" s="31"/>
      <c r="KI366" s="31"/>
      <c r="KJ366" s="31"/>
      <c r="KK366" s="31"/>
      <c r="KL366" s="31"/>
      <c r="KM366" s="31"/>
      <c r="KN366" s="31"/>
      <c r="KO366" s="31"/>
      <c r="KP366" s="31"/>
      <c r="KQ366" s="31"/>
      <c r="KR366" s="31"/>
      <c r="KS366" s="31"/>
      <c r="KT366" s="31"/>
      <c r="KU366" s="31"/>
      <c r="KV366" s="31"/>
      <c r="KW366" s="31"/>
      <c r="KX366" s="31"/>
      <c r="KY366" s="31"/>
      <c r="KZ366" s="31"/>
      <c r="LA366" s="31"/>
      <c r="LB366" s="31"/>
      <c r="LC366" s="31"/>
      <c r="LD366" s="31"/>
      <c r="LE366" s="31"/>
      <c r="LF366" s="31"/>
      <c r="LG366" s="31"/>
      <c r="LH366" s="31"/>
      <c r="LI366" s="31"/>
      <c r="LJ366" s="31"/>
      <c r="LK366" s="31"/>
      <c r="LL366" s="31"/>
      <c r="LM366" s="31"/>
      <c r="LN366" s="31"/>
      <c r="LO366" s="31"/>
      <c r="LP366" s="31"/>
      <c r="LQ366" s="31"/>
      <c r="LR366" s="31"/>
      <c r="LS366" s="31"/>
      <c r="LT366" s="31"/>
      <c r="LU366" s="31"/>
      <c r="LV366" s="31"/>
      <c r="LW366" s="31"/>
      <c r="LX366" s="31"/>
      <c r="LY366" s="31"/>
      <c r="LZ366" s="31"/>
      <c r="MA366" s="31"/>
      <c r="MB366" s="31"/>
      <c r="MC366" s="31"/>
      <c r="MD366" s="31"/>
      <c r="ME366" s="31"/>
      <c r="MF366" s="31"/>
      <c r="MG366" s="31"/>
      <c r="MH366" s="31"/>
      <c r="MI366" s="31"/>
      <c r="MJ366" s="31"/>
      <c r="MK366" s="31"/>
      <c r="ML366" s="31"/>
      <c r="MM366" s="31"/>
      <c r="MN366" s="31"/>
      <c r="MO366" s="31"/>
      <c r="MP366" s="31"/>
      <c r="MQ366" s="31"/>
      <c r="MR366" s="31"/>
      <c r="MS366" s="31"/>
      <c r="MT366" s="31"/>
      <c r="MU366" s="31"/>
      <c r="MV366" s="31"/>
      <c r="MW366" s="31"/>
      <c r="MX366" s="31"/>
      <c r="MY366" s="31"/>
      <c r="MZ366" s="31"/>
      <c r="NA366" s="31"/>
      <c r="NB366" s="31"/>
      <c r="NC366" s="31"/>
      <c r="ND366" s="31"/>
      <c r="NE366" s="31"/>
      <c r="NF366" s="31"/>
      <c r="NG366" s="31"/>
      <c r="NH366" s="31"/>
      <c r="NI366" s="31"/>
      <c r="NJ366" s="31"/>
      <c r="NK366" s="31"/>
      <c r="NL366" s="31"/>
      <c r="NM366" s="31"/>
      <c r="NN366" s="31"/>
      <c r="NO366" s="31"/>
      <c r="NP366" s="31"/>
      <c r="NQ366" s="31"/>
      <c r="NR366" s="31"/>
      <c r="NS366" s="31"/>
      <c r="NT366" s="31"/>
      <c r="NU366" s="31"/>
      <c r="NV366" s="31"/>
      <c r="NW366" s="31"/>
      <c r="NX366" s="31"/>
      <c r="NY366" s="31"/>
      <c r="NZ366" s="31"/>
      <c r="OA366" s="31"/>
      <c r="OB366" s="31"/>
      <c r="OC366" s="31"/>
      <c r="OD366" s="31"/>
      <c r="OE366" s="31"/>
      <c r="OF366" s="31"/>
      <c r="OG366" s="31"/>
      <c r="OH366" s="31"/>
      <c r="OI366" s="31"/>
      <c r="OJ366" s="31"/>
      <c r="OK366" s="31"/>
      <c r="OL366" s="31"/>
      <c r="OM366" s="31"/>
      <c r="ON366" s="31"/>
      <c r="OO366" s="31"/>
      <c r="OP366" s="31"/>
      <c r="OQ366" s="31"/>
      <c r="OR366" s="31"/>
      <c r="OS366" s="31"/>
      <c r="OT366" s="31"/>
      <c r="OU366" s="31"/>
      <c r="OV366" s="31"/>
      <c r="OW366" s="31"/>
      <c r="OX366" s="31"/>
    </row>
    <row r="367" spans="1:414" s="25" customFormat="1" ht="15.6">
      <c r="B367" s="25" t="s">
        <v>953</v>
      </c>
      <c r="C367" s="27" t="s">
        <v>876</v>
      </c>
      <c r="D367" s="30" t="s">
        <v>105</v>
      </c>
      <c r="G367" s="42">
        <v>80</v>
      </c>
      <c r="H367" s="89">
        <v>26.109000000000002</v>
      </c>
      <c r="I367" s="38">
        <f t="shared" si="116"/>
        <v>2088.7200000000003</v>
      </c>
      <c r="K367" s="42">
        <v>80</v>
      </c>
      <c r="L367" s="90">
        <v>26.849599999999999</v>
      </c>
      <c r="M367" s="38">
        <f t="shared" si="117"/>
        <v>2147.9679999999998</v>
      </c>
      <c r="O367" s="42">
        <v>505</v>
      </c>
      <c r="P367" s="38">
        <v>26.728300000000001</v>
      </c>
      <c r="Q367" s="38">
        <f t="shared" si="118"/>
        <v>13497.791500000001</v>
      </c>
      <c r="R367" s="43">
        <f t="shared" si="114"/>
        <v>665</v>
      </c>
      <c r="S367" s="38">
        <f t="shared" si="119"/>
        <v>17734.479500000001</v>
      </c>
      <c r="T367" s="49">
        <v>80</v>
      </c>
      <c r="U367" s="42">
        <v>26.4</v>
      </c>
      <c r="V367" s="38">
        <f t="shared" si="126"/>
        <v>2112</v>
      </c>
      <c r="W367" s="42">
        <v>133</v>
      </c>
      <c r="X367" s="42">
        <v>26.73</v>
      </c>
      <c r="Y367" s="42">
        <f t="shared" si="128"/>
        <v>3555.09</v>
      </c>
      <c r="Z367" s="42">
        <v>27</v>
      </c>
      <c r="AA367" s="42">
        <v>26.73</v>
      </c>
      <c r="AB367" s="42">
        <f t="shared" si="125"/>
        <v>721.71</v>
      </c>
      <c r="AD367" s="42">
        <v>420</v>
      </c>
      <c r="AE367" s="42">
        <v>26.57</v>
      </c>
      <c r="AF367" s="42">
        <f t="shared" si="130"/>
        <v>11159.4</v>
      </c>
      <c r="AG367" s="42"/>
      <c r="AH367" s="42">
        <v>85</v>
      </c>
      <c r="AI367" s="42">
        <v>26.72</v>
      </c>
      <c r="AJ367" s="42">
        <f t="shared" si="115"/>
        <v>2271.1999999999998</v>
      </c>
      <c r="AL367" s="42"/>
      <c r="AM367" s="42"/>
      <c r="AN367" s="42">
        <f t="shared" si="129"/>
        <v>0</v>
      </c>
      <c r="AO367" s="44"/>
      <c r="AP367" s="42"/>
      <c r="AQ367" s="42"/>
      <c r="AR367" s="42"/>
      <c r="AU367" s="98"/>
      <c r="AV367" s="35"/>
      <c r="AW367" s="104"/>
      <c r="AX367" s="42"/>
      <c r="AY367" s="42"/>
      <c r="AZ367" s="42">
        <f t="shared" si="113"/>
        <v>0</v>
      </c>
      <c r="BA367" s="42"/>
      <c r="BB367" s="42"/>
      <c r="BC367" s="42"/>
      <c r="BD367" s="38">
        <f t="shared" si="120"/>
        <v>0</v>
      </c>
      <c r="BE367" s="42"/>
      <c r="BF367" s="42"/>
      <c r="BG367" s="42"/>
      <c r="BH367" s="38">
        <f t="shared" si="121"/>
        <v>0</v>
      </c>
      <c r="BI367" s="42"/>
      <c r="BJ367" s="42"/>
      <c r="BK367" s="42"/>
      <c r="BL367" s="38">
        <f t="shared" si="122"/>
        <v>0</v>
      </c>
      <c r="BM367" s="42"/>
      <c r="BN367" s="42"/>
      <c r="BO367" s="42"/>
      <c r="BP367" s="42"/>
      <c r="BR367" s="42">
        <f t="shared" si="123"/>
        <v>19819.400000000001</v>
      </c>
      <c r="BS367" s="43"/>
      <c r="BT367" s="42">
        <v>2084.92</v>
      </c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  <c r="FM367" s="31"/>
      <c r="FN367" s="31"/>
      <c r="FO367" s="31"/>
      <c r="FP367" s="31"/>
      <c r="FQ367" s="31"/>
      <c r="FR367" s="31"/>
      <c r="FS367" s="31"/>
      <c r="FT367" s="31"/>
      <c r="FU367" s="31"/>
      <c r="FV367" s="31"/>
      <c r="FW367" s="31"/>
      <c r="FX367" s="31"/>
      <c r="FY367" s="31"/>
      <c r="FZ367" s="31"/>
      <c r="GA367" s="31"/>
      <c r="GB367" s="31"/>
      <c r="GC367" s="31"/>
      <c r="GD367" s="31"/>
      <c r="GE367" s="31"/>
      <c r="GF367" s="31"/>
      <c r="GG367" s="31"/>
      <c r="GH367" s="31"/>
      <c r="GI367" s="31"/>
      <c r="GJ367" s="31"/>
      <c r="GK367" s="31"/>
      <c r="GL367" s="31"/>
      <c r="GM367" s="31"/>
      <c r="GN367" s="31"/>
      <c r="GO367" s="31"/>
      <c r="GP367" s="31"/>
      <c r="GQ367" s="31"/>
      <c r="GR367" s="31"/>
      <c r="GS367" s="31"/>
      <c r="GT367" s="31"/>
      <c r="GU367" s="31"/>
      <c r="GV367" s="31"/>
      <c r="GW367" s="31"/>
      <c r="GX367" s="31"/>
      <c r="GY367" s="31"/>
      <c r="GZ367" s="31"/>
      <c r="HA367" s="31"/>
      <c r="HB367" s="31"/>
      <c r="HC367" s="31"/>
      <c r="HD367" s="31"/>
      <c r="HE367" s="31"/>
      <c r="HF367" s="31"/>
      <c r="HG367" s="31"/>
      <c r="HH367" s="31"/>
      <c r="HI367" s="31"/>
      <c r="HJ367" s="31"/>
      <c r="HK367" s="31"/>
      <c r="HL367" s="31"/>
      <c r="HM367" s="31"/>
      <c r="HN367" s="31"/>
      <c r="HO367" s="31"/>
      <c r="HP367" s="31"/>
      <c r="HQ367" s="31"/>
      <c r="HR367" s="31"/>
      <c r="HS367" s="31"/>
      <c r="HT367" s="31"/>
      <c r="HU367" s="31"/>
      <c r="HV367" s="31"/>
      <c r="HW367" s="31"/>
      <c r="HX367" s="31"/>
      <c r="HY367" s="31"/>
      <c r="HZ367" s="31"/>
      <c r="IA367" s="31"/>
      <c r="IB367" s="31"/>
      <c r="IC367" s="31"/>
      <c r="ID367" s="31"/>
      <c r="IE367" s="31"/>
      <c r="IF367" s="31"/>
      <c r="IG367" s="31"/>
      <c r="IH367" s="31"/>
      <c r="II367" s="31"/>
      <c r="IJ367" s="31"/>
      <c r="IK367" s="31"/>
      <c r="IL367" s="31"/>
      <c r="IM367" s="31"/>
      <c r="IN367" s="31"/>
      <c r="IO367" s="31"/>
      <c r="IP367" s="31"/>
      <c r="IQ367" s="31"/>
      <c r="IR367" s="31"/>
      <c r="IS367" s="31"/>
      <c r="IT367" s="31"/>
      <c r="IU367" s="31"/>
      <c r="IV367" s="31"/>
      <c r="IW367" s="31"/>
      <c r="IX367" s="31"/>
      <c r="IY367" s="31"/>
      <c r="IZ367" s="31"/>
      <c r="JA367" s="31"/>
      <c r="JB367" s="31"/>
      <c r="JC367" s="31"/>
      <c r="JD367" s="31"/>
      <c r="JE367" s="31"/>
      <c r="JF367" s="31"/>
      <c r="JG367" s="31"/>
      <c r="JH367" s="31"/>
      <c r="JI367" s="31"/>
      <c r="JJ367" s="31"/>
      <c r="JK367" s="31"/>
      <c r="JL367" s="31"/>
      <c r="JM367" s="31"/>
      <c r="JN367" s="31"/>
      <c r="JO367" s="31"/>
      <c r="JP367" s="31"/>
      <c r="JQ367" s="31"/>
      <c r="JR367" s="31"/>
      <c r="JS367" s="31"/>
      <c r="JT367" s="31"/>
      <c r="JU367" s="31"/>
      <c r="JV367" s="31"/>
      <c r="JW367" s="31"/>
      <c r="JX367" s="31"/>
      <c r="JY367" s="31"/>
      <c r="JZ367" s="31"/>
      <c r="KA367" s="31"/>
      <c r="KB367" s="31"/>
      <c r="KC367" s="31"/>
      <c r="KD367" s="31"/>
      <c r="KE367" s="31"/>
      <c r="KF367" s="31"/>
      <c r="KG367" s="31"/>
      <c r="KH367" s="31"/>
      <c r="KI367" s="31"/>
      <c r="KJ367" s="31"/>
      <c r="KK367" s="31"/>
      <c r="KL367" s="31"/>
      <c r="KM367" s="31"/>
      <c r="KN367" s="31"/>
      <c r="KO367" s="31"/>
      <c r="KP367" s="31"/>
      <c r="KQ367" s="31"/>
      <c r="KR367" s="31"/>
      <c r="KS367" s="31"/>
      <c r="KT367" s="31"/>
      <c r="KU367" s="31"/>
      <c r="KV367" s="31"/>
      <c r="KW367" s="31"/>
      <c r="KX367" s="31"/>
      <c r="KY367" s="31"/>
      <c r="KZ367" s="31"/>
      <c r="LA367" s="31"/>
      <c r="LB367" s="31"/>
      <c r="LC367" s="31"/>
      <c r="LD367" s="31"/>
      <c r="LE367" s="31"/>
      <c r="LF367" s="31"/>
      <c r="LG367" s="31"/>
      <c r="LH367" s="31"/>
      <c r="LI367" s="31"/>
      <c r="LJ367" s="31"/>
      <c r="LK367" s="31"/>
      <c r="LL367" s="31"/>
      <c r="LM367" s="31"/>
      <c r="LN367" s="31"/>
      <c r="LO367" s="31"/>
      <c r="LP367" s="31"/>
      <c r="LQ367" s="31"/>
      <c r="LR367" s="31"/>
      <c r="LS367" s="31"/>
      <c r="LT367" s="31"/>
      <c r="LU367" s="31"/>
      <c r="LV367" s="31"/>
      <c r="LW367" s="31"/>
      <c r="LX367" s="31"/>
      <c r="LY367" s="31"/>
      <c r="LZ367" s="31"/>
      <c r="MA367" s="31"/>
      <c r="MB367" s="31"/>
      <c r="MC367" s="31"/>
      <c r="MD367" s="31"/>
      <c r="ME367" s="31"/>
      <c r="MF367" s="31"/>
      <c r="MG367" s="31"/>
      <c r="MH367" s="31"/>
      <c r="MI367" s="31"/>
      <c r="MJ367" s="31"/>
      <c r="MK367" s="31"/>
      <c r="ML367" s="31"/>
      <c r="MM367" s="31"/>
      <c r="MN367" s="31"/>
      <c r="MO367" s="31"/>
      <c r="MP367" s="31"/>
      <c r="MQ367" s="31"/>
      <c r="MR367" s="31"/>
      <c r="MS367" s="31"/>
      <c r="MT367" s="31"/>
      <c r="MU367" s="31"/>
      <c r="MV367" s="31"/>
      <c r="MW367" s="31"/>
      <c r="MX367" s="31"/>
      <c r="MY367" s="31"/>
      <c r="MZ367" s="31"/>
      <c r="NA367" s="31"/>
      <c r="NB367" s="31"/>
      <c r="NC367" s="31"/>
      <c r="ND367" s="31"/>
      <c r="NE367" s="31"/>
      <c r="NF367" s="31"/>
      <c r="NG367" s="31"/>
      <c r="NH367" s="31"/>
      <c r="NI367" s="31"/>
      <c r="NJ367" s="31"/>
      <c r="NK367" s="31"/>
      <c r="NL367" s="31"/>
      <c r="NM367" s="31"/>
      <c r="NN367" s="31"/>
      <c r="NO367" s="31"/>
      <c r="NP367" s="31"/>
      <c r="NQ367" s="31"/>
      <c r="NR367" s="31"/>
      <c r="NS367" s="31"/>
      <c r="NT367" s="31"/>
      <c r="NU367" s="31"/>
      <c r="NV367" s="31"/>
      <c r="NW367" s="31"/>
      <c r="NX367" s="31"/>
      <c r="NY367" s="31"/>
      <c r="NZ367" s="31"/>
      <c r="OA367" s="31"/>
      <c r="OB367" s="31"/>
      <c r="OC367" s="31"/>
      <c r="OD367" s="31"/>
      <c r="OE367" s="31"/>
      <c r="OF367" s="31"/>
      <c r="OG367" s="31"/>
      <c r="OH367" s="31"/>
      <c r="OI367" s="31"/>
      <c r="OJ367" s="31"/>
      <c r="OK367" s="31"/>
      <c r="OL367" s="31"/>
      <c r="OM367" s="31"/>
      <c r="ON367" s="31"/>
      <c r="OO367" s="31"/>
      <c r="OP367" s="31"/>
      <c r="OQ367" s="31"/>
      <c r="OR367" s="31"/>
      <c r="OS367" s="31"/>
      <c r="OT367" s="31"/>
      <c r="OU367" s="31"/>
      <c r="OV367" s="31"/>
      <c r="OW367" s="31"/>
      <c r="OX367" s="31"/>
    </row>
    <row r="368" spans="1:414" s="25" customFormat="1" ht="15.6">
      <c r="B368" s="25" t="s">
        <v>954</v>
      </c>
      <c r="C368" s="27" t="s">
        <v>142</v>
      </c>
      <c r="D368" s="30" t="s">
        <v>105</v>
      </c>
      <c r="G368" s="42">
        <v>80</v>
      </c>
      <c r="H368" s="89">
        <v>26.109000000000002</v>
      </c>
      <c r="I368" s="38">
        <f t="shared" si="116"/>
        <v>2088.7200000000003</v>
      </c>
      <c r="K368" s="42">
        <v>80</v>
      </c>
      <c r="L368" s="90">
        <v>26.849599999999999</v>
      </c>
      <c r="M368" s="38">
        <f t="shared" si="117"/>
        <v>2147.9679999999998</v>
      </c>
      <c r="O368" s="42">
        <v>505</v>
      </c>
      <c r="P368" s="38">
        <v>26.728300000000001</v>
      </c>
      <c r="Q368" s="38">
        <f t="shared" si="118"/>
        <v>13497.791500000001</v>
      </c>
      <c r="R368" s="43">
        <f t="shared" si="114"/>
        <v>665</v>
      </c>
      <c r="S368" s="38">
        <f t="shared" si="119"/>
        <v>17734.479500000001</v>
      </c>
      <c r="T368" s="49">
        <v>120</v>
      </c>
      <c r="U368" s="42">
        <v>26.736499999999999</v>
      </c>
      <c r="V368" s="38">
        <f t="shared" si="126"/>
        <v>3208.38</v>
      </c>
      <c r="W368" s="42">
        <v>80</v>
      </c>
      <c r="X368" s="42">
        <v>26.890499999999999</v>
      </c>
      <c r="Y368" s="42">
        <f t="shared" si="128"/>
        <v>2151.2399999999998</v>
      </c>
      <c r="Z368" s="42">
        <v>40</v>
      </c>
      <c r="AA368" s="42">
        <v>26.9023</v>
      </c>
      <c r="AB368" s="42">
        <f t="shared" si="125"/>
        <v>1076.0920000000001</v>
      </c>
      <c r="AD368" s="42">
        <v>100</v>
      </c>
      <c r="AE368" s="42">
        <v>26.57</v>
      </c>
      <c r="AF368" s="42">
        <f t="shared" si="130"/>
        <v>2657</v>
      </c>
      <c r="AG368" s="42"/>
      <c r="AH368" s="42">
        <v>100</v>
      </c>
      <c r="AI368" s="42">
        <v>26.72</v>
      </c>
      <c r="AJ368" s="42">
        <f t="shared" si="115"/>
        <v>2672</v>
      </c>
      <c r="AL368" s="42">
        <v>85</v>
      </c>
      <c r="AM368" s="42">
        <v>26.73</v>
      </c>
      <c r="AN368" s="42">
        <f t="shared" si="129"/>
        <v>2272.0500000000002</v>
      </c>
      <c r="AO368" s="44"/>
      <c r="AP368" s="42">
        <v>220</v>
      </c>
      <c r="AQ368" s="42">
        <v>26.73</v>
      </c>
      <c r="AR368" s="42"/>
      <c r="AU368" s="98"/>
      <c r="AV368" s="35"/>
      <c r="AW368" s="104"/>
      <c r="AX368" s="42"/>
      <c r="AY368" s="42"/>
      <c r="AZ368" s="42">
        <f t="shared" si="113"/>
        <v>0</v>
      </c>
      <c r="BA368" s="42"/>
      <c r="BB368" s="42"/>
      <c r="BC368" s="42"/>
      <c r="BD368" s="38">
        <f t="shared" si="120"/>
        <v>0</v>
      </c>
      <c r="BE368" s="42"/>
      <c r="BF368" s="42"/>
      <c r="BG368" s="42"/>
      <c r="BH368" s="38">
        <f t="shared" si="121"/>
        <v>0</v>
      </c>
      <c r="BI368" s="42"/>
      <c r="BJ368" s="42"/>
      <c r="BK368" s="42"/>
      <c r="BL368" s="38">
        <f t="shared" si="122"/>
        <v>0</v>
      </c>
      <c r="BM368" s="42"/>
      <c r="BN368" s="42"/>
      <c r="BO368" s="42"/>
      <c r="BP368" s="42"/>
      <c r="BR368" s="42">
        <f t="shared" si="123"/>
        <v>14036.761999999999</v>
      </c>
      <c r="BS368" s="43">
        <f t="shared" si="124"/>
        <v>3697.7175000000025</v>
      </c>
      <c r="BT368" s="42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  <c r="FM368" s="31"/>
      <c r="FN368" s="31"/>
      <c r="FO368" s="31"/>
      <c r="FP368" s="31"/>
      <c r="FQ368" s="31"/>
      <c r="FR368" s="31"/>
      <c r="FS368" s="31"/>
      <c r="FT368" s="31"/>
      <c r="FU368" s="31"/>
      <c r="FV368" s="31"/>
      <c r="FW368" s="31"/>
      <c r="FX368" s="31"/>
      <c r="FY368" s="31"/>
      <c r="FZ368" s="31"/>
      <c r="GA368" s="31"/>
      <c r="GB368" s="31"/>
      <c r="GC368" s="31"/>
      <c r="GD368" s="31"/>
      <c r="GE368" s="31"/>
      <c r="GF368" s="31"/>
      <c r="GG368" s="31"/>
      <c r="GH368" s="31"/>
      <c r="GI368" s="31"/>
      <c r="GJ368" s="31"/>
      <c r="GK368" s="31"/>
      <c r="GL368" s="31"/>
      <c r="GM368" s="31"/>
      <c r="GN368" s="31"/>
      <c r="GO368" s="31"/>
      <c r="GP368" s="31"/>
      <c r="GQ368" s="31"/>
      <c r="GR368" s="31"/>
      <c r="GS368" s="31"/>
      <c r="GT368" s="31"/>
      <c r="GU368" s="31"/>
      <c r="GV368" s="31"/>
      <c r="GW368" s="31"/>
      <c r="GX368" s="31"/>
      <c r="GY368" s="31"/>
      <c r="GZ368" s="31"/>
      <c r="HA368" s="31"/>
      <c r="HB368" s="31"/>
      <c r="HC368" s="31"/>
      <c r="HD368" s="31"/>
      <c r="HE368" s="31"/>
      <c r="HF368" s="31"/>
      <c r="HG368" s="31"/>
      <c r="HH368" s="31"/>
      <c r="HI368" s="31"/>
      <c r="HJ368" s="31"/>
      <c r="HK368" s="31"/>
      <c r="HL368" s="31"/>
      <c r="HM368" s="31"/>
      <c r="HN368" s="31"/>
      <c r="HO368" s="31"/>
      <c r="HP368" s="31"/>
      <c r="HQ368" s="31"/>
      <c r="HR368" s="31"/>
      <c r="HS368" s="31"/>
      <c r="HT368" s="31"/>
      <c r="HU368" s="31"/>
      <c r="HV368" s="31"/>
      <c r="HW368" s="31"/>
      <c r="HX368" s="31"/>
      <c r="HY368" s="31"/>
      <c r="HZ368" s="31"/>
      <c r="IA368" s="31"/>
      <c r="IB368" s="31"/>
      <c r="IC368" s="31"/>
      <c r="ID368" s="31"/>
      <c r="IE368" s="31"/>
      <c r="IF368" s="31"/>
      <c r="IG368" s="31"/>
      <c r="IH368" s="31"/>
      <c r="II368" s="31"/>
      <c r="IJ368" s="31"/>
      <c r="IK368" s="31"/>
      <c r="IL368" s="31"/>
      <c r="IM368" s="31"/>
      <c r="IN368" s="31"/>
      <c r="IO368" s="31"/>
      <c r="IP368" s="31"/>
      <c r="IQ368" s="31"/>
      <c r="IR368" s="31"/>
      <c r="IS368" s="31"/>
      <c r="IT368" s="31"/>
      <c r="IU368" s="31"/>
      <c r="IV368" s="31"/>
      <c r="IW368" s="31"/>
      <c r="IX368" s="31"/>
      <c r="IY368" s="31"/>
      <c r="IZ368" s="31"/>
      <c r="JA368" s="31"/>
      <c r="JB368" s="31"/>
      <c r="JC368" s="31"/>
      <c r="JD368" s="31"/>
      <c r="JE368" s="31"/>
      <c r="JF368" s="31"/>
      <c r="JG368" s="31"/>
      <c r="JH368" s="31"/>
      <c r="JI368" s="31"/>
      <c r="JJ368" s="31"/>
      <c r="JK368" s="31"/>
      <c r="JL368" s="31"/>
      <c r="JM368" s="31"/>
      <c r="JN368" s="31"/>
      <c r="JO368" s="31"/>
      <c r="JP368" s="31"/>
      <c r="JQ368" s="31"/>
      <c r="JR368" s="31"/>
      <c r="JS368" s="31"/>
      <c r="JT368" s="31"/>
      <c r="JU368" s="31"/>
      <c r="JV368" s="31"/>
      <c r="JW368" s="31"/>
      <c r="JX368" s="31"/>
      <c r="JY368" s="31"/>
      <c r="JZ368" s="31"/>
      <c r="KA368" s="31"/>
      <c r="KB368" s="31"/>
      <c r="KC368" s="31"/>
      <c r="KD368" s="31"/>
      <c r="KE368" s="31"/>
      <c r="KF368" s="31"/>
      <c r="KG368" s="31"/>
      <c r="KH368" s="31"/>
      <c r="KI368" s="31"/>
      <c r="KJ368" s="31"/>
      <c r="KK368" s="31"/>
      <c r="KL368" s="31"/>
      <c r="KM368" s="31"/>
      <c r="KN368" s="31"/>
      <c r="KO368" s="31"/>
      <c r="KP368" s="31"/>
      <c r="KQ368" s="31"/>
      <c r="KR368" s="31"/>
      <c r="KS368" s="31"/>
      <c r="KT368" s="31"/>
      <c r="KU368" s="31"/>
      <c r="KV368" s="31"/>
      <c r="KW368" s="31"/>
      <c r="KX368" s="31"/>
      <c r="KY368" s="31"/>
      <c r="KZ368" s="31"/>
      <c r="LA368" s="31"/>
      <c r="LB368" s="31"/>
      <c r="LC368" s="31"/>
      <c r="LD368" s="31"/>
      <c r="LE368" s="31"/>
      <c r="LF368" s="31"/>
      <c r="LG368" s="31"/>
      <c r="LH368" s="31"/>
      <c r="LI368" s="31"/>
      <c r="LJ368" s="31"/>
      <c r="LK368" s="31"/>
      <c r="LL368" s="31"/>
      <c r="LM368" s="31"/>
      <c r="LN368" s="31"/>
      <c r="LO368" s="31"/>
      <c r="LP368" s="31"/>
      <c r="LQ368" s="31"/>
      <c r="LR368" s="31"/>
      <c r="LS368" s="31"/>
      <c r="LT368" s="31"/>
      <c r="LU368" s="31"/>
      <c r="LV368" s="31"/>
      <c r="LW368" s="31"/>
      <c r="LX368" s="31"/>
      <c r="LY368" s="31"/>
      <c r="LZ368" s="31"/>
      <c r="MA368" s="31"/>
      <c r="MB368" s="31"/>
      <c r="MC368" s="31"/>
      <c r="MD368" s="31"/>
      <c r="ME368" s="31"/>
      <c r="MF368" s="31"/>
      <c r="MG368" s="31"/>
      <c r="MH368" s="31"/>
      <c r="MI368" s="31"/>
      <c r="MJ368" s="31"/>
      <c r="MK368" s="31"/>
      <c r="ML368" s="31"/>
      <c r="MM368" s="31"/>
      <c r="MN368" s="31"/>
      <c r="MO368" s="31"/>
      <c r="MP368" s="31"/>
      <c r="MQ368" s="31"/>
      <c r="MR368" s="31"/>
      <c r="MS368" s="31"/>
      <c r="MT368" s="31"/>
      <c r="MU368" s="31"/>
      <c r="MV368" s="31"/>
      <c r="MW368" s="31"/>
      <c r="MX368" s="31"/>
      <c r="MY368" s="31"/>
      <c r="MZ368" s="31"/>
      <c r="NA368" s="31"/>
      <c r="NB368" s="31"/>
      <c r="NC368" s="31"/>
      <c r="ND368" s="31"/>
      <c r="NE368" s="31"/>
      <c r="NF368" s="31"/>
      <c r="NG368" s="31"/>
      <c r="NH368" s="31"/>
      <c r="NI368" s="31"/>
      <c r="NJ368" s="31"/>
      <c r="NK368" s="31"/>
      <c r="NL368" s="31"/>
      <c r="NM368" s="31"/>
      <c r="NN368" s="31"/>
      <c r="NO368" s="31"/>
      <c r="NP368" s="31"/>
      <c r="NQ368" s="31"/>
      <c r="NR368" s="31"/>
      <c r="NS368" s="31"/>
      <c r="NT368" s="31"/>
      <c r="NU368" s="31"/>
      <c r="NV368" s="31"/>
      <c r="NW368" s="31"/>
      <c r="NX368" s="31"/>
      <c r="NY368" s="31"/>
      <c r="NZ368" s="31"/>
      <c r="OA368" s="31"/>
      <c r="OB368" s="31"/>
      <c r="OC368" s="31"/>
      <c r="OD368" s="31"/>
      <c r="OE368" s="31"/>
      <c r="OF368" s="31"/>
      <c r="OG368" s="31"/>
      <c r="OH368" s="31"/>
      <c r="OI368" s="31"/>
      <c r="OJ368" s="31"/>
      <c r="OK368" s="31"/>
      <c r="OL368" s="31"/>
      <c r="OM368" s="31"/>
      <c r="ON368" s="31"/>
      <c r="OO368" s="31"/>
      <c r="OP368" s="31"/>
      <c r="OQ368" s="31"/>
      <c r="OR368" s="31"/>
      <c r="OS368" s="31"/>
      <c r="OT368" s="31"/>
      <c r="OU368" s="31"/>
      <c r="OV368" s="31"/>
      <c r="OW368" s="31"/>
      <c r="OX368" s="31"/>
    </row>
    <row r="369" spans="2:414" s="25" customFormat="1" ht="15.6">
      <c r="B369" s="25" t="s">
        <v>267</v>
      </c>
      <c r="C369" s="27" t="s">
        <v>464</v>
      </c>
      <c r="D369" s="30" t="s">
        <v>105</v>
      </c>
      <c r="G369" s="42">
        <v>80</v>
      </c>
      <c r="H369" s="89">
        <v>26.109000000000002</v>
      </c>
      <c r="I369" s="38">
        <f t="shared" si="116"/>
        <v>2088.7200000000003</v>
      </c>
      <c r="K369" s="42">
        <v>80</v>
      </c>
      <c r="L369" s="90">
        <v>26.849599999999999</v>
      </c>
      <c r="M369" s="38">
        <f t="shared" si="117"/>
        <v>2147.9679999999998</v>
      </c>
      <c r="O369" s="42">
        <v>505</v>
      </c>
      <c r="P369" s="38">
        <v>26.728300000000001</v>
      </c>
      <c r="Q369" s="38">
        <f t="shared" si="118"/>
        <v>13497.791500000001</v>
      </c>
      <c r="R369" s="43">
        <f t="shared" si="114"/>
        <v>665</v>
      </c>
      <c r="S369" s="38">
        <f t="shared" si="119"/>
        <v>17734.479500000001</v>
      </c>
      <c r="T369" s="49">
        <v>291</v>
      </c>
      <c r="U369" s="42">
        <v>26.74</v>
      </c>
      <c r="V369" s="38">
        <f t="shared" si="126"/>
        <v>7781.3399999999992</v>
      </c>
      <c r="W369" s="42">
        <v>295</v>
      </c>
      <c r="X369" s="42">
        <v>26.732500000000002</v>
      </c>
      <c r="Y369" s="42">
        <f t="shared" si="128"/>
        <v>7886.0875000000005</v>
      </c>
      <c r="Z369" s="42">
        <v>85</v>
      </c>
      <c r="AA369" s="42">
        <v>26.766200000000001</v>
      </c>
      <c r="AB369" s="42">
        <f t="shared" si="125"/>
        <v>2275.127</v>
      </c>
      <c r="AD369" s="42"/>
      <c r="AE369" s="42"/>
      <c r="AF369" s="42">
        <f t="shared" si="130"/>
        <v>0</v>
      </c>
      <c r="AG369" s="42"/>
      <c r="AH369" s="42"/>
      <c r="AI369" s="42"/>
      <c r="AJ369" s="42">
        <f t="shared" si="115"/>
        <v>0</v>
      </c>
      <c r="AL369" s="42"/>
      <c r="AM369" s="42"/>
      <c r="AN369" s="42">
        <f t="shared" si="129"/>
        <v>0</v>
      </c>
      <c r="AO369" s="44"/>
      <c r="AP369" s="42"/>
      <c r="AQ369" s="42"/>
      <c r="AR369" s="42"/>
      <c r="AU369" s="98"/>
      <c r="AV369" s="35"/>
      <c r="AW369" s="104"/>
      <c r="AX369" s="42"/>
      <c r="AY369" s="42"/>
      <c r="AZ369" s="42">
        <f t="shared" si="113"/>
        <v>0</v>
      </c>
      <c r="BA369" s="42"/>
      <c r="BB369" s="42"/>
      <c r="BC369" s="42"/>
      <c r="BD369" s="38">
        <f t="shared" si="120"/>
        <v>0</v>
      </c>
      <c r="BE369" s="42"/>
      <c r="BF369" s="42"/>
      <c r="BG369" s="42"/>
      <c r="BH369" s="38">
        <f t="shared" si="121"/>
        <v>0</v>
      </c>
      <c r="BI369" s="42"/>
      <c r="BJ369" s="42"/>
      <c r="BK369" s="42"/>
      <c r="BL369" s="38">
        <f t="shared" si="122"/>
        <v>0</v>
      </c>
      <c r="BM369" s="42"/>
      <c r="BN369" s="42"/>
      <c r="BO369" s="42"/>
      <c r="BP369" s="42"/>
      <c r="BR369" s="42">
        <f t="shared" si="123"/>
        <v>17942.554499999998</v>
      </c>
      <c r="BS369" s="43"/>
      <c r="BT369" s="42">
        <v>208.07</v>
      </c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  <c r="FM369" s="31"/>
      <c r="FN369" s="31"/>
      <c r="FO369" s="31"/>
      <c r="FP369" s="31"/>
      <c r="FQ369" s="31"/>
      <c r="FR369" s="31"/>
      <c r="FS369" s="31"/>
      <c r="FT369" s="31"/>
      <c r="FU369" s="31"/>
      <c r="FV369" s="31"/>
      <c r="FW369" s="31"/>
      <c r="FX369" s="31"/>
      <c r="FY369" s="31"/>
      <c r="FZ369" s="31"/>
      <c r="GA369" s="31"/>
      <c r="GB369" s="31"/>
      <c r="GC369" s="31"/>
      <c r="GD369" s="31"/>
      <c r="GE369" s="31"/>
      <c r="GF369" s="31"/>
      <c r="GG369" s="31"/>
      <c r="GH369" s="31"/>
      <c r="GI369" s="31"/>
      <c r="GJ369" s="31"/>
      <c r="GK369" s="31"/>
      <c r="GL369" s="31"/>
      <c r="GM369" s="31"/>
      <c r="GN369" s="31"/>
      <c r="GO369" s="31"/>
      <c r="GP369" s="31"/>
      <c r="GQ369" s="31"/>
      <c r="GR369" s="31"/>
      <c r="GS369" s="31"/>
      <c r="GT369" s="31"/>
      <c r="GU369" s="31"/>
      <c r="GV369" s="31"/>
      <c r="GW369" s="31"/>
      <c r="GX369" s="31"/>
      <c r="GY369" s="31"/>
      <c r="GZ369" s="31"/>
      <c r="HA369" s="31"/>
      <c r="HB369" s="31"/>
      <c r="HC369" s="31"/>
      <c r="HD369" s="31"/>
      <c r="HE369" s="31"/>
      <c r="HF369" s="31"/>
      <c r="HG369" s="31"/>
      <c r="HH369" s="31"/>
      <c r="HI369" s="31"/>
      <c r="HJ369" s="31"/>
      <c r="HK369" s="31"/>
      <c r="HL369" s="31"/>
      <c r="HM369" s="31"/>
      <c r="HN369" s="31"/>
      <c r="HO369" s="31"/>
      <c r="HP369" s="31"/>
      <c r="HQ369" s="31"/>
      <c r="HR369" s="31"/>
      <c r="HS369" s="31"/>
      <c r="HT369" s="31"/>
      <c r="HU369" s="31"/>
      <c r="HV369" s="31"/>
      <c r="HW369" s="31"/>
      <c r="HX369" s="31"/>
      <c r="HY369" s="31"/>
      <c r="HZ369" s="31"/>
      <c r="IA369" s="31"/>
      <c r="IB369" s="31"/>
      <c r="IC369" s="31"/>
      <c r="ID369" s="31"/>
      <c r="IE369" s="31"/>
      <c r="IF369" s="31"/>
      <c r="IG369" s="31"/>
      <c r="IH369" s="31"/>
      <c r="II369" s="31"/>
      <c r="IJ369" s="31"/>
      <c r="IK369" s="31"/>
      <c r="IL369" s="31"/>
      <c r="IM369" s="31"/>
      <c r="IN369" s="31"/>
      <c r="IO369" s="31"/>
      <c r="IP369" s="31"/>
      <c r="IQ369" s="31"/>
      <c r="IR369" s="31"/>
      <c r="IS369" s="31"/>
      <c r="IT369" s="31"/>
      <c r="IU369" s="31"/>
      <c r="IV369" s="31"/>
      <c r="IW369" s="31"/>
      <c r="IX369" s="31"/>
      <c r="IY369" s="31"/>
      <c r="IZ369" s="31"/>
      <c r="JA369" s="31"/>
      <c r="JB369" s="31"/>
      <c r="JC369" s="31"/>
      <c r="JD369" s="31"/>
      <c r="JE369" s="31"/>
      <c r="JF369" s="31"/>
      <c r="JG369" s="31"/>
      <c r="JH369" s="31"/>
      <c r="JI369" s="31"/>
      <c r="JJ369" s="31"/>
      <c r="JK369" s="31"/>
      <c r="JL369" s="31"/>
      <c r="JM369" s="31"/>
      <c r="JN369" s="31"/>
      <c r="JO369" s="31"/>
      <c r="JP369" s="31"/>
      <c r="JQ369" s="31"/>
      <c r="JR369" s="31"/>
      <c r="JS369" s="31"/>
      <c r="JT369" s="31"/>
      <c r="JU369" s="31"/>
      <c r="JV369" s="31"/>
      <c r="JW369" s="31"/>
      <c r="JX369" s="31"/>
      <c r="JY369" s="31"/>
      <c r="JZ369" s="31"/>
      <c r="KA369" s="31"/>
      <c r="KB369" s="31"/>
      <c r="KC369" s="31"/>
      <c r="KD369" s="31"/>
      <c r="KE369" s="31"/>
      <c r="KF369" s="31"/>
      <c r="KG369" s="31"/>
      <c r="KH369" s="31"/>
      <c r="KI369" s="31"/>
      <c r="KJ369" s="31"/>
      <c r="KK369" s="31"/>
      <c r="KL369" s="31"/>
      <c r="KM369" s="31"/>
      <c r="KN369" s="31"/>
      <c r="KO369" s="31"/>
      <c r="KP369" s="31"/>
      <c r="KQ369" s="31"/>
      <c r="KR369" s="31"/>
      <c r="KS369" s="31"/>
      <c r="KT369" s="31"/>
      <c r="KU369" s="31"/>
      <c r="KV369" s="31"/>
      <c r="KW369" s="31"/>
      <c r="KX369" s="31"/>
      <c r="KY369" s="31"/>
      <c r="KZ369" s="31"/>
      <c r="LA369" s="31"/>
      <c r="LB369" s="31"/>
      <c r="LC369" s="31"/>
      <c r="LD369" s="31"/>
      <c r="LE369" s="31"/>
      <c r="LF369" s="31"/>
      <c r="LG369" s="31"/>
      <c r="LH369" s="31"/>
      <c r="LI369" s="31"/>
      <c r="LJ369" s="31"/>
      <c r="LK369" s="31"/>
      <c r="LL369" s="31"/>
      <c r="LM369" s="31"/>
      <c r="LN369" s="31"/>
      <c r="LO369" s="31"/>
      <c r="LP369" s="31"/>
      <c r="LQ369" s="31"/>
      <c r="LR369" s="31"/>
      <c r="LS369" s="31"/>
      <c r="LT369" s="31"/>
      <c r="LU369" s="31"/>
      <c r="LV369" s="31"/>
      <c r="LW369" s="31"/>
      <c r="LX369" s="31"/>
      <c r="LY369" s="31"/>
      <c r="LZ369" s="31"/>
      <c r="MA369" s="31"/>
      <c r="MB369" s="31"/>
      <c r="MC369" s="31"/>
      <c r="MD369" s="31"/>
      <c r="ME369" s="31"/>
      <c r="MF369" s="31"/>
      <c r="MG369" s="31"/>
      <c r="MH369" s="31"/>
      <c r="MI369" s="31"/>
      <c r="MJ369" s="31"/>
      <c r="MK369" s="31"/>
      <c r="ML369" s="31"/>
      <c r="MM369" s="31"/>
      <c r="MN369" s="31"/>
      <c r="MO369" s="31"/>
      <c r="MP369" s="31"/>
      <c r="MQ369" s="31"/>
      <c r="MR369" s="31"/>
      <c r="MS369" s="31"/>
      <c r="MT369" s="31"/>
      <c r="MU369" s="31"/>
      <c r="MV369" s="31"/>
      <c r="MW369" s="31"/>
      <c r="MX369" s="31"/>
      <c r="MY369" s="31"/>
      <c r="MZ369" s="31"/>
      <c r="NA369" s="31"/>
      <c r="NB369" s="31"/>
      <c r="NC369" s="31"/>
      <c r="ND369" s="31"/>
      <c r="NE369" s="31"/>
      <c r="NF369" s="31"/>
      <c r="NG369" s="31"/>
      <c r="NH369" s="31"/>
      <c r="NI369" s="31"/>
      <c r="NJ369" s="31"/>
      <c r="NK369" s="31"/>
      <c r="NL369" s="31"/>
      <c r="NM369" s="31"/>
      <c r="NN369" s="31"/>
      <c r="NO369" s="31"/>
      <c r="NP369" s="31"/>
      <c r="NQ369" s="31"/>
      <c r="NR369" s="31"/>
      <c r="NS369" s="31"/>
      <c r="NT369" s="31"/>
      <c r="NU369" s="31"/>
      <c r="NV369" s="31"/>
      <c r="NW369" s="31"/>
      <c r="NX369" s="31"/>
      <c r="NY369" s="31"/>
      <c r="NZ369" s="31"/>
      <c r="OA369" s="31"/>
      <c r="OB369" s="31"/>
      <c r="OC369" s="31"/>
      <c r="OD369" s="31"/>
      <c r="OE369" s="31"/>
      <c r="OF369" s="31"/>
      <c r="OG369" s="31"/>
      <c r="OH369" s="31"/>
      <c r="OI369" s="31"/>
      <c r="OJ369" s="31"/>
      <c r="OK369" s="31"/>
      <c r="OL369" s="31"/>
      <c r="OM369" s="31"/>
      <c r="ON369" s="31"/>
      <c r="OO369" s="31"/>
      <c r="OP369" s="31"/>
      <c r="OQ369" s="31"/>
      <c r="OR369" s="31"/>
      <c r="OS369" s="31"/>
      <c r="OT369" s="31"/>
      <c r="OU369" s="31"/>
      <c r="OV369" s="31"/>
      <c r="OW369" s="31"/>
      <c r="OX369" s="31"/>
    </row>
    <row r="370" spans="2:414" s="25" customFormat="1" ht="15.6">
      <c r="B370" s="25" t="s">
        <v>955</v>
      </c>
      <c r="C370" s="27" t="s">
        <v>764</v>
      </c>
      <c r="D370" s="30" t="s">
        <v>105</v>
      </c>
      <c r="G370" s="42">
        <v>80</v>
      </c>
      <c r="H370" s="89">
        <v>26.109000000000002</v>
      </c>
      <c r="I370" s="38">
        <f t="shared" si="116"/>
        <v>2088.7200000000003</v>
      </c>
      <c r="K370" s="42">
        <v>80</v>
      </c>
      <c r="L370" s="90">
        <v>26.849599999999999</v>
      </c>
      <c r="M370" s="38">
        <f t="shared" si="117"/>
        <v>2147.9679999999998</v>
      </c>
      <c r="O370" s="42">
        <v>505</v>
      </c>
      <c r="P370" s="38">
        <v>26.728300000000001</v>
      </c>
      <c r="Q370" s="38">
        <f t="shared" si="118"/>
        <v>13497.791500000001</v>
      </c>
      <c r="R370" s="43">
        <f t="shared" si="114"/>
        <v>665</v>
      </c>
      <c r="S370" s="38">
        <f t="shared" si="119"/>
        <v>17734.479500000001</v>
      </c>
      <c r="T370" s="49"/>
      <c r="U370" s="42"/>
      <c r="V370" s="38">
        <f t="shared" si="126"/>
        <v>0</v>
      </c>
      <c r="W370" s="42">
        <v>324</v>
      </c>
      <c r="X370" s="42">
        <v>26.766200000000001</v>
      </c>
      <c r="Y370" s="42">
        <f t="shared" si="128"/>
        <v>8672.2488000000012</v>
      </c>
      <c r="Z370" s="42">
        <v>240</v>
      </c>
      <c r="AA370" s="42">
        <v>26.77</v>
      </c>
      <c r="AB370" s="42">
        <f t="shared" si="125"/>
        <v>6424.8</v>
      </c>
      <c r="AD370" s="42">
        <v>260</v>
      </c>
      <c r="AE370" s="42">
        <v>26.57</v>
      </c>
      <c r="AF370" s="42">
        <f t="shared" si="130"/>
        <v>6908.2</v>
      </c>
      <c r="AG370" s="42"/>
      <c r="AH370" s="42">
        <v>85</v>
      </c>
      <c r="AI370" s="42">
        <v>26.72</v>
      </c>
      <c r="AJ370" s="42">
        <f t="shared" si="115"/>
        <v>2271.1999999999998</v>
      </c>
      <c r="AL370" s="42">
        <v>160</v>
      </c>
      <c r="AM370" s="42">
        <v>27.73</v>
      </c>
      <c r="AN370" s="42">
        <f t="shared" si="129"/>
        <v>4436.8</v>
      </c>
      <c r="AO370" s="44"/>
      <c r="AP370" s="42"/>
      <c r="AQ370" s="42"/>
      <c r="AR370" s="42"/>
      <c r="AU370" s="98"/>
      <c r="AV370" s="35"/>
      <c r="AW370" s="104"/>
      <c r="AX370" s="42"/>
      <c r="AY370" s="42"/>
      <c r="AZ370" s="42">
        <f t="shared" si="113"/>
        <v>0</v>
      </c>
      <c r="BA370" s="42"/>
      <c r="BB370" s="42"/>
      <c r="BC370" s="42"/>
      <c r="BD370" s="38">
        <f t="shared" si="120"/>
        <v>0</v>
      </c>
      <c r="BE370" s="42"/>
      <c r="BF370" s="42"/>
      <c r="BG370" s="42"/>
      <c r="BH370" s="38">
        <f t="shared" si="121"/>
        <v>0</v>
      </c>
      <c r="BI370" s="42"/>
      <c r="BJ370" s="42"/>
      <c r="BK370" s="42"/>
      <c r="BL370" s="38">
        <f t="shared" si="122"/>
        <v>0</v>
      </c>
      <c r="BM370" s="42"/>
      <c r="BN370" s="42"/>
      <c r="BO370" s="42"/>
      <c r="BP370" s="42"/>
      <c r="BR370" s="42">
        <f t="shared" si="123"/>
        <v>28713.248800000001</v>
      </c>
      <c r="BS370" s="43"/>
      <c r="BT370" s="42">
        <v>10978.77</v>
      </c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  <c r="FM370" s="31"/>
      <c r="FN370" s="31"/>
      <c r="FO370" s="31"/>
      <c r="FP370" s="31"/>
      <c r="FQ370" s="31"/>
      <c r="FR370" s="31"/>
      <c r="FS370" s="31"/>
      <c r="FT370" s="31"/>
      <c r="FU370" s="31"/>
      <c r="FV370" s="31"/>
      <c r="FW370" s="31"/>
      <c r="FX370" s="31"/>
      <c r="FY370" s="31"/>
      <c r="FZ370" s="31"/>
      <c r="GA370" s="31"/>
      <c r="GB370" s="31"/>
      <c r="GC370" s="31"/>
      <c r="GD370" s="31"/>
      <c r="GE370" s="31"/>
      <c r="GF370" s="31"/>
      <c r="GG370" s="31"/>
      <c r="GH370" s="31"/>
      <c r="GI370" s="31"/>
      <c r="GJ370" s="31"/>
      <c r="GK370" s="31"/>
      <c r="GL370" s="31"/>
      <c r="GM370" s="31"/>
      <c r="GN370" s="31"/>
      <c r="GO370" s="31"/>
      <c r="GP370" s="31"/>
      <c r="GQ370" s="31"/>
      <c r="GR370" s="31"/>
      <c r="GS370" s="31"/>
      <c r="GT370" s="31"/>
      <c r="GU370" s="31"/>
      <c r="GV370" s="31"/>
      <c r="GW370" s="31"/>
      <c r="GX370" s="31"/>
      <c r="GY370" s="31"/>
      <c r="GZ370" s="31"/>
      <c r="HA370" s="31"/>
      <c r="HB370" s="31"/>
      <c r="HC370" s="31"/>
      <c r="HD370" s="31"/>
      <c r="HE370" s="31"/>
      <c r="HF370" s="31"/>
      <c r="HG370" s="31"/>
      <c r="HH370" s="31"/>
      <c r="HI370" s="31"/>
      <c r="HJ370" s="31"/>
      <c r="HK370" s="31"/>
      <c r="HL370" s="31"/>
      <c r="HM370" s="31"/>
      <c r="HN370" s="31"/>
      <c r="HO370" s="31"/>
      <c r="HP370" s="31"/>
      <c r="HQ370" s="31"/>
      <c r="HR370" s="31"/>
      <c r="HS370" s="31"/>
      <c r="HT370" s="31"/>
      <c r="HU370" s="31"/>
      <c r="HV370" s="31"/>
      <c r="HW370" s="31"/>
      <c r="HX370" s="31"/>
      <c r="HY370" s="31"/>
      <c r="HZ370" s="31"/>
      <c r="IA370" s="31"/>
      <c r="IB370" s="31"/>
      <c r="IC370" s="31"/>
      <c r="ID370" s="31"/>
      <c r="IE370" s="31"/>
      <c r="IF370" s="31"/>
      <c r="IG370" s="31"/>
      <c r="IH370" s="31"/>
      <c r="II370" s="31"/>
      <c r="IJ370" s="31"/>
      <c r="IK370" s="31"/>
      <c r="IL370" s="31"/>
      <c r="IM370" s="31"/>
      <c r="IN370" s="31"/>
      <c r="IO370" s="31"/>
      <c r="IP370" s="31"/>
      <c r="IQ370" s="31"/>
      <c r="IR370" s="31"/>
      <c r="IS370" s="31"/>
      <c r="IT370" s="31"/>
      <c r="IU370" s="31"/>
      <c r="IV370" s="31"/>
      <c r="IW370" s="31"/>
      <c r="IX370" s="31"/>
      <c r="IY370" s="31"/>
      <c r="IZ370" s="31"/>
      <c r="JA370" s="31"/>
      <c r="JB370" s="31"/>
      <c r="JC370" s="31"/>
      <c r="JD370" s="31"/>
      <c r="JE370" s="31"/>
      <c r="JF370" s="31"/>
      <c r="JG370" s="31"/>
      <c r="JH370" s="31"/>
      <c r="JI370" s="31"/>
      <c r="JJ370" s="31"/>
      <c r="JK370" s="31"/>
      <c r="JL370" s="31"/>
      <c r="JM370" s="31"/>
      <c r="JN370" s="31"/>
      <c r="JO370" s="31"/>
      <c r="JP370" s="31"/>
      <c r="JQ370" s="31"/>
      <c r="JR370" s="31"/>
      <c r="JS370" s="31"/>
      <c r="JT370" s="31"/>
      <c r="JU370" s="31"/>
      <c r="JV370" s="31"/>
      <c r="JW370" s="31"/>
      <c r="JX370" s="31"/>
      <c r="JY370" s="31"/>
      <c r="JZ370" s="31"/>
      <c r="KA370" s="31"/>
      <c r="KB370" s="31"/>
      <c r="KC370" s="31"/>
      <c r="KD370" s="31"/>
      <c r="KE370" s="31"/>
      <c r="KF370" s="31"/>
      <c r="KG370" s="31"/>
      <c r="KH370" s="31"/>
      <c r="KI370" s="31"/>
      <c r="KJ370" s="31"/>
      <c r="KK370" s="31"/>
      <c r="KL370" s="31"/>
      <c r="KM370" s="31"/>
      <c r="KN370" s="31"/>
      <c r="KO370" s="31"/>
      <c r="KP370" s="31"/>
      <c r="KQ370" s="31"/>
      <c r="KR370" s="31"/>
      <c r="KS370" s="31"/>
      <c r="KT370" s="31"/>
      <c r="KU370" s="31"/>
      <c r="KV370" s="31"/>
      <c r="KW370" s="31"/>
      <c r="KX370" s="31"/>
      <c r="KY370" s="31"/>
      <c r="KZ370" s="31"/>
      <c r="LA370" s="31"/>
      <c r="LB370" s="31"/>
      <c r="LC370" s="31"/>
      <c r="LD370" s="31"/>
      <c r="LE370" s="31"/>
      <c r="LF370" s="31"/>
      <c r="LG370" s="31"/>
      <c r="LH370" s="31"/>
      <c r="LI370" s="31"/>
      <c r="LJ370" s="31"/>
      <c r="LK370" s="31"/>
      <c r="LL370" s="31"/>
      <c r="LM370" s="31"/>
      <c r="LN370" s="31"/>
      <c r="LO370" s="31"/>
      <c r="LP370" s="31"/>
      <c r="LQ370" s="31"/>
      <c r="LR370" s="31"/>
      <c r="LS370" s="31"/>
      <c r="LT370" s="31"/>
      <c r="LU370" s="31"/>
      <c r="LV370" s="31"/>
      <c r="LW370" s="31"/>
      <c r="LX370" s="31"/>
      <c r="LY370" s="31"/>
      <c r="LZ370" s="31"/>
      <c r="MA370" s="31"/>
      <c r="MB370" s="31"/>
      <c r="MC370" s="31"/>
      <c r="MD370" s="31"/>
      <c r="ME370" s="31"/>
      <c r="MF370" s="31"/>
      <c r="MG370" s="31"/>
      <c r="MH370" s="31"/>
      <c r="MI370" s="31"/>
      <c r="MJ370" s="31"/>
      <c r="MK370" s="31"/>
      <c r="ML370" s="31"/>
      <c r="MM370" s="31"/>
      <c r="MN370" s="31"/>
      <c r="MO370" s="31"/>
      <c r="MP370" s="31"/>
      <c r="MQ370" s="31"/>
      <c r="MR370" s="31"/>
      <c r="MS370" s="31"/>
      <c r="MT370" s="31"/>
      <c r="MU370" s="31"/>
      <c r="MV370" s="31"/>
      <c r="MW370" s="31"/>
      <c r="MX370" s="31"/>
      <c r="MY370" s="31"/>
      <c r="MZ370" s="31"/>
      <c r="NA370" s="31"/>
      <c r="NB370" s="31"/>
      <c r="NC370" s="31"/>
      <c r="ND370" s="31"/>
      <c r="NE370" s="31"/>
      <c r="NF370" s="31"/>
      <c r="NG370" s="31"/>
      <c r="NH370" s="31"/>
      <c r="NI370" s="31"/>
      <c r="NJ370" s="31"/>
      <c r="NK370" s="31"/>
      <c r="NL370" s="31"/>
      <c r="NM370" s="31"/>
      <c r="NN370" s="31"/>
      <c r="NO370" s="31"/>
      <c r="NP370" s="31"/>
      <c r="NQ370" s="31"/>
      <c r="NR370" s="31"/>
      <c r="NS370" s="31"/>
      <c r="NT370" s="31"/>
      <c r="NU370" s="31"/>
      <c r="NV370" s="31"/>
      <c r="NW370" s="31"/>
      <c r="NX370" s="31"/>
      <c r="NY370" s="31"/>
      <c r="NZ370" s="31"/>
      <c r="OA370" s="31"/>
      <c r="OB370" s="31"/>
      <c r="OC370" s="31"/>
      <c r="OD370" s="31"/>
      <c r="OE370" s="31"/>
      <c r="OF370" s="31"/>
      <c r="OG370" s="31"/>
      <c r="OH370" s="31"/>
      <c r="OI370" s="31"/>
      <c r="OJ370" s="31"/>
      <c r="OK370" s="31"/>
      <c r="OL370" s="31"/>
      <c r="OM370" s="31"/>
      <c r="ON370" s="31"/>
      <c r="OO370" s="31"/>
      <c r="OP370" s="31"/>
      <c r="OQ370" s="31"/>
      <c r="OR370" s="31"/>
      <c r="OS370" s="31"/>
      <c r="OT370" s="31"/>
      <c r="OU370" s="31"/>
      <c r="OV370" s="31"/>
      <c r="OW370" s="31"/>
      <c r="OX370" s="31"/>
    </row>
    <row r="371" spans="2:414" s="25" customFormat="1" ht="15.6">
      <c r="B371" s="25" t="s">
        <v>956</v>
      </c>
      <c r="C371" s="27" t="s">
        <v>19</v>
      </c>
      <c r="D371" s="30" t="s">
        <v>105</v>
      </c>
      <c r="G371" s="42">
        <v>80</v>
      </c>
      <c r="H371" s="89">
        <v>26.109000000000002</v>
      </c>
      <c r="I371" s="38">
        <f t="shared" si="116"/>
        <v>2088.7200000000003</v>
      </c>
      <c r="K371" s="42">
        <v>80</v>
      </c>
      <c r="L371" s="90">
        <v>26.849599999999999</v>
      </c>
      <c r="M371" s="38">
        <f t="shared" si="117"/>
        <v>2147.9679999999998</v>
      </c>
      <c r="O371" s="42">
        <v>505</v>
      </c>
      <c r="P371" s="38">
        <v>26.728300000000001</v>
      </c>
      <c r="Q371" s="38">
        <f t="shared" si="118"/>
        <v>13497.791500000001</v>
      </c>
      <c r="R371" s="43">
        <f t="shared" si="114"/>
        <v>665</v>
      </c>
      <c r="S371" s="38">
        <f t="shared" si="119"/>
        <v>17734.479500000001</v>
      </c>
      <c r="T371" s="49">
        <v>240</v>
      </c>
      <c r="U371" s="42">
        <v>26.251899999999999</v>
      </c>
      <c r="V371" s="38">
        <f t="shared" si="126"/>
        <v>6300.4560000000001</v>
      </c>
      <c r="W371" s="42">
        <v>35</v>
      </c>
      <c r="X371" s="42">
        <v>26.25</v>
      </c>
      <c r="Y371" s="42">
        <f t="shared" si="128"/>
        <v>918.75</v>
      </c>
      <c r="Z371" s="42">
        <v>420</v>
      </c>
      <c r="AA371" s="42">
        <v>26.7165</v>
      </c>
      <c r="AB371" s="42">
        <f t="shared" si="125"/>
        <v>11220.93</v>
      </c>
      <c r="AD371" s="42">
        <v>85</v>
      </c>
      <c r="AE371" s="42">
        <v>26.72</v>
      </c>
      <c r="AF371" s="42">
        <f t="shared" si="130"/>
        <v>2271.1999999999998</v>
      </c>
      <c r="AG371" s="42"/>
      <c r="AH371" s="42"/>
      <c r="AI371" s="42"/>
      <c r="AJ371" s="42">
        <f t="shared" si="115"/>
        <v>0</v>
      </c>
      <c r="AL371" s="42"/>
      <c r="AM371" s="42"/>
      <c r="AN371" s="42"/>
      <c r="AO371" s="44"/>
      <c r="AP371" s="42"/>
      <c r="AQ371" s="42"/>
      <c r="AR371" s="42"/>
      <c r="AU371" s="98"/>
      <c r="AV371" s="35"/>
      <c r="AW371" s="104"/>
      <c r="AX371" s="42"/>
      <c r="AY371" s="42"/>
      <c r="AZ371" s="42">
        <f t="shared" si="113"/>
        <v>0</v>
      </c>
      <c r="BA371" s="42"/>
      <c r="BB371" s="42"/>
      <c r="BC371" s="42"/>
      <c r="BD371" s="38">
        <f t="shared" si="120"/>
        <v>0</v>
      </c>
      <c r="BE371" s="42"/>
      <c r="BF371" s="42"/>
      <c r="BG371" s="42"/>
      <c r="BH371" s="38">
        <f t="shared" si="121"/>
        <v>0</v>
      </c>
      <c r="BI371" s="42"/>
      <c r="BJ371" s="42"/>
      <c r="BK371" s="42"/>
      <c r="BL371" s="38">
        <f t="shared" si="122"/>
        <v>0</v>
      </c>
      <c r="BM371" s="42"/>
      <c r="BN371" s="42"/>
      <c r="BO371" s="42"/>
      <c r="BP371" s="42"/>
      <c r="BR371" s="42">
        <f t="shared" si="123"/>
        <v>20711.335999999999</v>
      </c>
      <c r="BS371" s="43"/>
      <c r="BT371" s="42">
        <v>2976.86</v>
      </c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  <c r="FM371" s="31"/>
      <c r="FN371" s="31"/>
      <c r="FO371" s="31"/>
      <c r="FP371" s="31"/>
      <c r="FQ371" s="31"/>
      <c r="FR371" s="31"/>
      <c r="FS371" s="31"/>
      <c r="FT371" s="31"/>
      <c r="FU371" s="31"/>
      <c r="FV371" s="31"/>
      <c r="FW371" s="31"/>
      <c r="FX371" s="31"/>
      <c r="FY371" s="31"/>
      <c r="FZ371" s="31"/>
      <c r="GA371" s="31"/>
      <c r="GB371" s="31"/>
      <c r="GC371" s="31"/>
      <c r="GD371" s="31"/>
      <c r="GE371" s="31"/>
      <c r="GF371" s="31"/>
      <c r="GG371" s="31"/>
      <c r="GH371" s="31"/>
      <c r="GI371" s="31"/>
      <c r="GJ371" s="31"/>
      <c r="GK371" s="31"/>
      <c r="GL371" s="31"/>
      <c r="GM371" s="31"/>
      <c r="GN371" s="31"/>
      <c r="GO371" s="31"/>
      <c r="GP371" s="31"/>
      <c r="GQ371" s="31"/>
      <c r="GR371" s="31"/>
      <c r="GS371" s="31"/>
      <c r="GT371" s="31"/>
      <c r="GU371" s="31"/>
      <c r="GV371" s="31"/>
      <c r="GW371" s="31"/>
      <c r="GX371" s="31"/>
      <c r="GY371" s="31"/>
      <c r="GZ371" s="31"/>
      <c r="HA371" s="31"/>
      <c r="HB371" s="31"/>
      <c r="HC371" s="31"/>
      <c r="HD371" s="31"/>
      <c r="HE371" s="31"/>
      <c r="HF371" s="31"/>
      <c r="HG371" s="31"/>
      <c r="HH371" s="31"/>
      <c r="HI371" s="31"/>
      <c r="HJ371" s="31"/>
      <c r="HK371" s="31"/>
      <c r="HL371" s="31"/>
      <c r="HM371" s="31"/>
      <c r="HN371" s="31"/>
      <c r="HO371" s="31"/>
      <c r="HP371" s="31"/>
      <c r="HQ371" s="31"/>
      <c r="HR371" s="31"/>
      <c r="HS371" s="31"/>
      <c r="HT371" s="31"/>
      <c r="HU371" s="31"/>
      <c r="HV371" s="31"/>
      <c r="HW371" s="31"/>
      <c r="HX371" s="31"/>
      <c r="HY371" s="31"/>
      <c r="HZ371" s="31"/>
      <c r="IA371" s="31"/>
      <c r="IB371" s="31"/>
      <c r="IC371" s="31"/>
      <c r="ID371" s="31"/>
      <c r="IE371" s="31"/>
      <c r="IF371" s="31"/>
      <c r="IG371" s="31"/>
      <c r="IH371" s="31"/>
      <c r="II371" s="31"/>
      <c r="IJ371" s="31"/>
      <c r="IK371" s="31"/>
      <c r="IL371" s="31"/>
      <c r="IM371" s="31"/>
      <c r="IN371" s="31"/>
      <c r="IO371" s="31"/>
      <c r="IP371" s="31"/>
      <c r="IQ371" s="31"/>
      <c r="IR371" s="31"/>
      <c r="IS371" s="31"/>
      <c r="IT371" s="31"/>
      <c r="IU371" s="31"/>
      <c r="IV371" s="31"/>
      <c r="IW371" s="31"/>
      <c r="IX371" s="31"/>
      <c r="IY371" s="31"/>
      <c r="IZ371" s="31"/>
      <c r="JA371" s="31"/>
      <c r="JB371" s="31"/>
      <c r="JC371" s="31"/>
      <c r="JD371" s="31"/>
      <c r="JE371" s="31"/>
      <c r="JF371" s="31"/>
      <c r="JG371" s="31"/>
      <c r="JH371" s="31"/>
      <c r="JI371" s="31"/>
      <c r="JJ371" s="31"/>
      <c r="JK371" s="31"/>
      <c r="JL371" s="31"/>
      <c r="JM371" s="31"/>
      <c r="JN371" s="31"/>
      <c r="JO371" s="31"/>
      <c r="JP371" s="31"/>
      <c r="JQ371" s="31"/>
      <c r="JR371" s="31"/>
      <c r="JS371" s="31"/>
      <c r="JT371" s="31"/>
      <c r="JU371" s="31"/>
      <c r="JV371" s="31"/>
      <c r="JW371" s="31"/>
      <c r="JX371" s="31"/>
      <c r="JY371" s="31"/>
      <c r="JZ371" s="31"/>
      <c r="KA371" s="31"/>
      <c r="KB371" s="31"/>
      <c r="KC371" s="31"/>
      <c r="KD371" s="31"/>
      <c r="KE371" s="31"/>
      <c r="KF371" s="31"/>
      <c r="KG371" s="31"/>
      <c r="KH371" s="31"/>
      <c r="KI371" s="31"/>
      <c r="KJ371" s="31"/>
      <c r="KK371" s="31"/>
      <c r="KL371" s="31"/>
      <c r="KM371" s="31"/>
      <c r="KN371" s="31"/>
      <c r="KO371" s="31"/>
      <c r="KP371" s="31"/>
      <c r="KQ371" s="31"/>
      <c r="KR371" s="31"/>
      <c r="KS371" s="31"/>
      <c r="KT371" s="31"/>
      <c r="KU371" s="31"/>
      <c r="KV371" s="31"/>
      <c r="KW371" s="31"/>
      <c r="KX371" s="31"/>
      <c r="KY371" s="31"/>
      <c r="KZ371" s="31"/>
      <c r="LA371" s="31"/>
      <c r="LB371" s="31"/>
      <c r="LC371" s="31"/>
      <c r="LD371" s="31"/>
      <c r="LE371" s="31"/>
      <c r="LF371" s="31"/>
      <c r="LG371" s="31"/>
      <c r="LH371" s="31"/>
      <c r="LI371" s="31"/>
      <c r="LJ371" s="31"/>
      <c r="LK371" s="31"/>
      <c r="LL371" s="31"/>
      <c r="LM371" s="31"/>
      <c r="LN371" s="31"/>
      <c r="LO371" s="31"/>
      <c r="LP371" s="31"/>
      <c r="LQ371" s="31"/>
      <c r="LR371" s="31"/>
      <c r="LS371" s="31"/>
      <c r="LT371" s="31"/>
      <c r="LU371" s="31"/>
      <c r="LV371" s="31"/>
      <c r="LW371" s="31"/>
      <c r="LX371" s="31"/>
      <c r="LY371" s="31"/>
      <c r="LZ371" s="31"/>
      <c r="MA371" s="31"/>
      <c r="MB371" s="31"/>
      <c r="MC371" s="31"/>
      <c r="MD371" s="31"/>
      <c r="ME371" s="31"/>
      <c r="MF371" s="31"/>
      <c r="MG371" s="31"/>
      <c r="MH371" s="31"/>
      <c r="MI371" s="31"/>
      <c r="MJ371" s="31"/>
      <c r="MK371" s="31"/>
      <c r="ML371" s="31"/>
      <c r="MM371" s="31"/>
      <c r="MN371" s="31"/>
      <c r="MO371" s="31"/>
      <c r="MP371" s="31"/>
      <c r="MQ371" s="31"/>
      <c r="MR371" s="31"/>
      <c r="MS371" s="31"/>
      <c r="MT371" s="31"/>
      <c r="MU371" s="31"/>
      <c r="MV371" s="31"/>
      <c r="MW371" s="31"/>
      <c r="MX371" s="31"/>
      <c r="MY371" s="31"/>
      <c r="MZ371" s="31"/>
      <c r="NA371" s="31"/>
      <c r="NB371" s="31"/>
      <c r="NC371" s="31"/>
      <c r="ND371" s="31"/>
      <c r="NE371" s="31"/>
      <c r="NF371" s="31"/>
      <c r="NG371" s="31"/>
      <c r="NH371" s="31"/>
      <c r="NI371" s="31"/>
      <c r="NJ371" s="31"/>
      <c r="NK371" s="31"/>
      <c r="NL371" s="31"/>
      <c r="NM371" s="31"/>
      <c r="NN371" s="31"/>
      <c r="NO371" s="31"/>
      <c r="NP371" s="31"/>
      <c r="NQ371" s="31"/>
      <c r="NR371" s="31"/>
      <c r="NS371" s="31"/>
      <c r="NT371" s="31"/>
      <c r="NU371" s="31"/>
      <c r="NV371" s="31"/>
      <c r="NW371" s="31"/>
      <c r="NX371" s="31"/>
      <c r="NY371" s="31"/>
      <c r="NZ371" s="31"/>
      <c r="OA371" s="31"/>
      <c r="OB371" s="31"/>
      <c r="OC371" s="31"/>
      <c r="OD371" s="31"/>
      <c r="OE371" s="31"/>
      <c r="OF371" s="31"/>
      <c r="OG371" s="31"/>
      <c r="OH371" s="31"/>
      <c r="OI371" s="31"/>
      <c r="OJ371" s="31"/>
      <c r="OK371" s="31"/>
      <c r="OL371" s="31"/>
      <c r="OM371" s="31"/>
      <c r="ON371" s="31"/>
      <c r="OO371" s="31"/>
      <c r="OP371" s="31"/>
      <c r="OQ371" s="31"/>
      <c r="OR371" s="31"/>
      <c r="OS371" s="31"/>
      <c r="OT371" s="31"/>
      <c r="OU371" s="31"/>
      <c r="OV371" s="31"/>
      <c r="OW371" s="31"/>
      <c r="OX371" s="31"/>
    </row>
    <row r="372" spans="2:414" s="25" customFormat="1" ht="15.6">
      <c r="B372" s="25" t="s">
        <v>729</v>
      </c>
      <c r="C372" s="27" t="s">
        <v>730</v>
      </c>
      <c r="D372" s="30" t="s">
        <v>105</v>
      </c>
      <c r="G372" s="42">
        <v>80</v>
      </c>
      <c r="H372" s="89">
        <v>26.109000000000002</v>
      </c>
      <c r="I372" s="38">
        <f t="shared" si="116"/>
        <v>2088.7200000000003</v>
      </c>
      <c r="K372" s="42">
        <v>80</v>
      </c>
      <c r="L372" s="90">
        <v>26.849599999999999</v>
      </c>
      <c r="M372" s="38">
        <f t="shared" si="117"/>
        <v>2147.9679999999998</v>
      </c>
      <c r="O372" s="42">
        <v>505</v>
      </c>
      <c r="P372" s="38">
        <v>26.728300000000001</v>
      </c>
      <c r="Q372" s="38">
        <f t="shared" si="118"/>
        <v>13497.791500000001</v>
      </c>
      <c r="R372" s="43">
        <f t="shared" si="114"/>
        <v>665</v>
      </c>
      <c r="S372" s="38">
        <f t="shared" si="119"/>
        <v>17734.479500000001</v>
      </c>
      <c r="T372" s="49">
        <v>240</v>
      </c>
      <c r="U372" s="42">
        <v>26.864000000000001</v>
      </c>
      <c r="V372" s="38">
        <f t="shared" si="126"/>
        <v>6447.3600000000006</v>
      </c>
      <c r="W372" s="42">
        <v>505</v>
      </c>
      <c r="X372" s="42">
        <v>26.704000000000001</v>
      </c>
      <c r="Y372" s="42">
        <f t="shared" si="128"/>
        <v>13485.52</v>
      </c>
      <c r="Z372" s="42"/>
      <c r="AA372" s="42"/>
      <c r="AB372" s="42">
        <f t="shared" si="125"/>
        <v>0</v>
      </c>
      <c r="AD372" s="42"/>
      <c r="AE372" s="42"/>
      <c r="AF372" s="42">
        <f t="shared" si="130"/>
        <v>0</v>
      </c>
      <c r="AG372" s="42"/>
      <c r="AH372" s="42"/>
      <c r="AI372" s="42"/>
      <c r="AJ372" s="42">
        <f t="shared" si="115"/>
        <v>0</v>
      </c>
      <c r="AL372" s="42"/>
      <c r="AM372" s="42"/>
      <c r="AN372" s="42"/>
      <c r="AO372" s="44"/>
      <c r="AP372" s="42"/>
      <c r="AQ372" s="42"/>
      <c r="AR372" s="42"/>
      <c r="AU372" s="98"/>
      <c r="AV372" s="35"/>
      <c r="AW372" s="104"/>
      <c r="AX372" s="42"/>
      <c r="AY372" s="42"/>
      <c r="AZ372" s="42">
        <f t="shared" si="113"/>
        <v>0</v>
      </c>
      <c r="BA372" s="42"/>
      <c r="BB372" s="42"/>
      <c r="BC372" s="42"/>
      <c r="BD372" s="38">
        <f t="shared" si="120"/>
        <v>0</v>
      </c>
      <c r="BE372" s="42"/>
      <c r="BF372" s="42"/>
      <c r="BG372" s="42"/>
      <c r="BH372" s="38">
        <f t="shared" si="121"/>
        <v>0</v>
      </c>
      <c r="BI372" s="42"/>
      <c r="BJ372" s="42"/>
      <c r="BK372" s="42"/>
      <c r="BL372" s="38">
        <f t="shared" si="122"/>
        <v>0</v>
      </c>
      <c r="BM372" s="42"/>
      <c r="BN372" s="42"/>
      <c r="BO372" s="42"/>
      <c r="BP372" s="42"/>
      <c r="BR372" s="42">
        <f t="shared" si="123"/>
        <v>19932.88</v>
      </c>
      <c r="BS372" s="43"/>
      <c r="BT372" s="42">
        <v>2198.4</v>
      </c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  <c r="FM372" s="31"/>
      <c r="FN372" s="31"/>
      <c r="FO372" s="31"/>
      <c r="FP372" s="31"/>
      <c r="FQ372" s="31"/>
      <c r="FR372" s="31"/>
      <c r="FS372" s="31"/>
      <c r="FT372" s="31"/>
      <c r="FU372" s="31"/>
      <c r="FV372" s="31"/>
      <c r="FW372" s="31"/>
      <c r="FX372" s="31"/>
      <c r="FY372" s="31"/>
      <c r="FZ372" s="31"/>
      <c r="GA372" s="31"/>
      <c r="GB372" s="31"/>
      <c r="GC372" s="31"/>
      <c r="GD372" s="31"/>
      <c r="GE372" s="31"/>
      <c r="GF372" s="31"/>
      <c r="GG372" s="31"/>
      <c r="GH372" s="31"/>
      <c r="GI372" s="31"/>
      <c r="GJ372" s="31"/>
      <c r="GK372" s="31"/>
      <c r="GL372" s="31"/>
      <c r="GM372" s="31"/>
      <c r="GN372" s="31"/>
      <c r="GO372" s="31"/>
      <c r="GP372" s="31"/>
      <c r="GQ372" s="31"/>
      <c r="GR372" s="31"/>
      <c r="GS372" s="31"/>
      <c r="GT372" s="31"/>
      <c r="GU372" s="31"/>
      <c r="GV372" s="31"/>
      <c r="GW372" s="31"/>
      <c r="GX372" s="31"/>
      <c r="GY372" s="31"/>
      <c r="GZ372" s="31"/>
      <c r="HA372" s="31"/>
      <c r="HB372" s="31"/>
      <c r="HC372" s="31"/>
      <c r="HD372" s="31"/>
      <c r="HE372" s="31"/>
      <c r="HF372" s="31"/>
      <c r="HG372" s="31"/>
      <c r="HH372" s="31"/>
      <c r="HI372" s="31"/>
      <c r="HJ372" s="31"/>
      <c r="HK372" s="31"/>
      <c r="HL372" s="31"/>
      <c r="HM372" s="31"/>
      <c r="HN372" s="31"/>
      <c r="HO372" s="31"/>
      <c r="HP372" s="31"/>
      <c r="HQ372" s="31"/>
      <c r="HR372" s="31"/>
      <c r="HS372" s="31"/>
      <c r="HT372" s="31"/>
      <c r="HU372" s="31"/>
      <c r="HV372" s="31"/>
      <c r="HW372" s="31"/>
      <c r="HX372" s="31"/>
      <c r="HY372" s="31"/>
      <c r="HZ372" s="31"/>
      <c r="IA372" s="31"/>
      <c r="IB372" s="31"/>
      <c r="IC372" s="31"/>
      <c r="ID372" s="31"/>
      <c r="IE372" s="31"/>
      <c r="IF372" s="31"/>
      <c r="IG372" s="31"/>
      <c r="IH372" s="31"/>
      <c r="II372" s="31"/>
      <c r="IJ372" s="31"/>
      <c r="IK372" s="31"/>
      <c r="IL372" s="31"/>
      <c r="IM372" s="31"/>
      <c r="IN372" s="31"/>
      <c r="IO372" s="31"/>
      <c r="IP372" s="31"/>
      <c r="IQ372" s="31"/>
      <c r="IR372" s="31"/>
      <c r="IS372" s="31"/>
      <c r="IT372" s="31"/>
      <c r="IU372" s="31"/>
      <c r="IV372" s="31"/>
      <c r="IW372" s="31"/>
      <c r="IX372" s="31"/>
      <c r="IY372" s="31"/>
      <c r="IZ372" s="31"/>
      <c r="JA372" s="31"/>
      <c r="JB372" s="31"/>
      <c r="JC372" s="31"/>
      <c r="JD372" s="31"/>
      <c r="JE372" s="31"/>
      <c r="JF372" s="31"/>
      <c r="JG372" s="31"/>
      <c r="JH372" s="31"/>
      <c r="JI372" s="31"/>
      <c r="JJ372" s="31"/>
      <c r="JK372" s="31"/>
      <c r="JL372" s="31"/>
      <c r="JM372" s="31"/>
      <c r="JN372" s="31"/>
      <c r="JO372" s="31"/>
      <c r="JP372" s="31"/>
      <c r="JQ372" s="31"/>
      <c r="JR372" s="31"/>
      <c r="JS372" s="31"/>
      <c r="JT372" s="31"/>
      <c r="JU372" s="31"/>
      <c r="JV372" s="31"/>
      <c r="JW372" s="31"/>
      <c r="JX372" s="31"/>
      <c r="JY372" s="31"/>
      <c r="JZ372" s="31"/>
      <c r="KA372" s="31"/>
      <c r="KB372" s="31"/>
      <c r="KC372" s="31"/>
      <c r="KD372" s="31"/>
      <c r="KE372" s="31"/>
      <c r="KF372" s="31"/>
      <c r="KG372" s="31"/>
      <c r="KH372" s="31"/>
      <c r="KI372" s="31"/>
      <c r="KJ372" s="31"/>
      <c r="KK372" s="31"/>
      <c r="KL372" s="31"/>
      <c r="KM372" s="31"/>
      <c r="KN372" s="31"/>
      <c r="KO372" s="31"/>
      <c r="KP372" s="31"/>
      <c r="KQ372" s="31"/>
      <c r="KR372" s="31"/>
      <c r="KS372" s="31"/>
      <c r="KT372" s="31"/>
      <c r="KU372" s="31"/>
      <c r="KV372" s="31"/>
      <c r="KW372" s="31"/>
      <c r="KX372" s="31"/>
      <c r="KY372" s="31"/>
      <c r="KZ372" s="31"/>
      <c r="LA372" s="31"/>
      <c r="LB372" s="31"/>
      <c r="LC372" s="31"/>
      <c r="LD372" s="31"/>
      <c r="LE372" s="31"/>
      <c r="LF372" s="31"/>
      <c r="LG372" s="31"/>
      <c r="LH372" s="31"/>
      <c r="LI372" s="31"/>
      <c r="LJ372" s="31"/>
      <c r="LK372" s="31"/>
      <c r="LL372" s="31"/>
      <c r="LM372" s="31"/>
      <c r="LN372" s="31"/>
      <c r="LO372" s="31"/>
      <c r="LP372" s="31"/>
      <c r="LQ372" s="31"/>
      <c r="LR372" s="31"/>
      <c r="LS372" s="31"/>
      <c r="LT372" s="31"/>
      <c r="LU372" s="31"/>
      <c r="LV372" s="31"/>
      <c r="LW372" s="31"/>
      <c r="LX372" s="31"/>
      <c r="LY372" s="31"/>
      <c r="LZ372" s="31"/>
      <c r="MA372" s="31"/>
      <c r="MB372" s="31"/>
      <c r="MC372" s="31"/>
      <c r="MD372" s="31"/>
      <c r="ME372" s="31"/>
      <c r="MF372" s="31"/>
      <c r="MG372" s="31"/>
      <c r="MH372" s="31"/>
      <c r="MI372" s="31"/>
      <c r="MJ372" s="31"/>
      <c r="MK372" s="31"/>
      <c r="ML372" s="31"/>
      <c r="MM372" s="31"/>
      <c r="MN372" s="31"/>
      <c r="MO372" s="31"/>
      <c r="MP372" s="31"/>
      <c r="MQ372" s="31"/>
      <c r="MR372" s="31"/>
      <c r="MS372" s="31"/>
      <c r="MT372" s="31"/>
      <c r="MU372" s="31"/>
      <c r="MV372" s="31"/>
      <c r="MW372" s="31"/>
      <c r="MX372" s="31"/>
      <c r="MY372" s="31"/>
      <c r="MZ372" s="31"/>
      <c r="NA372" s="31"/>
      <c r="NB372" s="31"/>
      <c r="NC372" s="31"/>
      <c r="ND372" s="31"/>
      <c r="NE372" s="31"/>
      <c r="NF372" s="31"/>
      <c r="NG372" s="31"/>
      <c r="NH372" s="31"/>
      <c r="NI372" s="31"/>
      <c r="NJ372" s="31"/>
      <c r="NK372" s="31"/>
      <c r="NL372" s="31"/>
      <c r="NM372" s="31"/>
      <c r="NN372" s="31"/>
      <c r="NO372" s="31"/>
      <c r="NP372" s="31"/>
      <c r="NQ372" s="31"/>
      <c r="NR372" s="31"/>
      <c r="NS372" s="31"/>
      <c r="NT372" s="31"/>
      <c r="NU372" s="31"/>
      <c r="NV372" s="31"/>
      <c r="NW372" s="31"/>
      <c r="NX372" s="31"/>
      <c r="NY372" s="31"/>
      <c r="NZ372" s="31"/>
      <c r="OA372" s="31"/>
      <c r="OB372" s="31"/>
      <c r="OC372" s="31"/>
      <c r="OD372" s="31"/>
      <c r="OE372" s="31"/>
      <c r="OF372" s="31"/>
      <c r="OG372" s="31"/>
      <c r="OH372" s="31"/>
      <c r="OI372" s="31"/>
      <c r="OJ372" s="31"/>
      <c r="OK372" s="31"/>
      <c r="OL372" s="31"/>
      <c r="OM372" s="31"/>
      <c r="ON372" s="31"/>
      <c r="OO372" s="31"/>
      <c r="OP372" s="31"/>
      <c r="OQ372" s="31"/>
      <c r="OR372" s="31"/>
      <c r="OS372" s="31"/>
      <c r="OT372" s="31"/>
      <c r="OU372" s="31"/>
      <c r="OV372" s="31"/>
      <c r="OW372" s="31"/>
      <c r="OX372" s="31"/>
    </row>
    <row r="373" spans="2:414" s="25" customFormat="1" ht="15.6">
      <c r="B373" s="25" t="s">
        <v>641</v>
      </c>
      <c r="C373" s="27" t="s">
        <v>642</v>
      </c>
      <c r="D373" s="30" t="s">
        <v>105</v>
      </c>
      <c r="G373" s="42">
        <v>80</v>
      </c>
      <c r="H373" s="89">
        <v>26.109000000000002</v>
      </c>
      <c r="I373" s="38">
        <f t="shared" si="116"/>
        <v>2088.7200000000003</v>
      </c>
      <c r="K373" s="42">
        <v>80</v>
      </c>
      <c r="L373" s="90">
        <v>26.849599999999999</v>
      </c>
      <c r="M373" s="38">
        <f t="shared" si="117"/>
        <v>2147.9679999999998</v>
      </c>
      <c r="O373" s="42">
        <v>505</v>
      </c>
      <c r="P373" s="38">
        <v>26.728300000000001</v>
      </c>
      <c r="Q373" s="38">
        <f t="shared" si="118"/>
        <v>13497.791500000001</v>
      </c>
      <c r="R373" s="43">
        <f t="shared" si="114"/>
        <v>665</v>
      </c>
      <c r="S373" s="38">
        <f t="shared" si="119"/>
        <v>17734.479500000001</v>
      </c>
      <c r="T373" s="49">
        <v>200</v>
      </c>
      <c r="U373" s="42">
        <v>26.787400000000002</v>
      </c>
      <c r="V373" s="38">
        <f t="shared" si="126"/>
        <v>5357.4800000000005</v>
      </c>
      <c r="W373" s="42">
        <v>40</v>
      </c>
      <c r="X373" s="42">
        <v>26.979600000000001</v>
      </c>
      <c r="Y373" s="42">
        <f t="shared" si="128"/>
        <v>1079.184</v>
      </c>
      <c r="Z373" s="42">
        <v>290</v>
      </c>
      <c r="AA373" s="42">
        <v>26.728300000000001</v>
      </c>
      <c r="AB373" s="42">
        <f t="shared" si="125"/>
        <v>7751.2070000000003</v>
      </c>
      <c r="AD373" s="42">
        <v>85</v>
      </c>
      <c r="AE373" s="42">
        <v>26.73</v>
      </c>
      <c r="AF373" s="42">
        <f t="shared" si="130"/>
        <v>2272.0500000000002</v>
      </c>
      <c r="AG373" s="42"/>
      <c r="AH373" s="42">
        <v>130</v>
      </c>
      <c r="AI373" s="42">
        <v>26.73</v>
      </c>
      <c r="AJ373" s="42">
        <f t="shared" si="115"/>
        <v>3474.9</v>
      </c>
      <c r="AL373" s="42"/>
      <c r="AM373" s="42"/>
      <c r="AN373" s="42"/>
      <c r="AO373" s="44"/>
      <c r="AP373" s="42"/>
      <c r="AQ373" s="42"/>
      <c r="AR373" s="42"/>
      <c r="AU373" s="98"/>
      <c r="AV373" s="35"/>
      <c r="AW373" s="104"/>
      <c r="AX373" s="42"/>
      <c r="AY373" s="42"/>
      <c r="AZ373" s="42">
        <f t="shared" si="113"/>
        <v>0</v>
      </c>
      <c r="BA373" s="42"/>
      <c r="BB373" s="42"/>
      <c r="BC373" s="42"/>
      <c r="BD373" s="38">
        <f t="shared" si="120"/>
        <v>0</v>
      </c>
      <c r="BE373" s="42"/>
      <c r="BF373" s="42"/>
      <c r="BG373" s="42"/>
      <c r="BH373" s="38">
        <f t="shared" si="121"/>
        <v>0</v>
      </c>
      <c r="BI373" s="42"/>
      <c r="BJ373" s="42"/>
      <c r="BK373" s="42"/>
      <c r="BL373" s="38">
        <f t="shared" si="122"/>
        <v>0</v>
      </c>
      <c r="BM373" s="42"/>
      <c r="BN373" s="42"/>
      <c r="BO373" s="42"/>
      <c r="BP373" s="42"/>
      <c r="BR373" s="42">
        <f t="shared" si="123"/>
        <v>19934.821000000004</v>
      </c>
      <c r="BS373" s="43"/>
      <c r="BT373" s="42">
        <v>2200.34</v>
      </c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  <c r="FM373" s="31"/>
      <c r="FN373" s="31"/>
      <c r="FO373" s="31"/>
      <c r="FP373" s="31"/>
      <c r="FQ373" s="31"/>
      <c r="FR373" s="31"/>
      <c r="FS373" s="31"/>
      <c r="FT373" s="31"/>
      <c r="FU373" s="31"/>
      <c r="FV373" s="31"/>
      <c r="FW373" s="31"/>
      <c r="FX373" s="31"/>
      <c r="FY373" s="31"/>
      <c r="FZ373" s="31"/>
      <c r="GA373" s="31"/>
      <c r="GB373" s="31"/>
      <c r="GC373" s="31"/>
      <c r="GD373" s="31"/>
      <c r="GE373" s="31"/>
      <c r="GF373" s="31"/>
      <c r="GG373" s="31"/>
      <c r="GH373" s="31"/>
      <c r="GI373" s="31"/>
      <c r="GJ373" s="31"/>
      <c r="GK373" s="31"/>
      <c r="GL373" s="31"/>
      <c r="GM373" s="31"/>
      <c r="GN373" s="31"/>
      <c r="GO373" s="31"/>
      <c r="GP373" s="31"/>
      <c r="GQ373" s="31"/>
      <c r="GR373" s="31"/>
      <c r="GS373" s="31"/>
      <c r="GT373" s="31"/>
      <c r="GU373" s="31"/>
      <c r="GV373" s="31"/>
      <c r="GW373" s="31"/>
      <c r="GX373" s="31"/>
      <c r="GY373" s="31"/>
      <c r="GZ373" s="31"/>
      <c r="HA373" s="31"/>
      <c r="HB373" s="31"/>
      <c r="HC373" s="31"/>
      <c r="HD373" s="31"/>
      <c r="HE373" s="31"/>
      <c r="HF373" s="31"/>
      <c r="HG373" s="31"/>
      <c r="HH373" s="31"/>
      <c r="HI373" s="31"/>
      <c r="HJ373" s="31"/>
      <c r="HK373" s="31"/>
      <c r="HL373" s="31"/>
      <c r="HM373" s="31"/>
      <c r="HN373" s="31"/>
      <c r="HO373" s="31"/>
      <c r="HP373" s="31"/>
      <c r="HQ373" s="31"/>
      <c r="HR373" s="31"/>
      <c r="HS373" s="31"/>
      <c r="HT373" s="31"/>
      <c r="HU373" s="31"/>
      <c r="HV373" s="31"/>
      <c r="HW373" s="31"/>
      <c r="HX373" s="31"/>
      <c r="HY373" s="31"/>
      <c r="HZ373" s="31"/>
      <c r="IA373" s="31"/>
      <c r="IB373" s="31"/>
      <c r="IC373" s="31"/>
      <c r="ID373" s="31"/>
      <c r="IE373" s="31"/>
      <c r="IF373" s="31"/>
      <c r="IG373" s="31"/>
      <c r="IH373" s="31"/>
      <c r="II373" s="31"/>
      <c r="IJ373" s="31"/>
      <c r="IK373" s="31"/>
      <c r="IL373" s="31"/>
      <c r="IM373" s="31"/>
      <c r="IN373" s="31"/>
      <c r="IO373" s="31"/>
      <c r="IP373" s="31"/>
      <c r="IQ373" s="31"/>
      <c r="IR373" s="31"/>
      <c r="IS373" s="31"/>
      <c r="IT373" s="31"/>
      <c r="IU373" s="31"/>
      <c r="IV373" s="31"/>
      <c r="IW373" s="31"/>
      <c r="IX373" s="31"/>
      <c r="IY373" s="31"/>
      <c r="IZ373" s="31"/>
      <c r="JA373" s="31"/>
      <c r="JB373" s="31"/>
      <c r="JC373" s="31"/>
      <c r="JD373" s="31"/>
      <c r="JE373" s="31"/>
      <c r="JF373" s="31"/>
      <c r="JG373" s="31"/>
      <c r="JH373" s="31"/>
      <c r="JI373" s="31"/>
      <c r="JJ373" s="31"/>
      <c r="JK373" s="31"/>
      <c r="JL373" s="31"/>
      <c r="JM373" s="31"/>
      <c r="JN373" s="31"/>
      <c r="JO373" s="31"/>
      <c r="JP373" s="31"/>
      <c r="JQ373" s="31"/>
      <c r="JR373" s="31"/>
      <c r="JS373" s="31"/>
      <c r="JT373" s="31"/>
      <c r="JU373" s="31"/>
      <c r="JV373" s="31"/>
      <c r="JW373" s="31"/>
      <c r="JX373" s="31"/>
      <c r="JY373" s="31"/>
      <c r="JZ373" s="31"/>
      <c r="KA373" s="31"/>
      <c r="KB373" s="31"/>
      <c r="KC373" s="31"/>
      <c r="KD373" s="31"/>
      <c r="KE373" s="31"/>
      <c r="KF373" s="31"/>
      <c r="KG373" s="31"/>
      <c r="KH373" s="31"/>
      <c r="KI373" s="31"/>
      <c r="KJ373" s="31"/>
      <c r="KK373" s="31"/>
      <c r="KL373" s="31"/>
      <c r="KM373" s="31"/>
      <c r="KN373" s="31"/>
      <c r="KO373" s="31"/>
      <c r="KP373" s="31"/>
      <c r="KQ373" s="31"/>
      <c r="KR373" s="31"/>
      <c r="KS373" s="31"/>
      <c r="KT373" s="31"/>
      <c r="KU373" s="31"/>
      <c r="KV373" s="31"/>
      <c r="KW373" s="31"/>
      <c r="KX373" s="31"/>
      <c r="KY373" s="31"/>
      <c r="KZ373" s="31"/>
      <c r="LA373" s="31"/>
      <c r="LB373" s="31"/>
      <c r="LC373" s="31"/>
      <c r="LD373" s="31"/>
      <c r="LE373" s="31"/>
      <c r="LF373" s="31"/>
      <c r="LG373" s="31"/>
      <c r="LH373" s="31"/>
      <c r="LI373" s="31"/>
      <c r="LJ373" s="31"/>
      <c r="LK373" s="31"/>
      <c r="LL373" s="31"/>
      <c r="LM373" s="31"/>
      <c r="LN373" s="31"/>
      <c r="LO373" s="31"/>
      <c r="LP373" s="31"/>
      <c r="LQ373" s="31"/>
      <c r="LR373" s="31"/>
      <c r="LS373" s="31"/>
      <c r="LT373" s="31"/>
      <c r="LU373" s="31"/>
      <c r="LV373" s="31"/>
      <c r="LW373" s="31"/>
      <c r="LX373" s="31"/>
      <c r="LY373" s="31"/>
      <c r="LZ373" s="31"/>
      <c r="MA373" s="31"/>
      <c r="MB373" s="31"/>
      <c r="MC373" s="31"/>
      <c r="MD373" s="31"/>
      <c r="ME373" s="31"/>
      <c r="MF373" s="31"/>
      <c r="MG373" s="31"/>
      <c r="MH373" s="31"/>
      <c r="MI373" s="31"/>
      <c r="MJ373" s="31"/>
      <c r="MK373" s="31"/>
      <c r="ML373" s="31"/>
      <c r="MM373" s="31"/>
      <c r="MN373" s="31"/>
      <c r="MO373" s="31"/>
      <c r="MP373" s="31"/>
      <c r="MQ373" s="31"/>
      <c r="MR373" s="31"/>
      <c r="MS373" s="31"/>
      <c r="MT373" s="31"/>
      <c r="MU373" s="31"/>
      <c r="MV373" s="31"/>
      <c r="MW373" s="31"/>
      <c r="MX373" s="31"/>
      <c r="MY373" s="31"/>
      <c r="MZ373" s="31"/>
      <c r="NA373" s="31"/>
      <c r="NB373" s="31"/>
      <c r="NC373" s="31"/>
      <c r="ND373" s="31"/>
      <c r="NE373" s="31"/>
      <c r="NF373" s="31"/>
      <c r="NG373" s="31"/>
      <c r="NH373" s="31"/>
      <c r="NI373" s="31"/>
      <c r="NJ373" s="31"/>
      <c r="NK373" s="31"/>
      <c r="NL373" s="31"/>
      <c r="NM373" s="31"/>
      <c r="NN373" s="31"/>
      <c r="NO373" s="31"/>
      <c r="NP373" s="31"/>
      <c r="NQ373" s="31"/>
      <c r="NR373" s="31"/>
      <c r="NS373" s="31"/>
      <c r="NT373" s="31"/>
      <c r="NU373" s="31"/>
      <c r="NV373" s="31"/>
      <c r="NW373" s="31"/>
      <c r="NX373" s="31"/>
      <c r="NY373" s="31"/>
      <c r="NZ373" s="31"/>
      <c r="OA373" s="31"/>
      <c r="OB373" s="31"/>
      <c r="OC373" s="31"/>
      <c r="OD373" s="31"/>
      <c r="OE373" s="31"/>
      <c r="OF373" s="31"/>
      <c r="OG373" s="31"/>
      <c r="OH373" s="31"/>
      <c r="OI373" s="31"/>
      <c r="OJ373" s="31"/>
      <c r="OK373" s="31"/>
      <c r="OL373" s="31"/>
      <c r="OM373" s="31"/>
      <c r="ON373" s="31"/>
      <c r="OO373" s="31"/>
      <c r="OP373" s="31"/>
      <c r="OQ373" s="31"/>
      <c r="OR373" s="31"/>
      <c r="OS373" s="31"/>
      <c r="OT373" s="31"/>
      <c r="OU373" s="31"/>
      <c r="OV373" s="31"/>
      <c r="OW373" s="31"/>
      <c r="OX373" s="31"/>
    </row>
    <row r="374" spans="2:414" s="25" customFormat="1" ht="15.6">
      <c r="B374" s="25" t="s">
        <v>957</v>
      </c>
      <c r="C374" s="27" t="s">
        <v>958</v>
      </c>
      <c r="D374" s="30" t="s">
        <v>105</v>
      </c>
      <c r="G374" s="42">
        <v>80</v>
      </c>
      <c r="H374" s="89">
        <v>26.109000000000002</v>
      </c>
      <c r="I374" s="38">
        <f t="shared" si="116"/>
        <v>2088.7200000000003</v>
      </c>
      <c r="K374" s="42">
        <v>80</v>
      </c>
      <c r="L374" s="90">
        <v>26.849599999999999</v>
      </c>
      <c r="M374" s="38">
        <f t="shared" si="117"/>
        <v>2147.9679999999998</v>
      </c>
      <c r="O374" s="42">
        <v>505</v>
      </c>
      <c r="P374" s="38">
        <v>26.728300000000001</v>
      </c>
      <c r="Q374" s="38">
        <f t="shared" si="118"/>
        <v>13497.791500000001</v>
      </c>
      <c r="R374" s="43">
        <f t="shared" si="114"/>
        <v>665</v>
      </c>
      <c r="S374" s="38">
        <f t="shared" si="119"/>
        <v>17734.479500000001</v>
      </c>
      <c r="T374" s="49">
        <v>240</v>
      </c>
      <c r="U374" s="42">
        <v>26.766200000000001</v>
      </c>
      <c r="V374" s="38">
        <f t="shared" si="126"/>
        <v>6423.8879999999999</v>
      </c>
      <c r="W374" s="42">
        <v>505</v>
      </c>
      <c r="X374" s="42">
        <v>26.77</v>
      </c>
      <c r="Y374" s="42">
        <f t="shared" si="128"/>
        <v>13518.85</v>
      </c>
      <c r="Z374" s="42"/>
      <c r="AA374" s="42"/>
      <c r="AB374" s="42">
        <f t="shared" si="125"/>
        <v>0</v>
      </c>
      <c r="AD374" s="42"/>
      <c r="AE374" s="42"/>
      <c r="AF374" s="42">
        <f t="shared" si="130"/>
        <v>0</v>
      </c>
      <c r="AG374" s="42"/>
      <c r="AH374" s="42"/>
      <c r="AI374" s="42"/>
      <c r="AJ374" s="42">
        <f t="shared" si="115"/>
        <v>0</v>
      </c>
      <c r="AL374" s="42"/>
      <c r="AM374" s="42"/>
      <c r="AN374" s="42"/>
      <c r="AO374" s="44"/>
      <c r="AP374" s="42"/>
      <c r="AQ374" s="42"/>
      <c r="AR374" s="42"/>
      <c r="AU374" s="98"/>
      <c r="AV374" s="35"/>
      <c r="AW374" s="104"/>
      <c r="AX374" s="42"/>
      <c r="AY374" s="42"/>
      <c r="AZ374" s="42">
        <f t="shared" si="113"/>
        <v>0</v>
      </c>
      <c r="BA374" s="42"/>
      <c r="BB374" s="42"/>
      <c r="BC374" s="42"/>
      <c r="BD374" s="38">
        <f t="shared" si="120"/>
        <v>0</v>
      </c>
      <c r="BE374" s="42"/>
      <c r="BF374" s="42"/>
      <c r="BG374" s="42"/>
      <c r="BH374" s="38">
        <f t="shared" si="121"/>
        <v>0</v>
      </c>
      <c r="BI374" s="42"/>
      <c r="BJ374" s="42"/>
      <c r="BK374" s="42"/>
      <c r="BL374" s="38">
        <f t="shared" si="122"/>
        <v>0</v>
      </c>
      <c r="BM374" s="42"/>
      <c r="BN374" s="42"/>
      <c r="BO374" s="42"/>
      <c r="BP374" s="42"/>
      <c r="BR374" s="42">
        <f t="shared" si="123"/>
        <v>19942.738000000001</v>
      </c>
      <c r="BS374" s="43"/>
      <c r="BT374" s="42">
        <v>2208.2600000000002</v>
      </c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  <c r="FM374" s="31"/>
      <c r="FN374" s="31"/>
      <c r="FO374" s="31"/>
      <c r="FP374" s="31"/>
      <c r="FQ374" s="31"/>
      <c r="FR374" s="31"/>
      <c r="FS374" s="31"/>
      <c r="FT374" s="31"/>
      <c r="FU374" s="31"/>
      <c r="FV374" s="31"/>
      <c r="FW374" s="31"/>
      <c r="FX374" s="31"/>
      <c r="FY374" s="31"/>
      <c r="FZ374" s="31"/>
      <c r="GA374" s="31"/>
      <c r="GB374" s="31"/>
      <c r="GC374" s="31"/>
      <c r="GD374" s="31"/>
      <c r="GE374" s="31"/>
      <c r="GF374" s="31"/>
      <c r="GG374" s="31"/>
      <c r="GH374" s="31"/>
      <c r="GI374" s="31"/>
      <c r="GJ374" s="31"/>
      <c r="GK374" s="31"/>
      <c r="GL374" s="31"/>
      <c r="GM374" s="31"/>
      <c r="GN374" s="31"/>
      <c r="GO374" s="31"/>
      <c r="GP374" s="31"/>
      <c r="GQ374" s="31"/>
      <c r="GR374" s="31"/>
      <c r="GS374" s="31"/>
      <c r="GT374" s="31"/>
      <c r="GU374" s="31"/>
      <c r="GV374" s="31"/>
      <c r="GW374" s="31"/>
      <c r="GX374" s="31"/>
      <c r="GY374" s="31"/>
      <c r="GZ374" s="31"/>
      <c r="HA374" s="31"/>
      <c r="HB374" s="31"/>
      <c r="HC374" s="31"/>
      <c r="HD374" s="31"/>
      <c r="HE374" s="31"/>
      <c r="HF374" s="31"/>
      <c r="HG374" s="31"/>
      <c r="HH374" s="31"/>
      <c r="HI374" s="31"/>
      <c r="HJ374" s="31"/>
      <c r="HK374" s="31"/>
      <c r="HL374" s="31"/>
      <c r="HM374" s="31"/>
      <c r="HN374" s="31"/>
      <c r="HO374" s="31"/>
      <c r="HP374" s="31"/>
      <c r="HQ374" s="31"/>
      <c r="HR374" s="31"/>
      <c r="HS374" s="31"/>
      <c r="HT374" s="31"/>
      <c r="HU374" s="31"/>
      <c r="HV374" s="31"/>
      <c r="HW374" s="31"/>
      <c r="HX374" s="31"/>
      <c r="HY374" s="31"/>
      <c r="HZ374" s="31"/>
      <c r="IA374" s="31"/>
      <c r="IB374" s="31"/>
      <c r="IC374" s="31"/>
      <c r="ID374" s="31"/>
      <c r="IE374" s="31"/>
      <c r="IF374" s="31"/>
      <c r="IG374" s="31"/>
      <c r="IH374" s="31"/>
      <c r="II374" s="31"/>
      <c r="IJ374" s="31"/>
      <c r="IK374" s="31"/>
      <c r="IL374" s="31"/>
      <c r="IM374" s="31"/>
      <c r="IN374" s="31"/>
      <c r="IO374" s="31"/>
      <c r="IP374" s="31"/>
      <c r="IQ374" s="31"/>
      <c r="IR374" s="31"/>
      <c r="IS374" s="31"/>
      <c r="IT374" s="31"/>
      <c r="IU374" s="31"/>
      <c r="IV374" s="31"/>
      <c r="IW374" s="31"/>
      <c r="IX374" s="31"/>
      <c r="IY374" s="31"/>
      <c r="IZ374" s="31"/>
      <c r="JA374" s="31"/>
      <c r="JB374" s="31"/>
      <c r="JC374" s="31"/>
      <c r="JD374" s="31"/>
      <c r="JE374" s="31"/>
      <c r="JF374" s="31"/>
      <c r="JG374" s="31"/>
      <c r="JH374" s="31"/>
      <c r="JI374" s="31"/>
      <c r="JJ374" s="31"/>
      <c r="JK374" s="31"/>
      <c r="JL374" s="31"/>
      <c r="JM374" s="31"/>
      <c r="JN374" s="31"/>
      <c r="JO374" s="31"/>
      <c r="JP374" s="31"/>
      <c r="JQ374" s="31"/>
      <c r="JR374" s="31"/>
      <c r="JS374" s="31"/>
      <c r="JT374" s="31"/>
      <c r="JU374" s="31"/>
      <c r="JV374" s="31"/>
      <c r="JW374" s="31"/>
      <c r="JX374" s="31"/>
      <c r="JY374" s="31"/>
      <c r="JZ374" s="31"/>
      <c r="KA374" s="31"/>
      <c r="KB374" s="31"/>
      <c r="KC374" s="31"/>
      <c r="KD374" s="31"/>
      <c r="KE374" s="31"/>
      <c r="KF374" s="31"/>
      <c r="KG374" s="31"/>
      <c r="KH374" s="31"/>
      <c r="KI374" s="31"/>
      <c r="KJ374" s="31"/>
      <c r="KK374" s="31"/>
      <c r="KL374" s="31"/>
      <c r="KM374" s="31"/>
      <c r="KN374" s="31"/>
      <c r="KO374" s="31"/>
      <c r="KP374" s="31"/>
      <c r="KQ374" s="31"/>
      <c r="KR374" s="31"/>
      <c r="KS374" s="31"/>
      <c r="KT374" s="31"/>
      <c r="KU374" s="31"/>
      <c r="KV374" s="31"/>
      <c r="KW374" s="31"/>
      <c r="KX374" s="31"/>
      <c r="KY374" s="31"/>
      <c r="KZ374" s="31"/>
      <c r="LA374" s="31"/>
      <c r="LB374" s="31"/>
      <c r="LC374" s="31"/>
      <c r="LD374" s="31"/>
      <c r="LE374" s="31"/>
      <c r="LF374" s="31"/>
      <c r="LG374" s="31"/>
      <c r="LH374" s="31"/>
      <c r="LI374" s="31"/>
      <c r="LJ374" s="31"/>
      <c r="LK374" s="31"/>
      <c r="LL374" s="31"/>
      <c r="LM374" s="31"/>
      <c r="LN374" s="31"/>
      <c r="LO374" s="31"/>
      <c r="LP374" s="31"/>
      <c r="LQ374" s="31"/>
      <c r="LR374" s="31"/>
      <c r="LS374" s="31"/>
      <c r="LT374" s="31"/>
      <c r="LU374" s="31"/>
      <c r="LV374" s="31"/>
      <c r="LW374" s="31"/>
      <c r="LX374" s="31"/>
      <c r="LY374" s="31"/>
      <c r="LZ374" s="31"/>
      <c r="MA374" s="31"/>
      <c r="MB374" s="31"/>
      <c r="MC374" s="31"/>
      <c r="MD374" s="31"/>
      <c r="ME374" s="31"/>
      <c r="MF374" s="31"/>
      <c r="MG374" s="31"/>
      <c r="MH374" s="31"/>
      <c r="MI374" s="31"/>
      <c r="MJ374" s="31"/>
      <c r="MK374" s="31"/>
      <c r="ML374" s="31"/>
      <c r="MM374" s="31"/>
      <c r="MN374" s="31"/>
      <c r="MO374" s="31"/>
      <c r="MP374" s="31"/>
      <c r="MQ374" s="31"/>
      <c r="MR374" s="31"/>
      <c r="MS374" s="31"/>
      <c r="MT374" s="31"/>
      <c r="MU374" s="31"/>
      <c r="MV374" s="31"/>
      <c r="MW374" s="31"/>
      <c r="MX374" s="31"/>
      <c r="MY374" s="31"/>
      <c r="MZ374" s="31"/>
      <c r="NA374" s="31"/>
      <c r="NB374" s="31"/>
      <c r="NC374" s="31"/>
      <c r="ND374" s="31"/>
      <c r="NE374" s="31"/>
      <c r="NF374" s="31"/>
      <c r="NG374" s="31"/>
      <c r="NH374" s="31"/>
      <c r="NI374" s="31"/>
      <c r="NJ374" s="31"/>
      <c r="NK374" s="31"/>
      <c r="NL374" s="31"/>
      <c r="NM374" s="31"/>
      <c r="NN374" s="31"/>
      <c r="NO374" s="31"/>
      <c r="NP374" s="31"/>
      <c r="NQ374" s="31"/>
      <c r="NR374" s="31"/>
      <c r="NS374" s="31"/>
      <c r="NT374" s="31"/>
      <c r="NU374" s="31"/>
      <c r="NV374" s="31"/>
      <c r="NW374" s="31"/>
      <c r="NX374" s="31"/>
      <c r="NY374" s="31"/>
      <c r="NZ374" s="31"/>
      <c r="OA374" s="31"/>
      <c r="OB374" s="31"/>
      <c r="OC374" s="31"/>
      <c r="OD374" s="31"/>
      <c r="OE374" s="31"/>
      <c r="OF374" s="31"/>
      <c r="OG374" s="31"/>
      <c r="OH374" s="31"/>
      <c r="OI374" s="31"/>
      <c r="OJ374" s="31"/>
      <c r="OK374" s="31"/>
      <c r="OL374" s="31"/>
      <c r="OM374" s="31"/>
      <c r="ON374" s="31"/>
      <c r="OO374" s="31"/>
      <c r="OP374" s="31"/>
      <c r="OQ374" s="31"/>
      <c r="OR374" s="31"/>
      <c r="OS374" s="31"/>
      <c r="OT374" s="31"/>
      <c r="OU374" s="31"/>
      <c r="OV374" s="31"/>
      <c r="OW374" s="31"/>
      <c r="OX374" s="31"/>
    </row>
    <row r="375" spans="2:414" s="25" customFormat="1" ht="15.6">
      <c r="B375" s="25" t="s">
        <v>175</v>
      </c>
      <c r="C375" s="27" t="s">
        <v>251</v>
      </c>
      <c r="D375" s="30" t="s">
        <v>105</v>
      </c>
      <c r="G375" s="42">
        <v>80</v>
      </c>
      <c r="H375" s="89">
        <v>26.109000000000002</v>
      </c>
      <c r="I375" s="38">
        <f t="shared" si="116"/>
        <v>2088.7200000000003</v>
      </c>
      <c r="K375" s="42">
        <v>80</v>
      </c>
      <c r="L375" s="90">
        <v>26.849599999999999</v>
      </c>
      <c r="M375" s="38">
        <f t="shared" si="117"/>
        <v>2147.9679999999998</v>
      </c>
      <c r="O375" s="42">
        <v>505</v>
      </c>
      <c r="P375" s="38">
        <v>26.728300000000001</v>
      </c>
      <c r="Q375" s="38">
        <f t="shared" si="118"/>
        <v>13497.791500000001</v>
      </c>
      <c r="R375" s="43">
        <f t="shared" si="114"/>
        <v>665</v>
      </c>
      <c r="S375" s="38">
        <f t="shared" si="119"/>
        <v>17734.479500000001</v>
      </c>
      <c r="T375" s="49">
        <v>255</v>
      </c>
      <c r="U375" s="42">
        <v>26.77</v>
      </c>
      <c r="V375" s="38">
        <f t="shared" si="126"/>
        <v>6826.3499999999995</v>
      </c>
      <c r="W375" s="42">
        <v>505</v>
      </c>
      <c r="X375" s="42">
        <v>26.77</v>
      </c>
      <c r="Y375" s="42">
        <f t="shared" si="128"/>
        <v>13518.85</v>
      </c>
      <c r="Z375" s="42"/>
      <c r="AA375" s="42"/>
      <c r="AB375" s="42">
        <f t="shared" si="125"/>
        <v>0</v>
      </c>
      <c r="AD375" s="42"/>
      <c r="AE375" s="42"/>
      <c r="AF375" s="42">
        <f t="shared" si="130"/>
        <v>0</v>
      </c>
      <c r="AG375" s="42"/>
      <c r="AH375" s="42"/>
      <c r="AI375" s="42"/>
      <c r="AJ375" s="42">
        <f t="shared" si="115"/>
        <v>0</v>
      </c>
      <c r="AL375" s="42"/>
      <c r="AM375" s="42"/>
      <c r="AN375" s="42"/>
      <c r="AO375" s="44"/>
      <c r="AP375" s="42"/>
      <c r="AQ375" s="42"/>
      <c r="AR375" s="42"/>
      <c r="AU375" s="98"/>
      <c r="AV375" s="35"/>
      <c r="AW375" s="104"/>
      <c r="AX375" s="42"/>
      <c r="AY375" s="42"/>
      <c r="AZ375" s="42">
        <f t="shared" si="113"/>
        <v>0</v>
      </c>
      <c r="BA375" s="42"/>
      <c r="BB375" s="42"/>
      <c r="BC375" s="42"/>
      <c r="BD375" s="38">
        <f t="shared" si="120"/>
        <v>0</v>
      </c>
      <c r="BE375" s="42"/>
      <c r="BF375" s="42"/>
      <c r="BG375" s="42"/>
      <c r="BH375" s="38">
        <f t="shared" si="121"/>
        <v>0</v>
      </c>
      <c r="BI375" s="42"/>
      <c r="BJ375" s="42"/>
      <c r="BK375" s="42"/>
      <c r="BL375" s="38">
        <f t="shared" si="122"/>
        <v>0</v>
      </c>
      <c r="BM375" s="42"/>
      <c r="BN375" s="42"/>
      <c r="BO375" s="42"/>
      <c r="BP375" s="42"/>
      <c r="BR375" s="42">
        <f t="shared" si="123"/>
        <v>20345.2</v>
      </c>
      <c r="BS375" s="43"/>
      <c r="BT375" s="42">
        <v>2610.7199999999998</v>
      </c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  <c r="FM375" s="31"/>
      <c r="FN375" s="31"/>
      <c r="FO375" s="31"/>
      <c r="FP375" s="31"/>
      <c r="FQ375" s="31"/>
      <c r="FR375" s="31"/>
      <c r="FS375" s="31"/>
      <c r="FT375" s="31"/>
      <c r="FU375" s="31"/>
      <c r="FV375" s="31"/>
      <c r="FW375" s="31"/>
      <c r="FX375" s="31"/>
      <c r="FY375" s="31"/>
      <c r="FZ375" s="31"/>
      <c r="GA375" s="31"/>
      <c r="GB375" s="31"/>
      <c r="GC375" s="31"/>
      <c r="GD375" s="31"/>
      <c r="GE375" s="31"/>
      <c r="GF375" s="31"/>
      <c r="GG375" s="31"/>
      <c r="GH375" s="31"/>
      <c r="GI375" s="31"/>
      <c r="GJ375" s="31"/>
      <c r="GK375" s="31"/>
      <c r="GL375" s="31"/>
      <c r="GM375" s="31"/>
      <c r="GN375" s="31"/>
      <c r="GO375" s="31"/>
      <c r="GP375" s="31"/>
      <c r="GQ375" s="31"/>
      <c r="GR375" s="31"/>
      <c r="GS375" s="31"/>
      <c r="GT375" s="31"/>
      <c r="GU375" s="31"/>
      <c r="GV375" s="31"/>
      <c r="GW375" s="31"/>
      <c r="GX375" s="31"/>
      <c r="GY375" s="31"/>
      <c r="GZ375" s="31"/>
      <c r="HA375" s="31"/>
      <c r="HB375" s="31"/>
      <c r="HC375" s="31"/>
      <c r="HD375" s="31"/>
      <c r="HE375" s="31"/>
      <c r="HF375" s="31"/>
      <c r="HG375" s="31"/>
      <c r="HH375" s="31"/>
      <c r="HI375" s="31"/>
      <c r="HJ375" s="31"/>
      <c r="HK375" s="31"/>
      <c r="HL375" s="31"/>
      <c r="HM375" s="31"/>
      <c r="HN375" s="31"/>
      <c r="HO375" s="31"/>
      <c r="HP375" s="31"/>
      <c r="HQ375" s="31"/>
      <c r="HR375" s="31"/>
      <c r="HS375" s="31"/>
      <c r="HT375" s="31"/>
      <c r="HU375" s="31"/>
      <c r="HV375" s="31"/>
      <c r="HW375" s="31"/>
      <c r="HX375" s="31"/>
      <c r="HY375" s="31"/>
      <c r="HZ375" s="31"/>
      <c r="IA375" s="31"/>
      <c r="IB375" s="31"/>
      <c r="IC375" s="31"/>
      <c r="ID375" s="31"/>
      <c r="IE375" s="31"/>
      <c r="IF375" s="31"/>
      <c r="IG375" s="31"/>
      <c r="IH375" s="31"/>
      <c r="II375" s="31"/>
      <c r="IJ375" s="31"/>
      <c r="IK375" s="31"/>
      <c r="IL375" s="31"/>
      <c r="IM375" s="31"/>
      <c r="IN375" s="31"/>
      <c r="IO375" s="31"/>
      <c r="IP375" s="31"/>
      <c r="IQ375" s="31"/>
      <c r="IR375" s="31"/>
      <c r="IS375" s="31"/>
      <c r="IT375" s="31"/>
      <c r="IU375" s="31"/>
      <c r="IV375" s="31"/>
      <c r="IW375" s="31"/>
      <c r="IX375" s="31"/>
      <c r="IY375" s="31"/>
      <c r="IZ375" s="31"/>
      <c r="JA375" s="31"/>
      <c r="JB375" s="31"/>
      <c r="JC375" s="31"/>
      <c r="JD375" s="31"/>
      <c r="JE375" s="31"/>
      <c r="JF375" s="31"/>
      <c r="JG375" s="31"/>
      <c r="JH375" s="31"/>
      <c r="JI375" s="31"/>
      <c r="JJ375" s="31"/>
      <c r="JK375" s="31"/>
      <c r="JL375" s="31"/>
      <c r="JM375" s="31"/>
      <c r="JN375" s="31"/>
      <c r="JO375" s="31"/>
      <c r="JP375" s="31"/>
      <c r="JQ375" s="31"/>
      <c r="JR375" s="31"/>
      <c r="JS375" s="31"/>
      <c r="JT375" s="31"/>
      <c r="JU375" s="31"/>
      <c r="JV375" s="31"/>
      <c r="JW375" s="31"/>
      <c r="JX375" s="31"/>
      <c r="JY375" s="31"/>
      <c r="JZ375" s="31"/>
      <c r="KA375" s="31"/>
      <c r="KB375" s="31"/>
      <c r="KC375" s="31"/>
      <c r="KD375" s="31"/>
      <c r="KE375" s="31"/>
      <c r="KF375" s="31"/>
      <c r="KG375" s="31"/>
      <c r="KH375" s="31"/>
      <c r="KI375" s="31"/>
      <c r="KJ375" s="31"/>
      <c r="KK375" s="31"/>
      <c r="KL375" s="31"/>
      <c r="KM375" s="31"/>
      <c r="KN375" s="31"/>
      <c r="KO375" s="31"/>
      <c r="KP375" s="31"/>
      <c r="KQ375" s="31"/>
      <c r="KR375" s="31"/>
      <c r="KS375" s="31"/>
      <c r="KT375" s="31"/>
      <c r="KU375" s="31"/>
      <c r="KV375" s="31"/>
      <c r="KW375" s="31"/>
      <c r="KX375" s="31"/>
      <c r="KY375" s="31"/>
      <c r="KZ375" s="31"/>
      <c r="LA375" s="31"/>
      <c r="LB375" s="31"/>
      <c r="LC375" s="31"/>
      <c r="LD375" s="31"/>
      <c r="LE375" s="31"/>
      <c r="LF375" s="31"/>
      <c r="LG375" s="31"/>
      <c r="LH375" s="31"/>
      <c r="LI375" s="31"/>
      <c r="LJ375" s="31"/>
      <c r="LK375" s="31"/>
      <c r="LL375" s="31"/>
      <c r="LM375" s="31"/>
      <c r="LN375" s="31"/>
      <c r="LO375" s="31"/>
      <c r="LP375" s="31"/>
      <c r="LQ375" s="31"/>
      <c r="LR375" s="31"/>
      <c r="LS375" s="31"/>
      <c r="LT375" s="31"/>
      <c r="LU375" s="31"/>
      <c r="LV375" s="31"/>
      <c r="LW375" s="31"/>
      <c r="LX375" s="31"/>
      <c r="LY375" s="31"/>
      <c r="LZ375" s="31"/>
      <c r="MA375" s="31"/>
      <c r="MB375" s="31"/>
      <c r="MC375" s="31"/>
      <c r="MD375" s="31"/>
      <c r="ME375" s="31"/>
      <c r="MF375" s="31"/>
      <c r="MG375" s="31"/>
      <c r="MH375" s="31"/>
      <c r="MI375" s="31"/>
      <c r="MJ375" s="31"/>
      <c r="MK375" s="31"/>
      <c r="ML375" s="31"/>
      <c r="MM375" s="31"/>
      <c r="MN375" s="31"/>
      <c r="MO375" s="31"/>
      <c r="MP375" s="31"/>
      <c r="MQ375" s="31"/>
      <c r="MR375" s="31"/>
      <c r="MS375" s="31"/>
      <c r="MT375" s="31"/>
      <c r="MU375" s="31"/>
      <c r="MV375" s="31"/>
      <c r="MW375" s="31"/>
      <c r="MX375" s="31"/>
      <c r="MY375" s="31"/>
      <c r="MZ375" s="31"/>
      <c r="NA375" s="31"/>
      <c r="NB375" s="31"/>
      <c r="NC375" s="31"/>
      <c r="ND375" s="31"/>
      <c r="NE375" s="31"/>
      <c r="NF375" s="31"/>
      <c r="NG375" s="31"/>
      <c r="NH375" s="31"/>
      <c r="NI375" s="31"/>
      <c r="NJ375" s="31"/>
      <c r="NK375" s="31"/>
      <c r="NL375" s="31"/>
      <c r="NM375" s="31"/>
      <c r="NN375" s="31"/>
      <c r="NO375" s="31"/>
      <c r="NP375" s="31"/>
      <c r="NQ375" s="31"/>
      <c r="NR375" s="31"/>
      <c r="NS375" s="31"/>
      <c r="NT375" s="31"/>
      <c r="NU375" s="31"/>
      <c r="NV375" s="31"/>
      <c r="NW375" s="31"/>
      <c r="NX375" s="31"/>
      <c r="NY375" s="31"/>
      <c r="NZ375" s="31"/>
      <c r="OA375" s="31"/>
      <c r="OB375" s="31"/>
      <c r="OC375" s="31"/>
      <c r="OD375" s="31"/>
      <c r="OE375" s="31"/>
      <c r="OF375" s="31"/>
      <c r="OG375" s="31"/>
      <c r="OH375" s="31"/>
      <c r="OI375" s="31"/>
      <c r="OJ375" s="31"/>
      <c r="OK375" s="31"/>
      <c r="OL375" s="31"/>
      <c r="OM375" s="31"/>
      <c r="ON375" s="31"/>
      <c r="OO375" s="31"/>
      <c r="OP375" s="31"/>
      <c r="OQ375" s="31"/>
      <c r="OR375" s="31"/>
      <c r="OS375" s="31"/>
      <c r="OT375" s="31"/>
      <c r="OU375" s="31"/>
      <c r="OV375" s="31"/>
      <c r="OW375" s="31"/>
      <c r="OX375" s="31"/>
    </row>
    <row r="376" spans="2:414" s="25" customFormat="1" ht="15.6">
      <c r="B376" s="25" t="s">
        <v>803</v>
      </c>
      <c r="C376" s="27" t="s">
        <v>802</v>
      </c>
      <c r="D376" s="30" t="s">
        <v>105</v>
      </c>
      <c r="G376" s="42">
        <v>80</v>
      </c>
      <c r="H376" s="89">
        <v>26.109000000000002</v>
      </c>
      <c r="I376" s="38">
        <f t="shared" si="116"/>
        <v>2088.7200000000003</v>
      </c>
      <c r="K376" s="42">
        <v>80</v>
      </c>
      <c r="L376" s="90">
        <v>26.849599999999999</v>
      </c>
      <c r="M376" s="38">
        <f t="shared" si="117"/>
        <v>2147.9679999999998</v>
      </c>
      <c r="O376" s="42">
        <v>505</v>
      </c>
      <c r="P376" s="38">
        <v>26.728300000000001</v>
      </c>
      <c r="Q376" s="38">
        <f t="shared" si="118"/>
        <v>13497.791500000001</v>
      </c>
      <c r="R376" s="43">
        <f t="shared" si="114"/>
        <v>665</v>
      </c>
      <c r="S376" s="38">
        <f t="shared" si="119"/>
        <v>17734.479500000001</v>
      </c>
      <c r="T376" s="49">
        <v>240</v>
      </c>
      <c r="U376" s="42">
        <v>26.741299999999999</v>
      </c>
      <c r="V376" s="38">
        <f t="shared" si="126"/>
        <v>6417.9119999999994</v>
      </c>
      <c r="W376" s="42">
        <v>505</v>
      </c>
      <c r="X376" s="42">
        <v>26.77</v>
      </c>
      <c r="Y376" s="42">
        <f t="shared" si="128"/>
        <v>13518.85</v>
      </c>
      <c r="Z376" s="42"/>
      <c r="AA376" s="42"/>
      <c r="AB376" s="42">
        <f t="shared" si="125"/>
        <v>0</v>
      </c>
      <c r="AD376" s="42"/>
      <c r="AE376" s="42"/>
      <c r="AF376" s="42">
        <f t="shared" si="130"/>
        <v>0</v>
      </c>
      <c r="AG376" s="42"/>
      <c r="AH376" s="42"/>
      <c r="AI376" s="42"/>
      <c r="AJ376" s="42">
        <f t="shared" si="115"/>
        <v>0</v>
      </c>
      <c r="AL376" s="42"/>
      <c r="AM376" s="42"/>
      <c r="AN376" s="42"/>
      <c r="AO376" s="44"/>
      <c r="AP376" s="42"/>
      <c r="AQ376" s="42"/>
      <c r="AR376" s="42"/>
      <c r="AU376" s="98"/>
      <c r="AV376" s="35"/>
      <c r="AW376" s="104"/>
      <c r="AX376" s="42"/>
      <c r="AY376" s="42"/>
      <c r="AZ376" s="42">
        <f t="shared" si="113"/>
        <v>0</v>
      </c>
      <c r="BA376" s="42"/>
      <c r="BB376" s="42"/>
      <c r="BC376" s="42"/>
      <c r="BD376" s="38">
        <f t="shared" si="120"/>
        <v>0</v>
      </c>
      <c r="BE376" s="42"/>
      <c r="BF376" s="42"/>
      <c r="BG376" s="42"/>
      <c r="BH376" s="38">
        <f t="shared" si="121"/>
        <v>0</v>
      </c>
      <c r="BI376" s="42"/>
      <c r="BJ376" s="42"/>
      <c r="BK376" s="42"/>
      <c r="BL376" s="38">
        <f t="shared" si="122"/>
        <v>0</v>
      </c>
      <c r="BM376" s="42"/>
      <c r="BN376" s="42"/>
      <c r="BO376" s="42"/>
      <c r="BP376" s="42"/>
      <c r="BR376" s="42">
        <f t="shared" si="123"/>
        <v>19936.761999999999</v>
      </c>
      <c r="BS376" s="43"/>
      <c r="BT376" s="42">
        <v>2202.2800000000002</v>
      </c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  <c r="FM376" s="31"/>
      <c r="FN376" s="31"/>
      <c r="FO376" s="31"/>
      <c r="FP376" s="31"/>
      <c r="FQ376" s="31"/>
      <c r="FR376" s="31"/>
      <c r="FS376" s="31"/>
      <c r="FT376" s="31"/>
      <c r="FU376" s="31"/>
      <c r="FV376" s="31"/>
      <c r="FW376" s="31"/>
      <c r="FX376" s="31"/>
      <c r="FY376" s="31"/>
      <c r="FZ376" s="31"/>
      <c r="GA376" s="31"/>
      <c r="GB376" s="31"/>
      <c r="GC376" s="31"/>
      <c r="GD376" s="31"/>
      <c r="GE376" s="31"/>
      <c r="GF376" s="31"/>
      <c r="GG376" s="31"/>
      <c r="GH376" s="31"/>
      <c r="GI376" s="31"/>
      <c r="GJ376" s="31"/>
      <c r="GK376" s="31"/>
      <c r="GL376" s="31"/>
      <c r="GM376" s="31"/>
      <c r="GN376" s="31"/>
      <c r="GO376" s="31"/>
      <c r="GP376" s="31"/>
      <c r="GQ376" s="31"/>
      <c r="GR376" s="31"/>
      <c r="GS376" s="31"/>
      <c r="GT376" s="31"/>
      <c r="GU376" s="31"/>
      <c r="GV376" s="31"/>
      <c r="GW376" s="31"/>
      <c r="GX376" s="31"/>
      <c r="GY376" s="31"/>
      <c r="GZ376" s="31"/>
      <c r="HA376" s="31"/>
      <c r="HB376" s="31"/>
      <c r="HC376" s="31"/>
      <c r="HD376" s="31"/>
      <c r="HE376" s="31"/>
      <c r="HF376" s="31"/>
      <c r="HG376" s="31"/>
      <c r="HH376" s="31"/>
      <c r="HI376" s="31"/>
      <c r="HJ376" s="31"/>
      <c r="HK376" s="31"/>
      <c r="HL376" s="31"/>
      <c r="HM376" s="31"/>
      <c r="HN376" s="31"/>
      <c r="HO376" s="31"/>
      <c r="HP376" s="31"/>
      <c r="HQ376" s="31"/>
      <c r="HR376" s="31"/>
      <c r="HS376" s="31"/>
      <c r="HT376" s="31"/>
      <c r="HU376" s="31"/>
      <c r="HV376" s="31"/>
      <c r="HW376" s="31"/>
      <c r="HX376" s="31"/>
      <c r="HY376" s="31"/>
      <c r="HZ376" s="31"/>
      <c r="IA376" s="31"/>
      <c r="IB376" s="31"/>
      <c r="IC376" s="31"/>
      <c r="ID376" s="31"/>
      <c r="IE376" s="31"/>
      <c r="IF376" s="31"/>
      <c r="IG376" s="31"/>
      <c r="IH376" s="31"/>
      <c r="II376" s="31"/>
      <c r="IJ376" s="31"/>
      <c r="IK376" s="31"/>
      <c r="IL376" s="31"/>
      <c r="IM376" s="31"/>
      <c r="IN376" s="31"/>
      <c r="IO376" s="31"/>
      <c r="IP376" s="31"/>
      <c r="IQ376" s="31"/>
      <c r="IR376" s="31"/>
      <c r="IS376" s="31"/>
      <c r="IT376" s="31"/>
      <c r="IU376" s="31"/>
      <c r="IV376" s="31"/>
      <c r="IW376" s="31"/>
      <c r="IX376" s="31"/>
      <c r="IY376" s="31"/>
      <c r="IZ376" s="31"/>
      <c r="JA376" s="31"/>
      <c r="JB376" s="31"/>
      <c r="JC376" s="31"/>
      <c r="JD376" s="31"/>
      <c r="JE376" s="31"/>
      <c r="JF376" s="31"/>
      <c r="JG376" s="31"/>
      <c r="JH376" s="31"/>
      <c r="JI376" s="31"/>
      <c r="JJ376" s="31"/>
      <c r="JK376" s="31"/>
      <c r="JL376" s="31"/>
      <c r="JM376" s="31"/>
      <c r="JN376" s="31"/>
      <c r="JO376" s="31"/>
      <c r="JP376" s="31"/>
      <c r="JQ376" s="31"/>
      <c r="JR376" s="31"/>
      <c r="JS376" s="31"/>
      <c r="JT376" s="31"/>
      <c r="JU376" s="31"/>
      <c r="JV376" s="31"/>
      <c r="JW376" s="31"/>
      <c r="JX376" s="31"/>
      <c r="JY376" s="31"/>
      <c r="JZ376" s="31"/>
      <c r="KA376" s="31"/>
      <c r="KB376" s="31"/>
      <c r="KC376" s="31"/>
      <c r="KD376" s="31"/>
      <c r="KE376" s="31"/>
      <c r="KF376" s="31"/>
      <c r="KG376" s="31"/>
      <c r="KH376" s="31"/>
      <c r="KI376" s="31"/>
      <c r="KJ376" s="31"/>
      <c r="KK376" s="31"/>
      <c r="KL376" s="31"/>
      <c r="KM376" s="31"/>
      <c r="KN376" s="31"/>
      <c r="KO376" s="31"/>
      <c r="KP376" s="31"/>
      <c r="KQ376" s="31"/>
      <c r="KR376" s="31"/>
      <c r="KS376" s="31"/>
      <c r="KT376" s="31"/>
      <c r="KU376" s="31"/>
      <c r="KV376" s="31"/>
      <c r="KW376" s="31"/>
      <c r="KX376" s="31"/>
      <c r="KY376" s="31"/>
      <c r="KZ376" s="31"/>
      <c r="LA376" s="31"/>
      <c r="LB376" s="31"/>
      <c r="LC376" s="31"/>
      <c r="LD376" s="31"/>
      <c r="LE376" s="31"/>
      <c r="LF376" s="31"/>
      <c r="LG376" s="31"/>
      <c r="LH376" s="31"/>
      <c r="LI376" s="31"/>
      <c r="LJ376" s="31"/>
      <c r="LK376" s="31"/>
      <c r="LL376" s="31"/>
      <c r="LM376" s="31"/>
      <c r="LN376" s="31"/>
      <c r="LO376" s="31"/>
      <c r="LP376" s="31"/>
      <c r="LQ376" s="31"/>
      <c r="LR376" s="31"/>
      <c r="LS376" s="31"/>
      <c r="LT376" s="31"/>
      <c r="LU376" s="31"/>
      <c r="LV376" s="31"/>
      <c r="LW376" s="31"/>
      <c r="LX376" s="31"/>
      <c r="LY376" s="31"/>
      <c r="LZ376" s="31"/>
      <c r="MA376" s="31"/>
      <c r="MB376" s="31"/>
      <c r="MC376" s="31"/>
      <c r="MD376" s="31"/>
      <c r="ME376" s="31"/>
      <c r="MF376" s="31"/>
      <c r="MG376" s="31"/>
      <c r="MH376" s="31"/>
      <c r="MI376" s="31"/>
      <c r="MJ376" s="31"/>
      <c r="MK376" s="31"/>
      <c r="ML376" s="31"/>
      <c r="MM376" s="31"/>
      <c r="MN376" s="31"/>
      <c r="MO376" s="31"/>
      <c r="MP376" s="31"/>
      <c r="MQ376" s="31"/>
      <c r="MR376" s="31"/>
      <c r="MS376" s="31"/>
      <c r="MT376" s="31"/>
      <c r="MU376" s="31"/>
      <c r="MV376" s="31"/>
      <c r="MW376" s="31"/>
      <c r="MX376" s="31"/>
      <c r="MY376" s="31"/>
      <c r="MZ376" s="31"/>
      <c r="NA376" s="31"/>
      <c r="NB376" s="31"/>
      <c r="NC376" s="31"/>
      <c r="ND376" s="31"/>
      <c r="NE376" s="31"/>
      <c r="NF376" s="31"/>
      <c r="NG376" s="31"/>
      <c r="NH376" s="31"/>
      <c r="NI376" s="31"/>
      <c r="NJ376" s="31"/>
      <c r="NK376" s="31"/>
      <c r="NL376" s="31"/>
      <c r="NM376" s="31"/>
      <c r="NN376" s="31"/>
      <c r="NO376" s="31"/>
      <c r="NP376" s="31"/>
      <c r="NQ376" s="31"/>
      <c r="NR376" s="31"/>
      <c r="NS376" s="31"/>
      <c r="NT376" s="31"/>
      <c r="NU376" s="31"/>
      <c r="NV376" s="31"/>
      <c r="NW376" s="31"/>
      <c r="NX376" s="31"/>
      <c r="NY376" s="31"/>
      <c r="NZ376" s="31"/>
      <c r="OA376" s="31"/>
      <c r="OB376" s="31"/>
      <c r="OC376" s="31"/>
      <c r="OD376" s="31"/>
      <c r="OE376" s="31"/>
      <c r="OF376" s="31"/>
      <c r="OG376" s="31"/>
      <c r="OH376" s="31"/>
      <c r="OI376" s="31"/>
      <c r="OJ376" s="31"/>
      <c r="OK376" s="31"/>
      <c r="OL376" s="31"/>
      <c r="OM376" s="31"/>
      <c r="ON376" s="31"/>
      <c r="OO376" s="31"/>
      <c r="OP376" s="31"/>
      <c r="OQ376" s="31"/>
      <c r="OR376" s="31"/>
      <c r="OS376" s="31"/>
      <c r="OT376" s="31"/>
      <c r="OU376" s="31"/>
      <c r="OV376" s="31"/>
      <c r="OW376" s="31"/>
      <c r="OX376" s="31"/>
    </row>
    <row r="377" spans="2:414" s="25" customFormat="1" ht="15.6">
      <c r="B377" s="25" t="s">
        <v>896</v>
      </c>
      <c r="C377" s="27" t="s">
        <v>959</v>
      </c>
      <c r="D377" s="30" t="s">
        <v>105</v>
      </c>
      <c r="G377" s="42">
        <v>80</v>
      </c>
      <c r="H377" s="89">
        <v>26.109000000000002</v>
      </c>
      <c r="I377" s="38">
        <f t="shared" si="116"/>
        <v>2088.7200000000003</v>
      </c>
      <c r="K377" s="42">
        <v>80</v>
      </c>
      <c r="L377" s="90">
        <v>26.849599999999999</v>
      </c>
      <c r="M377" s="38">
        <f t="shared" si="117"/>
        <v>2147.9679999999998</v>
      </c>
      <c r="O377" s="42">
        <v>505</v>
      </c>
      <c r="P377" s="38">
        <v>26.728300000000001</v>
      </c>
      <c r="Q377" s="38">
        <f t="shared" si="118"/>
        <v>13497.791500000001</v>
      </c>
      <c r="R377" s="43">
        <f t="shared" si="114"/>
        <v>665</v>
      </c>
      <c r="S377" s="38">
        <f t="shared" si="119"/>
        <v>17734.479500000001</v>
      </c>
      <c r="T377" s="49">
        <v>160</v>
      </c>
      <c r="U377" s="42">
        <v>26.677399999999999</v>
      </c>
      <c r="V377" s="38">
        <f t="shared" si="126"/>
        <v>4268.384</v>
      </c>
      <c r="W377" s="42">
        <v>505</v>
      </c>
      <c r="X377" s="42">
        <v>26.77</v>
      </c>
      <c r="Y377" s="42">
        <f t="shared" si="128"/>
        <v>13518.85</v>
      </c>
      <c r="Z377" s="42"/>
      <c r="AA377" s="42"/>
      <c r="AB377" s="42">
        <f t="shared" si="125"/>
        <v>0</v>
      </c>
      <c r="AD377" s="42"/>
      <c r="AE377" s="42"/>
      <c r="AF377" s="42">
        <f t="shared" si="130"/>
        <v>0</v>
      </c>
      <c r="AG377" s="42"/>
      <c r="AH377" s="42"/>
      <c r="AI377" s="42"/>
      <c r="AJ377" s="42">
        <f t="shared" si="115"/>
        <v>0</v>
      </c>
      <c r="AL377" s="42"/>
      <c r="AM377" s="42"/>
      <c r="AN377" s="42"/>
      <c r="AO377" s="44"/>
      <c r="AP377" s="42"/>
      <c r="AQ377" s="42"/>
      <c r="AR377" s="42"/>
      <c r="AU377" s="98"/>
      <c r="AV377" s="35"/>
      <c r="AW377" s="104"/>
      <c r="AX377" s="42"/>
      <c r="AY377" s="42"/>
      <c r="AZ377" s="42">
        <f t="shared" si="113"/>
        <v>0</v>
      </c>
      <c r="BA377" s="42"/>
      <c r="BB377" s="42"/>
      <c r="BC377" s="42"/>
      <c r="BD377" s="38">
        <f t="shared" si="120"/>
        <v>0</v>
      </c>
      <c r="BE377" s="42"/>
      <c r="BF377" s="42"/>
      <c r="BG377" s="42"/>
      <c r="BH377" s="38">
        <f t="shared" si="121"/>
        <v>0</v>
      </c>
      <c r="BI377" s="42"/>
      <c r="BJ377" s="42"/>
      <c r="BK377" s="42"/>
      <c r="BL377" s="38">
        <f t="shared" si="122"/>
        <v>0</v>
      </c>
      <c r="BM377" s="42"/>
      <c r="BN377" s="42"/>
      <c r="BO377" s="42"/>
      <c r="BP377" s="42"/>
      <c r="BR377" s="42">
        <f t="shared" si="123"/>
        <v>17787.234</v>
      </c>
      <c r="BS377" s="43"/>
      <c r="BT377" s="42">
        <v>52.75</v>
      </c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  <c r="FM377" s="31"/>
      <c r="FN377" s="31"/>
      <c r="FO377" s="31"/>
      <c r="FP377" s="31"/>
      <c r="FQ377" s="31"/>
      <c r="FR377" s="31"/>
      <c r="FS377" s="31"/>
      <c r="FT377" s="31"/>
      <c r="FU377" s="31"/>
      <c r="FV377" s="31"/>
      <c r="FW377" s="31"/>
      <c r="FX377" s="31"/>
      <c r="FY377" s="31"/>
      <c r="FZ377" s="31"/>
      <c r="GA377" s="31"/>
      <c r="GB377" s="31"/>
      <c r="GC377" s="31"/>
      <c r="GD377" s="31"/>
      <c r="GE377" s="31"/>
      <c r="GF377" s="31"/>
      <c r="GG377" s="31"/>
      <c r="GH377" s="31"/>
      <c r="GI377" s="31"/>
      <c r="GJ377" s="31"/>
      <c r="GK377" s="31"/>
      <c r="GL377" s="31"/>
      <c r="GM377" s="31"/>
      <c r="GN377" s="31"/>
      <c r="GO377" s="31"/>
      <c r="GP377" s="31"/>
      <c r="GQ377" s="31"/>
      <c r="GR377" s="31"/>
      <c r="GS377" s="31"/>
      <c r="GT377" s="31"/>
      <c r="GU377" s="31"/>
      <c r="GV377" s="31"/>
      <c r="GW377" s="31"/>
      <c r="GX377" s="31"/>
      <c r="GY377" s="31"/>
      <c r="GZ377" s="31"/>
      <c r="HA377" s="31"/>
      <c r="HB377" s="31"/>
      <c r="HC377" s="31"/>
      <c r="HD377" s="31"/>
      <c r="HE377" s="31"/>
      <c r="HF377" s="31"/>
      <c r="HG377" s="31"/>
      <c r="HH377" s="31"/>
      <c r="HI377" s="31"/>
      <c r="HJ377" s="31"/>
      <c r="HK377" s="31"/>
      <c r="HL377" s="31"/>
      <c r="HM377" s="31"/>
      <c r="HN377" s="31"/>
      <c r="HO377" s="31"/>
      <c r="HP377" s="31"/>
      <c r="HQ377" s="31"/>
      <c r="HR377" s="31"/>
      <c r="HS377" s="31"/>
      <c r="HT377" s="31"/>
      <c r="HU377" s="31"/>
      <c r="HV377" s="31"/>
      <c r="HW377" s="31"/>
      <c r="HX377" s="31"/>
      <c r="HY377" s="31"/>
      <c r="HZ377" s="31"/>
      <c r="IA377" s="31"/>
      <c r="IB377" s="31"/>
      <c r="IC377" s="31"/>
      <c r="ID377" s="31"/>
      <c r="IE377" s="31"/>
      <c r="IF377" s="31"/>
      <c r="IG377" s="31"/>
      <c r="IH377" s="31"/>
      <c r="II377" s="31"/>
      <c r="IJ377" s="31"/>
      <c r="IK377" s="31"/>
      <c r="IL377" s="31"/>
      <c r="IM377" s="31"/>
      <c r="IN377" s="31"/>
      <c r="IO377" s="31"/>
      <c r="IP377" s="31"/>
      <c r="IQ377" s="31"/>
      <c r="IR377" s="31"/>
      <c r="IS377" s="31"/>
      <c r="IT377" s="31"/>
      <c r="IU377" s="31"/>
      <c r="IV377" s="31"/>
      <c r="IW377" s="31"/>
      <c r="IX377" s="31"/>
      <c r="IY377" s="31"/>
      <c r="IZ377" s="31"/>
      <c r="JA377" s="31"/>
      <c r="JB377" s="31"/>
      <c r="JC377" s="31"/>
      <c r="JD377" s="31"/>
      <c r="JE377" s="31"/>
      <c r="JF377" s="31"/>
      <c r="JG377" s="31"/>
      <c r="JH377" s="31"/>
      <c r="JI377" s="31"/>
      <c r="JJ377" s="31"/>
      <c r="JK377" s="31"/>
      <c r="JL377" s="31"/>
      <c r="JM377" s="31"/>
      <c r="JN377" s="31"/>
      <c r="JO377" s="31"/>
      <c r="JP377" s="31"/>
      <c r="JQ377" s="31"/>
      <c r="JR377" s="31"/>
      <c r="JS377" s="31"/>
      <c r="JT377" s="31"/>
      <c r="JU377" s="31"/>
      <c r="JV377" s="31"/>
      <c r="JW377" s="31"/>
      <c r="JX377" s="31"/>
      <c r="JY377" s="31"/>
      <c r="JZ377" s="31"/>
      <c r="KA377" s="31"/>
      <c r="KB377" s="31"/>
      <c r="KC377" s="31"/>
      <c r="KD377" s="31"/>
      <c r="KE377" s="31"/>
      <c r="KF377" s="31"/>
      <c r="KG377" s="31"/>
      <c r="KH377" s="31"/>
      <c r="KI377" s="31"/>
      <c r="KJ377" s="31"/>
      <c r="KK377" s="31"/>
      <c r="KL377" s="31"/>
      <c r="KM377" s="31"/>
      <c r="KN377" s="31"/>
      <c r="KO377" s="31"/>
      <c r="KP377" s="31"/>
      <c r="KQ377" s="31"/>
      <c r="KR377" s="31"/>
      <c r="KS377" s="31"/>
      <c r="KT377" s="31"/>
      <c r="KU377" s="31"/>
      <c r="KV377" s="31"/>
      <c r="KW377" s="31"/>
      <c r="KX377" s="31"/>
      <c r="KY377" s="31"/>
      <c r="KZ377" s="31"/>
      <c r="LA377" s="31"/>
      <c r="LB377" s="31"/>
      <c r="LC377" s="31"/>
      <c r="LD377" s="31"/>
      <c r="LE377" s="31"/>
      <c r="LF377" s="31"/>
      <c r="LG377" s="31"/>
      <c r="LH377" s="31"/>
      <c r="LI377" s="31"/>
      <c r="LJ377" s="31"/>
      <c r="LK377" s="31"/>
      <c r="LL377" s="31"/>
      <c r="LM377" s="31"/>
      <c r="LN377" s="31"/>
      <c r="LO377" s="31"/>
      <c r="LP377" s="31"/>
      <c r="LQ377" s="31"/>
      <c r="LR377" s="31"/>
      <c r="LS377" s="31"/>
      <c r="LT377" s="31"/>
      <c r="LU377" s="31"/>
      <c r="LV377" s="31"/>
      <c r="LW377" s="31"/>
      <c r="LX377" s="31"/>
      <c r="LY377" s="31"/>
      <c r="LZ377" s="31"/>
      <c r="MA377" s="31"/>
      <c r="MB377" s="31"/>
      <c r="MC377" s="31"/>
      <c r="MD377" s="31"/>
      <c r="ME377" s="31"/>
      <c r="MF377" s="31"/>
      <c r="MG377" s="31"/>
      <c r="MH377" s="31"/>
      <c r="MI377" s="31"/>
      <c r="MJ377" s="31"/>
      <c r="MK377" s="31"/>
      <c r="ML377" s="31"/>
      <c r="MM377" s="31"/>
      <c r="MN377" s="31"/>
      <c r="MO377" s="31"/>
      <c r="MP377" s="31"/>
      <c r="MQ377" s="31"/>
      <c r="MR377" s="31"/>
      <c r="MS377" s="31"/>
      <c r="MT377" s="31"/>
      <c r="MU377" s="31"/>
      <c r="MV377" s="31"/>
      <c r="MW377" s="31"/>
      <c r="MX377" s="31"/>
      <c r="MY377" s="31"/>
      <c r="MZ377" s="31"/>
      <c r="NA377" s="31"/>
      <c r="NB377" s="31"/>
      <c r="NC377" s="31"/>
      <c r="ND377" s="31"/>
      <c r="NE377" s="31"/>
      <c r="NF377" s="31"/>
      <c r="NG377" s="31"/>
      <c r="NH377" s="31"/>
      <c r="NI377" s="31"/>
      <c r="NJ377" s="31"/>
      <c r="NK377" s="31"/>
      <c r="NL377" s="31"/>
      <c r="NM377" s="31"/>
      <c r="NN377" s="31"/>
      <c r="NO377" s="31"/>
      <c r="NP377" s="31"/>
      <c r="NQ377" s="31"/>
      <c r="NR377" s="31"/>
      <c r="NS377" s="31"/>
      <c r="NT377" s="31"/>
      <c r="NU377" s="31"/>
      <c r="NV377" s="31"/>
      <c r="NW377" s="31"/>
      <c r="NX377" s="31"/>
      <c r="NY377" s="31"/>
      <c r="NZ377" s="31"/>
      <c r="OA377" s="31"/>
      <c r="OB377" s="31"/>
      <c r="OC377" s="31"/>
      <c r="OD377" s="31"/>
      <c r="OE377" s="31"/>
      <c r="OF377" s="31"/>
      <c r="OG377" s="31"/>
      <c r="OH377" s="31"/>
      <c r="OI377" s="31"/>
      <c r="OJ377" s="31"/>
      <c r="OK377" s="31"/>
      <c r="OL377" s="31"/>
      <c r="OM377" s="31"/>
      <c r="ON377" s="31"/>
      <c r="OO377" s="31"/>
      <c r="OP377" s="31"/>
      <c r="OQ377" s="31"/>
      <c r="OR377" s="31"/>
      <c r="OS377" s="31"/>
      <c r="OT377" s="31"/>
      <c r="OU377" s="31"/>
      <c r="OV377" s="31"/>
      <c r="OW377" s="31"/>
      <c r="OX377" s="31"/>
    </row>
    <row r="378" spans="2:414" s="25" customFormat="1" ht="15.6">
      <c r="B378" s="25" t="s">
        <v>960</v>
      </c>
      <c r="C378" s="27" t="s">
        <v>961</v>
      </c>
      <c r="D378" s="30" t="s">
        <v>105</v>
      </c>
      <c r="G378" s="42">
        <v>80</v>
      </c>
      <c r="H378" s="89">
        <v>26.109000000000002</v>
      </c>
      <c r="I378" s="38">
        <f t="shared" si="116"/>
        <v>2088.7200000000003</v>
      </c>
      <c r="K378" s="42">
        <v>80</v>
      </c>
      <c r="L378" s="90">
        <v>26.849599999999999</v>
      </c>
      <c r="M378" s="38">
        <f t="shared" si="117"/>
        <v>2147.9679999999998</v>
      </c>
      <c r="O378" s="42">
        <v>505</v>
      </c>
      <c r="P378" s="38">
        <v>26.728300000000001</v>
      </c>
      <c r="Q378" s="38">
        <f t="shared" si="118"/>
        <v>13497.791500000001</v>
      </c>
      <c r="R378" s="43">
        <f t="shared" si="114"/>
        <v>665</v>
      </c>
      <c r="S378" s="38">
        <f t="shared" si="119"/>
        <v>17734.479500000001</v>
      </c>
      <c r="T378" s="49">
        <v>160</v>
      </c>
      <c r="U378" s="42">
        <v>26.68</v>
      </c>
      <c r="V378" s="38">
        <f t="shared" si="126"/>
        <v>4268.8</v>
      </c>
      <c r="W378" s="42">
        <v>390</v>
      </c>
      <c r="X378" s="42">
        <v>26.77</v>
      </c>
      <c r="Y378" s="42">
        <f t="shared" si="128"/>
        <v>10440.299999999999</v>
      </c>
      <c r="Z378" s="42"/>
      <c r="AA378" s="42"/>
      <c r="AB378" s="42">
        <f t="shared" si="125"/>
        <v>0</v>
      </c>
      <c r="AD378" s="42"/>
      <c r="AE378" s="42"/>
      <c r="AF378" s="42">
        <f t="shared" si="130"/>
        <v>0</v>
      </c>
      <c r="AG378" s="42"/>
      <c r="AH378" s="42"/>
      <c r="AI378" s="42"/>
      <c r="AJ378" s="42">
        <f t="shared" si="115"/>
        <v>0</v>
      </c>
      <c r="AL378" s="42"/>
      <c r="AM378" s="42"/>
      <c r="AN378" s="42"/>
      <c r="AO378" s="44"/>
      <c r="AP378" s="42"/>
      <c r="AQ378" s="42"/>
      <c r="AR378" s="42"/>
      <c r="AU378" s="98"/>
      <c r="AV378" s="35"/>
      <c r="AW378" s="104"/>
      <c r="AX378" s="42"/>
      <c r="AY378" s="42"/>
      <c r="AZ378" s="42">
        <f t="shared" ref="AZ378:AZ441" si="131">AX378*AY378</f>
        <v>0</v>
      </c>
      <c r="BA378" s="42"/>
      <c r="BB378" s="42"/>
      <c r="BC378" s="42"/>
      <c r="BD378" s="38">
        <f t="shared" si="120"/>
        <v>0</v>
      </c>
      <c r="BE378" s="42"/>
      <c r="BF378" s="42"/>
      <c r="BG378" s="42"/>
      <c r="BH378" s="38">
        <f t="shared" si="121"/>
        <v>0</v>
      </c>
      <c r="BI378" s="42"/>
      <c r="BJ378" s="42"/>
      <c r="BK378" s="42"/>
      <c r="BL378" s="38">
        <f t="shared" si="122"/>
        <v>0</v>
      </c>
      <c r="BM378" s="42"/>
      <c r="BN378" s="42"/>
      <c r="BO378" s="42"/>
      <c r="BP378" s="42"/>
      <c r="BR378" s="42">
        <f t="shared" si="123"/>
        <v>14709.099999999999</v>
      </c>
      <c r="BS378" s="43">
        <f t="shared" si="124"/>
        <v>3025.3795000000027</v>
      </c>
      <c r="BT378" s="42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  <c r="FM378" s="31"/>
      <c r="FN378" s="31"/>
      <c r="FO378" s="31"/>
      <c r="FP378" s="31"/>
      <c r="FQ378" s="31"/>
      <c r="FR378" s="31"/>
      <c r="FS378" s="31"/>
      <c r="FT378" s="31"/>
      <c r="FU378" s="31"/>
      <c r="FV378" s="31"/>
      <c r="FW378" s="31"/>
      <c r="FX378" s="31"/>
      <c r="FY378" s="31"/>
      <c r="FZ378" s="31"/>
      <c r="GA378" s="31"/>
      <c r="GB378" s="31"/>
      <c r="GC378" s="31"/>
      <c r="GD378" s="31"/>
      <c r="GE378" s="31"/>
      <c r="GF378" s="31"/>
      <c r="GG378" s="31"/>
      <c r="GH378" s="31"/>
      <c r="GI378" s="31"/>
      <c r="GJ378" s="31"/>
      <c r="GK378" s="31"/>
      <c r="GL378" s="31"/>
      <c r="GM378" s="31"/>
      <c r="GN378" s="31"/>
      <c r="GO378" s="31"/>
      <c r="GP378" s="31"/>
      <c r="GQ378" s="31"/>
      <c r="GR378" s="31"/>
      <c r="GS378" s="31"/>
      <c r="GT378" s="31"/>
      <c r="GU378" s="31"/>
      <c r="GV378" s="31"/>
      <c r="GW378" s="31"/>
      <c r="GX378" s="31"/>
      <c r="GY378" s="31"/>
      <c r="GZ378" s="31"/>
      <c r="HA378" s="31"/>
      <c r="HB378" s="31"/>
      <c r="HC378" s="31"/>
      <c r="HD378" s="31"/>
      <c r="HE378" s="31"/>
      <c r="HF378" s="31"/>
      <c r="HG378" s="31"/>
      <c r="HH378" s="31"/>
      <c r="HI378" s="31"/>
      <c r="HJ378" s="31"/>
      <c r="HK378" s="31"/>
      <c r="HL378" s="31"/>
      <c r="HM378" s="31"/>
      <c r="HN378" s="31"/>
      <c r="HO378" s="31"/>
      <c r="HP378" s="31"/>
      <c r="HQ378" s="31"/>
      <c r="HR378" s="31"/>
      <c r="HS378" s="31"/>
      <c r="HT378" s="31"/>
      <c r="HU378" s="31"/>
      <c r="HV378" s="31"/>
      <c r="HW378" s="31"/>
      <c r="HX378" s="31"/>
      <c r="HY378" s="31"/>
      <c r="HZ378" s="31"/>
      <c r="IA378" s="31"/>
      <c r="IB378" s="31"/>
      <c r="IC378" s="31"/>
      <c r="ID378" s="31"/>
      <c r="IE378" s="31"/>
      <c r="IF378" s="31"/>
      <c r="IG378" s="31"/>
      <c r="IH378" s="31"/>
      <c r="II378" s="31"/>
      <c r="IJ378" s="31"/>
      <c r="IK378" s="31"/>
      <c r="IL378" s="31"/>
      <c r="IM378" s="31"/>
      <c r="IN378" s="31"/>
      <c r="IO378" s="31"/>
      <c r="IP378" s="31"/>
      <c r="IQ378" s="31"/>
      <c r="IR378" s="31"/>
      <c r="IS378" s="31"/>
      <c r="IT378" s="31"/>
      <c r="IU378" s="31"/>
      <c r="IV378" s="31"/>
      <c r="IW378" s="31"/>
      <c r="IX378" s="31"/>
      <c r="IY378" s="31"/>
      <c r="IZ378" s="31"/>
      <c r="JA378" s="31"/>
      <c r="JB378" s="31"/>
      <c r="JC378" s="31"/>
      <c r="JD378" s="31"/>
      <c r="JE378" s="31"/>
      <c r="JF378" s="31"/>
      <c r="JG378" s="31"/>
      <c r="JH378" s="31"/>
      <c r="JI378" s="31"/>
      <c r="JJ378" s="31"/>
      <c r="JK378" s="31"/>
      <c r="JL378" s="31"/>
      <c r="JM378" s="31"/>
      <c r="JN378" s="31"/>
      <c r="JO378" s="31"/>
      <c r="JP378" s="31"/>
      <c r="JQ378" s="31"/>
      <c r="JR378" s="31"/>
      <c r="JS378" s="31"/>
      <c r="JT378" s="31"/>
      <c r="JU378" s="31"/>
      <c r="JV378" s="31"/>
      <c r="JW378" s="31"/>
      <c r="JX378" s="31"/>
      <c r="JY378" s="31"/>
      <c r="JZ378" s="31"/>
      <c r="KA378" s="31"/>
      <c r="KB378" s="31"/>
      <c r="KC378" s="31"/>
      <c r="KD378" s="31"/>
      <c r="KE378" s="31"/>
      <c r="KF378" s="31"/>
      <c r="KG378" s="31"/>
      <c r="KH378" s="31"/>
      <c r="KI378" s="31"/>
      <c r="KJ378" s="31"/>
      <c r="KK378" s="31"/>
      <c r="KL378" s="31"/>
      <c r="KM378" s="31"/>
      <c r="KN378" s="31"/>
      <c r="KO378" s="31"/>
      <c r="KP378" s="31"/>
      <c r="KQ378" s="31"/>
      <c r="KR378" s="31"/>
      <c r="KS378" s="31"/>
      <c r="KT378" s="31"/>
      <c r="KU378" s="31"/>
      <c r="KV378" s="31"/>
      <c r="KW378" s="31"/>
      <c r="KX378" s="31"/>
      <c r="KY378" s="31"/>
      <c r="KZ378" s="31"/>
      <c r="LA378" s="31"/>
      <c r="LB378" s="31"/>
      <c r="LC378" s="31"/>
      <c r="LD378" s="31"/>
      <c r="LE378" s="31"/>
      <c r="LF378" s="31"/>
      <c r="LG378" s="31"/>
      <c r="LH378" s="31"/>
      <c r="LI378" s="31"/>
      <c r="LJ378" s="31"/>
      <c r="LK378" s="31"/>
      <c r="LL378" s="31"/>
      <c r="LM378" s="31"/>
      <c r="LN378" s="31"/>
      <c r="LO378" s="31"/>
      <c r="LP378" s="31"/>
      <c r="LQ378" s="31"/>
      <c r="LR378" s="31"/>
      <c r="LS378" s="31"/>
      <c r="LT378" s="31"/>
      <c r="LU378" s="31"/>
      <c r="LV378" s="31"/>
      <c r="LW378" s="31"/>
      <c r="LX378" s="31"/>
      <c r="LY378" s="31"/>
      <c r="LZ378" s="31"/>
      <c r="MA378" s="31"/>
      <c r="MB378" s="31"/>
      <c r="MC378" s="31"/>
      <c r="MD378" s="31"/>
      <c r="ME378" s="31"/>
      <c r="MF378" s="31"/>
      <c r="MG378" s="31"/>
      <c r="MH378" s="31"/>
      <c r="MI378" s="31"/>
      <c r="MJ378" s="31"/>
      <c r="MK378" s="31"/>
      <c r="ML378" s="31"/>
      <c r="MM378" s="31"/>
      <c r="MN378" s="31"/>
      <c r="MO378" s="31"/>
      <c r="MP378" s="31"/>
      <c r="MQ378" s="31"/>
      <c r="MR378" s="31"/>
      <c r="MS378" s="31"/>
      <c r="MT378" s="31"/>
      <c r="MU378" s="31"/>
      <c r="MV378" s="31"/>
      <c r="MW378" s="31"/>
      <c r="MX378" s="31"/>
      <c r="MY378" s="31"/>
      <c r="MZ378" s="31"/>
      <c r="NA378" s="31"/>
      <c r="NB378" s="31"/>
      <c r="NC378" s="31"/>
      <c r="ND378" s="31"/>
      <c r="NE378" s="31"/>
      <c r="NF378" s="31"/>
      <c r="NG378" s="31"/>
      <c r="NH378" s="31"/>
      <c r="NI378" s="31"/>
      <c r="NJ378" s="31"/>
      <c r="NK378" s="31"/>
      <c r="NL378" s="31"/>
      <c r="NM378" s="31"/>
      <c r="NN378" s="31"/>
      <c r="NO378" s="31"/>
      <c r="NP378" s="31"/>
      <c r="NQ378" s="31"/>
      <c r="NR378" s="31"/>
      <c r="NS378" s="31"/>
      <c r="NT378" s="31"/>
      <c r="NU378" s="31"/>
      <c r="NV378" s="31"/>
      <c r="NW378" s="31"/>
      <c r="NX378" s="31"/>
      <c r="NY378" s="31"/>
      <c r="NZ378" s="31"/>
      <c r="OA378" s="31"/>
      <c r="OB378" s="31"/>
      <c r="OC378" s="31"/>
      <c r="OD378" s="31"/>
      <c r="OE378" s="31"/>
      <c r="OF378" s="31"/>
      <c r="OG378" s="31"/>
      <c r="OH378" s="31"/>
      <c r="OI378" s="31"/>
      <c r="OJ378" s="31"/>
      <c r="OK378" s="31"/>
      <c r="OL378" s="31"/>
      <c r="OM378" s="31"/>
      <c r="ON378" s="31"/>
      <c r="OO378" s="31"/>
      <c r="OP378" s="31"/>
      <c r="OQ378" s="31"/>
      <c r="OR378" s="31"/>
      <c r="OS378" s="31"/>
      <c r="OT378" s="31"/>
      <c r="OU378" s="31"/>
      <c r="OV378" s="31"/>
      <c r="OW378" s="31"/>
      <c r="OX378" s="31"/>
    </row>
    <row r="379" spans="2:414" s="25" customFormat="1" ht="15.6">
      <c r="B379" s="25" t="s">
        <v>962</v>
      </c>
      <c r="C379" s="27" t="s">
        <v>44</v>
      </c>
      <c r="D379" s="30" t="s">
        <v>105</v>
      </c>
      <c r="G379" s="42">
        <v>80</v>
      </c>
      <c r="H379" s="89">
        <v>26.109000000000002</v>
      </c>
      <c r="I379" s="38">
        <f t="shared" si="116"/>
        <v>2088.7200000000003</v>
      </c>
      <c r="K379" s="42">
        <v>80</v>
      </c>
      <c r="L379" s="90">
        <v>26.849599999999999</v>
      </c>
      <c r="M379" s="38">
        <f t="shared" si="117"/>
        <v>2147.9679999999998</v>
      </c>
      <c r="O379" s="42">
        <v>505</v>
      </c>
      <c r="P379" s="38">
        <v>26.728300000000001</v>
      </c>
      <c r="Q379" s="38">
        <f t="shared" si="118"/>
        <v>13497.791500000001</v>
      </c>
      <c r="R379" s="43">
        <f t="shared" si="114"/>
        <v>665</v>
      </c>
      <c r="S379" s="38">
        <f t="shared" si="119"/>
        <v>17734.479500000001</v>
      </c>
      <c r="T379" s="49">
        <v>240</v>
      </c>
      <c r="U379" s="42">
        <v>26.74</v>
      </c>
      <c r="V379" s="38">
        <f t="shared" si="126"/>
        <v>6417.5999999999995</v>
      </c>
      <c r="W379" s="42">
        <v>497</v>
      </c>
      <c r="X379" s="42">
        <v>26.7</v>
      </c>
      <c r="Y379" s="42">
        <f t="shared" si="128"/>
        <v>13269.9</v>
      </c>
      <c r="Z379" s="42"/>
      <c r="AA379" s="42"/>
      <c r="AB379" s="42">
        <f t="shared" si="125"/>
        <v>0</v>
      </c>
      <c r="AD379" s="42"/>
      <c r="AE379" s="42"/>
      <c r="AF379" s="42">
        <f t="shared" si="130"/>
        <v>0</v>
      </c>
      <c r="AG379" s="42"/>
      <c r="AH379" s="42"/>
      <c r="AI379" s="42"/>
      <c r="AJ379" s="42">
        <f t="shared" si="115"/>
        <v>0</v>
      </c>
      <c r="AL379" s="42"/>
      <c r="AM379" s="42"/>
      <c r="AN379" s="42"/>
      <c r="AO379" s="44"/>
      <c r="AP379" s="42"/>
      <c r="AQ379" s="42"/>
      <c r="AR379" s="42"/>
      <c r="AU379" s="98"/>
      <c r="AV379" s="35"/>
      <c r="AW379" s="104"/>
      <c r="AX379" s="42"/>
      <c r="AY379" s="42"/>
      <c r="AZ379" s="42">
        <f t="shared" si="131"/>
        <v>0</v>
      </c>
      <c r="BA379" s="42"/>
      <c r="BB379" s="42"/>
      <c r="BC379" s="42"/>
      <c r="BD379" s="38">
        <f t="shared" si="120"/>
        <v>0</v>
      </c>
      <c r="BE379" s="42"/>
      <c r="BF379" s="42"/>
      <c r="BG379" s="42"/>
      <c r="BH379" s="38">
        <f t="shared" si="121"/>
        <v>0</v>
      </c>
      <c r="BI379" s="42"/>
      <c r="BJ379" s="42"/>
      <c r="BK379" s="42"/>
      <c r="BL379" s="38">
        <f t="shared" si="122"/>
        <v>0</v>
      </c>
      <c r="BM379" s="42"/>
      <c r="BN379" s="42"/>
      <c r="BO379" s="42"/>
      <c r="BP379" s="42"/>
      <c r="BR379" s="42">
        <f t="shared" si="123"/>
        <v>19687.5</v>
      </c>
      <c r="BS379" s="43"/>
      <c r="BT379" s="42">
        <v>1953.02</v>
      </c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  <c r="FM379" s="31"/>
      <c r="FN379" s="31"/>
      <c r="FO379" s="31"/>
      <c r="FP379" s="31"/>
      <c r="FQ379" s="31"/>
      <c r="FR379" s="31"/>
      <c r="FS379" s="31"/>
      <c r="FT379" s="31"/>
      <c r="FU379" s="31"/>
      <c r="FV379" s="31"/>
      <c r="FW379" s="31"/>
      <c r="FX379" s="31"/>
      <c r="FY379" s="31"/>
      <c r="FZ379" s="31"/>
      <c r="GA379" s="31"/>
      <c r="GB379" s="31"/>
      <c r="GC379" s="31"/>
      <c r="GD379" s="31"/>
      <c r="GE379" s="31"/>
      <c r="GF379" s="31"/>
      <c r="GG379" s="31"/>
      <c r="GH379" s="31"/>
      <c r="GI379" s="31"/>
      <c r="GJ379" s="31"/>
      <c r="GK379" s="31"/>
      <c r="GL379" s="31"/>
      <c r="GM379" s="31"/>
      <c r="GN379" s="31"/>
      <c r="GO379" s="31"/>
      <c r="GP379" s="31"/>
      <c r="GQ379" s="31"/>
      <c r="GR379" s="31"/>
      <c r="GS379" s="31"/>
      <c r="GT379" s="31"/>
      <c r="GU379" s="31"/>
      <c r="GV379" s="31"/>
      <c r="GW379" s="31"/>
      <c r="GX379" s="31"/>
      <c r="GY379" s="31"/>
      <c r="GZ379" s="31"/>
      <c r="HA379" s="31"/>
      <c r="HB379" s="31"/>
      <c r="HC379" s="31"/>
      <c r="HD379" s="31"/>
      <c r="HE379" s="31"/>
      <c r="HF379" s="31"/>
      <c r="HG379" s="31"/>
      <c r="HH379" s="31"/>
      <c r="HI379" s="31"/>
      <c r="HJ379" s="31"/>
      <c r="HK379" s="31"/>
      <c r="HL379" s="31"/>
      <c r="HM379" s="31"/>
      <c r="HN379" s="31"/>
      <c r="HO379" s="31"/>
      <c r="HP379" s="31"/>
      <c r="HQ379" s="31"/>
      <c r="HR379" s="31"/>
      <c r="HS379" s="31"/>
      <c r="HT379" s="31"/>
      <c r="HU379" s="31"/>
      <c r="HV379" s="31"/>
      <c r="HW379" s="31"/>
      <c r="HX379" s="31"/>
      <c r="HY379" s="31"/>
      <c r="HZ379" s="31"/>
      <c r="IA379" s="31"/>
      <c r="IB379" s="31"/>
      <c r="IC379" s="31"/>
      <c r="ID379" s="31"/>
      <c r="IE379" s="31"/>
      <c r="IF379" s="31"/>
      <c r="IG379" s="31"/>
      <c r="IH379" s="31"/>
      <c r="II379" s="31"/>
      <c r="IJ379" s="31"/>
      <c r="IK379" s="31"/>
      <c r="IL379" s="31"/>
      <c r="IM379" s="31"/>
      <c r="IN379" s="31"/>
      <c r="IO379" s="31"/>
      <c r="IP379" s="31"/>
      <c r="IQ379" s="31"/>
      <c r="IR379" s="31"/>
      <c r="IS379" s="31"/>
      <c r="IT379" s="31"/>
      <c r="IU379" s="31"/>
      <c r="IV379" s="31"/>
      <c r="IW379" s="31"/>
      <c r="IX379" s="31"/>
      <c r="IY379" s="31"/>
      <c r="IZ379" s="31"/>
      <c r="JA379" s="31"/>
      <c r="JB379" s="31"/>
      <c r="JC379" s="31"/>
      <c r="JD379" s="31"/>
      <c r="JE379" s="31"/>
      <c r="JF379" s="31"/>
      <c r="JG379" s="31"/>
      <c r="JH379" s="31"/>
      <c r="JI379" s="31"/>
      <c r="JJ379" s="31"/>
      <c r="JK379" s="31"/>
      <c r="JL379" s="31"/>
      <c r="JM379" s="31"/>
      <c r="JN379" s="31"/>
      <c r="JO379" s="31"/>
      <c r="JP379" s="31"/>
      <c r="JQ379" s="31"/>
      <c r="JR379" s="31"/>
      <c r="JS379" s="31"/>
      <c r="JT379" s="31"/>
      <c r="JU379" s="31"/>
      <c r="JV379" s="31"/>
      <c r="JW379" s="31"/>
      <c r="JX379" s="31"/>
      <c r="JY379" s="31"/>
      <c r="JZ379" s="31"/>
      <c r="KA379" s="31"/>
      <c r="KB379" s="31"/>
      <c r="KC379" s="31"/>
      <c r="KD379" s="31"/>
      <c r="KE379" s="31"/>
      <c r="KF379" s="31"/>
      <c r="KG379" s="31"/>
      <c r="KH379" s="31"/>
      <c r="KI379" s="31"/>
      <c r="KJ379" s="31"/>
      <c r="KK379" s="31"/>
      <c r="KL379" s="31"/>
      <c r="KM379" s="31"/>
      <c r="KN379" s="31"/>
      <c r="KO379" s="31"/>
      <c r="KP379" s="31"/>
      <c r="KQ379" s="31"/>
      <c r="KR379" s="31"/>
      <c r="KS379" s="31"/>
      <c r="KT379" s="31"/>
      <c r="KU379" s="31"/>
      <c r="KV379" s="31"/>
      <c r="KW379" s="31"/>
      <c r="KX379" s="31"/>
      <c r="KY379" s="31"/>
      <c r="KZ379" s="31"/>
      <c r="LA379" s="31"/>
      <c r="LB379" s="31"/>
      <c r="LC379" s="31"/>
      <c r="LD379" s="31"/>
      <c r="LE379" s="31"/>
      <c r="LF379" s="31"/>
      <c r="LG379" s="31"/>
      <c r="LH379" s="31"/>
      <c r="LI379" s="31"/>
      <c r="LJ379" s="31"/>
      <c r="LK379" s="31"/>
      <c r="LL379" s="31"/>
      <c r="LM379" s="31"/>
      <c r="LN379" s="31"/>
      <c r="LO379" s="31"/>
      <c r="LP379" s="31"/>
      <c r="LQ379" s="31"/>
      <c r="LR379" s="31"/>
      <c r="LS379" s="31"/>
      <c r="LT379" s="31"/>
      <c r="LU379" s="31"/>
      <c r="LV379" s="31"/>
      <c r="LW379" s="31"/>
      <c r="LX379" s="31"/>
      <c r="LY379" s="31"/>
      <c r="LZ379" s="31"/>
      <c r="MA379" s="31"/>
      <c r="MB379" s="31"/>
      <c r="MC379" s="31"/>
      <c r="MD379" s="31"/>
      <c r="ME379" s="31"/>
      <c r="MF379" s="31"/>
      <c r="MG379" s="31"/>
      <c r="MH379" s="31"/>
      <c r="MI379" s="31"/>
      <c r="MJ379" s="31"/>
      <c r="MK379" s="31"/>
      <c r="ML379" s="31"/>
      <c r="MM379" s="31"/>
      <c r="MN379" s="31"/>
      <c r="MO379" s="31"/>
      <c r="MP379" s="31"/>
      <c r="MQ379" s="31"/>
      <c r="MR379" s="31"/>
      <c r="MS379" s="31"/>
      <c r="MT379" s="31"/>
      <c r="MU379" s="31"/>
      <c r="MV379" s="31"/>
      <c r="MW379" s="31"/>
      <c r="MX379" s="31"/>
      <c r="MY379" s="31"/>
      <c r="MZ379" s="31"/>
      <c r="NA379" s="31"/>
      <c r="NB379" s="31"/>
      <c r="NC379" s="31"/>
      <c r="ND379" s="31"/>
      <c r="NE379" s="31"/>
      <c r="NF379" s="31"/>
      <c r="NG379" s="31"/>
      <c r="NH379" s="31"/>
      <c r="NI379" s="31"/>
      <c r="NJ379" s="31"/>
      <c r="NK379" s="31"/>
      <c r="NL379" s="31"/>
      <c r="NM379" s="31"/>
      <c r="NN379" s="31"/>
      <c r="NO379" s="31"/>
      <c r="NP379" s="31"/>
      <c r="NQ379" s="31"/>
      <c r="NR379" s="31"/>
      <c r="NS379" s="31"/>
      <c r="NT379" s="31"/>
      <c r="NU379" s="31"/>
      <c r="NV379" s="31"/>
      <c r="NW379" s="31"/>
      <c r="NX379" s="31"/>
      <c r="NY379" s="31"/>
      <c r="NZ379" s="31"/>
      <c r="OA379" s="31"/>
      <c r="OB379" s="31"/>
      <c r="OC379" s="31"/>
      <c r="OD379" s="31"/>
      <c r="OE379" s="31"/>
      <c r="OF379" s="31"/>
      <c r="OG379" s="31"/>
      <c r="OH379" s="31"/>
      <c r="OI379" s="31"/>
      <c r="OJ379" s="31"/>
      <c r="OK379" s="31"/>
      <c r="OL379" s="31"/>
      <c r="OM379" s="31"/>
      <c r="ON379" s="31"/>
      <c r="OO379" s="31"/>
      <c r="OP379" s="31"/>
      <c r="OQ379" s="31"/>
      <c r="OR379" s="31"/>
      <c r="OS379" s="31"/>
      <c r="OT379" s="31"/>
      <c r="OU379" s="31"/>
      <c r="OV379" s="31"/>
      <c r="OW379" s="31"/>
      <c r="OX379" s="31"/>
    </row>
    <row r="380" spans="2:414" s="25" customFormat="1" ht="15.6">
      <c r="B380" s="25" t="s">
        <v>819</v>
      </c>
      <c r="C380" s="27" t="s">
        <v>820</v>
      </c>
      <c r="D380" s="30" t="s">
        <v>105</v>
      </c>
      <c r="G380" s="42">
        <v>80</v>
      </c>
      <c r="H380" s="89">
        <v>26.109000000000002</v>
      </c>
      <c r="I380" s="38">
        <f t="shared" si="116"/>
        <v>2088.7200000000003</v>
      </c>
      <c r="K380" s="42">
        <v>80</v>
      </c>
      <c r="L380" s="90">
        <v>26.849599999999999</v>
      </c>
      <c r="M380" s="38">
        <f t="shared" si="117"/>
        <v>2147.9679999999998</v>
      </c>
      <c r="O380" s="42">
        <v>505</v>
      </c>
      <c r="P380" s="38">
        <v>26.728300000000001</v>
      </c>
      <c r="Q380" s="38">
        <f t="shared" si="118"/>
        <v>13497.791500000001</v>
      </c>
      <c r="R380" s="43">
        <f t="shared" si="114"/>
        <v>665</v>
      </c>
      <c r="S380" s="38">
        <f t="shared" si="119"/>
        <v>17734.479500000001</v>
      </c>
      <c r="T380" s="49">
        <v>240</v>
      </c>
      <c r="U380" s="42">
        <v>26.74</v>
      </c>
      <c r="V380" s="38">
        <f t="shared" si="126"/>
        <v>6417.5999999999995</v>
      </c>
      <c r="W380" s="42">
        <v>260</v>
      </c>
      <c r="X380" s="42">
        <v>26.7</v>
      </c>
      <c r="Y380" s="42">
        <f t="shared" si="128"/>
        <v>6942</v>
      </c>
      <c r="Z380" s="42"/>
      <c r="AA380" s="42"/>
      <c r="AB380" s="42">
        <f t="shared" si="125"/>
        <v>0</v>
      </c>
      <c r="AD380" s="42"/>
      <c r="AE380" s="42"/>
      <c r="AF380" s="42">
        <f t="shared" si="130"/>
        <v>0</v>
      </c>
      <c r="AG380" s="42"/>
      <c r="AH380" s="42"/>
      <c r="AI380" s="42"/>
      <c r="AJ380" s="42">
        <f t="shared" si="115"/>
        <v>0</v>
      </c>
      <c r="AL380" s="42"/>
      <c r="AM380" s="42"/>
      <c r="AN380" s="42"/>
      <c r="AO380" s="44"/>
      <c r="AP380" s="42"/>
      <c r="AQ380" s="42"/>
      <c r="AR380" s="42"/>
      <c r="AU380" s="98"/>
      <c r="AV380" s="35"/>
      <c r="AW380" s="104"/>
      <c r="AX380" s="42"/>
      <c r="AY380" s="42"/>
      <c r="AZ380" s="42">
        <f t="shared" si="131"/>
        <v>0</v>
      </c>
      <c r="BA380" s="42"/>
      <c r="BB380" s="42"/>
      <c r="BC380" s="42"/>
      <c r="BD380" s="38">
        <f t="shared" si="120"/>
        <v>0</v>
      </c>
      <c r="BE380" s="42"/>
      <c r="BF380" s="42"/>
      <c r="BG380" s="42"/>
      <c r="BH380" s="38">
        <f t="shared" si="121"/>
        <v>0</v>
      </c>
      <c r="BI380" s="42"/>
      <c r="BJ380" s="42"/>
      <c r="BK380" s="42"/>
      <c r="BL380" s="38">
        <f t="shared" si="122"/>
        <v>0</v>
      </c>
      <c r="BM380" s="42"/>
      <c r="BN380" s="42"/>
      <c r="BO380" s="42"/>
      <c r="BP380" s="42"/>
      <c r="BR380" s="42">
        <f t="shared" si="123"/>
        <v>13359.599999999999</v>
      </c>
      <c r="BS380" s="43">
        <f t="shared" si="124"/>
        <v>4374.8795000000027</v>
      </c>
      <c r="BT380" s="42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  <c r="FM380" s="31"/>
      <c r="FN380" s="31"/>
      <c r="FO380" s="31"/>
      <c r="FP380" s="31"/>
      <c r="FQ380" s="31"/>
      <c r="FR380" s="31"/>
      <c r="FS380" s="31"/>
      <c r="FT380" s="31"/>
      <c r="FU380" s="31"/>
      <c r="FV380" s="31"/>
      <c r="FW380" s="31"/>
      <c r="FX380" s="31"/>
      <c r="FY380" s="31"/>
      <c r="FZ380" s="31"/>
      <c r="GA380" s="31"/>
      <c r="GB380" s="31"/>
      <c r="GC380" s="31"/>
      <c r="GD380" s="31"/>
      <c r="GE380" s="31"/>
      <c r="GF380" s="31"/>
      <c r="GG380" s="31"/>
      <c r="GH380" s="31"/>
      <c r="GI380" s="31"/>
      <c r="GJ380" s="31"/>
      <c r="GK380" s="31"/>
      <c r="GL380" s="31"/>
      <c r="GM380" s="31"/>
      <c r="GN380" s="31"/>
      <c r="GO380" s="31"/>
      <c r="GP380" s="31"/>
      <c r="GQ380" s="31"/>
      <c r="GR380" s="31"/>
      <c r="GS380" s="31"/>
      <c r="GT380" s="31"/>
      <c r="GU380" s="31"/>
      <c r="GV380" s="31"/>
      <c r="GW380" s="31"/>
      <c r="GX380" s="31"/>
      <c r="GY380" s="31"/>
      <c r="GZ380" s="31"/>
      <c r="HA380" s="31"/>
      <c r="HB380" s="31"/>
      <c r="HC380" s="31"/>
      <c r="HD380" s="31"/>
      <c r="HE380" s="31"/>
      <c r="HF380" s="31"/>
      <c r="HG380" s="31"/>
      <c r="HH380" s="31"/>
      <c r="HI380" s="31"/>
      <c r="HJ380" s="31"/>
      <c r="HK380" s="31"/>
      <c r="HL380" s="31"/>
      <c r="HM380" s="31"/>
      <c r="HN380" s="31"/>
      <c r="HO380" s="31"/>
      <c r="HP380" s="31"/>
      <c r="HQ380" s="31"/>
      <c r="HR380" s="31"/>
      <c r="HS380" s="31"/>
      <c r="HT380" s="31"/>
      <c r="HU380" s="31"/>
      <c r="HV380" s="31"/>
      <c r="HW380" s="31"/>
      <c r="HX380" s="31"/>
      <c r="HY380" s="31"/>
      <c r="HZ380" s="31"/>
      <c r="IA380" s="31"/>
      <c r="IB380" s="31"/>
      <c r="IC380" s="31"/>
      <c r="ID380" s="31"/>
      <c r="IE380" s="31"/>
      <c r="IF380" s="31"/>
      <c r="IG380" s="31"/>
      <c r="IH380" s="31"/>
      <c r="II380" s="31"/>
      <c r="IJ380" s="31"/>
      <c r="IK380" s="31"/>
      <c r="IL380" s="31"/>
      <c r="IM380" s="31"/>
      <c r="IN380" s="31"/>
      <c r="IO380" s="31"/>
      <c r="IP380" s="31"/>
      <c r="IQ380" s="31"/>
      <c r="IR380" s="31"/>
      <c r="IS380" s="31"/>
      <c r="IT380" s="31"/>
      <c r="IU380" s="31"/>
      <c r="IV380" s="31"/>
      <c r="IW380" s="31"/>
      <c r="IX380" s="31"/>
      <c r="IY380" s="31"/>
      <c r="IZ380" s="31"/>
      <c r="JA380" s="31"/>
      <c r="JB380" s="31"/>
      <c r="JC380" s="31"/>
      <c r="JD380" s="31"/>
      <c r="JE380" s="31"/>
      <c r="JF380" s="31"/>
      <c r="JG380" s="31"/>
      <c r="JH380" s="31"/>
      <c r="JI380" s="31"/>
      <c r="JJ380" s="31"/>
      <c r="JK380" s="31"/>
      <c r="JL380" s="31"/>
      <c r="JM380" s="31"/>
      <c r="JN380" s="31"/>
      <c r="JO380" s="31"/>
      <c r="JP380" s="31"/>
      <c r="JQ380" s="31"/>
      <c r="JR380" s="31"/>
      <c r="JS380" s="31"/>
      <c r="JT380" s="31"/>
      <c r="JU380" s="31"/>
      <c r="JV380" s="31"/>
      <c r="JW380" s="31"/>
      <c r="JX380" s="31"/>
      <c r="JY380" s="31"/>
      <c r="JZ380" s="31"/>
      <c r="KA380" s="31"/>
      <c r="KB380" s="31"/>
      <c r="KC380" s="31"/>
      <c r="KD380" s="31"/>
      <c r="KE380" s="31"/>
      <c r="KF380" s="31"/>
      <c r="KG380" s="31"/>
      <c r="KH380" s="31"/>
      <c r="KI380" s="31"/>
      <c r="KJ380" s="31"/>
      <c r="KK380" s="31"/>
      <c r="KL380" s="31"/>
      <c r="KM380" s="31"/>
      <c r="KN380" s="31"/>
      <c r="KO380" s="31"/>
      <c r="KP380" s="31"/>
      <c r="KQ380" s="31"/>
      <c r="KR380" s="31"/>
      <c r="KS380" s="31"/>
      <c r="KT380" s="31"/>
      <c r="KU380" s="31"/>
      <c r="KV380" s="31"/>
      <c r="KW380" s="31"/>
      <c r="KX380" s="31"/>
      <c r="KY380" s="31"/>
      <c r="KZ380" s="31"/>
      <c r="LA380" s="31"/>
      <c r="LB380" s="31"/>
      <c r="LC380" s="31"/>
      <c r="LD380" s="31"/>
      <c r="LE380" s="31"/>
      <c r="LF380" s="31"/>
      <c r="LG380" s="31"/>
      <c r="LH380" s="31"/>
      <c r="LI380" s="31"/>
      <c r="LJ380" s="31"/>
      <c r="LK380" s="31"/>
      <c r="LL380" s="31"/>
      <c r="LM380" s="31"/>
      <c r="LN380" s="31"/>
      <c r="LO380" s="31"/>
      <c r="LP380" s="31"/>
      <c r="LQ380" s="31"/>
      <c r="LR380" s="31"/>
      <c r="LS380" s="31"/>
      <c r="LT380" s="31"/>
      <c r="LU380" s="31"/>
      <c r="LV380" s="31"/>
      <c r="LW380" s="31"/>
      <c r="LX380" s="31"/>
      <c r="LY380" s="31"/>
      <c r="LZ380" s="31"/>
      <c r="MA380" s="31"/>
      <c r="MB380" s="31"/>
      <c r="MC380" s="31"/>
      <c r="MD380" s="31"/>
      <c r="ME380" s="31"/>
      <c r="MF380" s="31"/>
      <c r="MG380" s="31"/>
      <c r="MH380" s="31"/>
      <c r="MI380" s="31"/>
      <c r="MJ380" s="31"/>
      <c r="MK380" s="31"/>
      <c r="ML380" s="31"/>
      <c r="MM380" s="31"/>
      <c r="MN380" s="31"/>
      <c r="MO380" s="31"/>
      <c r="MP380" s="31"/>
      <c r="MQ380" s="31"/>
      <c r="MR380" s="31"/>
      <c r="MS380" s="31"/>
      <c r="MT380" s="31"/>
      <c r="MU380" s="31"/>
      <c r="MV380" s="31"/>
      <c r="MW380" s="31"/>
      <c r="MX380" s="31"/>
      <c r="MY380" s="31"/>
      <c r="MZ380" s="31"/>
      <c r="NA380" s="31"/>
      <c r="NB380" s="31"/>
      <c r="NC380" s="31"/>
      <c r="ND380" s="31"/>
      <c r="NE380" s="31"/>
      <c r="NF380" s="31"/>
      <c r="NG380" s="31"/>
      <c r="NH380" s="31"/>
      <c r="NI380" s="31"/>
      <c r="NJ380" s="31"/>
      <c r="NK380" s="31"/>
      <c r="NL380" s="31"/>
      <c r="NM380" s="31"/>
      <c r="NN380" s="31"/>
      <c r="NO380" s="31"/>
      <c r="NP380" s="31"/>
      <c r="NQ380" s="31"/>
      <c r="NR380" s="31"/>
      <c r="NS380" s="31"/>
      <c r="NT380" s="31"/>
      <c r="NU380" s="31"/>
      <c r="NV380" s="31"/>
      <c r="NW380" s="31"/>
      <c r="NX380" s="31"/>
      <c r="NY380" s="31"/>
      <c r="NZ380" s="31"/>
      <c r="OA380" s="31"/>
      <c r="OB380" s="31"/>
      <c r="OC380" s="31"/>
      <c r="OD380" s="31"/>
      <c r="OE380" s="31"/>
      <c r="OF380" s="31"/>
      <c r="OG380" s="31"/>
      <c r="OH380" s="31"/>
      <c r="OI380" s="31"/>
      <c r="OJ380" s="31"/>
      <c r="OK380" s="31"/>
      <c r="OL380" s="31"/>
      <c r="OM380" s="31"/>
      <c r="ON380" s="31"/>
      <c r="OO380" s="31"/>
      <c r="OP380" s="31"/>
      <c r="OQ380" s="31"/>
      <c r="OR380" s="31"/>
      <c r="OS380" s="31"/>
      <c r="OT380" s="31"/>
      <c r="OU380" s="31"/>
      <c r="OV380" s="31"/>
      <c r="OW380" s="31"/>
      <c r="OX380" s="31"/>
    </row>
    <row r="381" spans="2:414" s="25" customFormat="1" ht="15.6">
      <c r="B381" s="25" t="s">
        <v>430</v>
      </c>
      <c r="C381" s="27" t="s">
        <v>581</v>
      </c>
      <c r="D381" s="30" t="s">
        <v>105</v>
      </c>
      <c r="G381" s="42">
        <v>80</v>
      </c>
      <c r="H381" s="89">
        <v>26.109000000000002</v>
      </c>
      <c r="I381" s="38">
        <f t="shared" si="116"/>
        <v>2088.7200000000003</v>
      </c>
      <c r="K381" s="42">
        <v>80</v>
      </c>
      <c r="L381" s="90">
        <v>26.849599999999999</v>
      </c>
      <c r="M381" s="38">
        <f t="shared" si="117"/>
        <v>2147.9679999999998</v>
      </c>
      <c r="O381" s="42">
        <v>505</v>
      </c>
      <c r="P381" s="38">
        <v>26.728300000000001</v>
      </c>
      <c r="Q381" s="38">
        <f t="shared" si="118"/>
        <v>13497.791500000001</v>
      </c>
      <c r="R381" s="43">
        <f t="shared" si="114"/>
        <v>665</v>
      </c>
      <c r="S381" s="38">
        <f t="shared" si="119"/>
        <v>17734.479500000001</v>
      </c>
      <c r="T381" s="49">
        <v>240</v>
      </c>
      <c r="U381" s="42">
        <v>26.74</v>
      </c>
      <c r="V381" s="38">
        <f t="shared" si="126"/>
        <v>6417.5999999999995</v>
      </c>
      <c r="W381" s="42">
        <v>420</v>
      </c>
      <c r="X381" s="42">
        <v>26.6906</v>
      </c>
      <c r="Y381" s="42">
        <f t="shared" si="128"/>
        <v>11210.052</v>
      </c>
      <c r="Z381" s="42">
        <v>85</v>
      </c>
      <c r="AA381" s="42">
        <v>26.650300000000001</v>
      </c>
      <c r="AB381" s="42">
        <f t="shared" si="125"/>
        <v>2265.2755000000002</v>
      </c>
      <c r="AD381" s="42"/>
      <c r="AE381" s="42"/>
      <c r="AF381" s="42">
        <f t="shared" si="130"/>
        <v>0</v>
      </c>
      <c r="AG381" s="42"/>
      <c r="AH381" s="42"/>
      <c r="AI381" s="42"/>
      <c r="AJ381" s="42">
        <f t="shared" si="115"/>
        <v>0</v>
      </c>
      <c r="AL381" s="42"/>
      <c r="AM381" s="42"/>
      <c r="AN381" s="42"/>
      <c r="AO381" s="44"/>
      <c r="AP381" s="42"/>
      <c r="AQ381" s="42"/>
      <c r="AR381" s="42"/>
      <c r="AU381" s="98"/>
      <c r="AV381" s="35"/>
      <c r="AW381" s="104"/>
      <c r="AX381" s="42"/>
      <c r="AY381" s="42"/>
      <c r="AZ381" s="42">
        <f t="shared" si="131"/>
        <v>0</v>
      </c>
      <c r="BA381" s="42"/>
      <c r="BB381" s="42"/>
      <c r="BC381" s="42"/>
      <c r="BD381" s="38">
        <f t="shared" si="120"/>
        <v>0</v>
      </c>
      <c r="BE381" s="42"/>
      <c r="BF381" s="42"/>
      <c r="BG381" s="42"/>
      <c r="BH381" s="38">
        <f t="shared" si="121"/>
        <v>0</v>
      </c>
      <c r="BI381" s="42"/>
      <c r="BJ381" s="42"/>
      <c r="BK381" s="42"/>
      <c r="BL381" s="38">
        <f t="shared" si="122"/>
        <v>0</v>
      </c>
      <c r="BM381" s="42"/>
      <c r="BN381" s="42"/>
      <c r="BO381" s="42"/>
      <c r="BP381" s="42"/>
      <c r="BR381" s="42">
        <f t="shared" si="123"/>
        <v>19892.927499999998</v>
      </c>
      <c r="BS381" s="43"/>
      <c r="BT381" s="42">
        <v>2158.4499999999998</v>
      </c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  <c r="FM381" s="31"/>
      <c r="FN381" s="31"/>
      <c r="FO381" s="31"/>
      <c r="FP381" s="31"/>
      <c r="FQ381" s="31"/>
      <c r="FR381" s="31"/>
      <c r="FS381" s="31"/>
      <c r="FT381" s="31"/>
      <c r="FU381" s="31"/>
      <c r="FV381" s="31"/>
      <c r="FW381" s="31"/>
      <c r="FX381" s="31"/>
      <c r="FY381" s="31"/>
      <c r="FZ381" s="31"/>
      <c r="GA381" s="31"/>
      <c r="GB381" s="31"/>
      <c r="GC381" s="31"/>
      <c r="GD381" s="31"/>
      <c r="GE381" s="31"/>
      <c r="GF381" s="31"/>
      <c r="GG381" s="31"/>
      <c r="GH381" s="31"/>
      <c r="GI381" s="31"/>
      <c r="GJ381" s="31"/>
      <c r="GK381" s="31"/>
      <c r="GL381" s="31"/>
      <c r="GM381" s="31"/>
      <c r="GN381" s="31"/>
      <c r="GO381" s="31"/>
      <c r="GP381" s="31"/>
      <c r="GQ381" s="31"/>
      <c r="GR381" s="31"/>
      <c r="GS381" s="31"/>
      <c r="GT381" s="31"/>
      <c r="GU381" s="31"/>
      <c r="GV381" s="31"/>
      <c r="GW381" s="31"/>
      <c r="GX381" s="31"/>
      <c r="GY381" s="31"/>
      <c r="GZ381" s="31"/>
      <c r="HA381" s="31"/>
      <c r="HB381" s="31"/>
      <c r="HC381" s="31"/>
      <c r="HD381" s="31"/>
      <c r="HE381" s="31"/>
      <c r="HF381" s="31"/>
      <c r="HG381" s="31"/>
      <c r="HH381" s="31"/>
      <c r="HI381" s="31"/>
      <c r="HJ381" s="31"/>
      <c r="HK381" s="31"/>
      <c r="HL381" s="31"/>
      <c r="HM381" s="31"/>
      <c r="HN381" s="31"/>
      <c r="HO381" s="31"/>
      <c r="HP381" s="31"/>
      <c r="HQ381" s="31"/>
      <c r="HR381" s="31"/>
      <c r="HS381" s="31"/>
      <c r="HT381" s="31"/>
      <c r="HU381" s="31"/>
      <c r="HV381" s="31"/>
      <c r="HW381" s="31"/>
      <c r="HX381" s="31"/>
      <c r="HY381" s="31"/>
      <c r="HZ381" s="31"/>
      <c r="IA381" s="31"/>
      <c r="IB381" s="31"/>
      <c r="IC381" s="31"/>
      <c r="ID381" s="31"/>
      <c r="IE381" s="31"/>
      <c r="IF381" s="31"/>
      <c r="IG381" s="31"/>
      <c r="IH381" s="31"/>
      <c r="II381" s="31"/>
      <c r="IJ381" s="31"/>
      <c r="IK381" s="31"/>
      <c r="IL381" s="31"/>
      <c r="IM381" s="31"/>
      <c r="IN381" s="31"/>
      <c r="IO381" s="31"/>
      <c r="IP381" s="31"/>
      <c r="IQ381" s="31"/>
      <c r="IR381" s="31"/>
      <c r="IS381" s="31"/>
      <c r="IT381" s="31"/>
      <c r="IU381" s="31"/>
      <c r="IV381" s="31"/>
      <c r="IW381" s="31"/>
      <c r="IX381" s="31"/>
      <c r="IY381" s="31"/>
      <c r="IZ381" s="31"/>
      <c r="JA381" s="31"/>
      <c r="JB381" s="31"/>
      <c r="JC381" s="31"/>
      <c r="JD381" s="31"/>
      <c r="JE381" s="31"/>
      <c r="JF381" s="31"/>
      <c r="JG381" s="31"/>
      <c r="JH381" s="31"/>
      <c r="JI381" s="31"/>
      <c r="JJ381" s="31"/>
      <c r="JK381" s="31"/>
      <c r="JL381" s="31"/>
      <c r="JM381" s="31"/>
      <c r="JN381" s="31"/>
      <c r="JO381" s="31"/>
      <c r="JP381" s="31"/>
      <c r="JQ381" s="31"/>
      <c r="JR381" s="31"/>
      <c r="JS381" s="31"/>
      <c r="JT381" s="31"/>
      <c r="JU381" s="31"/>
      <c r="JV381" s="31"/>
      <c r="JW381" s="31"/>
      <c r="JX381" s="31"/>
      <c r="JY381" s="31"/>
      <c r="JZ381" s="31"/>
      <c r="KA381" s="31"/>
      <c r="KB381" s="31"/>
      <c r="KC381" s="31"/>
      <c r="KD381" s="31"/>
      <c r="KE381" s="31"/>
      <c r="KF381" s="31"/>
      <c r="KG381" s="31"/>
      <c r="KH381" s="31"/>
      <c r="KI381" s="31"/>
      <c r="KJ381" s="31"/>
      <c r="KK381" s="31"/>
      <c r="KL381" s="31"/>
      <c r="KM381" s="31"/>
      <c r="KN381" s="31"/>
      <c r="KO381" s="31"/>
      <c r="KP381" s="31"/>
      <c r="KQ381" s="31"/>
      <c r="KR381" s="31"/>
      <c r="KS381" s="31"/>
      <c r="KT381" s="31"/>
      <c r="KU381" s="31"/>
      <c r="KV381" s="31"/>
      <c r="KW381" s="31"/>
      <c r="KX381" s="31"/>
      <c r="KY381" s="31"/>
      <c r="KZ381" s="31"/>
      <c r="LA381" s="31"/>
      <c r="LB381" s="31"/>
      <c r="LC381" s="31"/>
      <c r="LD381" s="31"/>
      <c r="LE381" s="31"/>
      <c r="LF381" s="31"/>
      <c r="LG381" s="31"/>
      <c r="LH381" s="31"/>
      <c r="LI381" s="31"/>
      <c r="LJ381" s="31"/>
      <c r="LK381" s="31"/>
      <c r="LL381" s="31"/>
      <c r="LM381" s="31"/>
      <c r="LN381" s="31"/>
      <c r="LO381" s="31"/>
      <c r="LP381" s="31"/>
      <c r="LQ381" s="31"/>
      <c r="LR381" s="31"/>
      <c r="LS381" s="31"/>
      <c r="LT381" s="31"/>
      <c r="LU381" s="31"/>
      <c r="LV381" s="31"/>
      <c r="LW381" s="31"/>
      <c r="LX381" s="31"/>
      <c r="LY381" s="31"/>
      <c r="LZ381" s="31"/>
      <c r="MA381" s="31"/>
      <c r="MB381" s="31"/>
      <c r="MC381" s="31"/>
      <c r="MD381" s="31"/>
      <c r="ME381" s="31"/>
      <c r="MF381" s="31"/>
      <c r="MG381" s="31"/>
      <c r="MH381" s="31"/>
      <c r="MI381" s="31"/>
      <c r="MJ381" s="31"/>
      <c r="MK381" s="31"/>
      <c r="ML381" s="31"/>
      <c r="MM381" s="31"/>
      <c r="MN381" s="31"/>
      <c r="MO381" s="31"/>
      <c r="MP381" s="31"/>
      <c r="MQ381" s="31"/>
      <c r="MR381" s="31"/>
      <c r="MS381" s="31"/>
      <c r="MT381" s="31"/>
      <c r="MU381" s="31"/>
      <c r="MV381" s="31"/>
      <c r="MW381" s="31"/>
      <c r="MX381" s="31"/>
      <c r="MY381" s="31"/>
      <c r="MZ381" s="31"/>
      <c r="NA381" s="31"/>
      <c r="NB381" s="31"/>
      <c r="NC381" s="31"/>
      <c r="ND381" s="31"/>
      <c r="NE381" s="31"/>
      <c r="NF381" s="31"/>
      <c r="NG381" s="31"/>
      <c r="NH381" s="31"/>
      <c r="NI381" s="31"/>
      <c r="NJ381" s="31"/>
      <c r="NK381" s="31"/>
      <c r="NL381" s="31"/>
      <c r="NM381" s="31"/>
      <c r="NN381" s="31"/>
      <c r="NO381" s="31"/>
      <c r="NP381" s="31"/>
      <c r="NQ381" s="31"/>
      <c r="NR381" s="31"/>
      <c r="NS381" s="31"/>
      <c r="NT381" s="31"/>
      <c r="NU381" s="31"/>
      <c r="NV381" s="31"/>
      <c r="NW381" s="31"/>
      <c r="NX381" s="31"/>
      <c r="NY381" s="31"/>
      <c r="NZ381" s="31"/>
      <c r="OA381" s="31"/>
      <c r="OB381" s="31"/>
      <c r="OC381" s="31"/>
      <c r="OD381" s="31"/>
      <c r="OE381" s="31"/>
      <c r="OF381" s="31"/>
      <c r="OG381" s="31"/>
      <c r="OH381" s="31"/>
      <c r="OI381" s="31"/>
      <c r="OJ381" s="31"/>
      <c r="OK381" s="31"/>
      <c r="OL381" s="31"/>
      <c r="OM381" s="31"/>
      <c r="ON381" s="31"/>
      <c r="OO381" s="31"/>
      <c r="OP381" s="31"/>
      <c r="OQ381" s="31"/>
      <c r="OR381" s="31"/>
      <c r="OS381" s="31"/>
      <c r="OT381" s="31"/>
      <c r="OU381" s="31"/>
      <c r="OV381" s="31"/>
      <c r="OW381" s="31"/>
      <c r="OX381" s="31"/>
    </row>
    <row r="382" spans="2:414" s="25" customFormat="1" ht="15.6">
      <c r="B382" s="25" t="s">
        <v>630</v>
      </c>
      <c r="C382" s="27" t="s">
        <v>505</v>
      </c>
      <c r="D382" s="30" t="s">
        <v>105</v>
      </c>
      <c r="G382" s="42">
        <v>80</v>
      </c>
      <c r="H382" s="89">
        <v>26.109000000000002</v>
      </c>
      <c r="I382" s="38">
        <f t="shared" si="116"/>
        <v>2088.7200000000003</v>
      </c>
      <c r="K382" s="42">
        <v>80</v>
      </c>
      <c r="L382" s="90">
        <v>26.849599999999999</v>
      </c>
      <c r="M382" s="38">
        <f t="shared" si="117"/>
        <v>2147.9679999999998</v>
      </c>
      <c r="O382" s="42">
        <v>505</v>
      </c>
      <c r="P382" s="38">
        <v>26.728300000000001</v>
      </c>
      <c r="Q382" s="38">
        <f t="shared" si="118"/>
        <v>13497.791500000001</v>
      </c>
      <c r="R382" s="43">
        <f t="shared" si="114"/>
        <v>665</v>
      </c>
      <c r="S382" s="38">
        <f t="shared" si="119"/>
        <v>17734.479500000001</v>
      </c>
      <c r="T382" s="49">
        <v>240</v>
      </c>
      <c r="U382" s="42">
        <v>26.68</v>
      </c>
      <c r="V382" s="38">
        <f t="shared" si="126"/>
        <v>6403.2</v>
      </c>
      <c r="W382" s="42">
        <v>505</v>
      </c>
      <c r="X382" s="42">
        <v>26.73</v>
      </c>
      <c r="Y382" s="42">
        <f t="shared" si="128"/>
        <v>13498.65</v>
      </c>
      <c r="Z382" s="42"/>
      <c r="AA382" s="42"/>
      <c r="AB382" s="42">
        <f t="shared" si="125"/>
        <v>0</v>
      </c>
      <c r="AD382" s="42"/>
      <c r="AE382" s="42"/>
      <c r="AF382" s="42">
        <f t="shared" si="130"/>
        <v>0</v>
      </c>
      <c r="AG382" s="42"/>
      <c r="AH382" s="42"/>
      <c r="AI382" s="42"/>
      <c r="AJ382" s="42">
        <f t="shared" si="115"/>
        <v>0</v>
      </c>
      <c r="AL382" s="42"/>
      <c r="AM382" s="42"/>
      <c r="AN382" s="42"/>
      <c r="AO382" s="44"/>
      <c r="AP382" s="42"/>
      <c r="AQ382" s="42"/>
      <c r="AR382" s="42"/>
      <c r="AU382" s="98"/>
      <c r="AV382" s="35"/>
      <c r="AW382" s="104"/>
      <c r="AX382" s="42"/>
      <c r="AY382" s="42"/>
      <c r="AZ382" s="42">
        <f t="shared" si="131"/>
        <v>0</v>
      </c>
      <c r="BA382" s="42"/>
      <c r="BB382" s="42"/>
      <c r="BC382" s="42"/>
      <c r="BD382" s="38">
        <f t="shared" si="120"/>
        <v>0</v>
      </c>
      <c r="BE382" s="42"/>
      <c r="BF382" s="42"/>
      <c r="BG382" s="42"/>
      <c r="BH382" s="38">
        <f t="shared" si="121"/>
        <v>0</v>
      </c>
      <c r="BI382" s="42"/>
      <c r="BJ382" s="42"/>
      <c r="BK382" s="42"/>
      <c r="BL382" s="38">
        <f t="shared" si="122"/>
        <v>0</v>
      </c>
      <c r="BM382" s="42"/>
      <c r="BN382" s="42"/>
      <c r="BO382" s="42"/>
      <c r="BP382" s="42"/>
      <c r="BR382" s="42">
        <f t="shared" si="123"/>
        <v>19901.849999999999</v>
      </c>
      <c r="BS382" s="43"/>
      <c r="BT382" s="42">
        <v>2167.37</v>
      </c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  <c r="FM382" s="31"/>
      <c r="FN382" s="31"/>
      <c r="FO382" s="31"/>
      <c r="FP382" s="31"/>
      <c r="FQ382" s="31"/>
      <c r="FR382" s="31"/>
      <c r="FS382" s="31"/>
      <c r="FT382" s="31"/>
      <c r="FU382" s="31"/>
      <c r="FV382" s="31"/>
      <c r="FW382" s="31"/>
      <c r="FX382" s="31"/>
      <c r="FY382" s="31"/>
      <c r="FZ382" s="31"/>
      <c r="GA382" s="31"/>
      <c r="GB382" s="31"/>
      <c r="GC382" s="31"/>
      <c r="GD382" s="31"/>
      <c r="GE382" s="31"/>
      <c r="GF382" s="31"/>
      <c r="GG382" s="31"/>
      <c r="GH382" s="31"/>
      <c r="GI382" s="31"/>
      <c r="GJ382" s="31"/>
      <c r="GK382" s="31"/>
      <c r="GL382" s="31"/>
      <c r="GM382" s="31"/>
      <c r="GN382" s="31"/>
      <c r="GO382" s="31"/>
      <c r="GP382" s="31"/>
      <c r="GQ382" s="31"/>
      <c r="GR382" s="31"/>
      <c r="GS382" s="31"/>
      <c r="GT382" s="31"/>
      <c r="GU382" s="31"/>
      <c r="GV382" s="31"/>
      <c r="GW382" s="31"/>
      <c r="GX382" s="31"/>
      <c r="GY382" s="31"/>
      <c r="GZ382" s="31"/>
      <c r="HA382" s="31"/>
      <c r="HB382" s="31"/>
      <c r="HC382" s="31"/>
      <c r="HD382" s="31"/>
      <c r="HE382" s="31"/>
      <c r="HF382" s="31"/>
      <c r="HG382" s="31"/>
      <c r="HH382" s="31"/>
      <c r="HI382" s="31"/>
      <c r="HJ382" s="31"/>
      <c r="HK382" s="31"/>
      <c r="HL382" s="31"/>
      <c r="HM382" s="31"/>
      <c r="HN382" s="31"/>
      <c r="HO382" s="31"/>
      <c r="HP382" s="31"/>
      <c r="HQ382" s="31"/>
      <c r="HR382" s="31"/>
      <c r="HS382" s="31"/>
      <c r="HT382" s="31"/>
      <c r="HU382" s="31"/>
      <c r="HV382" s="31"/>
      <c r="HW382" s="31"/>
      <c r="HX382" s="31"/>
      <c r="HY382" s="31"/>
      <c r="HZ382" s="31"/>
      <c r="IA382" s="31"/>
      <c r="IB382" s="31"/>
      <c r="IC382" s="31"/>
      <c r="ID382" s="31"/>
      <c r="IE382" s="31"/>
      <c r="IF382" s="31"/>
      <c r="IG382" s="31"/>
      <c r="IH382" s="31"/>
      <c r="II382" s="31"/>
      <c r="IJ382" s="31"/>
      <c r="IK382" s="31"/>
      <c r="IL382" s="31"/>
      <c r="IM382" s="31"/>
      <c r="IN382" s="31"/>
      <c r="IO382" s="31"/>
      <c r="IP382" s="31"/>
      <c r="IQ382" s="31"/>
      <c r="IR382" s="31"/>
      <c r="IS382" s="31"/>
      <c r="IT382" s="31"/>
      <c r="IU382" s="31"/>
      <c r="IV382" s="31"/>
      <c r="IW382" s="31"/>
      <c r="IX382" s="31"/>
      <c r="IY382" s="31"/>
      <c r="IZ382" s="31"/>
      <c r="JA382" s="31"/>
      <c r="JB382" s="31"/>
      <c r="JC382" s="31"/>
      <c r="JD382" s="31"/>
      <c r="JE382" s="31"/>
      <c r="JF382" s="31"/>
      <c r="JG382" s="31"/>
      <c r="JH382" s="31"/>
      <c r="JI382" s="31"/>
      <c r="JJ382" s="31"/>
      <c r="JK382" s="31"/>
      <c r="JL382" s="31"/>
      <c r="JM382" s="31"/>
      <c r="JN382" s="31"/>
      <c r="JO382" s="31"/>
      <c r="JP382" s="31"/>
      <c r="JQ382" s="31"/>
      <c r="JR382" s="31"/>
      <c r="JS382" s="31"/>
      <c r="JT382" s="31"/>
      <c r="JU382" s="31"/>
      <c r="JV382" s="31"/>
      <c r="JW382" s="31"/>
      <c r="JX382" s="31"/>
      <c r="JY382" s="31"/>
      <c r="JZ382" s="31"/>
      <c r="KA382" s="31"/>
      <c r="KB382" s="31"/>
      <c r="KC382" s="31"/>
      <c r="KD382" s="31"/>
      <c r="KE382" s="31"/>
      <c r="KF382" s="31"/>
      <c r="KG382" s="31"/>
      <c r="KH382" s="31"/>
      <c r="KI382" s="31"/>
      <c r="KJ382" s="31"/>
      <c r="KK382" s="31"/>
      <c r="KL382" s="31"/>
      <c r="KM382" s="31"/>
      <c r="KN382" s="31"/>
      <c r="KO382" s="31"/>
      <c r="KP382" s="31"/>
      <c r="KQ382" s="31"/>
      <c r="KR382" s="31"/>
      <c r="KS382" s="31"/>
      <c r="KT382" s="31"/>
      <c r="KU382" s="31"/>
      <c r="KV382" s="31"/>
      <c r="KW382" s="31"/>
      <c r="KX382" s="31"/>
      <c r="KY382" s="31"/>
      <c r="KZ382" s="31"/>
      <c r="LA382" s="31"/>
      <c r="LB382" s="31"/>
      <c r="LC382" s="31"/>
      <c r="LD382" s="31"/>
      <c r="LE382" s="31"/>
      <c r="LF382" s="31"/>
      <c r="LG382" s="31"/>
      <c r="LH382" s="31"/>
      <c r="LI382" s="31"/>
      <c r="LJ382" s="31"/>
      <c r="LK382" s="31"/>
      <c r="LL382" s="31"/>
      <c r="LM382" s="31"/>
      <c r="LN382" s="31"/>
      <c r="LO382" s="31"/>
      <c r="LP382" s="31"/>
      <c r="LQ382" s="31"/>
      <c r="LR382" s="31"/>
      <c r="LS382" s="31"/>
      <c r="LT382" s="31"/>
      <c r="LU382" s="31"/>
      <c r="LV382" s="31"/>
      <c r="LW382" s="31"/>
      <c r="LX382" s="31"/>
      <c r="LY382" s="31"/>
      <c r="LZ382" s="31"/>
      <c r="MA382" s="31"/>
      <c r="MB382" s="31"/>
      <c r="MC382" s="31"/>
      <c r="MD382" s="31"/>
      <c r="ME382" s="31"/>
      <c r="MF382" s="31"/>
      <c r="MG382" s="31"/>
      <c r="MH382" s="31"/>
      <c r="MI382" s="31"/>
      <c r="MJ382" s="31"/>
      <c r="MK382" s="31"/>
      <c r="ML382" s="31"/>
      <c r="MM382" s="31"/>
      <c r="MN382" s="31"/>
      <c r="MO382" s="31"/>
      <c r="MP382" s="31"/>
      <c r="MQ382" s="31"/>
      <c r="MR382" s="31"/>
      <c r="MS382" s="31"/>
      <c r="MT382" s="31"/>
      <c r="MU382" s="31"/>
      <c r="MV382" s="31"/>
      <c r="MW382" s="31"/>
      <c r="MX382" s="31"/>
      <c r="MY382" s="31"/>
      <c r="MZ382" s="31"/>
      <c r="NA382" s="31"/>
      <c r="NB382" s="31"/>
      <c r="NC382" s="31"/>
      <c r="ND382" s="31"/>
      <c r="NE382" s="31"/>
      <c r="NF382" s="31"/>
      <c r="NG382" s="31"/>
      <c r="NH382" s="31"/>
      <c r="NI382" s="31"/>
      <c r="NJ382" s="31"/>
      <c r="NK382" s="31"/>
      <c r="NL382" s="31"/>
      <c r="NM382" s="31"/>
      <c r="NN382" s="31"/>
      <c r="NO382" s="31"/>
      <c r="NP382" s="31"/>
      <c r="NQ382" s="31"/>
      <c r="NR382" s="31"/>
      <c r="NS382" s="31"/>
      <c r="NT382" s="31"/>
      <c r="NU382" s="31"/>
      <c r="NV382" s="31"/>
      <c r="NW382" s="31"/>
      <c r="NX382" s="31"/>
      <c r="NY382" s="31"/>
      <c r="NZ382" s="31"/>
      <c r="OA382" s="31"/>
      <c r="OB382" s="31"/>
      <c r="OC382" s="31"/>
      <c r="OD382" s="31"/>
      <c r="OE382" s="31"/>
      <c r="OF382" s="31"/>
      <c r="OG382" s="31"/>
      <c r="OH382" s="31"/>
      <c r="OI382" s="31"/>
      <c r="OJ382" s="31"/>
      <c r="OK382" s="31"/>
      <c r="OL382" s="31"/>
      <c r="OM382" s="31"/>
      <c r="ON382" s="31"/>
      <c r="OO382" s="31"/>
      <c r="OP382" s="31"/>
      <c r="OQ382" s="31"/>
      <c r="OR382" s="31"/>
      <c r="OS382" s="31"/>
      <c r="OT382" s="31"/>
      <c r="OU382" s="31"/>
      <c r="OV382" s="31"/>
      <c r="OW382" s="31"/>
      <c r="OX382" s="31"/>
    </row>
    <row r="383" spans="2:414" s="25" customFormat="1" ht="15.6">
      <c r="B383" s="25" t="s">
        <v>719</v>
      </c>
      <c r="C383" s="27" t="s">
        <v>963</v>
      </c>
      <c r="D383" s="30" t="s">
        <v>105</v>
      </c>
      <c r="G383" s="42">
        <v>80</v>
      </c>
      <c r="H383" s="89">
        <v>26.109000000000002</v>
      </c>
      <c r="I383" s="38">
        <f t="shared" si="116"/>
        <v>2088.7200000000003</v>
      </c>
      <c r="K383" s="42">
        <v>80</v>
      </c>
      <c r="L383" s="90">
        <v>26.849599999999999</v>
      </c>
      <c r="M383" s="38">
        <f t="shared" si="117"/>
        <v>2147.9679999999998</v>
      </c>
      <c r="O383" s="42">
        <v>505</v>
      </c>
      <c r="P383" s="38">
        <v>26.728300000000001</v>
      </c>
      <c r="Q383" s="38">
        <f t="shared" si="118"/>
        <v>13497.791500000001</v>
      </c>
      <c r="R383" s="43">
        <f t="shared" si="114"/>
        <v>665</v>
      </c>
      <c r="S383" s="38">
        <f t="shared" si="119"/>
        <v>17734.479500000001</v>
      </c>
      <c r="T383" s="49">
        <v>240</v>
      </c>
      <c r="U383" s="42">
        <v>26.555099999999999</v>
      </c>
      <c r="V383" s="38">
        <f t="shared" si="126"/>
        <v>6373.2240000000002</v>
      </c>
      <c r="W383" s="42">
        <v>505</v>
      </c>
      <c r="X383" s="42">
        <v>26.555099999999999</v>
      </c>
      <c r="Y383" s="42">
        <f t="shared" si="128"/>
        <v>13410.325499999999</v>
      </c>
      <c r="Z383" s="42"/>
      <c r="AA383" s="42"/>
      <c r="AB383" s="42">
        <f t="shared" si="125"/>
        <v>0</v>
      </c>
      <c r="AD383" s="42"/>
      <c r="AE383" s="42"/>
      <c r="AF383" s="42">
        <f t="shared" si="130"/>
        <v>0</v>
      </c>
      <c r="AG383" s="42"/>
      <c r="AH383" s="42"/>
      <c r="AI383" s="42"/>
      <c r="AJ383" s="42">
        <f t="shared" si="115"/>
        <v>0</v>
      </c>
      <c r="AL383" s="42"/>
      <c r="AM383" s="42"/>
      <c r="AN383" s="42"/>
      <c r="AO383" s="44"/>
      <c r="AP383" s="42"/>
      <c r="AQ383" s="42"/>
      <c r="AR383" s="42"/>
      <c r="AU383" s="98"/>
      <c r="AV383" s="35"/>
      <c r="AW383" s="104"/>
      <c r="AX383" s="42"/>
      <c r="AY383" s="42"/>
      <c r="AZ383" s="42">
        <f t="shared" si="131"/>
        <v>0</v>
      </c>
      <c r="BA383" s="42"/>
      <c r="BB383" s="42"/>
      <c r="BC383" s="42"/>
      <c r="BD383" s="38">
        <f t="shared" si="120"/>
        <v>0</v>
      </c>
      <c r="BE383" s="42"/>
      <c r="BF383" s="42"/>
      <c r="BG383" s="42"/>
      <c r="BH383" s="38">
        <f t="shared" si="121"/>
        <v>0</v>
      </c>
      <c r="BI383" s="42"/>
      <c r="BJ383" s="42"/>
      <c r="BK383" s="42"/>
      <c r="BL383" s="38">
        <f t="shared" si="122"/>
        <v>0</v>
      </c>
      <c r="BM383" s="42"/>
      <c r="BN383" s="42"/>
      <c r="BO383" s="42"/>
      <c r="BP383" s="42"/>
      <c r="BR383" s="42">
        <f t="shared" si="123"/>
        <v>19783.549500000001</v>
      </c>
      <c r="BS383" s="43"/>
      <c r="BT383" s="42">
        <v>2049.0700000000002</v>
      </c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  <c r="FM383" s="31"/>
      <c r="FN383" s="31"/>
      <c r="FO383" s="31"/>
      <c r="FP383" s="31"/>
      <c r="FQ383" s="31"/>
      <c r="FR383" s="31"/>
      <c r="FS383" s="31"/>
      <c r="FT383" s="31"/>
      <c r="FU383" s="31"/>
      <c r="FV383" s="31"/>
      <c r="FW383" s="31"/>
      <c r="FX383" s="31"/>
      <c r="FY383" s="31"/>
      <c r="FZ383" s="31"/>
      <c r="GA383" s="31"/>
      <c r="GB383" s="31"/>
      <c r="GC383" s="31"/>
      <c r="GD383" s="31"/>
      <c r="GE383" s="31"/>
      <c r="GF383" s="31"/>
      <c r="GG383" s="31"/>
      <c r="GH383" s="31"/>
      <c r="GI383" s="31"/>
      <c r="GJ383" s="31"/>
      <c r="GK383" s="31"/>
      <c r="GL383" s="31"/>
      <c r="GM383" s="31"/>
      <c r="GN383" s="31"/>
      <c r="GO383" s="31"/>
      <c r="GP383" s="31"/>
      <c r="GQ383" s="31"/>
      <c r="GR383" s="31"/>
      <c r="GS383" s="31"/>
      <c r="GT383" s="31"/>
      <c r="GU383" s="31"/>
      <c r="GV383" s="31"/>
      <c r="GW383" s="31"/>
      <c r="GX383" s="31"/>
      <c r="GY383" s="31"/>
      <c r="GZ383" s="31"/>
      <c r="HA383" s="31"/>
      <c r="HB383" s="31"/>
      <c r="HC383" s="31"/>
      <c r="HD383" s="31"/>
      <c r="HE383" s="31"/>
      <c r="HF383" s="31"/>
      <c r="HG383" s="31"/>
      <c r="HH383" s="31"/>
      <c r="HI383" s="31"/>
      <c r="HJ383" s="31"/>
      <c r="HK383" s="31"/>
      <c r="HL383" s="31"/>
      <c r="HM383" s="31"/>
      <c r="HN383" s="31"/>
      <c r="HO383" s="31"/>
      <c r="HP383" s="31"/>
      <c r="HQ383" s="31"/>
      <c r="HR383" s="31"/>
      <c r="HS383" s="31"/>
      <c r="HT383" s="31"/>
      <c r="HU383" s="31"/>
      <c r="HV383" s="31"/>
      <c r="HW383" s="31"/>
      <c r="HX383" s="31"/>
      <c r="HY383" s="31"/>
      <c r="HZ383" s="31"/>
      <c r="IA383" s="31"/>
      <c r="IB383" s="31"/>
      <c r="IC383" s="31"/>
      <c r="ID383" s="31"/>
      <c r="IE383" s="31"/>
      <c r="IF383" s="31"/>
      <c r="IG383" s="31"/>
      <c r="IH383" s="31"/>
      <c r="II383" s="31"/>
      <c r="IJ383" s="31"/>
      <c r="IK383" s="31"/>
      <c r="IL383" s="31"/>
      <c r="IM383" s="31"/>
      <c r="IN383" s="31"/>
      <c r="IO383" s="31"/>
      <c r="IP383" s="31"/>
      <c r="IQ383" s="31"/>
      <c r="IR383" s="31"/>
      <c r="IS383" s="31"/>
      <c r="IT383" s="31"/>
      <c r="IU383" s="31"/>
      <c r="IV383" s="31"/>
      <c r="IW383" s="31"/>
      <c r="IX383" s="31"/>
      <c r="IY383" s="31"/>
      <c r="IZ383" s="31"/>
      <c r="JA383" s="31"/>
      <c r="JB383" s="31"/>
      <c r="JC383" s="31"/>
      <c r="JD383" s="31"/>
      <c r="JE383" s="31"/>
      <c r="JF383" s="31"/>
      <c r="JG383" s="31"/>
      <c r="JH383" s="31"/>
      <c r="JI383" s="31"/>
      <c r="JJ383" s="31"/>
      <c r="JK383" s="31"/>
      <c r="JL383" s="31"/>
      <c r="JM383" s="31"/>
      <c r="JN383" s="31"/>
      <c r="JO383" s="31"/>
      <c r="JP383" s="31"/>
      <c r="JQ383" s="31"/>
      <c r="JR383" s="31"/>
      <c r="JS383" s="31"/>
      <c r="JT383" s="31"/>
      <c r="JU383" s="31"/>
      <c r="JV383" s="31"/>
      <c r="JW383" s="31"/>
      <c r="JX383" s="31"/>
      <c r="JY383" s="31"/>
      <c r="JZ383" s="31"/>
      <c r="KA383" s="31"/>
      <c r="KB383" s="31"/>
      <c r="KC383" s="31"/>
      <c r="KD383" s="31"/>
      <c r="KE383" s="31"/>
      <c r="KF383" s="31"/>
      <c r="KG383" s="31"/>
      <c r="KH383" s="31"/>
      <c r="KI383" s="31"/>
      <c r="KJ383" s="31"/>
      <c r="KK383" s="31"/>
      <c r="KL383" s="31"/>
      <c r="KM383" s="31"/>
      <c r="KN383" s="31"/>
      <c r="KO383" s="31"/>
      <c r="KP383" s="31"/>
      <c r="KQ383" s="31"/>
      <c r="KR383" s="31"/>
      <c r="KS383" s="31"/>
      <c r="KT383" s="31"/>
      <c r="KU383" s="31"/>
      <c r="KV383" s="31"/>
      <c r="KW383" s="31"/>
      <c r="KX383" s="31"/>
      <c r="KY383" s="31"/>
      <c r="KZ383" s="31"/>
      <c r="LA383" s="31"/>
      <c r="LB383" s="31"/>
      <c r="LC383" s="31"/>
      <c r="LD383" s="31"/>
      <c r="LE383" s="31"/>
      <c r="LF383" s="31"/>
      <c r="LG383" s="31"/>
      <c r="LH383" s="31"/>
      <c r="LI383" s="31"/>
      <c r="LJ383" s="31"/>
      <c r="LK383" s="31"/>
      <c r="LL383" s="31"/>
      <c r="LM383" s="31"/>
      <c r="LN383" s="31"/>
      <c r="LO383" s="31"/>
      <c r="LP383" s="31"/>
      <c r="LQ383" s="31"/>
      <c r="LR383" s="31"/>
      <c r="LS383" s="31"/>
      <c r="LT383" s="31"/>
      <c r="LU383" s="31"/>
      <c r="LV383" s="31"/>
      <c r="LW383" s="31"/>
      <c r="LX383" s="31"/>
      <c r="LY383" s="31"/>
      <c r="LZ383" s="31"/>
      <c r="MA383" s="31"/>
      <c r="MB383" s="31"/>
      <c r="MC383" s="31"/>
      <c r="MD383" s="31"/>
      <c r="ME383" s="31"/>
      <c r="MF383" s="31"/>
      <c r="MG383" s="31"/>
      <c r="MH383" s="31"/>
      <c r="MI383" s="31"/>
      <c r="MJ383" s="31"/>
      <c r="MK383" s="31"/>
      <c r="ML383" s="31"/>
      <c r="MM383" s="31"/>
      <c r="MN383" s="31"/>
      <c r="MO383" s="31"/>
      <c r="MP383" s="31"/>
      <c r="MQ383" s="31"/>
      <c r="MR383" s="31"/>
      <c r="MS383" s="31"/>
      <c r="MT383" s="31"/>
      <c r="MU383" s="31"/>
      <c r="MV383" s="31"/>
      <c r="MW383" s="31"/>
      <c r="MX383" s="31"/>
      <c r="MY383" s="31"/>
      <c r="MZ383" s="31"/>
      <c r="NA383" s="31"/>
      <c r="NB383" s="31"/>
      <c r="NC383" s="31"/>
      <c r="ND383" s="31"/>
      <c r="NE383" s="31"/>
      <c r="NF383" s="31"/>
      <c r="NG383" s="31"/>
      <c r="NH383" s="31"/>
      <c r="NI383" s="31"/>
      <c r="NJ383" s="31"/>
      <c r="NK383" s="31"/>
      <c r="NL383" s="31"/>
      <c r="NM383" s="31"/>
      <c r="NN383" s="31"/>
      <c r="NO383" s="31"/>
      <c r="NP383" s="31"/>
      <c r="NQ383" s="31"/>
      <c r="NR383" s="31"/>
      <c r="NS383" s="31"/>
      <c r="NT383" s="31"/>
      <c r="NU383" s="31"/>
      <c r="NV383" s="31"/>
      <c r="NW383" s="31"/>
      <c r="NX383" s="31"/>
      <c r="NY383" s="31"/>
      <c r="NZ383" s="31"/>
      <c r="OA383" s="31"/>
      <c r="OB383" s="31"/>
      <c r="OC383" s="31"/>
      <c r="OD383" s="31"/>
      <c r="OE383" s="31"/>
      <c r="OF383" s="31"/>
      <c r="OG383" s="31"/>
      <c r="OH383" s="31"/>
      <c r="OI383" s="31"/>
      <c r="OJ383" s="31"/>
      <c r="OK383" s="31"/>
      <c r="OL383" s="31"/>
      <c r="OM383" s="31"/>
      <c r="ON383" s="31"/>
      <c r="OO383" s="31"/>
      <c r="OP383" s="31"/>
      <c r="OQ383" s="31"/>
      <c r="OR383" s="31"/>
      <c r="OS383" s="31"/>
      <c r="OT383" s="31"/>
      <c r="OU383" s="31"/>
      <c r="OV383" s="31"/>
      <c r="OW383" s="31"/>
      <c r="OX383" s="31"/>
    </row>
    <row r="384" spans="2:414" s="25" customFormat="1" ht="15.6">
      <c r="B384" s="25" t="s">
        <v>964</v>
      </c>
      <c r="C384" s="27" t="s">
        <v>853</v>
      </c>
      <c r="D384" s="30" t="s">
        <v>105</v>
      </c>
      <c r="G384" s="42">
        <v>80</v>
      </c>
      <c r="H384" s="89">
        <v>26.109000000000002</v>
      </c>
      <c r="I384" s="38">
        <f t="shared" si="116"/>
        <v>2088.7200000000003</v>
      </c>
      <c r="K384" s="42">
        <v>80</v>
      </c>
      <c r="L384" s="90">
        <v>26.849599999999999</v>
      </c>
      <c r="M384" s="38">
        <f t="shared" si="117"/>
        <v>2147.9679999999998</v>
      </c>
      <c r="O384" s="42">
        <v>505</v>
      </c>
      <c r="P384" s="38">
        <v>26.728300000000001</v>
      </c>
      <c r="Q384" s="38">
        <f t="shared" si="118"/>
        <v>13497.791500000001</v>
      </c>
      <c r="R384" s="43">
        <f t="shared" si="114"/>
        <v>665</v>
      </c>
      <c r="S384" s="38">
        <f t="shared" si="119"/>
        <v>17734.479500000001</v>
      </c>
      <c r="T384" s="49">
        <v>240</v>
      </c>
      <c r="U384" s="42">
        <v>26.68</v>
      </c>
      <c r="V384" s="38">
        <f t="shared" si="126"/>
        <v>6403.2</v>
      </c>
      <c r="W384" s="42">
        <v>505</v>
      </c>
      <c r="X384" s="42">
        <v>26.56</v>
      </c>
      <c r="Y384" s="42">
        <f t="shared" si="128"/>
        <v>13412.8</v>
      </c>
      <c r="Z384" s="42"/>
      <c r="AA384" s="42"/>
      <c r="AB384" s="42">
        <f t="shared" si="125"/>
        <v>0</v>
      </c>
      <c r="AD384" s="42"/>
      <c r="AE384" s="42"/>
      <c r="AF384" s="42">
        <f t="shared" si="130"/>
        <v>0</v>
      </c>
      <c r="AG384" s="42"/>
      <c r="AH384" s="42"/>
      <c r="AI384" s="42"/>
      <c r="AJ384" s="42">
        <f t="shared" si="115"/>
        <v>0</v>
      </c>
      <c r="AL384" s="42"/>
      <c r="AM384" s="42"/>
      <c r="AN384" s="42"/>
      <c r="AO384" s="44"/>
      <c r="AP384" s="42"/>
      <c r="AQ384" s="42"/>
      <c r="AR384" s="42"/>
      <c r="AU384" s="98"/>
      <c r="AV384" s="35"/>
      <c r="AW384" s="104"/>
      <c r="AX384" s="42"/>
      <c r="AY384" s="42"/>
      <c r="AZ384" s="42">
        <f t="shared" si="131"/>
        <v>0</v>
      </c>
      <c r="BA384" s="42"/>
      <c r="BB384" s="42"/>
      <c r="BC384" s="42"/>
      <c r="BD384" s="38">
        <f t="shared" si="120"/>
        <v>0</v>
      </c>
      <c r="BE384" s="42"/>
      <c r="BF384" s="42"/>
      <c r="BG384" s="42"/>
      <c r="BH384" s="38">
        <f t="shared" si="121"/>
        <v>0</v>
      </c>
      <c r="BI384" s="42"/>
      <c r="BJ384" s="42"/>
      <c r="BK384" s="42"/>
      <c r="BL384" s="38">
        <f t="shared" si="122"/>
        <v>0</v>
      </c>
      <c r="BM384" s="42"/>
      <c r="BN384" s="42"/>
      <c r="BO384" s="42"/>
      <c r="BP384" s="42"/>
      <c r="BR384" s="42">
        <f t="shared" si="123"/>
        <v>19816</v>
      </c>
      <c r="BS384" s="43"/>
      <c r="BT384" s="42">
        <v>2081.52</v>
      </c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  <c r="FM384" s="31"/>
      <c r="FN384" s="31"/>
      <c r="FO384" s="31"/>
      <c r="FP384" s="31"/>
      <c r="FQ384" s="31"/>
      <c r="FR384" s="31"/>
      <c r="FS384" s="31"/>
      <c r="FT384" s="31"/>
      <c r="FU384" s="31"/>
      <c r="FV384" s="31"/>
      <c r="FW384" s="31"/>
      <c r="FX384" s="31"/>
      <c r="FY384" s="31"/>
      <c r="FZ384" s="31"/>
      <c r="GA384" s="31"/>
      <c r="GB384" s="31"/>
      <c r="GC384" s="31"/>
      <c r="GD384" s="31"/>
      <c r="GE384" s="31"/>
      <c r="GF384" s="31"/>
      <c r="GG384" s="31"/>
      <c r="GH384" s="31"/>
      <c r="GI384" s="31"/>
      <c r="GJ384" s="31"/>
      <c r="GK384" s="31"/>
      <c r="GL384" s="31"/>
      <c r="GM384" s="31"/>
      <c r="GN384" s="31"/>
      <c r="GO384" s="31"/>
      <c r="GP384" s="31"/>
      <c r="GQ384" s="31"/>
      <c r="GR384" s="31"/>
      <c r="GS384" s="31"/>
      <c r="GT384" s="31"/>
      <c r="GU384" s="31"/>
      <c r="GV384" s="31"/>
      <c r="GW384" s="31"/>
      <c r="GX384" s="31"/>
      <c r="GY384" s="31"/>
      <c r="GZ384" s="31"/>
      <c r="HA384" s="31"/>
      <c r="HB384" s="31"/>
      <c r="HC384" s="31"/>
      <c r="HD384" s="31"/>
      <c r="HE384" s="31"/>
      <c r="HF384" s="31"/>
      <c r="HG384" s="31"/>
      <c r="HH384" s="31"/>
      <c r="HI384" s="31"/>
      <c r="HJ384" s="31"/>
      <c r="HK384" s="31"/>
      <c r="HL384" s="31"/>
      <c r="HM384" s="31"/>
      <c r="HN384" s="31"/>
      <c r="HO384" s="31"/>
      <c r="HP384" s="31"/>
      <c r="HQ384" s="31"/>
      <c r="HR384" s="31"/>
      <c r="HS384" s="31"/>
      <c r="HT384" s="31"/>
      <c r="HU384" s="31"/>
      <c r="HV384" s="31"/>
      <c r="HW384" s="31"/>
      <c r="HX384" s="31"/>
      <c r="HY384" s="31"/>
      <c r="HZ384" s="31"/>
      <c r="IA384" s="31"/>
      <c r="IB384" s="31"/>
      <c r="IC384" s="31"/>
      <c r="ID384" s="31"/>
      <c r="IE384" s="31"/>
      <c r="IF384" s="31"/>
      <c r="IG384" s="31"/>
      <c r="IH384" s="31"/>
      <c r="II384" s="31"/>
      <c r="IJ384" s="31"/>
      <c r="IK384" s="31"/>
      <c r="IL384" s="31"/>
      <c r="IM384" s="31"/>
      <c r="IN384" s="31"/>
      <c r="IO384" s="31"/>
      <c r="IP384" s="31"/>
      <c r="IQ384" s="31"/>
      <c r="IR384" s="31"/>
      <c r="IS384" s="31"/>
      <c r="IT384" s="31"/>
      <c r="IU384" s="31"/>
      <c r="IV384" s="31"/>
      <c r="IW384" s="31"/>
      <c r="IX384" s="31"/>
      <c r="IY384" s="31"/>
      <c r="IZ384" s="31"/>
      <c r="JA384" s="31"/>
      <c r="JB384" s="31"/>
      <c r="JC384" s="31"/>
      <c r="JD384" s="31"/>
      <c r="JE384" s="31"/>
      <c r="JF384" s="31"/>
      <c r="JG384" s="31"/>
      <c r="JH384" s="31"/>
      <c r="JI384" s="31"/>
      <c r="JJ384" s="31"/>
      <c r="JK384" s="31"/>
      <c r="JL384" s="31"/>
      <c r="JM384" s="31"/>
      <c r="JN384" s="31"/>
      <c r="JO384" s="31"/>
      <c r="JP384" s="31"/>
      <c r="JQ384" s="31"/>
      <c r="JR384" s="31"/>
      <c r="JS384" s="31"/>
      <c r="JT384" s="31"/>
      <c r="JU384" s="31"/>
      <c r="JV384" s="31"/>
      <c r="JW384" s="31"/>
      <c r="JX384" s="31"/>
      <c r="JY384" s="31"/>
      <c r="JZ384" s="31"/>
      <c r="KA384" s="31"/>
      <c r="KB384" s="31"/>
      <c r="KC384" s="31"/>
      <c r="KD384" s="31"/>
      <c r="KE384" s="31"/>
      <c r="KF384" s="31"/>
      <c r="KG384" s="31"/>
      <c r="KH384" s="31"/>
      <c r="KI384" s="31"/>
      <c r="KJ384" s="31"/>
      <c r="KK384" s="31"/>
      <c r="KL384" s="31"/>
      <c r="KM384" s="31"/>
      <c r="KN384" s="31"/>
      <c r="KO384" s="31"/>
      <c r="KP384" s="31"/>
      <c r="KQ384" s="31"/>
      <c r="KR384" s="31"/>
      <c r="KS384" s="31"/>
      <c r="KT384" s="31"/>
      <c r="KU384" s="31"/>
      <c r="KV384" s="31"/>
      <c r="KW384" s="31"/>
      <c r="KX384" s="31"/>
      <c r="KY384" s="31"/>
      <c r="KZ384" s="31"/>
      <c r="LA384" s="31"/>
      <c r="LB384" s="31"/>
      <c r="LC384" s="31"/>
      <c r="LD384" s="31"/>
      <c r="LE384" s="31"/>
      <c r="LF384" s="31"/>
      <c r="LG384" s="31"/>
      <c r="LH384" s="31"/>
      <c r="LI384" s="31"/>
      <c r="LJ384" s="31"/>
      <c r="LK384" s="31"/>
      <c r="LL384" s="31"/>
      <c r="LM384" s="31"/>
      <c r="LN384" s="31"/>
      <c r="LO384" s="31"/>
      <c r="LP384" s="31"/>
      <c r="LQ384" s="31"/>
      <c r="LR384" s="31"/>
      <c r="LS384" s="31"/>
      <c r="LT384" s="31"/>
      <c r="LU384" s="31"/>
      <c r="LV384" s="31"/>
      <c r="LW384" s="31"/>
      <c r="LX384" s="31"/>
      <c r="LY384" s="31"/>
      <c r="LZ384" s="31"/>
      <c r="MA384" s="31"/>
      <c r="MB384" s="31"/>
      <c r="MC384" s="31"/>
      <c r="MD384" s="31"/>
      <c r="ME384" s="31"/>
      <c r="MF384" s="31"/>
      <c r="MG384" s="31"/>
      <c r="MH384" s="31"/>
      <c r="MI384" s="31"/>
      <c r="MJ384" s="31"/>
      <c r="MK384" s="31"/>
      <c r="ML384" s="31"/>
      <c r="MM384" s="31"/>
      <c r="MN384" s="31"/>
      <c r="MO384" s="31"/>
      <c r="MP384" s="31"/>
      <c r="MQ384" s="31"/>
      <c r="MR384" s="31"/>
      <c r="MS384" s="31"/>
      <c r="MT384" s="31"/>
      <c r="MU384" s="31"/>
      <c r="MV384" s="31"/>
      <c r="MW384" s="31"/>
      <c r="MX384" s="31"/>
      <c r="MY384" s="31"/>
      <c r="MZ384" s="31"/>
      <c r="NA384" s="31"/>
      <c r="NB384" s="31"/>
      <c r="NC384" s="31"/>
      <c r="ND384" s="31"/>
      <c r="NE384" s="31"/>
      <c r="NF384" s="31"/>
      <c r="NG384" s="31"/>
      <c r="NH384" s="31"/>
      <c r="NI384" s="31"/>
      <c r="NJ384" s="31"/>
      <c r="NK384" s="31"/>
      <c r="NL384" s="31"/>
      <c r="NM384" s="31"/>
      <c r="NN384" s="31"/>
      <c r="NO384" s="31"/>
      <c r="NP384" s="31"/>
      <c r="NQ384" s="31"/>
      <c r="NR384" s="31"/>
      <c r="NS384" s="31"/>
      <c r="NT384" s="31"/>
      <c r="NU384" s="31"/>
      <c r="NV384" s="31"/>
      <c r="NW384" s="31"/>
      <c r="NX384" s="31"/>
      <c r="NY384" s="31"/>
      <c r="NZ384" s="31"/>
      <c r="OA384" s="31"/>
      <c r="OB384" s="31"/>
      <c r="OC384" s="31"/>
      <c r="OD384" s="31"/>
      <c r="OE384" s="31"/>
      <c r="OF384" s="31"/>
      <c r="OG384" s="31"/>
      <c r="OH384" s="31"/>
      <c r="OI384" s="31"/>
      <c r="OJ384" s="31"/>
      <c r="OK384" s="31"/>
      <c r="OL384" s="31"/>
      <c r="OM384" s="31"/>
      <c r="ON384" s="31"/>
      <c r="OO384" s="31"/>
      <c r="OP384" s="31"/>
      <c r="OQ384" s="31"/>
      <c r="OR384" s="31"/>
      <c r="OS384" s="31"/>
      <c r="OT384" s="31"/>
      <c r="OU384" s="31"/>
      <c r="OV384" s="31"/>
      <c r="OW384" s="31"/>
      <c r="OX384" s="31"/>
    </row>
    <row r="385" spans="2:414" s="25" customFormat="1" ht="15.6">
      <c r="B385" s="25" t="s">
        <v>844</v>
      </c>
      <c r="C385" s="27" t="s">
        <v>845</v>
      </c>
      <c r="D385" s="30" t="s">
        <v>105</v>
      </c>
      <c r="G385" s="42">
        <v>80</v>
      </c>
      <c r="H385" s="89">
        <v>26.109000000000002</v>
      </c>
      <c r="I385" s="38">
        <f t="shared" si="116"/>
        <v>2088.7200000000003</v>
      </c>
      <c r="K385" s="42">
        <v>80</v>
      </c>
      <c r="L385" s="90">
        <v>26.849599999999999</v>
      </c>
      <c r="M385" s="38">
        <f t="shared" si="117"/>
        <v>2147.9679999999998</v>
      </c>
      <c r="O385" s="42">
        <v>505</v>
      </c>
      <c r="P385" s="38">
        <v>26.728300000000001</v>
      </c>
      <c r="Q385" s="38">
        <f t="shared" si="118"/>
        <v>13497.791500000001</v>
      </c>
      <c r="R385" s="43">
        <f t="shared" si="114"/>
        <v>665</v>
      </c>
      <c r="S385" s="38">
        <f t="shared" si="119"/>
        <v>17734.479500000001</v>
      </c>
      <c r="T385" s="49">
        <v>160</v>
      </c>
      <c r="U385" s="42">
        <v>26.68</v>
      </c>
      <c r="V385" s="38">
        <f t="shared" si="126"/>
        <v>4268.8</v>
      </c>
      <c r="W385" s="42">
        <v>505</v>
      </c>
      <c r="X385" s="42">
        <v>26.56</v>
      </c>
      <c r="Y385" s="42">
        <f t="shared" si="128"/>
        <v>13412.8</v>
      </c>
      <c r="Z385" s="42"/>
      <c r="AA385" s="42"/>
      <c r="AB385" s="42">
        <f t="shared" si="125"/>
        <v>0</v>
      </c>
      <c r="AD385" s="42"/>
      <c r="AE385" s="42"/>
      <c r="AF385" s="42">
        <f t="shared" si="130"/>
        <v>0</v>
      </c>
      <c r="AG385" s="42"/>
      <c r="AH385" s="42"/>
      <c r="AI385" s="42"/>
      <c r="AJ385" s="42">
        <f t="shared" si="115"/>
        <v>0</v>
      </c>
      <c r="AL385" s="42"/>
      <c r="AM385" s="42"/>
      <c r="AN385" s="42"/>
      <c r="AO385" s="44"/>
      <c r="AP385" s="42"/>
      <c r="AQ385" s="42"/>
      <c r="AR385" s="42"/>
      <c r="AU385" s="98"/>
      <c r="AV385" s="35"/>
      <c r="AW385" s="104"/>
      <c r="AX385" s="42"/>
      <c r="AY385" s="42"/>
      <c r="AZ385" s="42">
        <f t="shared" si="131"/>
        <v>0</v>
      </c>
      <c r="BA385" s="42"/>
      <c r="BB385" s="42"/>
      <c r="BC385" s="42"/>
      <c r="BD385" s="38">
        <f t="shared" si="120"/>
        <v>0</v>
      </c>
      <c r="BE385" s="42"/>
      <c r="BF385" s="42"/>
      <c r="BG385" s="42"/>
      <c r="BH385" s="38">
        <f t="shared" si="121"/>
        <v>0</v>
      </c>
      <c r="BI385" s="42"/>
      <c r="BJ385" s="42"/>
      <c r="BK385" s="42"/>
      <c r="BL385" s="38">
        <f t="shared" si="122"/>
        <v>0</v>
      </c>
      <c r="BM385" s="42"/>
      <c r="BN385" s="42"/>
      <c r="BO385" s="42"/>
      <c r="BP385" s="42"/>
      <c r="BR385" s="42">
        <f t="shared" si="123"/>
        <v>17681.599999999999</v>
      </c>
      <c r="BS385" s="43">
        <f t="shared" si="124"/>
        <v>52.879500000002736</v>
      </c>
      <c r="BT385" s="42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  <c r="FM385" s="31"/>
      <c r="FN385" s="31"/>
      <c r="FO385" s="31"/>
      <c r="FP385" s="31"/>
      <c r="FQ385" s="31"/>
      <c r="FR385" s="31"/>
      <c r="FS385" s="31"/>
      <c r="FT385" s="31"/>
      <c r="FU385" s="31"/>
      <c r="FV385" s="31"/>
      <c r="FW385" s="31"/>
      <c r="FX385" s="31"/>
      <c r="FY385" s="31"/>
      <c r="FZ385" s="31"/>
      <c r="GA385" s="31"/>
      <c r="GB385" s="31"/>
      <c r="GC385" s="31"/>
      <c r="GD385" s="31"/>
      <c r="GE385" s="31"/>
      <c r="GF385" s="31"/>
      <c r="GG385" s="31"/>
      <c r="GH385" s="31"/>
      <c r="GI385" s="31"/>
      <c r="GJ385" s="31"/>
      <c r="GK385" s="31"/>
      <c r="GL385" s="31"/>
      <c r="GM385" s="31"/>
      <c r="GN385" s="31"/>
      <c r="GO385" s="31"/>
      <c r="GP385" s="31"/>
      <c r="GQ385" s="31"/>
      <c r="GR385" s="31"/>
      <c r="GS385" s="31"/>
      <c r="GT385" s="31"/>
      <c r="GU385" s="31"/>
      <c r="GV385" s="31"/>
      <c r="GW385" s="31"/>
      <c r="GX385" s="31"/>
      <c r="GY385" s="31"/>
      <c r="GZ385" s="31"/>
      <c r="HA385" s="31"/>
      <c r="HB385" s="31"/>
      <c r="HC385" s="31"/>
      <c r="HD385" s="31"/>
      <c r="HE385" s="31"/>
      <c r="HF385" s="31"/>
      <c r="HG385" s="31"/>
      <c r="HH385" s="31"/>
      <c r="HI385" s="31"/>
      <c r="HJ385" s="31"/>
      <c r="HK385" s="31"/>
      <c r="HL385" s="31"/>
      <c r="HM385" s="31"/>
      <c r="HN385" s="31"/>
      <c r="HO385" s="31"/>
      <c r="HP385" s="31"/>
      <c r="HQ385" s="31"/>
      <c r="HR385" s="31"/>
      <c r="HS385" s="31"/>
      <c r="HT385" s="31"/>
      <c r="HU385" s="31"/>
      <c r="HV385" s="31"/>
      <c r="HW385" s="31"/>
      <c r="HX385" s="31"/>
      <c r="HY385" s="31"/>
      <c r="HZ385" s="31"/>
      <c r="IA385" s="31"/>
      <c r="IB385" s="31"/>
      <c r="IC385" s="31"/>
      <c r="ID385" s="31"/>
      <c r="IE385" s="31"/>
      <c r="IF385" s="31"/>
      <c r="IG385" s="31"/>
      <c r="IH385" s="31"/>
      <c r="II385" s="31"/>
      <c r="IJ385" s="31"/>
      <c r="IK385" s="31"/>
      <c r="IL385" s="31"/>
      <c r="IM385" s="31"/>
      <c r="IN385" s="31"/>
      <c r="IO385" s="31"/>
      <c r="IP385" s="31"/>
      <c r="IQ385" s="31"/>
      <c r="IR385" s="31"/>
      <c r="IS385" s="31"/>
      <c r="IT385" s="31"/>
      <c r="IU385" s="31"/>
      <c r="IV385" s="31"/>
      <c r="IW385" s="31"/>
      <c r="IX385" s="31"/>
      <c r="IY385" s="31"/>
      <c r="IZ385" s="31"/>
      <c r="JA385" s="31"/>
      <c r="JB385" s="31"/>
      <c r="JC385" s="31"/>
      <c r="JD385" s="31"/>
      <c r="JE385" s="31"/>
      <c r="JF385" s="31"/>
      <c r="JG385" s="31"/>
      <c r="JH385" s="31"/>
      <c r="JI385" s="31"/>
      <c r="JJ385" s="31"/>
      <c r="JK385" s="31"/>
      <c r="JL385" s="31"/>
      <c r="JM385" s="31"/>
      <c r="JN385" s="31"/>
      <c r="JO385" s="31"/>
      <c r="JP385" s="31"/>
      <c r="JQ385" s="31"/>
      <c r="JR385" s="31"/>
      <c r="JS385" s="31"/>
      <c r="JT385" s="31"/>
      <c r="JU385" s="31"/>
      <c r="JV385" s="31"/>
      <c r="JW385" s="31"/>
      <c r="JX385" s="31"/>
      <c r="JY385" s="31"/>
      <c r="JZ385" s="31"/>
      <c r="KA385" s="31"/>
      <c r="KB385" s="31"/>
      <c r="KC385" s="31"/>
      <c r="KD385" s="31"/>
      <c r="KE385" s="31"/>
      <c r="KF385" s="31"/>
      <c r="KG385" s="31"/>
      <c r="KH385" s="31"/>
      <c r="KI385" s="31"/>
      <c r="KJ385" s="31"/>
      <c r="KK385" s="31"/>
      <c r="KL385" s="31"/>
      <c r="KM385" s="31"/>
      <c r="KN385" s="31"/>
      <c r="KO385" s="31"/>
      <c r="KP385" s="31"/>
      <c r="KQ385" s="31"/>
      <c r="KR385" s="31"/>
      <c r="KS385" s="31"/>
      <c r="KT385" s="31"/>
      <c r="KU385" s="31"/>
      <c r="KV385" s="31"/>
      <c r="KW385" s="31"/>
      <c r="KX385" s="31"/>
      <c r="KY385" s="31"/>
      <c r="KZ385" s="31"/>
      <c r="LA385" s="31"/>
      <c r="LB385" s="31"/>
      <c r="LC385" s="31"/>
      <c r="LD385" s="31"/>
      <c r="LE385" s="31"/>
      <c r="LF385" s="31"/>
      <c r="LG385" s="31"/>
      <c r="LH385" s="31"/>
      <c r="LI385" s="31"/>
      <c r="LJ385" s="31"/>
      <c r="LK385" s="31"/>
      <c r="LL385" s="31"/>
      <c r="LM385" s="31"/>
      <c r="LN385" s="31"/>
      <c r="LO385" s="31"/>
      <c r="LP385" s="31"/>
      <c r="LQ385" s="31"/>
      <c r="LR385" s="31"/>
      <c r="LS385" s="31"/>
      <c r="LT385" s="31"/>
      <c r="LU385" s="31"/>
      <c r="LV385" s="31"/>
      <c r="LW385" s="31"/>
      <c r="LX385" s="31"/>
      <c r="LY385" s="31"/>
      <c r="LZ385" s="31"/>
      <c r="MA385" s="31"/>
      <c r="MB385" s="31"/>
      <c r="MC385" s="31"/>
      <c r="MD385" s="31"/>
      <c r="ME385" s="31"/>
      <c r="MF385" s="31"/>
      <c r="MG385" s="31"/>
      <c r="MH385" s="31"/>
      <c r="MI385" s="31"/>
      <c r="MJ385" s="31"/>
      <c r="MK385" s="31"/>
      <c r="ML385" s="31"/>
      <c r="MM385" s="31"/>
      <c r="MN385" s="31"/>
      <c r="MO385" s="31"/>
      <c r="MP385" s="31"/>
      <c r="MQ385" s="31"/>
      <c r="MR385" s="31"/>
      <c r="MS385" s="31"/>
      <c r="MT385" s="31"/>
      <c r="MU385" s="31"/>
      <c r="MV385" s="31"/>
      <c r="MW385" s="31"/>
      <c r="MX385" s="31"/>
      <c r="MY385" s="31"/>
      <c r="MZ385" s="31"/>
      <c r="NA385" s="31"/>
      <c r="NB385" s="31"/>
      <c r="NC385" s="31"/>
      <c r="ND385" s="31"/>
      <c r="NE385" s="31"/>
      <c r="NF385" s="31"/>
      <c r="NG385" s="31"/>
      <c r="NH385" s="31"/>
      <c r="NI385" s="31"/>
      <c r="NJ385" s="31"/>
      <c r="NK385" s="31"/>
      <c r="NL385" s="31"/>
      <c r="NM385" s="31"/>
      <c r="NN385" s="31"/>
      <c r="NO385" s="31"/>
      <c r="NP385" s="31"/>
      <c r="NQ385" s="31"/>
      <c r="NR385" s="31"/>
      <c r="NS385" s="31"/>
      <c r="NT385" s="31"/>
      <c r="NU385" s="31"/>
      <c r="NV385" s="31"/>
      <c r="NW385" s="31"/>
      <c r="NX385" s="31"/>
      <c r="NY385" s="31"/>
      <c r="NZ385" s="31"/>
      <c r="OA385" s="31"/>
      <c r="OB385" s="31"/>
      <c r="OC385" s="31"/>
      <c r="OD385" s="31"/>
      <c r="OE385" s="31"/>
      <c r="OF385" s="31"/>
      <c r="OG385" s="31"/>
      <c r="OH385" s="31"/>
      <c r="OI385" s="31"/>
      <c r="OJ385" s="31"/>
      <c r="OK385" s="31"/>
      <c r="OL385" s="31"/>
      <c r="OM385" s="31"/>
      <c r="ON385" s="31"/>
      <c r="OO385" s="31"/>
      <c r="OP385" s="31"/>
      <c r="OQ385" s="31"/>
      <c r="OR385" s="31"/>
      <c r="OS385" s="31"/>
      <c r="OT385" s="31"/>
      <c r="OU385" s="31"/>
      <c r="OV385" s="31"/>
      <c r="OW385" s="31"/>
      <c r="OX385" s="31"/>
    </row>
    <row r="386" spans="2:414" s="25" customFormat="1" ht="15.6">
      <c r="B386" s="25" t="s">
        <v>965</v>
      </c>
      <c r="C386" s="27" t="s">
        <v>185</v>
      </c>
      <c r="D386" s="30" t="s">
        <v>105</v>
      </c>
      <c r="G386" s="42">
        <v>80</v>
      </c>
      <c r="H386" s="89">
        <v>26.109000000000002</v>
      </c>
      <c r="I386" s="38">
        <f t="shared" si="116"/>
        <v>2088.7200000000003</v>
      </c>
      <c r="K386" s="42">
        <v>80</v>
      </c>
      <c r="L386" s="90">
        <v>26.849599999999999</v>
      </c>
      <c r="M386" s="38">
        <f t="shared" si="117"/>
        <v>2147.9679999999998</v>
      </c>
      <c r="O386" s="42">
        <v>505</v>
      </c>
      <c r="P386" s="38">
        <v>26.728300000000001</v>
      </c>
      <c r="Q386" s="38">
        <f t="shared" si="118"/>
        <v>13497.791500000001</v>
      </c>
      <c r="R386" s="43">
        <f t="shared" si="114"/>
        <v>665</v>
      </c>
      <c r="S386" s="38">
        <f t="shared" si="119"/>
        <v>17734.479500000001</v>
      </c>
      <c r="T386" s="49">
        <v>160</v>
      </c>
      <c r="U386" s="42">
        <v>26.56</v>
      </c>
      <c r="V386" s="38">
        <f t="shared" si="126"/>
        <v>4249.5999999999995</v>
      </c>
      <c r="W386" s="42">
        <v>505</v>
      </c>
      <c r="X386" s="42">
        <v>26.73</v>
      </c>
      <c r="Y386" s="42">
        <f t="shared" si="128"/>
        <v>13498.65</v>
      </c>
      <c r="Z386" s="42"/>
      <c r="AA386" s="42"/>
      <c r="AB386" s="42">
        <f t="shared" si="125"/>
        <v>0</v>
      </c>
      <c r="AD386" s="42"/>
      <c r="AE386" s="42"/>
      <c r="AF386" s="42">
        <f t="shared" si="130"/>
        <v>0</v>
      </c>
      <c r="AG386" s="42"/>
      <c r="AH386" s="42"/>
      <c r="AI386" s="42"/>
      <c r="AJ386" s="42">
        <f t="shared" si="115"/>
        <v>0</v>
      </c>
      <c r="AL386" s="42"/>
      <c r="AM386" s="42"/>
      <c r="AN386" s="42"/>
      <c r="AO386" s="44"/>
      <c r="AP386" s="42"/>
      <c r="AQ386" s="42"/>
      <c r="AR386" s="42"/>
      <c r="AU386" s="98"/>
      <c r="AV386" s="35"/>
      <c r="AW386" s="104"/>
      <c r="AX386" s="42"/>
      <c r="AY386" s="42"/>
      <c r="AZ386" s="42">
        <f t="shared" si="131"/>
        <v>0</v>
      </c>
      <c r="BA386" s="42"/>
      <c r="BB386" s="42"/>
      <c r="BC386" s="42"/>
      <c r="BD386" s="38">
        <f t="shared" si="120"/>
        <v>0</v>
      </c>
      <c r="BE386" s="42"/>
      <c r="BF386" s="42"/>
      <c r="BG386" s="42"/>
      <c r="BH386" s="38">
        <f t="shared" si="121"/>
        <v>0</v>
      </c>
      <c r="BI386" s="42"/>
      <c r="BJ386" s="42"/>
      <c r="BK386" s="42"/>
      <c r="BL386" s="38">
        <f t="shared" si="122"/>
        <v>0</v>
      </c>
      <c r="BM386" s="42"/>
      <c r="BN386" s="42"/>
      <c r="BO386" s="42"/>
      <c r="BP386" s="42"/>
      <c r="BR386" s="42">
        <f t="shared" si="123"/>
        <v>17748.25</v>
      </c>
      <c r="BS386" s="43"/>
      <c r="BT386" s="42">
        <v>13.77</v>
      </c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  <c r="FM386" s="31"/>
      <c r="FN386" s="31"/>
      <c r="FO386" s="31"/>
      <c r="FP386" s="31"/>
      <c r="FQ386" s="31"/>
      <c r="FR386" s="31"/>
      <c r="FS386" s="31"/>
      <c r="FT386" s="31"/>
      <c r="FU386" s="31"/>
      <c r="FV386" s="31"/>
      <c r="FW386" s="31"/>
      <c r="FX386" s="31"/>
      <c r="FY386" s="31"/>
      <c r="FZ386" s="31"/>
      <c r="GA386" s="31"/>
      <c r="GB386" s="31"/>
      <c r="GC386" s="31"/>
      <c r="GD386" s="31"/>
      <c r="GE386" s="31"/>
      <c r="GF386" s="31"/>
      <c r="GG386" s="31"/>
      <c r="GH386" s="31"/>
      <c r="GI386" s="31"/>
      <c r="GJ386" s="31"/>
      <c r="GK386" s="31"/>
      <c r="GL386" s="31"/>
      <c r="GM386" s="31"/>
      <c r="GN386" s="31"/>
      <c r="GO386" s="31"/>
      <c r="GP386" s="31"/>
      <c r="GQ386" s="31"/>
      <c r="GR386" s="31"/>
      <c r="GS386" s="31"/>
      <c r="GT386" s="31"/>
      <c r="GU386" s="31"/>
      <c r="GV386" s="31"/>
      <c r="GW386" s="31"/>
      <c r="GX386" s="31"/>
      <c r="GY386" s="31"/>
      <c r="GZ386" s="31"/>
      <c r="HA386" s="31"/>
      <c r="HB386" s="31"/>
      <c r="HC386" s="31"/>
      <c r="HD386" s="31"/>
      <c r="HE386" s="31"/>
      <c r="HF386" s="31"/>
      <c r="HG386" s="31"/>
      <c r="HH386" s="31"/>
      <c r="HI386" s="31"/>
      <c r="HJ386" s="31"/>
      <c r="HK386" s="31"/>
      <c r="HL386" s="31"/>
      <c r="HM386" s="31"/>
      <c r="HN386" s="31"/>
      <c r="HO386" s="31"/>
      <c r="HP386" s="31"/>
      <c r="HQ386" s="31"/>
      <c r="HR386" s="31"/>
      <c r="HS386" s="31"/>
      <c r="HT386" s="31"/>
      <c r="HU386" s="31"/>
      <c r="HV386" s="31"/>
      <c r="HW386" s="31"/>
      <c r="HX386" s="31"/>
      <c r="HY386" s="31"/>
      <c r="HZ386" s="31"/>
      <c r="IA386" s="31"/>
      <c r="IB386" s="31"/>
      <c r="IC386" s="31"/>
      <c r="ID386" s="31"/>
      <c r="IE386" s="31"/>
      <c r="IF386" s="31"/>
      <c r="IG386" s="31"/>
      <c r="IH386" s="31"/>
      <c r="II386" s="31"/>
      <c r="IJ386" s="31"/>
      <c r="IK386" s="31"/>
      <c r="IL386" s="31"/>
      <c r="IM386" s="31"/>
      <c r="IN386" s="31"/>
      <c r="IO386" s="31"/>
      <c r="IP386" s="31"/>
      <c r="IQ386" s="31"/>
      <c r="IR386" s="31"/>
      <c r="IS386" s="31"/>
      <c r="IT386" s="31"/>
      <c r="IU386" s="31"/>
      <c r="IV386" s="31"/>
      <c r="IW386" s="31"/>
      <c r="IX386" s="31"/>
      <c r="IY386" s="31"/>
      <c r="IZ386" s="31"/>
      <c r="JA386" s="31"/>
      <c r="JB386" s="31"/>
      <c r="JC386" s="31"/>
      <c r="JD386" s="31"/>
      <c r="JE386" s="31"/>
      <c r="JF386" s="31"/>
      <c r="JG386" s="31"/>
      <c r="JH386" s="31"/>
      <c r="JI386" s="31"/>
      <c r="JJ386" s="31"/>
      <c r="JK386" s="31"/>
      <c r="JL386" s="31"/>
      <c r="JM386" s="31"/>
      <c r="JN386" s="31"/>
      <c r="JO386" s="31"/>
      <c r="JP386" s="31"/>
      <c r="JQ386" s="31"/>
      <c r="JR386" s="31"/>
      <c r="JS386" s="31"/>
      <c r="JT386" s="31"/>
      <c r="JU386" s="31"/>
      <c r="JV386" s="31"/>
      <c r="JW386" s="31"/>
      <c r="JX386" s="31"/>
      <c r="JY386" s="31"/>
      <c r="JZ386" s="31"/>
      <c r="KA386" s="31"/>
      <c r="KB386" s="31"/>
      <c r="KC386" s="31"/>
      <c r="KD386" s="31"/>
      <c r="KE386" s="31"/>
      <c r="KF386" s="31"/>
      <c r="KG386" s="31"/>
      <c r="KH386" s="31"/>
      <c r="KI386" s="31"/>
      <c r="KJ386" s="31"/>
      <c r="KK386" s="31"/>
      <c r="KL386" s="31"/>
      <c r="KM386" s="31"/>
      <c r="KN386" s="31"/>
      <c r="KO386" s="31"/>
      <c r="KP386" s="31"/>
      <c r="KQ386" s="31"/>
      <c r="KR386" s="31"/>
      <c r="KS386" s="31"/>
      <c r="KT386" s="31"/>
      <c r="KU386" s="31"/>
      <c r="KV386" s="31"/>
      <c r="KW386" s="31"/>
      <c r="KX386" s="31"/>
      <c r="KY386" s="31"/>
      <c r="KZ386" s="31"/>
      <c r="LA386" s="31"/>
      <c r="LB386" s="31"/>
      <c r="LC386" s="31"/>
      <c r="LD386" s="31"/>
      <c r="LE386" s="31"/>
      <c r="LF386" s="31"/>
      <c r="LG386" s="31"/>
      <c r="LH386" s="31"/>
      <c r="LI386" s="31"/>
      <c r="LJ386" s="31"/>
      <c r="LK386" s="31"/>
      <c r="LL386" s="31"/>
      <c r="LM386" s="31"/>
      <c r="LN386" s="31"/>
      <c r="LO386" s="31"/>
      <c r="LP386" s="31"/>
      <c r="LQ386" s="31"/>
      <c r="LR386" s="31"/>
      <c r="LS386" s="31"/>
      <c r="LT386" s="31"/>
      <c r="LU386" s="31"/>
      <c r="LV386" s="31"/>
      <c r="LW386" s="31"/>
      <c r="LX386" s="31"/>
      <c r="LY386" s="31"/>
      <c r="LZ386" s="31"/>
      <c r="MA386" s="31"/>
      <c r="MB386" s="31"/>
      <c r="MC386" s="31"/>
      <c r="MD386" s="31"/>
      <c r="ME386" s="31"/>
      <c r="MF386" s="31"/>
      <c r="MG386" s="31"/>
      <c r="MH386" s="31"/>
      <c r="MI386" s="31"/>
      <c r="MJ386" s="31"/>
      <c r="MK386" s="31"/>
      <c r="ML386" s="31"/>
      <c r="MM386" s="31"/>
      <c r="MN386" s="31"/>
      <c r="MO386" s="31"/>
      <c r="MP386" s="31"/>
      <c r="MQ386" s="31"/>
      <c r="MR386" s="31"/>
      <c r="MS386" s="31"/>
      <c r="MT386" s="31"/>
      <c r="MU386" s="31"/>
      <c r="MV386" s="31"/>
      <c r="MW386" s="31"/>
      <c r="MX386" s="31"/>
      <c r="MY386" s="31"/>
      <c r="MZ386" s="31"/>
      <c r="NA386" s="31"/>
      <c r="NB386" s="31"/>
      <c r="NC386" s="31"/>
      <c r="ND386" s="31"/>
      <c r="NE386" s="31"/>
      <c r="NF386" s="31"/>
      <c r="NG386" s="31"/>
      <c r="NH386" s="31"/>
      <c r="NI386" s="31"/>
      <c r="NJ386" s="31"/>
      <c r="NK386" s="31"/>
      <c r="NL386" s="31"/>
      <c r="NM386" s="31"/>
      <c r="NN386" s="31"/>
      <c r="NO386" s="31"/>
      <c r="NP386" s="31"/>
      <c r="NQ386" s="31"/>
      <c r="NR386" s="31"/>
      <c r="NS386" s="31"/>
      <c r="NT386" s="31"/>
      <c r="NU386" s="31"/>
      <c r="NV386" s="31"/>
      <c r="NW386" s="31"/>
      <c r="NX386" s="31"/>
      <c r="NY386" s="31"/>
      <c r="NZ386" s="31"/>
      <c r="OA386" s="31"/>
      <c r="OB386" s="31"/>
      <c r="OC386" s="31"/>
      <c r="OD386" s="31"/>
      <c r="OE386" s="31"/>
      <c r="OF386" s="31"/>
      <c r="OG386" s="31"/>
      <c r="OH386" s="31"/>
      <c r="OI386" s="31"/>
      <c r="OJ386" s="31"/>
      <c r="OK386" s="31"/>
      <c r="OL386" s="31"/>
      <c r="OM386" s="31"/>
      <c r="ON386" s="31"/>
      <c r="OO386" s="31"/>
      <c r="OP386" s="31"/>
      <c r="OQ386" s="31"/>
      <c r="OR386" s="31"/>
      <c r="OS386" s="31"/>
      <c r="OT386" s="31"/>
      <c r="OU386" s="31"/>
      <c r="OV386" s="31"/>
      <c r="OW386" s="31"/>
      <c r="OX386" s="31"/>
    </row>
    <row r="387" spans="2:414" s="25" customFormat="1" ht="15.6">
      <c r="B387" s="25" t="s">
        <v>657</v>
      </c>
      <c r="C387" s="27" t="s">
        <v>966</v>
      </c>
      <c r="D387" s="30" t="s">
        <v>105</v>
      </c>
      <c r="G387" s="42">
        <v>80</v>
      </c>
      <c r="H387" s="89">
        <v>26.109000000000002</v>
      </c>
      <c r="I387" s="38">
        <f t="shared" si="116"/>
        <v>2088.7200000000003</v>
      </c>
      <c r="K387" s="42">
        <v>80</v>
      </c>
      <c r="L387" s="90">
        <v>26.849599999999999</v>
      </c>
      <c r="M387" s="38">
        <f t="shared" si="117"/>
        <v>2147.9679999999998</v>
      </c>
      <c r="O387" s="42">
        <v>505</v>
      </c>
      <c r="P387" s="38">
        <v>26.728300000000001</v>
      </c>
      <c r="Q387" s="38">
        <f t="shared" si="118"/>
        <v>13497.791500000001</v>
      </c>
      <c r="R387" s="43">
        <f t="shared" si="114"/>
        <v>665</v>
      </c>
      <c r="S387" s="38">
        <f t="shared" si="119"/>
        <v>17734.479500000001</v>
      </c>
      <c r="T387" s="49">
        <v>160</v>
      </c>
      <c r="U387" s="42">
        <v>26.56</v>
      </c>
      <c r="V387" s="38">
        <f t="shared" si="126"/>
        <v>4249.5999999999995</v>
      </c>
      <c r="W387" s="42">
        <v>85</v>
      </c>
      <c r="X387" s="42">
        <v>26.728999999999999</v>
      </c>
      <c r="Y387" s="42">
        <f t="shared" si="128"/>
        <v>2271.9650000000001</v>
      </c>
      <c r="Z387" s="42"/>
      <c r="AA387" s="42"/>
      <c r="AB387" s="42">
        <v>3120</v>
      </c>
      <c r="AD387" s="42">
        <v>114</v>
      </c>
      <c r="AE387" s="42">
        <v>26.73</v>
      </c>
      <c r="AF387" s="42">
        <f t="shared" si="130"/>
        <v>3047.2200000000003</v>
      </c>
      <c r="AG387" s="42"/>
      <c r="AH387" s="42">
        <v>70</v>
      </c>
      <c r="AI387" s="42">
        <v>26.73</v>
      </c>
      <c r="AJ387" s="42">
        <f t="shared" si="115"/>
        <v>1871.1000000000001</v>
      </c>
      <c r="AL387" s="42"/>
      <c r="AM387" s="42"/>
      <c r="AN387" s="42"/>
      <c r="AO387" s="44"/>
      <c r="AP387" s="42"/>
      <c r="AQ387" s="42"/>
      <c r="AR387" s="42"/>
      <c r="AU387" s="98"/>
      <c r="AV387" s="35"/>
      <c r="AW387" s="104"/>
      <c r="AX387" s="42"/>
      <c r="AY387" s="42"/>
      <c r="AZ387" s="42">
        <f t="shared" si="131"/>
        <v>0</v>
      </c>
      <c r="BA387" s="42"/>
      <c r="BB387" s="42"/>
      <c r="BC387" s="42"/>
      <c r="BD387" s="38">
        <f t="shared" si="120"/>
        <v>0</v>
      </c>
      <c r="BE387" s="42"/>
      <c r="BF387" s="42"/>
      <c r="BG387" s="42"/>
      <c r="BH387" s="38">
        <f t="shared" si="121"/>
        <v>0</v>
      </c>
      <c r="BI387" s="42"/>
      <c r="BJ387" s="42"/>
      <c r="BK387" s="42"/>
      <c r="BL387" s="38">
        <f t="shared" si="122"/>
        <v>0</v>
      </c>
      <c r="BM387" s="42"/>
      <c r="BN387" s="42"/>
      <c r="BO387" s="42"/>
      <c r="BP387" s="42"/>
      <c r="BR387" s="42">
        <f t="shared" si="123"/>
        <v>14559.885</v>
      </c>
      <c r="BS387" s="43">
        <f t="shared" si="124"/>
        <v>3174.5945000000011</v>
      </c>
      <c r="BT387" s="42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  <c r="FM387" s="31"/>
      <c r="FN387" s="31"/>
      <c r="FO387" s="31"/>
      <c r="FP387" s="31"/>
      <c r="FQ387" s="31"/>
      <c r="FR387" s="31"/>
      <c r="FS387" s="31"/>
      <c r="FT387" s="31"/>
      <c r="FU387" s="31"/>
      <c r="FV387" s="31"/>
      <c r="FW387" s="31"/>
      <c r="FX387" s="31"/>
      <c r="FY387" s="31"/>
      <c r="FZ387" s="31"/>
      <c r="GA387" s="31"/>
      <c r="GB387" s="31"/>
      <c r="GC387" s="31"/>
      <c r="GD387" s="31"/>
      <c r="GE387" s="31"/>
      <c r="GF387" s="31"/>
      <c r="GG387" s="31"/>
      <c r="GH387" s="31"/>
      <c r="GI387" s="31"/>
      <c r="GJ387" s="31"/>
      <c r="GK387" s="31"/>
      <c r="GL387" s="31"/>
      <c r="GM387" s="31"/>
      <c r="GN387" s="31"/>
      <c r="GO387" s="31"/>
      <c r="GP387" s="31"/>
      <c r="GQ387" s="31"/>
      <c r="GR387" s="31"/>
      <c r="GS387" s="31"/>
      <c r="GT387" s="31"/>
      <c r="GU387" s="31"/>
      <c r="GV387" s="31"/>
      <c r="GW387" s="31"/>
      <c r="GX387" s="31"/>
      <c r="GY387" s="31"/>
      <c r="GZ387" s="31"/>
      <c r="HA387" s="31"/>
      <c r="HB387" s="31"/>
      <c r="HC387" s="31"/>
      <c r="HD387" s="31"/>
      <c r="HE387" s="31"/>
      <c r="HF387" s="31"/>
      <c r="HG387" s="31"/>
      <c r="HH387" s="31"/>
      <c r="HI387" s="31"/>
      <c r="HJ387" s="31"/>
      <c r="HK387" s="31"/>
      <c r="HL387" s="31"/>
      <c r="HM387" s="31"/>
      <c r="HN387" s="31"/>
      <c r="HO387" s="31"/>
      <c r="HP387" s="31"/>
      <c r="HQ387" s="31"/>
      <c r="HR387" s="31"/>
      <c r="HS387" s="31"/>
      <c r="HT387" s="31"/>
      <c r="HU387" s="31"/>
      <c r="HV387" s="31"/>
      <c r="HW387" s="31"/>
      <c r="HX387" s="31"/>
      <c r="HY387" s="31"/>
      <c r="HZ387" s="31"/>
      <c r="IA387" s="31"/>
      <c r="IB387" s="31"/>
      <c r="IC387" s="31"/>
      <c r="ID387" s="31"/>
      <c r="IE387" s="31"/>
      <c r="IF387" s="31"/>
      <c r="IG387" s="31"/>
      <c r="IH387" s="31"/>
      <c r="II387" s="31"/>
      <c r="IJ387" s="31"/>
      <c r="IK387" s="31"/>
      <c r="IL387" s="31"/>
      <c r="IM387" s="31"/>
      <c r="IN387" s="31"/>
      <c r="IO387" s="31"/>
      <c r="IP387" s="31"/>
      <c r="IQ387" s="31"/>
      <c r="IR387" s="31"/>
      <c r="IS387" s="31"/>
      <c r="IT387" s="31"/>
      <c r="IU387" s="31"/>
      <c r="IV387" s="31"/>
      <c r="IW387" s="31"/>
      <c r="IX387" s="31"/>
      <c r="IY387" s="31"/>
      <c r="IZ387" s="31"/>
      <c r="JA387" s="31"/>
      <c r="JB387" s="31"/>
      <c r="JC387" s="31"/>
      <c r="JD387" s="31"/>
      <c r="JE387" s="31"/>
      <c r="JF387" s="31"/>
      <c r="JG387" s="31"/>
      <c r="JH387" s="31"/>
      <c r="JI387" s="31"/>
      <c r="JJ387" s="31"/>
      <c r="JK387" s="31"/>
      <c r="JL387" s="31"/>
      <c r="JM387" s="31"/>
      <c r="JN387" s="31"/>
      <c r="JO387" s="31"/>
      <c r="JP387" s="31"/>
      <c r="JQ387" s="31"/>
      <c r="JR387" s="31"/>
      <c r="JS387" s="31"/>
      <c r="JT387" s="31"/>
      <c r="JU387" s="31"/>
      <c r="JV387" s="31"/>
      <c r="JW387" s="31"/>
      <c r="JX387" s="31"/>
      <c r="JY387" s="31"/>
      <c r="JZ387" s="31"/>
      <c r="KA387" s="31"/>
      <c r="KB387" s="31"/>
      <c r="KC387" s="31"/>
      <c r="KD387" s="31"/>
      <c r="KE387" s="31"/>
      <c r="KF387" s="31"/>
      <c r="KG387" s="31"/>
      <c r="KH387" s="31"/>
      <c r="KI387" s="31"/>
      <c r="KJ387" s="31"/>
      <c r="KK387" s="31"/>
      <c r="KL387" s="31"/>
      <c r="KM387" s="31"/>
      <c r="KN387" s="31"/>
      <c r="KO387" s="31"/>
      <c r="KP387" s="31"/>
      <c r="KQ387" s="31"/>
      <c r="KR387" s="31"/>
      <c r="KS387" s="31"/>
      <c r="KT387" s="31"/>
      <c r="KU387" s="31"/>
      <c r="KV387" s="31"/>
      <c r="KW387" s="31"/>
      <c r="KX387" s="31"/>
      <c r="KY387" s="31"/>
      <c r="KZ387" s="31"/>
      <c r="LA387" s="31"/>
      <c r="LB387" s="31"/>
      <c r="LC387" s="31"/>
      <c r="LD387" s="31"/>
      <c r="LE387" s="31"/>
      <c r="LF387" s="31"/>
      <c r="LG387" s="31"/>
      <c r="LH387" s="31"/>
      <c r="LI387" s="31"/>
      <c r="LJ387" s="31"/>
      <c r="LK387" s="31"/>
      <c r="LL387" s="31"/>
      <c r="LM387" s="31"/>
      <c r="LN387" s="31"/>
      <c r="LO387" s="31"/>
      <c r="LP387" s="31"/>
      <c r="LQ387" s="31"/>
      <c r="LR387" s="31"/>
      <c r="LS387" s="31"/>
      <c r="LT387" s="31"/>
      <c r="LU387" s="31"/>
      <c r="LV387" s="31"/>
      <c r="LW387" s="31"/>
      <c r="LX387" s="31"/>
      <c r="LY387" s="31"/>
      <c r="LZ387" s="31"/>
      <c r="MA387" s="31"/>
      <c r="MB387" s="31"/>
      <c r="MC387" s="31"/>
      <c r="MD387" s="31"/>
      <c r="ME387" s="31"/>
      <c r="MF387" s="31"/>
      <c r="MG387" s="31"/>
      <c r="MH387" s="31"/>
      <c r="MI387" s="31"/>
      <c r="MJ387" s="31"/>
      <c r="MK387" s="31"/>
      <c r="ML387" s="31"/>
      <c r="MM387" s="31"/>
      <c r="MN387" s="31"/>
      <c r="MO387" s="31"/>
      <c r="MP387" s="31"/>
      <c r="MQ387" s="31"/>
      <c r="MR387" s="31"/>
      <c r="MS387" s="31"/>
      <c r="MT387" s="31"/>
      <c r="MU387" s="31"/>
      <c r="MV387" s="31"/>
      <c r="MW387" s="31"/>
      <c r="MX387" s="31"/>
      <c r="MY387" s="31"/>
      <c r="MZ387" s="31"/>
      <c r="NA387" s="31"/>
      <c r="NB387" s="31"/>
      <c r="NC387" s="31"/>
      <c r="ND387" s="31"/>
      <c r="NE387" s="31"/>
      <c r="NF387" s="31"/>
      <c r="NG387" s="31"/>
      <c r="NH387" s="31"/>
      <c r="NI387" s="31"/>
      <c r="NJ387" s="31"/>
      <c r="NK387" s="31"/>
      <c r="NL387" s="31"/>
      <c r="NM387" s="31"/>
      <c r="NN387" s="31"/>
      <c r="NO387" s="31"/>
      <c r="NP387" s="31"/>
      <c r="NQ387" s="31"/>
      <c r="NR387" s="31"/>
      <c r="NS387" s="31"/>
      <c r="NT387" s="31"/>
      <c r="NU387" s="31"/>
      <c r="NV387" s="31"/>
      <c r="NW387" s="31"/>
      <c r="NX387" s="31"/>
      <c r="NY387" s="31"/>
      <c r="NZ387" s="31"/>
      <c r="OA387" s="31"/>
      <c r="OB387" s="31"/>
      <c r="OC387" s="31"/>
      <c r="OD387" s="31"/>
      <c r="OE387" s="31"/>
      <c r="OF387" s="31"/>
      <c r="OG387" s="31"/>
      <c r="OH387" s="31"/>
      <c r="OI387" s="31"/>
      <c r="OJ387" s="31"/>
      <c r="OK387" s="31"/>
      <c r="OL387" s="31"/>
      <c r="OM387" s="31"/>
      <c r="ON387" s="31"/>
      <c r="OO387" s="31"/>
      <c r="OP387" s="31"/>
      <c r="OQ387" s="31"/>
      <c r="OR387" s="31"/>
      <c r="OS387" s="31"/>
      <c r="OT387" s="31"/>
      <c r="OU387" s="31"/>
      <c r="OV387" s="31"/>
      <c r="OW387" s="31"/>
      <c r="OX387" s="31"/>
    </row>
    <row r="388" spans="2:414" s="25" customFormat="1" ht="15.6">
      <c r="B388" s="25" t="s">
        <v>704</v>
      </c>
      <c r="C388" s="27" t="s">
        <v>705</v>
      </c>
      <c r="D388" s="30" t="s">
        <v>105</v>
      </c>
      <c r="G388" s="42">
        <v>80</v>
      </c>
      <c r="H388" s="89">
        <v>26.109000000000002</v>
      </c>
      <c r="I388" s="38">
        <f t="shared" si="116"/>
        <v>2088.7200000000003</v>
      </c>
      <c r="K388" s="42">
        <v>80</v>
      </c>
      <c r="L388" s="90">
        <v>26.849599999999999</v>
      </c>
      <c r="M388" s="38">
        <f t="shared" si="117"/>
        <v>2147.9679999999998</v>
      </c>
      <c r="O388" s="42">
        <v>400</v>
      </c>
      <c r="P388" s="38">
        <v>26.728300000000001</v>
      </c>
      <c r="Q388" s="38">
        <f t="shared" si="118"/>
        <v>10691.32</v>
      </c>
      <c r="R388" s="43">
        <f t="shared" ref="R388:R451" si="132">G388+K388+O388</f>
        <v>560</v>
      </c>
      <c r="S388" s="38">
        <f t="shared" si="119"/>
        <v>14928.008</v>
      </c>
      <c r="T388" s="49">
        <v>160</v>
      </c>
      <c r="U388" s="42">
        <v>26.68</v>
      </c>
      <c r="V388" s="38">
        <f t="shared" si="126"/>
        <v>4268.8</v>
      </c>
      <c r="W388" s="42">
        <v>390</v>
      </c>
      <c r="X388" s="42">
        <v>26.56</v>
      </c>
      <c r="Y388" s="42">
        <f t="shared" si="128"/>
        <v>10358.4</v>
      </c>
      <c r="Z388" s="42"/>
      <c r="AA388" s="42"/>
      <c r="AB388" s="42">
        <f>Z388*AA388</f>
        <v>0</v>
      </c>
      <c r="AD388" s="42"/>
      <c r="AE388" s="42"/>
      <c r="AF388" s="42">
        <f t="shared" si="130"/>
        <v>0</v>
      </c>
      <c r="AG388" s="42"/>
      <c r="AH388" s="42"/>
      <c r="AI388" s="42"/>
      <c r="AJ388" s="42">
        <f t="shared" si="115"/>
        <v>0</v>
      </c>
      <c r="AL388" s="42"/>
      <c r="AM388" s="42"/>
      <c r="AN388" s="42"/>
      <c r="AO388" s="44"/>
      <c r="AP388" s="42"/>
      <c r="AQ388" s="42"/>
      <c r="AR388" s="42"/>
      <c r="AU388" s="98"/>
      <c r="AV388" s="35"/>
      <c r="AW388" s="104"/>
      <c r="AX388" s="42"/>
      <c r="AY388" s="42"/>
      <c r="AZ388" s="42">
        <f t="shared" si="131"/>
        <v>0</v>
      </c>
      <c r="BA388" s="42"/>
      <c r="BB388" s="42"/>
      <c r="BC388" s="42"/>
      <c r="BD388" s="38">
        <f t="shared" si="120"/>
        <v>0</v>
      </c>
      <c r="BE388" s="42"/>
      <c r="BF388" s="42"/>
      <c r="BG388" s="42"/>
      <c r="BH388" s="38">
        <f t="shared" si="121"/>
        <v>0</v>
      </c>
      <c r="BI388" s="42"/>
      <c r="BJ388" s="42"/>
      <c r="BK388" s="42"/>
      <c r="BL388" s="38">
        <f t="shared" si="122"/>
        <v>0</v>
      </c>
      <c r="BM388" s="42"/>
      <c r="BN388" s="42"/>
      <c r="BO388" s="42"/>
      <c r="BP388" s="42"/>
      <c r="BR388" s="42">
        <f t="shared" si="123"/>
        <v>14627.2</v>
      </c>
      <c r="BS388" s="43">
        <f t="shared" si="124"/>
        <v>300.80799999999908</v>
      </c>
      <c r="BT388" s="42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  <c r="FM388" s="31"/>
      <c r="FN388" s="31"/>
      <c r="FO388" s="31"/>
      <c r="FP388" s="31"/>
      <c r="FQ388" s="31"/>
      <c r="FR388" s="31"/>
      <c r="FS388" s="31"/>
      <c r="FT388" s="31"/>
      <c r="FU388" s="31"/>
      <c r="FV388" s="31"/>
      <c r="FW388" s="31"/>
      <c r="FX388" s="31"/>
      <c r="FY388" s="31"/>
      <c r="FZ388" s="31"/>
      <c r="GA388" s="31"/>
      <c r="GB388" s="31"/>
      <c r="GC388" s="31"/>
      <c r="GD388" s="31"/>
      <c r="GE388" s="31"/>
      <c r="GF388" s="31"/>
      <c r="GG388" s="31"/>
      <c r="GH388" s="31"/>
      <c r="GI388" s="31"/>
      <c r="GJ388" s="31"/>
      <c r="GK388" s="31"/>
      <c r="GL388" s="31"/>
      <c r="GM388" s="31"/>
      <c r="GN388" s="31"/>
      <c r="GO388" s="31"/>
      <c r="GP388" s="31"/>
      <c r="GQ388" s="31"/>
      <c r="GR388" s="31"/>
      <c r="GS388" s="31"/>
      <c r="GT388" s="31"/>
      <c r="GU388" s="31"/>
      <c r="GV388" s="31"/>
      <c r="GW388" s="31"/>
      <c r="GX388" s="31"/>
      <c r="GY388" s="31"/>
      <c r="GZ388" s="31"/>
      <c r="HA388" s="31"/>
      <c r="HB388" s="31"/>
      <c r="HC388" s="31"/>
      <c r="HD388" s="31"/>
      <c r="HE388" s="31"/>
      <c r="HF388" s="31"/>
      <c r="HG388" s="31"/>
      <c r="HH388" s="31"/>
      <c r="HI388" s="31"/>
      <c r="HJ388" s="31"/>
      <c r="HK388" s="31"/>
      <c r="HL388" s="31"/>
      <c r="HM388" s="31"/>
      <c r="HN388" s="31"/>
      <c r="HO388" s="31"/>
      <c r="HP388" s="31"/>
      <c r="HQ388" s="31"/>
      <c r="HR388" s="31"/>
      <c r="HS388" s="31"/>
      <c r="HT388" s="31"/>
      <c r="HU388" s="31"/>
      <c r="HV388" s="31"/>
      <c r="HW388" s="31"/>
      <c r="HX388" s="31"/>
      <c r="HY388" s="31"/>
      <c r="HZ388" s="31"/>
      <c r="IA388" s="31"/>
      <c r="IB388" s="31"/>
      <c r="IC388" s="31"/>
      <c r="ID388" s="31"/>
      <c r="IE388" s="31"/>
      <c r="IF388" s="31"/>
      <c r="IG388" s="31"/>
      <c r="IH388" s="31"/>
      <c r="II388" s="31"/>
      <c r="IJ388" s="31"/>
      <c r="IK388" s="31"/>
      <c r="IL388" s="31"/>
      <c r="IM388" s="31"/>
      <c r="IN388" s="31"/>
      <c r="IO388" s="31"/>
      <c r="IP388" s="31"/>
      <c r="IQ388" s="31"/>
      <c r="IR388" s="31"/>
      <c r="IS388" s="31"/>
      <c r="IT388" s="31"/>
      <c r="IU388" s="31"/>
      <c r="IV388" s="31"/>
      <c r="IW388" s="31"/>
      <c r="IX388" s="31"/>
      <c r="IY388" s="31"/>
      <c r="IZ388" s="31"/>
      <c r="JA388" s="31"/>
      <c r="JB388" s="31"/>
      <c r="JC388" s="31"/>
      <c r="JD388" s="31"/>
      <c r="JE388" s="31"/>
      <c r="JF388" s="31"/>
      <c r="JG388" s="31"/>
      <c r="JH388" s="31"/>
      <c r="JI388" s="31"/>
      <c r="JJ388" s="31"/>
      <c r="JK388" s="31"/>
      <c r="JL388" s="31"/>
      <c r="JM388" s="31"/>
      <c r="JN388" s="31"/>
      <c r="JO388" s="31"/>
      <c r="JP388" s="31"/>
      <c r="JQ388" s="31"/>
      <c r="JR388" s="31"/>
      <c r="JS388" s="31"/>
      <c r="JT388" s="31"/>
      <c r="JU388" s="31"/>
      <c r="JV388" s="31"/>
      <c r="JW388" s="31"/>
      <c r="JX388" s="31"/>
      <c r="JY388" s="31"/>
      <c r="JZ388" s="31"/>
      <c r="KA388" s="31"/>
      <c r="KB388" s="31"/>
      <c r="KC388" s="31"/>
      <c r="KD388" s="31"/>
      <c r="KE388" s="31"/>
      <c r="KF388" s="31"/>
      <c r="KG388" s="31"/>
      <c r="KH388" s="31"/>
      <c r="KI388" s="31"/>
      <c r="KJ388" s="31"/>
      <c r="KK388" s="31"/>
      <c r="KL388" s="31"/>
      <c r="KM388" s="31"/>
      <c r="KN388" s="31"/>
      <c r="KO388" s="31"/>
      <c r="KP388" s="31"/>
      <c r="KQ388" s="31"/>
      <c r="KR388" s="31"/>
      <c r="KS388" s="31"/>
      <c r="KT388" s="31"/>
      <c r="KU388" s="31"/>
      <c r="KV388" s="31"/>
      <c r="KW388" s="31"/>
      <c r="KX388" s="31"/>
      <c r="KY388" s="31"/>
      <c r="KZ388" s="31"/>
      <c r="LA388" s="31"/>
      <c r="LB388" s="31"/>
      <c r="LC388" s="31"/>
      <c r="LD388" s="31"/>
      <c r="LE388" s="31"/>
      <c r="LF388" s="31"/>
      <c r="LG388" s="31"/>
      <c r="LH388" s="31"/>
      <c r="LI388" s="31"/>
      <c r="LJ388" s="31"/>
      <c r="LK388" s="31"/>
      <c r="LL388" s="31"/>
      <c r="LM388" s="31"/>
      <c r="LN388" s="31"/>
      <c r="LO388" s="31"/>
      <c r="LP388" s="31"/>
      <c r="LQ388" s="31"/>
      <c r="LR388" s="31"/>
      <c r="LS388" s="31"/>
      <c r="LT388" s="31"/>
      <c r="LU388" s="31"/>
      <c r="LV388" s="31"/>
      <c r="LW388" s="31"/>
      <c r="LX388" s="31"/>
      <c r="LY388" s="31"/>
      <c r="LZ388" s="31"/>
      <c r="MA388" s="31"/>
      <c r="MB388" s="31"/>
      <c r="MC388" s="31"/>
      <c r="MD388" s="31"/>
      <c r="ME388" s="31"/>
      <c r="MF388" s="31"/>
      <c r="MG388" s="31"/>
      <c r="MH388" s="31"/>
      <c r="MI388" s="31"/>
      <c r="MJ388" s="31"/>
      <c r="MK388" s="31"/>
      <c r="ML388" s="31"/>
      <c r="MM388" s="31"/>
      <c r="MN388" s="31"/>
      <c r="MO388" s="31"/>
      <c r="MP388" s="31"/>
      <c r="MQ388" s="31"/>
      <c r="MR388" s="31"/>
      <c r="MS388" s="31"/>
      <c r="MT388" s="31"/>
      <c r="MU388" s="31"/>
      <c r="MV388" s="31"/>
      <c r="MW388" s="31"/>
      <c r="MX388" s="31"/>
      <c r="MY388" s="31"/>
      <c r="MZ388" s="31"/>
      <c r="NA388" s="31"/>
      <c r="NB388" s="31"/>
      <c r="NC388" s="31"/>
      <c r="ND388" s="31"/>
      <c r="NE388" s="31"/>
      <c r="NF388" s="31"/>
      <c r="NG388" s="31"/>
      <c r="NH388" s="31"/>
      <c r="NI388" s="31"/>
      <c r="NJ388" s="31"/>
      <c r="NK388" s="31"/>
      <c r="NL388" s="31"/>
      <c r="NM388" s="31"/>
      <c r="NN388" s="31"/>
      <c r="NO388" s="31"/>
      <c r="NP388" s="31"/>
      <c r="NQ388" s="31"/>
      <c r="NR388" s="31"/>
      <c r="NS388" s="31"/>
      <c r="NT388" s="31"/>
      <c r="NU388" s="31"/>
      <c r="NV388" s="31"/>
      <c r="NW388" s="31"/>
      <c r="NX388" s="31"/>
      <c r="NY388" s="31"/>
      <c r="NZ388" s="31"/>
      <c r="OA388" s="31"/>
      <c r="OB388" s="31"/>
      <c r="OC388" s="31"/>
      <c r="OD388" s="31"/>
      <c r="OE388" s="31"/>
      <c r="OF388" s="31"/>
      <c r="OG388" s="31"/>
      <c r="OH388" s="31"/>
      <c r="OI388" s="31"/>
      <c r="OJ388" s="31"/>
      <c r="OK388" s="31"/>
      <c r="OL388" s="31"/>
      <c r="OM388" s="31"/>
      <c r="ON388" s="31"/>
      <c r="OO388" s="31"/>
      <c r="OP388" s="31"/>
      <c r="OQ388" s="31"/>
      <c r="OR388" s="31"/>
      <c r="OS388" s="31"/>
      <c r="OT388" s="31"/>
      <c r="OU388" s="31"/>
      <c r="OV388" s="31"/>
      <c r="OW388" s="31"/>
      <c r="OX388" s="31"/>
    </row>
    <row r="389" spans="2:414" s="25" customFormat="1" ht="15.6">
      <c r="B389" s="25" t="s">
        <v>967</v>
      </c>
      <c r="C389" s="27" t="s">
        <v>968</v>
      </c>
      <c r="D389" s="30" t="s">
        <v>105</v>
      </c>
      <c r="G389" s="42">
        <v>80</v>
      </c>
      <c r="H389" s="89">
        <v>26.109000000000002</v>
      </c>
      <c r="I389" s="38">
        <f t="shared" si="116"/>
        <v>2088.7200000000003</v>
      </c>
      <c r="K389" s="42">
        <v>80</v>
      </c>
      <c r="L389" s="90">
        <v>26.849599999999999</v>
      </c>
      <c r="M389" s="38">
        <f t="shared" si="117"/>
        <v>2147.9679999999998</v>
      </c>
      <c r="O389" s="42">
        <v>505</v>
      </c>
      <c r="P389" s="38">
        <v>26.728300000000001</v>
      </c>
      <c r="Q389" s="38">
        <f t="shared" si="118"/>
        <v>13497.791500000001</v>
      </c>
      <c r="R389" s="43">
        <f t="shared" si="132"/>
        <v>665</v>
      </c>
      <c r="S389" s="38">
        <f t="shared" si="119"/>
        <v>17734.479500000001</v>
      </c>
      <c r="T389" s="49">
        <v>240</v>
      </c>
      <c r="U389" s="42">
        <v>26.582999999999998</v>
      </c>
      <c r="V389" s="38">
        <f t="shared" si="126"/>
        <v>6379.92</v>
      </c>
      <c r="W389" s="42">
        <v>420</v>
      </c>
      <c r="X389" s="42">
        <v>26.6906</v>
      </c>
      <c r="Y389" s="42">
        <f t="shared" si="128"/>
        <v>11210.052</v>
      </c>
      <c r="Z389" s="42">
        <v>85</v>
      </c>
      <c r="AA389" s="42">
        <v>26.732500000000002</v>
      </c>
      <c r="AB389" s="42">
        <f t="shared" ref="AB389:AB405" si="133">Z389*AA389</f>
        <v>2272.2625000000003</v>
      </c>
      <c r="AD389" s="42"/>
      <c r="AE389" s="42"/>
      <c r="AF389" s="42">
        <f t="shared" si="130"/>
        <v>0</v>
      </c>
      <c r="AG389" s="42"/>
      <c r="AH389" s="42"/>
      <c r="AI389" s="42"/>
      <c r="AJ389" s="42">
        <f t="shared" si="115"/>
        <v>0</v>
      </c>
      <c r="AL389" s="42"/>
      <c r="AM389" s="42"/>
      <c r="AN389" s="42"/>
      <c r="AO389" s="44"/>
      <c r="AP389" s="42"/>
      <c r="AQ389" s="42"/>
      <c r="AR389" s="42"/>
      <c r="AU389" s="98"/>
      <c r="AV389" s="35"/>
      <c r="AW389" s="104"/>
      <c r="AX389" s="42"/>
      <c r="AY389" s="42"/>
      <c r="AZ389" s="42">
        <f t="shared" si="131"/>
        <v>0</v>
      </c>
      <c r="BA389" s="42"/>
      <c r="BB389" s="42"/>
      <c r="BC389" s="42"/>
      <c r="BD389" s="38">
        <f t="shared" si="120"/>
        <v>0</v>
      </c>
      <c r="BE389" s="42"/>
      <c r="BF389" s="42"/>
      <c r="BG389" s="42"/>
      <c r="BH389" s="38">
        <f t="shared" si="121"/>
        <v>0</v>
      </c>
      <c r="BI389" s="42"/>
      <c r="BJ389" s="42"/>
      <c r="BK389" s="42"/>
      <c r="BL389" s="38">
        <f t="shared" si="122"/>
        <v>0</v>
      </c>
      <c r="BM389" s="42"/>
      <c r="BN389" s="42"/>
      <c r="BO389" s="42"/>
      <c r="BP389" s="42"/>
      <c r="BR389" s="42">
        <f t="shared" si="123"/>
        <v>19862.234500000002</v>
      </c>
      <c r="BS389" s="43"/>
      <c r="BT389" s="42">
        <v>2127.7600000000002</v>
      </c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  <c r="FM389" s="31"/>
      <c r="FN389" s="31"/>
      <c r="FO389" s="31"/>
      <c r="FP389" s="31"/>
      <c r="FQ389" s="31"/>
      <c r="FR389" s="31"/>
      <c r="FS389" s="31"/>
      <c r="FT389" s="31"/>
      <c r="FU389" s="31"/>
      <c r="FV389" s="31"/>
      <c r="FW389" s="31"/>
      <c r="FX389" s="31"/>
      <c r="FY389" s="31"/>
      <c r="FZ389" s="31"/>
      <c r="GA389" s="31"/>
      <c r="GB389" s="31"/>
      <c r="GC389" s="31"/>
      <c r="GD389" s="31"/>
      <c r="GE389" s="31"/>
      <c r="GF389" s="31"/>
      <c r="GG389" s="31"/>
      <c r="GH389" s="31"/>
      <c r="GI389" s="31"/>
      <c r="GJ389" s="31"/>
      <c r="GK389" s="31"/>
      <c r="GL389" s="31"/>
      <c r="GM389" s="31"/>
      <c r="GN389" s="31"/>
      <c r="GO389" s="31"/>
      <c r="GP389" s="31"/>
      <c r="GQ389" s="31"/>
      <c r="GR389" s="31"/>
      <c r="GS389" s="31"/>
      <c r="GT389" s="31"/>
      <c r="GU389" s="31"/>
      <c r="GV389" s="31"/>
      <c r="GW389" s="31"/>
      <c r="GX389" s="31"/>
      <c r="GY389" s="31"/>
      <c r="GZ389" s="31"/>
      <c r="HA389" s="31"/>
      <c r="HB389" s="31"/>
      <c r="HC389" s="31"/>
      <c r="HD389" s="31"/>
      <c r="HE389" s="31"/>
      <c r="HF389" s="31"/>
      <c r="HG389" s="31"/>
      <c r="HH389" s="31"/>
      <c r="HI389" s="31"/>
      <c r="HJ389" s="31"/>
      <c r="HK389" s="31"/>
      <c r="HL389" s="31"/>
      <c r="HM389" s="31"/>
      <c r="HN389" s="31"/>
      <c r="HO389" s="31"/>
      <c r="HP389" s="31"/>
      <c r="HQ389" s="31"/>
      <c r="HR389" s="31"/>
      <c r="HS389" s="31"/>
      <c r="HT389" s="31"/>
      <c r="HU389" s="31"/>
      <c r="HV389" s="31"/>
      <c r="HW389" s="31"/>
      <c r="HX389" s="31"/>
      <c r="HY389" s="31"/>
      <c r="HZ389" s="31"/>
      <c r="IA389" s="31"/>
      <c r="IB389" s="31"/>
      <c r="IC389" s="31"/>
      <c r="ID389" s="31"/>
      <c r="IE389" s="31"/>
      <c r="IF389" s="31"/>
      <c r="IG389" s="31"/>
      <c r="IH389" s="31"/>
      <c r="II389" s="31"/>
      <c r="IJ389" s="31"/>
      <c r="IK389" s="31"/>
      <c r="IL389" s="31"/>
      <c r="IM389" s="31"/>
      <c r="IN389" s="31"/>
      <c r="IO389" s="31"/>
      <c r="IP389" s="31"/>
      <c r="IQ389" s="31"/>
      <c r="IR389" s="31"/>
      <c r="IS389" s="31"/>
      <c r="IT389" s="31"/>
      <c r="IU389" s="31"/>
      <c r="IV389" s="31"/>
      <c r="IW389" s="31"/>
      <c r="IX389" s="31"/>
      <c r="IY389" s="31"/>
      <c r="IZ389" s="31"/>
      <c r="JA389" s="31"/>
      <c r="JB389" s="31"/>
      <c r="JC389" s="31"/>
      <c r="JD389" s="31"/>
      <c r="JE389" s="31"/>
      <c r="JF389" s="31"/>
      <c r="JG389" s="31"/>
      <c r="JH389" s="31"/>
      <c r="JI389" s="31"/>
      <c r="JJ389" s="31"/>
      <c r="JK389" s="31"/>
      <c r="JL389" s="31"/>
      <c r="JM389" s="31"/>
      <c r="JN389" s="31"/>
      <c r="JO389" s="31"/>
      <c r="JP389" s="31"/>
      <c r="JQ389" s="31"/>
      <c r="JR389" s="31"/>
      <c r="JS389" s="31"/>
      <c r="JT389" s="31"/>
      <c r="JU389" s="31"/>
      <c r="JV389" s="31"/>
      <c r="JW389" s="31"/>
      <c r="JX389" s="31"/>
      <c r="JY389" s="31"/>
      <c r="JZ389" s="31"/>
      <c r="KA389" s="31"/>
      <c r="KB389" s="31"/>
      <c r="KC389" s="31"/>
      <c r="KD389" s="31"/>
      <c r="KE389" s="31"/>
      <c r="KF389" s="31"/>
      <c r="KG389" s="31"/>
      <c r="KH389" s="31"/>
      <c r="KI389" s="31"/>
      <c r="KJ389" s="31"/>
      <c r="KK389" s="31"/>
      <c r="KL389" s="31"/>
      <c r="KM389" s="31"/>
      <c r="KN389" s="31"/>
      <c r="KO389" s="31"/>
      <c r="KP389" s="31"/>
      <c r="KQ389" s="31"/>
      <c r="KR389" s="31"/>
      <c r="KS389" s="31"/>
      <c r="KT389" s="31"/>
      <c r="KU389" s="31"/>
      <c r="KV389" s="31"/>
      <c r="KW389" s="31"/>
      <c r="KX389" s="31"/>
      <c r="KY389" s="31"/>
      <c r="KZ389" s="31"/>
      <c r="LA389" s="31"/>
      <c r="LB389" s="31"/>
      <c r="LC389" s="31"/>
      <c r="LD389" s="31"/>
      <c r="LE389" s="31"/>
      <c r="LF389" s="31"/>
      <c r="LG389" s="31"/>
      <c r="LH389" s="31"/>
      <c r="LI389" s="31"/>
      <c r="LJ389" s="31"/>
      <c r="LK389" s="31"/>
      <c r="LL389" s="31"/>
      <c r="LM389" s="31"/>
      <c r="LN389" s="31"/>
      <c r="LO389" s="31"/>
      <c r="LP389" s="31"/>
      <c r="LQ389" s="31"/>
      <c r="LR389" s="31"/>
      <c r="LS389" s="31"/>
      <c r="LT389" s="31"/>
      <c r="LU389" s="31"/>
      <c r="LV389" s="31"/>
      <c r="LW389" s="31"/>
      <c r="LX389" s="31"/>
      <c r="LY389" s="31"/>
      <c r="LZ389" s="31"/>
      <c r="MA389" s="31"/>
      <c r="MB389" s="31"/>
      <c r="MC389" s="31"/>
      <c r="MD389" s="31"/>
      <c r="ME389" s="31"/>
      <c r="MF389" s="31"/>
      <c r="MG389" s="31"/>
      <c r="MH389" s="31"/>
      <c r="MI389" s="31"/>
      <c r="MJ389" s="31"/>
      <c r="MK389" s="31"/>
      <c r="ML389" s="31"/>
      <c r="MM389" s="31"/>
      <c r="MN389" s="31"/>
      <c r="MO389" s="31"/>
      <c r="MP389" s="31"/>
      <c r="MQ389" s="31"/>
      <c r="MR389" s="31"/>
      <c r="MS389" s="31"/>
      <c r="MT389" s="31"/>
      <c r="MU389" s="31"/>
      <c r="MV389" s="31"/>
      <c r="MW389" s="31"/>
      <c r="MX389" s="31"/>
      <c r="MY389" s="31"/>
      <c r="MZ389" s="31"/>
      <c r="NA389" s="31"/>
      <c r="NB389" s="31"/>
      <c r="NC389" s="31"/>
      <c r="ND389" s="31"/>
      <c r="NE389" s="31"/>
      <c r="NF389" s="31"/>
      <c r="NG389" s="31"/>
      <c r="NH389" s="31"/>
      <c r="NI389" s="31"/>
      <c r="NJ389" s="31"/>
      <c r="NK389" s="31"/>
      <c r="NL389" s="31"/>
      <c r="NM389" s="31"/>
      <c r="NN389" s="31"/>
      <c r="NO389" s="31"/>
      <c r="NP389" s="31"/>
      <c r="NQ389" s="31"/>
      <c r="NR389" s="31"/>
      <c r="NS389" s="31"/>
      <c r="NT389" s="31"/>
      <c r="NU389" s="31"/>
      <c r="NV389" s="31"/>
      <c r="NW389" s="31"/>
      <c r="NX389" s="31"/>
      <c r="NY389" s="31"/>
      <c r="NZ389" s="31"/>
      <c r="OA389" s="31"/>
      <c r="OB389" s="31"/>
      <c r="OC389" s="31"/>
      <c r="OD389" s="31"/>
      <c r="OE389" s="31"/>
      <c r="OF389" s="31"/>
      <c r="OG389" s="31"/>
      <c r="OH389" s="31"/>
      <c r="OI389" s="31"/>
      <c r="OJ389" s="31"/>
      <c r="OK389" s="31"/>
      <c r="OL389" s="31"/>
      <c r="OM389" s="31"/>
      <c r="ON389" s="31"/>
      <c r="OO389" s="31"/>
      <c r="OP389" s="31"/>
      <c r="OQ389" s="31"/>
      <c r="OR389" s="31"/>
      <c r="OS389" s="31"/>
      <c r="OT389" s="31"/>
      <c r="OU389" s="31"/>
      <c r="OV389" s="31"/>
      <c r="OW389" s="31"/>
      <c r="OX389" s="31"/>
    </row>
    <row r="390" spans="2:414" s="25" customFormat="1" ht="15.6">
      <c r="B390" s="25" t="s">
        <v>759</v>
      </c>
      <c r="C390" s="27" t="s">
        <v>760</v>
      </c>
      <c r="D390" s="30" t="s">
        <v>105</v>
      </c>
      <c r="G390" s="42">
        <v>80</v>
      </c>
      <c r="H390" s="89">
        <v>26.109000000000002</v>
      </c>
      <c r="I390" s="38">
        <f t="shared" si="116"/>
        <v>2088.7200000000003</v>
      </c>
      <c r="K390" s="42">
        <v>80</v>
      </c>
      <c r="L390" s="90">
        <v>26.849599999999999</v>
      </c>
      <c r="M390" s="38">
        <f t="shared" si="117"/>
        <v>2147.9679999999998</v>
      </c>
      <c r="O390" s="42">
        <v>505</v>
      </c>
      <c r="P390" s="38">
        <v>26.728300000000001</v>
      </c>
      <c r="Q390" s="38">
        <f t="shared" si="118"/>
        <v>13497.791500000001</v>
      </c>
      <c r="R390" s="43">
        <f t="shared" si="132"/>
        <v>665</v>
      </c>
      <c r="S390" s="38">
        <f t="shared" si="119"/>
        <v>17734.479500000001</v>
      </c>
      <c r="T390" s="49">
        <v>240</v>
      </c>
      <c r="U390" s="42">
        <v>26.741299999999999</v>
      </c>
      <c r="V390" s="38">
        <f t="shared" si="126"/>
        <v>6417.9119999999994</v>
      </c>
      <c r="W390" s="42">
        <v>506</v>
      </c>
      <c r="X390" s="42">
        <v>26.74</v>
      </c>
      <c r="Y390" s="42">
        <f t="shared" si="128"/>
        <v>13530.439999999999</v>
      </c>
      <c r="Z390" s="42"/>
      <c r="AA390" s="42"/>
      <c r="AB390" s="42">
        <f t="shared" si="133"/>
        <v>0</v>
      </c>
      <c r="AD390" s="42"/>
      <c r="AE390" s="42"/>
      <c r="AF390" s="42">
        <f t="shared" si="130"/>
        <v>0</v>
      </c>
      <c r="AG390" s="42"/>
      <c r="AH390" s="42"/>
      <c r="AI390" s="42"/>
      <c r="AJ390" s="42">
        <f t="shared" si="115"/>
        <v>0</v>
      </c>
      <c r="AL390" s="42"/>
      <c r="AM390" s="42"/>
      <c r="AN390" s="42"/>
      <c r="AO390" s="44"/>
      <c r="AP390" s="42"/>
      <c r="AQ390" s="42"/>
      <c r="AR390" s="42"/>
      <c r="AU390" s="98"/>
      <c r="AV390" s="35"/>
      <c r="AW390" s="104"/>
      <c r="AX390" s="42"/>
      <c r="AY390" s="42"/>
      <c r="AZ390" s="42">
        <f t="shared" si="131"/>
        <v>0</v>
      </c>
      <c r="BA390" s="42"/>
      <c r="BB390" s="42"/>
      <c r="BC390" s="42"/>
      <c r="BD390" s="38">
        <f t="shared" si="120"/>
        <v>0</v>
      </c>
      <c r="BE390" s="42"/>
      <c r="BF390" s="42"/>
      <c r="BG390" s="42"/>
      <c r="BH390" s="38">
        <f t="shared" si="121"/>
        <v>0</v>
      </c>
      <c r="BI390" s="42"/>
      <c r="BJ390" s="42"/>
      <c r="BK390" s="42"/>
      <c r="BL390" s="38">
        <f t="shared" si="122"/>
        <v>0</v>
      </c>
      <c r="BM390" s="42"/>
      <c r="BN390" s="42"/>
      <c r="BO390" s="42"/>
      <c r="BP390" s="42"/>
      <c r="BR390" s="42">
        <f t="shared" si="123"/>
        <v>19948.351999999999</v>
      </c>
      <c r="BS390" s="43"/>
      <c r="BT390" s="42">
        <v>2213.87</v>
      </c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  <c r="FM390" s="31"/>
      <c r="FN390" s="31"/>
      <c r="FO390" s="31"/>
      <c r="FP390" s="31"/>
      <c r="FQ390" s="31"/>
      <c r="FR390" s="31"/>
      <c r="FS390" s="31"/>
      <c r="FT390" s="31"/>
      <c r="FU390" s="31"/>
      <c r="FV390" s="31"/>
      <c r="FW390" s="31"/>
      <c r="FX390" s="31"/>
      <c r="FY390" s="31"/>
      <c r="FZ390" s="31"/>
      <c r="GA390" s="31"/>
      <c r="GB390" s="31"/>
      <c r="GC390" s="31"/>
      <c r="GD390" s="31"/>
      <c r="GE390" s="31"/>
      <c r="GF390" s="31"/>
      <c r="GG390" s="31"/>
      <c r="GH390" s="31"/>
      <c r="GI390" s="31"/>
      <c r="GJ390" s="31"/>
      <c r="GK390" s="31"/>
      <c r="GL390" s="31"/>
      <c r="GM390" s="31"/>
      <c r="GN390" s="31"/>
      <c r="GO390" s="31"/>
      <c r="GP390" s="31"/>
      <c r="GQ390" s="31"/>
      <c r="GR390" s="31"/>
      <c r="GS390" s="31"/>
      <c r="GT390" s="31"/>
      <c r="GU390" s="31"/>
      <c r="GV390" s="31"/>
      <c r="GW390" s="31"/>
      <c r="GX390" s="31"/>
      <c r="GY390" s="31"/>
      <c r="GZ390" s="31"/>
      <c r="HA390" s="31"/>
      <c r="HB390" s="31"/>
      <c r="HC390" s="31"/>
      <c r="HD390" s="31"/>
      <c r="HE390" s="31"/>
      <c r="HF390" s="31"/>
      <c r="HG390" s="31"/>
      <c r="HH390" s="31"/>
      <c r="HI390" s="31"/>
      <c r="HJ390" s="31"/>
      <c r="HK390" s="31"/>
      <c r="HL390" s="31"/>
      <c r="HM390" s="31"/>
      <c r="HN390" s="31"/>
      <c r="HO390" s="31"/>
      <c r="HP390" s="31"/>
      <c r="HQ390" s="31"/>
      <c r="HR390" s="31"/>
      <c r="HS390" s="31"/>
      <c r="HT390" s="31"/>
      <c r="HU390" s="31"/>
      <c r="HV390" s="31"/>
      <c r="HW390" s="31"/>
      <c r="HX390" s="31"/>
      <c r="HY390" s="31"/>
      <c r="HZ390" s="31"/>
      <c r="IA390" s="31"/>
      <c r="IB390" s="31"/>
      <c r="IC390" s="31"/>
      <c r="ID390" s="31"/>
      <c r="IE390" s="31"/>
      <c r="IF390" s="31"/>
      <c r="IG390" s="31"/>
      <c r="IH390" s="31"/>
      <c r="II390" s="31"/>
      <c r="IJ390" s="31"/>
      <c r="IK390" s="31"/>
      <c r="IL390" s="31"/>
      <c r="IM390" s="31"/>
      <c r="IN390" s="31"/>
      <c r="IO390" s="31"/>
      <c r="IP390" s="31"/>
      <c r="IQ390" s="31"/>
      <c r="IR390" s="31"/>
      <c r="IS390" s="31"/>
      <c r="IT390" s="31"/>
      <c r="IU390" s="31"/>
      <c r="IV390" s="31"/>
      <c r="IW390" s="31"/>
      <c r="IX390" s="31"/>
      <c r="IY390" s="31"/>
      <c r="IZ390" s="31"/>
      <c r="JA390" s="31"/>
      <c r="JB390" s="31"/>
      <c r="JC390" s="31"/>
      <c r="JD390" s="31"/>
      <c r="JE390" s="31"/>
      <c r="JF390" s="31"/>
      <c r="JG390" s="31"/>
      <c r="JH390" s="31"/>
      <c r="JI390" s="31"/>
      <c r="JJ390" s="31"/>
      <c r="JK390" s="31"/>
      <c r="JL390" s="31"/>
      <c r="JM390" s="31"/>
      <c r="JN390" s="31"/>
      <c r="JO390" s="31"/>
      <c r="JP390" s="31"/>
      <c r="JQ390" s="31"/>
      <c r="JR390" s="31"/>
      <c r="JS390" s="31"/>
      <c r="JT390" s="31"/>
      <c r="JU390" s="31"/>
      <c r="JV390" s="31"/>
      <c r="JW390" s="31"/>
      <c r="JX390" s="31"/>
      <c r="JY390" s="31"/>
      <c r="JZ390" s="31"/>
      <c r="KA390" s="31"/>
      <c r="KB390" s="31"/>
      <c r="KC390" s="31"/>
      <c r="KD390" s="31"/>
      <c r="KE390" s="31"/>
      <c r="KF390" s="31"/>
      <c r="KG390" s="31"/>
      <c r="KH390" s="31"/>
      <c r="KI390" s="31"/>
      <c r="KJ390" s="31"/>
      <c r="KK390" s="31"/>
      <c r="KL390" s="31"/>
      <c r="KM390" s="31"/>
      <c r="KN390" s="31"/>
      <c r="KO390" s="31"/>
      <c r="KP390" s="31"/>
      <c r="KQ390" s="31"/>
      <c r="KR390" s="31"/>
      <c r="KS390" s="31"/>
      <c r="KT390" s="31"/>
      <c r="KU390" s="31"/>
      <c r="KV390" s="31"/>
      <c r="KW390" s="31"/>
      <c r="KX390" s="31"/>
      <c r="KY390" s="31"/>
      <c r="KZ390" s="31"/>
      <c r="LA390" s="31"/>
      <c r="LB390" s="31"/>
      <c r="LC390" s="31"/>
      <c r="LD390" s="31"/>
      <c r="LE390" s="31"/>
      <c r="LF390" s="31"/>
      <c r="LG390" s="31"/>
      <c r="LH390" s="31"/>
      <c r="LI390" s="31"/>
      <c r="LJ390" s="31"/>
      <c r="LK390" s="31"/>
      <c r="LL390" s="31"/>
      <c r="LM390" s="31"/>
      <c r="LN390" s="31"/>
      <c r="LO390" s="31"/>
      <c r="LP390" s="31"/>
      <c r="LQ390" s="31"/>
      <c r="LR390" s="31"/>
      <c r="LS390" s="31"/>
      <c r="LT390" s="31"/>
      <c r="LU390" s="31"/>
      <c r="LV390" s="31"/>
      <c r="LW390" s="31"/>
      <c r="LX390" s="31"/>
      <c r="LY390" s="31"/>
      <c r="LZ390" s="31"/>
      <c r="MA390" s="31"/>
      <c r="MB390" s="31"/>
      <c r="MC390" s="31"/>
      <c r="MD390" s="31"/>
      <c r="ME390" s="31"/>
      <c r="MF390" s="31"/>
      <c r="MG390" s="31"/>
      <c r="MH390" s="31"/>
      <c r="MI390" s="31"/>
      <c r="MJ390" s="31"/>
      <c r="MK390" s="31"/>
      <c r="ML390" s="31"/>
      <c r="MM390" s="31"/>
      <c r="MN390" s="31"/>
      <c r="MO390" s="31"/>
      <c r="MP390" s="31"/>
      <c r="MQ390" s="31"/>
      <c r="MR390" s="31"/>
      <c r="MS390" s="31"/>
      <c r="MT390" s="31"/>
      <c r="MU390" s="31"/>
      <c r="MV390" s="31"/>
      <c r="MW390" s="31"/>
      <c r="MX390" s="31"/>
      <c r="MY390" s="31"/>
      <c r="MZ390" s="31"/>
      <c r="NA390" s="31"/>
      <c r="NB390" s="31"/>
      <c r="NC390" s="31"/>
      <c r="ND390" s="31"/>
      <c r="NE390" s="31"/>
      <c r="NF390" s="31"/>
      <c r="NG390" s="31"/>
      <c r="NH390" s="31"/>
      <c r="NI390" s="31"/>
      <c r="NJ390" s="31"/>
      <c r="NK390" s="31"/>
      <c r="NL390" s="31"/>
      <c r="NM390" s="31"/>
      <c r="NN390" s="31"/>
      <c r="NO390" s="31"/>
      <c r="NP390" s="31"/>
      <c r="NQ390" s="31"/>
      <c r="NR390" s="31"/>
      <c r="NS390" s="31"/>
      <c r="NT390" s="31"/>
      <c r="NU390" s="31"/>
      <c r="NV390" s="31"/>
      <c r="NW390" s="31"/>
      <c r="NX390" s="31"/>
      <c r="NY390" s="31"/>
      <c r="NZ390" s="31"/>
      <c r="OA390" s="31"/>
      <c r="OB390" s="31"/>
      <c r="OC390" s="31"/>
      <c r="OD390" s="31"/>
      <c r="OE390" s="31"/>
      <c r="OF390" s="31"/>
      <c r="OG390" s="31"/>
      <c r="OH390" s="31"/>
      <c r="OI390" s="31"/>
      <c r="OJ390" s="31"/>
      <c r="OK390" s="31"/>
      <c r="OL390" s="31"/>
      <c r="OM390" s="31"/>
      <c r="ON390" s="31"/>
      <c r="OO390" s="31"/>
      <c r="OP390" s="31"/>
      <c r="OQ390" s="31"/>
      <c r="OR390" s="31"/>
      <c r="OS390" s="31"/>
      <c r="OT390" s="31"/>
      <c r="OU390" s="31"/>
      <c r="OV390" s="31"/>
      <c r="OW390" s="31"/>
      <c r="OX390" s="31"/>
    </row>
    <row r="391" spans="2:414" s="25" customFormat="1" ht="15.6">
      <c r="B391" s="25" t="s">
        <v>969</v>
      </c>
      <c r="C391" s="27" t="s">
        <v>970</v>
      </c>
      <c r="D391" s="30" t="s">
        <v>105</v>
      </c>
      <c r="G391" s="42">
        <v>80</v>
      </c>
      <c r="H391" s="89">
        <v>26.109000000000002</v>
      </c>
      <c r="I391" s="38">
        <f t="shared" si="116"/>
        <v>2088.7200000000003</v>
      </c>
      <c r="K391" s="42">
        <v>80</v>
      </c>
      <c r="L391" s="90">
        <v>26.849599999999999</v>
      </c>
      <c r="M391" s="38">
        <f t="shared" si="117"/>
        <v>2147.9679999999998</v>
      </c>
      <c r="O391" s="42">
        <v>505</v>
      </c>
      <c r="P391" s="38">
        <v>26.728300000000001</v>
      </c>
      <c r="Q391" s="38">
        <f t="shared" si="118"/>
        <v>13497.791500000001</v>
      </c>
      <c r="R391" s="43">
        <f t="shared" si="132"/>
        <v>665</v>
      </c>
      <c r="S391" s="38">
        <f t="shared" si="119"/>
        <v>17734.479500000001</v>
      </c>
      <c r="T391" s="49">
        <v>110</v>
      </c>
      <c r="U391" s="42">
        <v>26.934999999999999</v>
      </c>
      <c r="V391" s="38">
        <f t="shared" si="126"/>
        <v>2962.85</v>
      </c>
      <c r="W391" s="42">
        <v>390</v>
      </c>
      <c r="X391" s="42">
        <v>26.94</v>
      </c>
      <c r="Y391" s="42">
        <f t="shared" si="128"/>
        <v>10506.6</v>
      </c>
      <c r="Z391" s="42"/>
      <c r="AA391" s="42"/>
      <c r="AB391" s="42">
        <f t="shared" si="133"/>
        <v>0</v>
      </c>
      <c r="AD391" s="42"/>
      <c r="AE391" s="42"/>
      <c r="AF391" s="42">
        <f t="shared" si="130"/>
        <v>0</v>
      </c>
      <c r="AG391" s="42"/>
      <c r="AH391" s="42"/>
      <c r="AI391" s="42"/>
      <c r="AJ391" s="42">
        <f t="shared" si="115"/>
        <v>0</v>
      </c>
      <c r="AL391" s="42"/>
      <c r="AM391" s="42"/>
      <c r="AN391" s="42"/>
      <c r="AO391" s="44"/>
      <c r="AP391" s="42"/>
      <c r="AQ391" s="42"/>
      <c r="AR391" s="42"/>
      <c r="AU391" s="98"/>
      <c r="AV391" s="35"/>
      <c r="AW391" s="104"/>
      <c r="AX391" s="42"/>
      <c r="AY391" s="42"/>
      <c r="AZ391" s="42">
        <f t="shared" si="131"/>
        <v>0</v>
      </c>
      <c r="BA391" s="42"/>
      <c r="BB391" s="42"/>
      <c r="BC391" s="42"/>
      <c r="BD391" s="38">
        <f t="shared" si="120"/>
        <v>0</v>
      </c>
      <c r="BE391" s="42"/>
      <c r="BF391" s="42"/>
      <c r="BG391" s="42"/>
      <c r="BH391" s="38">
        <f t="shared" si="121"/>
        <v>0</v>
      </c>
      <c r="BI391" s="42"/>
      <c r="BJ391" s="42"/>
      <c r="BK391" s="42"/>
      <c r="BL391" s="38">
        <f t="shared" si="122"/>
        <v>0</v>
      </c>
      <c r="BM391" s="42"/>
      <c r="BN391" s="42"/>
      <c r="BO391" s="42"/>
      <c r="BP391" s="42"/>
      <c r="BR391" s="42">
        <f t="shared" si="123"/>
        <v>13469.45</v>
      </c>
      <c r="BS391" s="43">
        <f t="shared" si="124"/>
        <v>4265.0295000000006</v>
      </c>
      <c r="BT391" s="42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  <c r="FM391" s="31"/>
      <c r="FN391" s="31"/>
      <c r="FO391" s="31"/>
      <c r="FP391" s="31"/>
      <c r="FQ391" s="31"/>
      <c r="FR391" s="31"/>
      <c r="FS391" s="31"/>
      <c r="FT391" s="31"/>
      <c r="FU391" s="31"/>
      <c r="FV391" s="31"/>
      <c r="FW391" s="31"/>
      <c r="FX391" s="31"/>
      <c r="FY391" s="31"/>
      <c r="FZ391" s="31"/>
      <c r="GA391" s="31"/>
      <c r="GB391" s="31"/>
      <c r="GC391" s="31"/>
      <c r="GD391" s="31"/>
      <c r="GE391" s="31"/>
      <c r="GF391" s="31"/>
      <c r="GG391" s="31"/>
      <c r="GH391" s="31"/>
      <c r="GI391" s="31"/>
      <c r="GJ391" s="31"/>
      <c r="GK391" s="31"/>
      <c r="GL391" s="31"/>
      <c r="GM391" s="31"/>
      <c r="GN391" s="31"/>
      <c r="GO391" s="31"/>
      <c r="GP391" s="31"/>
      <c r="GQ391" s="31"/>
      <c r="GR391" s="31"/>
      <c r="GS391" s="31"/>
      <c r="GT391" s="31"/>
      <c r="GU391" s="31"/>
      <c r="GV391" s="31"/>
      <c r="GW391" s="31"/>
      <c r="GX391" s="31"/>
      <c r="GY391" s="31"/>
      <c r="GZ391" s="31"/>
      <c r="HA391" s="31"/>
      <c r="HB391" s="31"/>
      <c r="HC391" s="31"/>
      <c r="HD391" s="31"/>
      <c r="HE391" s="31"/>
      <c r="HF391" s="31"/>
      <c r="HG391" s="31"/>
      <c r="HH391" s="31"/>
      <c r="HI391" s="31"/>
      <c r="HJ391" s="31"/>
      <c r="HK391" s="31"/>
      <c r="HL391" s="31"/>
      <c r="HM391" s="31"/>
      <c r="HN391" s="31"/>
      <c r="HO391" s="31"/>
      <c r="HP391" s="31"/>
      <c r="HQ391" s="31"/>
      <c r="HR391" s="31"/>
      <c r="HS391" s="31"/>
      <c r="HT391" s="31"/>
      <c r="HU391" s="31"/>
      <c r="HV391" s="31"/>
      <c r="HW391" s="31"/>
      <c r="HX391" s="31"/>
      <c r="HY391" s="31"/>
      <c r="HZ391" s="31"/>
      <c r="IA391" s="31"/>
      <c r="IB391" s="31"/>
      <c r="IC391" s="31"/>
      <c r="ID391" s="31"/>
      <c r="IE391" s="31"/>
      <c r="IF391" s="31"/>
      <c r="IG391" s="31"/>
      <c r="IH391" s="31"/>
      <c r="II391" s="31"/>
      <c r="IJ391" s="31"/>
      <c r="IK391" s="31"/>
      <c r="IL391" s="31"/>
      <c r="IM391" s="31"/>
      <c r="IN391" s="31"/>
      <c r="IO391" s="31"/>
      <c r="IP391" s="31"/>
      <c r="IQ391" s="31"/>
      <c r="IR391" s="31"/>
      <c r="IS391" s="31"/>
      <c r="IT391" s="31"/>
      <c r="IU391" s="31"/>
      <c r="IV391" s="31"/>
      <c r="IW391" s="31"/>
      <c r="IX391" s="31"/>
      <c r="IY391" s="31"/>
      <c r="IZ391" s="31"/>
      <c r="JA391" s="31"/>
      <c r="JB391" s="31"/>
      <c r="JC391" s="31"/>
      <c r="JD391" s="31"/>
      <c r="JE391" s="31"/>
      <c r="JF391" s="31"/>
      <c r="JG391" s="31"/>
      <c r="JH391" s="31"/>
      <c r="JI391" s="31"/>
      <c r="JJ391" s="31"/>
      <c r="JK391" s="31"/>
      <c r="JL391" s="31"/>
      <c r="JM391" s="31"/>
      <c r="JN391" s="31"/>
      <c r="JO391" s="31"/>
      <c r="JP391" s="31"/>
      <c r="JQ391" s="31"/>
      <c r="JR391" s="31"/>
      <c r="JS391" s="31"/>
      <c r="JT391" s="31"/>
      <c r="JU391" s="31"/>
      <c r="JV391" s="31"/>
      <c r="JW391" s="31"/>
      <c r="JX391" s="31"/>
      <c r="JY391" s="31"/>
      <c r="JZ391" s="31"/>
      <c r="KA391" s="31"/>
      <c r="KB391" s="31"/>
      <c r="KC391" s="31"/>
      <c r="KD391" s="31"/>
      <c r="KE391" s="31"/>
      <c r="KF391" s="31"/>
      <c r="KG391" s="31"/>
      <c r="KH391" s="31"/>
      <c r="KI391" s="31"/>
      <c r="KJ391" s="31"/>
      <c r="KK391" s="31"/>
      <c r="KL391" s="31"/>
      <c r="KM391" s="31"/>
      <c r="KN391" s="31"/>
      <c r="KO391" s="31"/>
      <c r="KP391" s="31"/>
      <c r="KQ391" s="31"/>
      <c r="KR391" s="31"/>
      <c r="KS391" s="31"/>
      <c r="KT391" s="31"/>
      <c r="KU391" s="31"/>
      <c r="KV391" s="31"/>
      <c r="KW391" s="31"/>
      <c r="KX391" s="31"/>
      <c r="KY391" s="31"/>
      <c r="KZ391" s="31"/>
      <c r="LA391" s="31"/>
      <c r="LB391" s="31"/>
      <c r="LC391" s="31"/>
      <c r="LD391" s="31"/>
      <c r="LE391" s="31"/>
      <c r="LF391" s="31"/>
      <c r="LG391" s="31"/>
      <c r="LH391" s="31"/>
      <c r="LI391" s="31"/>
      <c r="LJ391" s="31"/>
      <c r="LK391" s="31"/>
      <c r="LL391" s="31"/>
      <c r="LM391" s="31"/>
      <c r="LN391" s="31"/>
      <c r="LO391" s="31"/>
      <c r="LP391" s="31"/>
      <c r="LQ391" s="31"/>
      <c r="LR391" s="31"/>
      <c r="LS391" s="31"/>
      <c r="LT391" s="31"/>
      <c r="LU391" s="31"/>
      <c r="LV391" s="31"/>
      <c r="LW391" s="31"/>
      <c r="LX391" s="31"/>
      <c r="LY391" s="31"/>
      <c r="LZ391" s="31"/>
      <c r="MA391" s="31"/>
      <c r="MB391" s="31"/>
      <c r="MC391" s="31"/>
      <c r="MD391" s="31"/>
      <c r="ME391" s="31"/>
      <c r="MF391" s="31"/>
      <c r="MG391" s="31"/>
      <c r="MH391" s="31"/>
      <c r="MI391" s="31"/>
      <c r="MJ391" s="31"/>
      <c r="MK391" s="31"/>
      <c r="ML391" s="31"/>
      <c r="MM391" s="31"/>
      <c r="MN391" s="31"/>
      <c r="MO391" s="31"/>
      <c r="MP391" s="31"/>
      <c r="MQ391" s="31"/>
      <c r="MR391" s="31"/>
      <c r="MS391" s="31"/>
      <c r="MT391" s="31"/>
      <c r="MU391" s="31"/>
      <c r="MV391" s="31"/>
      <c r="MW391" s="31"/>
      <c r="MX391" s="31"/>
      <c r="MY391" s="31"/>
      <c r="MZ391" s="31"/>
      <c r="NA391" s="31"/>
      <c r="NB391" s="31"/>
      <c r="NC391" s="31"/>
      <c r="ND391" s="31"/>
      <c r="NE391" s="31"/>
      <c r="NF391" s="31"/>
      <c r="NG391" s="31"/>
      <c r="NH391" s="31"/>
      <c r="NI391" s="31"/>
      <c r="NJ391" s="31"/>
      <c r="NK391" s="31"/>
      <c r="NL391" s="31"/>
      <c r="NM391" s="31"/>
      <c r="NN391" s="31"/>
      <c r="NO391" s="31"/>
      <c r="NP391" s="31"/>
      <c r="NQ391" s="31"/>
      <c r="NR391" s="31"/>
      <c r="NS391" s="31"/>
      <c r="NT391" s="31"/>
      <c r="NU391" s="31"/>
      <c r="NV391" s="31"/>
      <c r="NW391" s="31"/>
      <c r="NX391" s="31"/>
      <c r="NY391" s="31"/>
      <c r="NZ391" s="31"/>
      <c r="OA391" s="31"/>
      <c r="OB391" s="31"/>
      <c r="OC391" s="31"/>
      <c r="OD391" s="31"/>
      <c r="OE391" s="31"/>
      <c r="OF391" s="31"/>
      <c r="OG391" s="31"/>
      <c r="OH391" s="31"/>
      <c r="OI391" s="31"/>
      <c r="OJ391" s="31"/>
      <c r="OK391" s="31"/>
      <c r="OL391" s="31"/>
      <c r="OM391" s="31"/>
      <c r="ON391" s="31"/>
      <c r="OO391" s="31"/>
      <c r="OP391" s="31"/>
      <c r="OQ391" s="31"/>
      <c r="OR391" s="31"/>
      <c r="OS391" s="31"/>
      <c r="OT391" s="31"/>
      <c r="OU391" s="31"/>
      <c r="OV391" s="31"/>
      <c r="OW391" s="31"/>
      <c r="OX391" s="31"/>
    </row>
    <row r="392" spans="2:414" s="25" customFormat="1" ht="15.6">
      <c r="B392" s="25" t="s">
        <v>818</v>
      </c>
      <c r="C392" s="27" t="s">
        <v>41</v>
      </c>
      <c r="D392" s="30" t="s">
        <v>105</v>
      </c>
      <c r="G392" s="42">
        <v>80</v>
      </c>
      <c r="H392" s="89">
        <v>26.109000000000002</v>
      </c>
      <c r="I392" s="38">
        <f t="shared" si="116"/>
        <v>2088.7200000000003</v>
      </c>
      <c r="K392" s="42">
        <v>80</v>
      </c>
      <c r="L392" s="90">
        <v>26.849599999999999</v>
      </c>
      <c r="M392" s="38">
        <f t="shared" si="117"/>
        <v>2147.9679999999998</v>
      </c>
      <c r="O392" s="42">
        <v>505</v>
      </c>
      <c r="P392" s="38">
        <v>26.728300000000001</v>
      </c>
      <c r="Q392" s="38">
        <f t="shared" si="118"/>
        <v>13497.791500000001</v>
      </c>
      <c r="R392" s="43">
        <f t="shared" si="132"/>
        <v>665</v>
      </c>
      <c r="S392" s="38">
        <f t="shared" si="119"/>
        <v>17734.479500000001</v>
      </c>
      <c r="T392" s="49">
        <v>240</v>
      </c>
      <c r="U392" s="42">
        <v>26.94</v>
      </c>
      <c r="V392" s="38">
        <f t="shared" si="126"/>
        <v>6465.6</v>
      </c>
      <c r="W392" s="42">
        <v>85</v>
      </c>
      <c r="X392" s="42">
        <v>26.731200000000001</v>
      </c>
      <c r="Y392" s="42">
        <f t="shared" si="128"/>
        <v>2272.152</v>
      </c>
      <c r="Z392" s="42">
        <v>440</v>
      </c>
      <c r="AA392" s="42">
        <v>26.7164</v>
      </c>
      <c r="AB392" s="42">
        <f t="shared" si="133"/>
        <v>11755.216</v>
      </c>
      <c r="AD392" s="42"/>
      <c r="AE392" s="42"/>
      <c r="AF392" s="42">
        <f t="shared" si="130"/>
        <v>0</v>
      </c>
      <c r="AG392" s="42"/>
      <c r="AH392" s="42"/>
      <c r="AI392" s="42"/>
      <c r="AJ392" s="42">
        <f t="shared" ref="AJ392:AJ453" si="134">AH392*AI392</f>
        <v>0</v>
      </c>
      <c r="AL392" s="42"/>
      <c r="AM392" s="42"/>
      <c r="AN392" s="42"/>
      <c r="AO392" s="44"/>
      <c r="AP392" s="42"/>
      <c r="AQ392" s="42"/>
      <c r="AR392" s="42"/>
      <c r="AU392" s="98"/>
      <c r="AV392" s="35"/>
      <c r="AW392" s="104"/>
      <c r="AX392" s="42"/>
      <c r="AY392" s="42"/>
      <c r="AZ392" s="42">
        <f t="shared" si="131"/>
        <v>0</v>
      </c>
      <c r="BA392" s="42"/>
      <c r="BB392" s="42"/>
      <c r="BC392" s="42"/>
      <c r="BD392" s="38">
        <f t="shared" si="120"/>
        <v>0</v>
      </c>
      <c r="BE392" s="42"/>
      <c r="BF392" s="42"/>
      <c r="BG392" s="42"/>
      <c r="BH392" s="38">
        <f t="shared" si="121"/>
        <v>0</v>
      </c>
      <c r="BI392" s="42"/>
      <c r="BJ392" s="42"/>
      <c r="BK392" s="42"/>
      <c r="BL392" s="38">
        <f t="shared" si="122"/>
        <v>0</v>
      </c>
      <c r="BM392" s="42"/>
      <c r="BN392" s="42"/>
      <c r="BO392" s="42"/>
      <c r="BP392" s="42"/>
      <c r="BR392" s="42">
        <f t="shared" si="123"/>
        <v>20492.968000000001</v>
      </c>
      <c r="BS392" s="43"/>
      <c r="BT392" s="42">
        <v>2758.49</v>
      </c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  <c r="FM392" s="31"/>
      <c r="FN392" s="31"/>
      <c r="FO392" s="31"/>
      <c r="FP392" s="31"/>
      <c r="FQ392" s="31"/>
      <c r="FR392" s="31"/>
      <c r="FS392" s="31"/>
      <c r="FT392" s="31"/>
      <c r="FU392" s="31"/>
      <c r="FV392" s="31"/>
      <c r="FW392" s="31"/>
      <c r="FX392" s="31"/>
      <c r="FY392" s="31"/>
      <c r="FZ392" s="31"/>
      <c r="GA392" s="31"/>
      <c r="GB392" s="31"/>
      <c r="GC392" s="31"/>
      <c r="GD392" s="31"/>
      <c r="GE392" s="31"/>
      <c r="GF392" s="31"/>
      <c r="GG392" s="31"/>
      <c r="GH392" s="31"/>
      <c r="GI392" s="31"/>
      <c r="GJ392" s="31"/>
      <c r="GK392" s="31"/>
      <c r="GL392" s="31"/>
      <c r="GM392" s="31"/>
      <c r="GN392" s="31"/>
      <c r="GO392" s="31"/>
      <c r="GP392" s="31"/>
      <c r="GQ392" s="31"/>
      <c r="GR392" s="31"/>
      <c r="GS392" s="31"/>
      <c r="GT392" s="31"/>
      <c r="GU392" s="31"/>
      <c r="GV392" s="31"/>
      <c r="GW392" s="31"/>
      <c r="GX392" s="31"/>
      <c r="GY392" s="31"/>
      <c r="GZ392" s="31"/>
      <c r="HA392" s="31"/>
      <c r="HB392" s="31"/>
      <c r="HC392" s="31"/>
      <c r="HD392" s="31"/>
      <c r="HE392" s="31"/>
      <c r="HF392" s="31"/>
      <c r="HG392" s="31"/>
      <c r="HH392" s="31"/>
      <c r="HI392" s="31"/>
      <c r="HJ392" s="31"/>
      <c r="HK392" s="31"/>
      <c r="HL392" s="31"/>
      <c r="HM392" s="31"/>
      <c r="HN392" s="31"/>
      <c r="HO392" s="31"/>
      <c r="HP392" s="31"/>
      <c r="HQ392" s="31"/>
      <c r="HR392" s="31"/>
      <c r="HS392" s="31"/>
      <c r="HT392" s="31"/>
      <c r="HU392" s="31"/>
      <c r="HV392" s="31"/>
      <c r="HW392" s="31"/>
      <c r="HX392" s="31"/>
      <c r="HY392" s="31"/>
      <c r="HZ392" s="31"/>
      <c r="IA392" s="31"/>
      <c r="IB392" s="31"/>
      <c r="IC392" s="31"/>
      <c r="ID392" s="31"/>
      <c r="IE392" s="31"/>
      <c r="IF392" s="31"/>
      <c r="IG392" s="31"/>
      <c r="IH392" s="31"/>
      <c r="II392" s="31"/>
      <c r="IJ392" s="31"/>
      <c r="IK392" s="31"/>
      <c r="IL392" s="31"/>
      <c r="IM392" s="31"/>
      <c r="IN392" s="31"/>
      <c r="IO392" s="31"/>
      <c r="IP392" s="31"/>
      <c r="IQ392" s="31"/>
      <c r="IR392" s="31"/>
      <c r="IS392" s="31"/>
      <c r="IT392" s="31"/>
      <c r="IU392" s="31"/>
      <c r="IV392" s="31"/>
      <c r="IW392" s="31"/>
      <c r="IX392" s="31"/>
      <c r="IY392" s="31"/>
      <c r="IZ392" s="31"/>
      <c r="JA392" s="31"/>
      <c r="JB392" s="31"/>
      <c r="JC392" s="31"/>
      <c r="JD392" s="31"/>
      <c r="JE392" s="31"/>
      <c r="JF392" s="31"/>
      <c r="JG392" s="31"/>
      <c r="JH392" s="31"/>
      <c r="JI392" s="31"/>
      <c r="JJ392" s="31"/>
      <c r="JK392" s="31"/>
      <c r="JL392" s="31"/>
      <c r="JM392" s="31"/>
      <c r="JN392" s="31"/>
      <c r="JO392" s="31"/>
      <c r="JP392" s="31"/>
      <c r="JQ392" s="31"/>
      <c r="JR392" s="31"/>
      <c r="JS392" s="31"/>
      <c r="JT392" s="31"/>
      <c r="JU392" s="31"/>
      <c r="JV392" s="31"/>
      <c r="JW392" s="31"/>
      <c r="JX392" s="31"/>
      <c r="JY392" s="31"/>
      <c r="JZ392" s="31"/>
      <c r="KA392" s="31"/>
      <c r="KB392" s="31"/>
      <c r="KC392" s="31"/>
      <c r="KD392" s="31"/>
      <c r="KE392" s="31"/>
      <c r="KF392" s="31"/>
      <c r="KG392" s="31"/>
      <c r="KH392" s="31"/>
      <c r="KI392" s="31"/>
      <c r="KJ392" s="31"/>
      <c r="KK392" s="31"/>
      <c r="KL392" s="31"/>
      <c r="KM392" s="31"/>
      <c r="KN392" s="31"/>
      <c r="KO392" s="31"/>
      <c r="KP392" s="31"/>
      <c r="KQ392" s="31"/>
      <c r="KR392" s="31"/>
      <c r="KS392" s="31"/>
      <c r="KT392" s="31"/>
      <c r="KU392" s="31"/>
      <c r="KV392" s="31"/>
      <c r="KW392" s="31"/>
      <c r="KX392" s="31"/>
      <c r="KY392" s="31"/>
      <c r="KZ392" s="31"/>
      <c r="LA392" s="31"/>
      <c r="LB392" s="31"/>
      <c r="LC392" s="31"/>
      <c r="LD392" s="31"/>
      <c r="LE392" s="31"/>
      <c r="LF392" s="31"/>
      <c r="LG392" s="31"/>
      <c r="LH392" s="31"/>
      <c r="LI392" s="31"/>
      <c r="LJ392" s="31"/>
      <c r="LK392" s="31"/>
      <c r="LL392" s="31"/>
      <c r="LM392" s="31"/>
      <c r="LN392" s="31"/>
      <c r="LO392" s="31"/>
      <c r="LP392" s="31"/>
      <c r="LQ392" s="31"/>
      <c r="LR392" s="31"/>
      <c r="LS392" s="31"/>
      <c r="LT392" s="31"/>
      <c r="LU392" s="31"/>
      <c r="LV392" s="31"/>
      <c r="LW392" s="31"/>
      <c r="LX392" s="31"/>
      <c r="LY392" s="31"/>
      <c r="LZ392" s="31"/>
      <c r="MA392" s="31"/>
      <c r="MB392" s="31"/>
      <c r="MC392" s="31"/>
      <c r="MD392" s="31"/>
      <c r="ME392" s="31"/>
      <c r="MF392" s="31"/>
      <c r="MG392" s="31"/>
      <c r="MH392" s="31"/>
      <c r="MI392" s="31"/>
      <c r="MJ392" s="31"/>
      <c r="MK392" s="31"/>
      <c r="ML392" s="31"/>
      <c r="MM392" s="31"/>
      <c r="MN392" s="31"/>
      <c r="MO392" s="31"/>
      <c r="MP392" s="31"/>
      <c r="MQ392" s="31"/>
      <c r="MR392" s="31"/>
      <c r="MS392" s="31"/>
      <c r="MT392" s="31"/>
      <c r="MU392" s="31"/>
      <c r="MV392" s="31"/>
      <c r="MW392" s="31"/>
      <c r="MX392" s="31"/>
      <c r="MY392" s="31"/>
      <c r="MZ392" s="31"/>
      <c r="NA392" s="31"/>
      <c r="NB392" s="31"/>
      <c r="NC392" s="31"/>
      <c r="ND392" s="31"/>
      <c r="NE392" s="31"/>
      <c r="NF392" s="31"/>
      <c r="NG392" s="31"/>
      <c r="NH392" s="31"/>
      <c r="NI392" s="31"/>
      <c r="NJ392" s="31"/>
      <c r="NK392" s="31"/>
      <c r="NL392" s="31"/>
      <c r="NM392" s="31"/>
      <c r="NN392" s="31"/>
      <c r="NO392" s="31"/>
      <c r="NP392" s="31"/>
      <c r="NQ392" s="31"/>
      <c r="NR392" s="31"/>
      <c r="NS392" s="31"/>
      <c r="NT392" s="31"/>
      <c r="NU392" s="31"/>
      <c r="NV392" s="31"/>
      <c r="NW392" s="31"/>
      <c r="NX392" s="31"/>
      <c r="NY392" s="31"/>
      <c r="NZ392" s="31"/>
      <c r="OA392" s="31"/>
      <c r="OB392" s="31"/>
      <c r="OC392" s="31"/>
      <c r="OD392" s="31"/>
      <c r="OE392" s="31"/>
      <c r="OF392" s="31"/>
      <c r="OG392" s="31"/>
      <c r="OH392" s="31"/>
      <c r="OI392" s="31"/>
      <c r="OJ392" s="31"/>
      <c r="OK392" s="31"/>
      <c r="OL392" s="31"/>
      <c r="OM392" s="31"/>
      <c r="ON392" s="31"/>
      <c r="OO392" s="31"/>
      <c r="OP392" s="31"/>
      <c r="OQ392" s="31"/>
      <c r="OR392" s="31"/>
      <c r="OS392" s="31"/>
      <c r="OT392" s="31"/>
      <c r="OU392" s="31"/>
      <c r="OV392" s="31"/>
      <c r="OW392" s="31"/>
      <c r="OX392" s="31"/>
    </row>
    <row r="393" spans="2:414" s="25" customFormat="1" ht="15.6">
      <c r="B393" s="25" t="s">
        <v>627</v>
      </c>
      <c r="C393" s="27" t="s">
        <v>628</v>
      </c>
      <c r="D393" s="30" t="s">
        <v>105</v>
      </c>
      <c r="G393" s="42">
        <v>80</v>
      </c>
      <c r="H393" s="89">
        <v>26.109000000000002</v>
      </c>
      <c r="I393" s="38">
        <f t="shared" ref="I393:I456" si="135">G393*H393</f>
        <v>2088.7200000000003</v>
      </c>
      <c r="K393" s="42">
        <v>80</v>
      </c>
      <c r="L393" s="90">
        <v>26.849599999999999</v>
      </c>
      <c r="M393" s="38">
        <f t="shared" ref="M393:M456" si="136">K393*L393</f>
        <v>2147.9679999999998</v>
      </c>
      <c r="O393" s="42">
        <v>505</v>
      </c>
      <c r="P393" s="38">
        <v>26.728300000000001</v>
      </c>
      <c r="Q393" s="38">
        <f t="shared" ref="Q393:Q456" si="137">O393*P393</f>
        <v>13497.791500000001</v>
      </c>
      <c r="R393" s="43">
        <f t="shared" si="132"/>
        <v>665</v>
      </c>
      <c r="S393" s="38">
        <f t="shared" ref="S393:S456" si="138">I393+M393+Q393</f>
        <v>17734.479500000001</v>
      </c>
      <c r="T393" s="49">
        <v>100</v>
      </c>
      <c r="U393" s="42">
        <v>26.689499999999999</v>
      </c>
      <c r="V393" s="38">
        <f t="shared" si="126"/>
        <v>2668.95</v>
      </c>
      <c r="W393" s="42">
        <v>140</v>
      </c>
      <c r="X393" s="42">
        <v>26.728300000000001</v>
      </c>
      <c r="Y393" s="42">
        <f t="shared" si="128"/>
        <v>3741.962</v>
      </c>
      <c r="Z393" s="42">
        <v>215</v>
      </c>
      <c r="AA393" s="42">
        <v>26.73</v>
      </c>
      <c r="AB393" s="42">
        <f t="shared" si="133"/>
        <v>5746.95</v>
      </c>
      <c r="AD393" s="42"/>
      <c r="AE393" s="42"/>
      <c r="AF393" s="42">
        <f t="shared" si="130"/>
        <v>0</v>
      </c>
      <c r="AG393" s="42"/>
      <c r="AH393" s="42"/>
      <c r="AI393" s="42"/>
      <c r="AJ393" s="42">
        <f t="shared" si="134"/>
        <v>0</v>
      </c>
      <c r="AL393" s="42"/>
      <c r="AM393" s="42"/>
      <c r="AN393" s="42"/>
      <c r="AO393" s="44"/>
      <c r="AP393" s="42"/>
      <c r="AQ393" s="42"/>
      <c r="AR393" s="42"/>
      <c r="AU393" s="98"/>
      <c r="AV393" s="35"/>
      <c r="AW393" s="104"/>
      <c r="AX393" s="42"/>
      <c r="AY393" s="42"/>
      <c r="AZ393" s="42">
        <f t="shared" si="131"/>
        <v>0</v>
      </c>
      <c r="BA393" s="42"/>
      <c r="BB393" s="42"/>
      <c r="BC393" s="42"/>
      <c r="BD393" s="38">
        <f t="shared" ref="BD393:BD456" si="139">BB393*BC393</f>
        <v>0</v>
      </c>
      <c r="BE393" s="42"/>
      <c r="BF393" s="42"/>
      <c r="BG393" s="42"/>
      <c r="BH393" s="38">
        <f t="shared" ref="BH393:BH456" si="140">BF393*BG393</f>
        <v>0</v>
      </c>
      <c r="BI393" s="42"/>
      <c r="BJ393" s="42"/>
      <c r="BK393" s="42"/>
      <c r="BL393" s="38">
        <f t="shared" ref="BL393:BL456" si="141">BJ393*BK393</f>
        <v>0</v>
      </c>
      <c r="BM393" s="42"/>
      <c r="BN393" s="42"/>
      <c r="BO393" s="42"/>
      <c r="BP393" s="42"/>
      <c r="BR393" s="42">
        <f t="shared" ref="BR393:BR456" si="142">V393+Y393+AB393+AF393+AJ393+AN393+AR393+AV393+AZ393+BD393+BH393+BL393+BP393</f>
        <v>12157.862000000001</v>
      </c>
      <c r="BS393" s="43">
        <f t="shared" ref="BS393:BS433" si="143">S393-BR393</f>
        <v>5576.6175000000003</v>
      </c>
      <c r="BT393" s="42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  <c r="FM393" s="31"/>
      <c r="FN393" s="31"/>
      <c r="FO393" s="31"/>
      <c r="FP393" s="31"/>
      <c r="FQ393" s="31"/>
      <c r="FR393" s="31"/>
      <c r="FS393" s="31"/>
      <c r="FT393" s="31"/>
      <c r="FU393" s="31"/>
      <c r="FV393" s="31"/>
      <c r="FW393" s="31"/>
      <c r="FX393" s="31"/>
      <c r="FY393" s="31"/>
      <c r="FZ393" s="31"/>
      <c r="GA393" s="31"/>
      <c r="GB393" s="31"/>
      <c r="GC393" s="31"/>
      <c r="GD393" s="31"/>
      <c r="GE393" s="31"/>
      <c r="GF393" s="31"/>
      <c r="GG393" s="31"/>
      <c r="GH393" s="31"/>
      <c r="GI393" s="31"/>
      <c r="GJ393" s="31"/>
      <c r="GK393" s="31"/>
      <c r="GL393" s="31"/>
      <c r="GM393" s="31"/>
      <c r="GN393" s="31"/>
      <c r="GO393" s="31"/>
      <c r="GP393" s="31"/>
      <c r="GQ393" s="31"/>
      <c r="GR393" s="31"/>
      <c r="GS393" s="31"/>
      <c r="GT393" s="31"/>
      <c r="GU393" s="31"/>
      <c r="GV393" s="31"/>
      <c r="GW393" s="31"/>
      <c r="GX393" s="31"/>
      <c r="GY393" s="31"/>
      <c r="GZ393" s="31"/>
      <c r="HA393" s="31"/>
      <c r="HB393" s="31"/>
      <c r="HC393" s="31"/>
      <c r="HD393" s="31"/>
      <c r="HE393" s="31"/>
      <c r="HF393" s="31"/>
      <c r="HG393" s="31"/>
      <c r="HH393" s="31"/>
      <c r="HI393" s="31"/>
      <c r="HJ393" s="31"/>
      <c r="HK393" s="31"/>
      <c r="HL393" s="31"/>
      <c r="HM393" s="31"/>
      <c r="HN393" s="31"/>
      <c r="HO393" s="31"/>
      <c r="HP393" s="31"/>
      <c r="HQ393" s="31"/>
      <c r="HR393" s="31"/>
      <c r="HS393" s="31"/>
      <c r="HT393" s="31"/>
      <c r="HU393" s="31"/>
      <c r="HV393" s="31"/>
      <c r="HW393" s="31"/>
      <c r="HX393" s="31"/>
      <c r="HY393" s="31"/>
      <c r="HZ393" s="31"/>
      <c r="IA393" s="31"/>
      <c r="IB393" s="31"/>
      <c r="IC393" s="31"/>
      <c r="ID393" s="31"/>
      <c r="IE393" s="31"/>
      <c r="IF393" s="31"/>
      <c r="IG393" s="31"/>
      <c r="IH393" s="31"/>
      <c r="II393" s="31"/>
      <c r="IJ393" s="31"/>
      <c r="IK393" s="31"/>
      <c r="IL393" s="31"/>
      <c r="IM393" s="31"/>
      <c r="IN393" s="31"/>
      <c r="IO393" s="31"/>
      <c r="IP393" s="31"/>
      <c r="IQ393" s="31"/>
      <c r="IR393" s="31"/>
      <c r="IS393" s="31"/>
      <c r="IT393" s="31"/>
      <c r="IU393" s="31"/>
      <c r="IV393" s="31"/>
      <c r="IW393" s="31"/>
      <c r="IX393" s="31"/>
      <c r="IY393" s="31"/>
      <c r="IZ393" s="31"/>
      <c r="JA393" s="31"/>
      <c r="JB393" s="31"/>
      <c r="JC393" s="31"/>
      <c r="JD393" s="31"/>
      <c r="JE393" s="31"/>
      <c r="JF393" s="31"/>
      <c r="JG393" s="31"/>
      <c r="JH393" s="31"/>
      <c r="JI393" s="31"/>
      <c r="JJ393" s="31"/>
      <c r="JK393" s="31"/>
      <c r="JL393" s="31"/>
      <c r="JM393" s="31"/>
      <c r="JN393" s="31"/>
      <c r="JO393" s="31"/>
      <c r="JP393" s="31"/>
      <c r="JQ393" s="31"/>
      <c r="JR393" s="31"/>
      <c r="JS393" s="31"/>
      <c r="JT393" s="31"/>
      <c r="JU393" s="31"/>
      <c r="JV393" s="31"/>
      <c r="JW393" s="31"/>
      <c r="JX393" s="31"/>
      <c r="JY393" s="31"/>
      <c r="JZ393" s="31"/>
      <c r="KA393" s="31"/>
      <c r="KB393" s="31"/>
      <c r="KC393" s="31"/>
      <c r="KD393" s="31"/>
      <c r="KE393" s="31"/>
      <c r="KF393" s="31"/>
      <c r="KG393" s="31"/>
      <c r="KH393" s="31"/>
      <c r="KI393" s="31"/>
      <c r="KJ393" s="31"/>
      <c r="KK393" s="31"/>
      <c r="KL393" s="31"/>
      <c r="KM393" s="31"/>
      <c r="KN393" s="31"/>
      <c r="KO393" s="31"/>
      <c r="KP393" s="31"/>
      <c r="KQ393" s="31"/>
      <c r="KR393" s="31"/>
      <c r="KS393" s="31"/>
      <c r="KT393" s="31"/>
      <c r="KU393" s="31"/>
      <c r="KV393" s="31"/>
      <c r="KW393" s="31"/>
      <c r="KX393" s="31"/>
      <c r="KY393" s="31"/>
      <c r="KZ393" s="31"/>
      <c r="LA393" s="31"/>
      <c r="LB393" s="31"/>
      <c r="LC393" s="31"/>
      <c r="LD393" s="31"/>
      <c r="LE393" s="31"/>
      <c r="LF393" s="31"/>
      <c r="LG393" s="31"/>
      <c r="LH393" s="31"/>
      <c r="LI393" s="31"/>
      <c r="LJ393" s="31"/>
      <c r="LK393" s="31"/>
      <c r="LL393" s="31"/>
      <c r="LM393" s="31"/>
      <c r="LN393" s="31"/>
      <c r="LO393" s="31"/>
      <c r="LP393" s="31"/>
      <c r="LQ393" s="31"/>
      <c r="LR393" s="31"/>
      <c r="LS393" s="31"/>
      <c r="LT393" s="31"/>
      <c r="LU393" s="31"/>
      <c r="LV393" s="31"/>
      <c r="LW393" s="31"/>
      <c r="LX393" s="31"/>
      <c r="LY393" s="31"/>
      <c r="LZ393" s="31"/>
      <c r="MA393" s="31"/>
      <c r="MB393" s="31"/>
      <c r="MC393" s="31"/>
      <c r="MD393" s="31"/>
      <c r="ME393" s="31"/>
      <c r="MF393" s="31"/>
      <c r="MG393" s="31"/>
      <c r="MH393" s="31"/>
      <c r="MI393" s="31"/>
      <c r="MJ393" s="31"/>
      <c r="MK393" s="31"/>
      <c r="ML393" s="31"/>
      <c r="MM393" s="31"/>
      <c r="MN393" s="31"/>
      <c r="MO393" s="31"/>
      <c r="MP393" s="31"/>
      <c r="MQ393" s="31"/>
      <c r="MR393" s="31"/>
      <c r="MS393" s="31"/>
      <c r="MT393" s="31"/>
      <c r="MU393" s="31"/>
      <c r="MV393" s="31"/>
      <c r="MW393" s="31"/>
      <c r="MX393" s="31"/>
      <c r="MY393" s="31"/>
      <c r="MZ393" s="31"/>
      <c r="NA393" s="31"/>
      <c r="NB393" s="31"/>
      <c r="NC393" s="31"/>
      <c r="ND393" s="31"/>
      <c r="NE393" s="31"/>
      <c r="NF393" s="31"/>
      <c r="NG393" s="31"/>
      <c r="NH393" s="31"/>
      <c r="NI393" s="31"/>
      <c r="NJ393" s="31"/>
      <c r="NK393" s="31"/>
      <c r="NL393" s="31"/>
      <c r="NM393" s="31"/>
      <c r="NN393" s="31"/>
      <c r="NO393" s="31"/>
      <c r="NP393" s="31"/>
      <c r="NQ393" s="31"/>
      <c r="NR393" s="31"/>
      <c r="NS393" s="31"/>
      <c r="NT393" s="31"/>
      <c r="NU393" s="31"/>
      <c r="NV393" s="31"/>
      <c r="NW393" s="31"/>
      <c r="NX393" s="31"/>
      <c r="NY393" s="31"/>
      <c r="NZ393" s="31"/>
      <c r="OA393" s="31"/>
      <c r="OB393" s="31"/>
      <c r="OC393" s="31"/>
      <c r="OD393" s="31"/>
      <c r="OE393" s="31"/>
      <c r="OF393" s="31"/>
      <c r="OG393" s="31"/>
      <c r="OH393" s="31"/>
      <c r="OI393" s="31"/>
      <c r="OJ393" s="31"/>
      <c r="OK393" s="31"/>
      <c r="OL393" s="31"/>
      <c r="OM393" s="31"/>
      <c r="ON393" s="31"/>
      <c r="OO393" s="31"/>
      <c r="OP393" s="31"/>
      <c r="OQ393" s="31"/>
      <c r="OR393" s="31"/>
      <c r="OS393" s="31"/>
      <c r="OT393" s="31"/>
      <c r="OU393" s="31"/>
      <c r="OV393" s="31"/>
      <c r="OW393" s="31"/>
      <c r="OX393" s="31"/>
    </row>
    <row r="394" spans="2:414" s="25" customFormat="1" ht="15.6">
      <c r="B394" s="25" t="s">
        <v>971</v>
      </c>
      <c r="C394" s="27" t="s">
        <v>972</v>
      </c>
      <c r="D394" s="30" t="s">
        <v>105</v>
      </c>
      <c r="G394" s="42">
        <v>80</v>
      </c>
      <c r="H394" s="89">
        <v>26.109000000000002</v>
      </c>
      <c r="I394" s="38">
        <f t="shared" si="135"/>
        <v>2088.7200000000003</v>
      </c>
      <c r="K394" s="42">
        <v>80</v>
      </c>
      <c r="L394" s="90">
        <v>26.849599999999999</v>
      </c>
      <c r="M394" s="38">
        <f t="shared" si="136"/>
        <v>2147.9679999999998</v>
      </c>
      <c r="O394" s="42">
        <v>505</v>
      </c>
      <c r="P394" s="38">
        <v>26.728300000000001</v>
      </c>
      <c r="Q394" s="38">
        <f t="shared" si="137"/>
        <v>13497.791500000001</v>
      </c>
      <c r="R394" s="43">
        <f t="shared" si="132"/>
        <v>665</v>
      </c>
      <c r="S394" s="38">
        <f t="shared" si="138"/>
        <v>17734.479500000001</v>
      </c>
      <c r="T394" s="49">
        <v>240</v>
      </c>
      <c r="U394" s="42">
        <v>26.69</v>
      </c>
      <c r="V394" s="38">
        <f t="shared" si="126"/>
        <v>6405.6</v>
      </c>
      <c r="W394" s="42">
        <v>505</v>
      </c>
      <c r="X394" s="42">
        <v>26.73</v>
      </c>
      <c r="Y394" s="42">
        <f t="shared" si="128"/>
        <v>13498.65</v>
      </c>
      <c r="Z394" s="42"/>
      <c r="AA394" s="42"/>
      <c r="AB394" s="42">
        <f t="shared" si="133"/>
        <v>0</v>
      </c>
      <c r="AD394" s="42"/>
      <c r="AE394" s="42"/>
      <c r="AF394" s="42">
        <f t="shared" si="130"/>
        <v>0</v>
      </c>
      <c r="AG394" s="42"/>
      <c r="AH394" s="42"/>
      <c r="AI394" s="42"/>
      <c r="AJ394" s="42">
        <f t="shared" si="134"/>
        <v>0</v>
      </c>
      <c r="AL394" s="42"/>
      <c r="AM394" s="42"/>
      <c r="AN394" s="42"/>
      <c r="AO394" s="44"/>
      <c r="AP394" s="42"/>
      <c r="AQ394" s="42"/>
      <c r="AR394" s="42"/>
      <c r="AU394" s="98"/>
      <c r="AV394" s="35"/>
      <c r="AW394" s="104"/>
      <c r="AX394" s="42"/>
      <c r="AY394" s="42"/>
      <c r="AZ394" s="42">
        <f t="shared" si="131"/>
        <v>0</v>
      </c>
      <c r="BA394" s="42"/>
      <c r="BB394" s="42"/>
      <c r="BC394" s="42"/>
      <c r="BD394" s="38">
        <f t="shared" si="139"/>
        <v>0</v>
      </c>
      <c r="BE394" s="42"/>
      <c r="BF394" s="42"/>
      <c r="BG394" s="42"/>
      <c r="BH394" s="38">
        <f t="shared" si="140"/>
        <v>0</v>
      </c>
      <c r="BI394" s="42"/>
      <c r="BJ394" s="42"/>
      <c r="BK394" s="42"/>
      <c r="BL394" s="38">
        <f t="shared" si="141"/>
        <v>0</v>
      </c>
      <c r="BM394" s="42"/>
      <c r="BN394" s="42"/>
      <c r="BO394" s="42"/>
      <c r="BP394" s="42"/>
      <c r="BR394" s="42">
        <f t="shared" si="142"/>
        <v>19904.25</v>
      </c>
      <c r="BS394" s="43"/>
      <c r="BT394" s="42">
        <v>2169.77</v>
      </c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  <c r="FM394" s="31"/>
      <c r="FN394" s="31"/>
      <c r="FO394" s="31"/>
      <c r="FP394" s="31"/>
      <c r="FQ394" s="31"/>
      <c r="FR394" s="31"/>
      <c r="FS394" s="31"/>
      <c r="FT394" s="31"/>
      <c r="FU394" s="31"/>
      <c r="FV394" s="31"/>
      <c r="FW394" s="31"/>
      <c r="FX394" s="31"/>
      <c r="FY394" s="31"/>
      <c r="FZ394" s="31"/>
      <c r="GA394" s="31"/>
      <c r="GB394" s="31"/>
      <c r="GC394" s="31"/>
      <c r="GD394" s="31"/>
      <c r="GE394" s="31"/>
      <c r="GF394" s="31"/>
      <c r="GG394" s="31"/>
      <c r="GH394" s="31"/>
      <c r="GI394" s="31"/>
      <c r="GJ394" s="31"/>
      <c r="GK394" s="31"/>
      <c r="GL394" s="31"/>
      <c r="GM394" s="31"/>
      <c r="GN394" s="31"/>
      <c r="GO394" s="31"/>
      <c r="GP394" s="31"/>
      <c r="GQ394" s="31"/>
      <c r="GR394" s="31"/>
      <c r="GS394" s="31"/>
      <c r="GT394" s="31"/>
      <c r="GU394" s="31"/>
      <c r="GV394" s="31"/>
      <c r="GW394" s="31"/>
      <c r="GX394" s="31"/>
      <c r="GY394" s="31"/>
      <c r="GZ394" s="31"/>
      <c r="HA394" s="31"/>
      <c r="HB394" s="31"/>
      <c r="HC394" s="31"/>
      <c r="HD394" s="31"/>
      <c r="HE394" s="31"/>
      <c r="HF394" s="31"/>
      <c r="HG394" s="31"/>
      <c r="HH394" s="31"/>
      <c r="HI394" s="31"/>
      <c r="HJ394" s="31"/>
      <c r="HK394" s="31"/>
      <c r="HL394" s="31"/>
      <c r="HM394" s="31"/>
      <c r="HN394" s="31"/>
      <c r="HO394" s="31"/>
      <c r="HP394" s="31"/>
      <c r="HQ394" s="31"/>
      <c r="HR394" s="31"/>
      <c r="HS394" s="31"/>
      <c r="HT394" s="31"/>
      <c r="HU394" s="31"/>
      <c r="HV394" s="31"/>
      <c r="HW394" s="31"/>
      <c r="HX394" s="31"/>
      <c r="HY394" s="31"/>
      <c r="HZ394" s="31"/>
      <c r="IA394" s="31"/>
      <c r="IB394" s="31"/>
      <c r="IC394" s="31"/>
      <c r="ID394" s="31"/>
      <c r="IE394" s="31"/>
      <c r="IF394" s="31"/>
      <c r="IG394" s="31"/>
      <c r="IH394" s="31"/>
      <c r="II394" s="31"/>
      <c r="IJ394" s="31"/>
      <c r="IK394" s="31"/>
      <c r="IL394" s="31"/>
      <c r="IM394" s="31"/>
      <c r="IN394" s="31"/>
      <c r="IO394" s="31"/>
      <c r="IP394" s="31"/>
      <c r="IQ394" s="31"/>
      <c r="IR394" s="31"/>
      <c r="IS394" s="31"/>
      <c r="IT394" s="31"/>
      <c r="IU394" s="31"/>
      <c r="IV394" s="31"/>
      <c r="IW394" s="31"/>
      <c r="IX394" s="31"/>
      <c r="IY394" s="31"/>
      <c r="IZ394" s="31"/>
      <c r="JA394" s="31"/>
      <c r="JB394" s="31"/>
      <c r="JC394" s="31"/>
      <c r="JD394" s="31"/>
      <c r="JE394" s="31"/>
      <c r="JF394" s="31"/>
      <c r="JG394" s="31"/>
      <c r="JH394" s="31"/>
      <c r="JI394" s="31"/>
      <c r="JJ394" s="31"/>
      <c r="JK394" s="31"/>
      <c r="JL394" s="31"/>
      <c r="JM394" s="31"/>
      <c r="JN394" s="31"/>
      <c r="JO394" s="31"/>
      <c r="JP394" s="31"/>
      <c r="JQ394" s="31"/>
      <c r="JR394" s="31"/>
      <c r="JS394" s="31"/>
      <c r="JT394" s="31"/>
      <c r="JU394" s="31"/>
      <c r="JV394" s="31"/>
      <c r="JW394" s="31"/>
      <c r="JX394" s="31"/>
      <c r="JY394" s="31"/>
      <c r="JZ394" s="31"/>
      <c r="KA394" s="31"/>
      <c r="KB394" s="31"/>
      <c r="KC394" s="31"/>
      <c r="KD394" s="31"/>
      <c r="KE394" s="31"/>
      <c r="KF394" s="31"/>
      <c r="KG394" s="31"/>
      <c r="KH394" s="31"/>
      <c r="KI394" s="31"/>
      <c r="KJ394" s="31"/>
      <c r="KK394" s="31"/>
      <c r="KL394" s="31"/>
      <c r="KM394" s="31"/>
      <c r="KN394" s="31"/>
      <c r="KO394" s="31"/>
      <c r="KP394" s="31"/>
      <c r="KQ394" s="31"/>
      <c r="KR394" s="31"/>
      <c r="KS394" s="31"/>
      <c r="KT394" s="31"/>
      <c r="KU394" s="31"/>
      <c r="KV394" s="31"/>
      <c r="KW394" s="31"/>
      <c r="KX394" s="31"/>
      <c r="KY394" s="31"/>
      <c r="KZ394" s="31"/>
      <c r="LA394" s="31"/>
      <c r="LB394" s="31"/>
      <c r="LC394" s="31"/>
      <c r="LD394" s="31"/>
      <c r="LE394" s="31"/>
      <c r="LF394" s="31"/>
      <c r="LG394" s="31"/>
      <c r="LH394" s="31"/>
      <c r="LI394" s="31"/>
      <c r="LJ394" s="31"/>
      <c r="LK394" s="31"/>
      <c r="LL394" s="31"/>
      <c r="LM394" s="31"/>
      <c r="LN394" s="31"/>
      <c r="LO394" s="31"/>
      <c r="LP394" s="31"/>
      <c r="LQ394" s="31"/>
      <c r="LR394" s="31"/>
      <c r="LS394" s="31"/>
      <c r="LT394" s="31"/>
      <c r="LU394" s="31"/>
      <c r="LV394" s="31"/>
      <c r="LW394" s="31"/>
      <c r="LX394" s="31"/>
      <c r="LY394" s="31"/>
      <c r="LZ394" s="31"/>
      <c r="MA394" s="31"/>
      <c r="MB394" s="31"/>
      <c r="MC394" s="31"/>
      <c r="MD394" s="31"/>
      <c r="ME394" s="31"/>
      <c r="MF394" s="31"/>
      <c r="MG394" s="31"/>
      <c r="MH394" s="31"/>
      <c r="MI394" s="31"/>
      <c r="MJ394" s="31"/>
      <c r="MK394" s="31"/>
      <c r="ML394" s="31"/>
      <c r="MM394" s="31"/>
      <c r="MN394" s="31"/>
      <c r="MO394" s="31"/>
      <c r="MP394" s="31"/>
      <c r="MQ394" s="31"/>
      <c r="MR394" s="31"/>
      <c r="MS394" s="31"/>
      <c r="MT394" s="31"/>
      <c r="MU394" s="31"/>
      <c r="MV394" s="31"/>
      <c r="MW394" s="31"/>
      <c r="MX394" s="31"/>
      <c r="MY394" s="31"/>
      <c r="MZ394" s="31"/>
      <c r="NA394" s="31"/>
      <c r="NB394" s="31"/>
      <c r="NC394" s="31"/>
      <c r="ND394" s="31"/>
      <c r="NE394" s="31"/>
      <c r="NF394" s="31"/>
      <c r="NG394" s="31"/>
      <c r="NH394" s="31"/>
      <c r="NI394" s="31"/>
      <c r="NJ394" s="31"/>
      <c r="NK394" s="31"/>
      <c r="NL394" s="31"/>
      <c r="NM394" s="31"/>
      <c r="NN394" s="31"/>
      <c r="NO394" s="31"/>
      <c r="NP394" s="31"/>
      <c r="NQ394" s="31"/>
      <c r="NR394" s="31"/>
      <c r="NS394" s="31"/>
      <c r="NT394" s="31"/>
      <c r="NU394" s="31"/>
      <c r="NV394" s="31"/>
      <c r="NW394" s="31"/>
      <c r="NX394" s="31"/>
      <c r="NY394" s="31"/>
      <c r="NZ394" s="31"/>
      <c r="OA394" s="31"/>
      <c r="OB394" s="31"/>
      <c r="OC394" s="31"/>
      <c r="OD394" s="31"/>
      <c r="OE394" s="31"/>
      <c r="OF394" s="31"/>
      <c r="OG394" s="31"/>
      <c r="OH394" s="31"/>
      <c r="OI394" s="31"/>
      <c r="OJ394" s="31"/>
      <c r="OK394" s="31"/>
      <c r="OL394" s="31"/>
      <c r="OM394" s="31"/>
      <c r="ON394" s="31"/>
      <c r="OO394" s="31"/>
      <c r="OP394" s="31"/>
      <c r="OQ394" s="31"/>
      <c r="OR394" s="31"/>
      <c r="OS394" s="31"/>
      <c r="OT394" s="31"/>
      <c r="OU394" s="31"/>
      <c r="OV394" s="31"/>
      <c r="OW394" s="31"/>
      <c r="OX394" s="31"/>
    </row>
    <row r="395" spans="2:414" s="25" customFormat="1" ht="15.6">
      <c r="B395" s="25" t="s">
        <v>394</v>
      </c>
      <c r="C395" s="27" t="s">
        <v>799</v>
      </c>
      <c r="D395" s="30" t="s">
        <v>105</v>
      </c>
      <c r="G395" s="42">
        <v>80</v>
      </c>
      <c r="H395" s="89">
        <v>26.109000000000002</v>
      </c>
      <c r="I395" s="38">
        <f t="shared" si="135"/>
        <v>2088.7200000000003</v>
      </c>
      <c r="K395" s="42">
        <v>80</v>
      </c>
      <c r="L395" s="90">
        <v>26.849599999999999</v>
      </c>
      <c r="M395" s="38">
        <f t="shared" si="136"/>
        <v>2147.9679999999998</v>
      </c>
      <c r="O395" s="42">
        <v>505</v>
      </c>
      <c r="P395" s="38">
        <v>26.728300000000001</v>
      </c>
      <c r="Q395" s="38">
        <f t="shared" si="137"/>
        <v>13497.791500000001</v>
      </c>
      <c r="R395" s="43">
        <f t="shared" si="132"/>
        <v>665</v>
      </c>
      <c r="S395" s="38">
        <f t="shared" si="138"/>
        <v>17734.479500000001</v>
      </c>
      <c r="T395" s="49">
        <v>240</v>
      </c>
      <c r="U395" s="42">
        <v>26.69</v>
      </c>
      <c r="V395" s="38">
        <f t="shared" si="126"/>
        <v>6405.6</v>
      </c>
      <c r="W395" s="42">
        <v>505</v>
      </c>
      <c r="X395" s="42">
        <v>26.73</v>
      </c>
      <c r="Y395" s="42">
        <f t="shared" si="128"/>
        <v>13498.65</v>
      </c>
      <c r="Z395" s="42"/>
      <c r="AA395" s="42"/>
      <c r="AB395" s="42">
        <f t="shared" si="133"/>
        <v>0</v>
      </c>
      <c r="AD395" s="42"/>
      <c r="AE395" s="42"/>
      <c r="AF395" s="42">
        <f t="shared" si="130"/>
        <v>0</v>
      </c>
      <c r="AG395" s="42"/>
      <c r="AH395" s="42"/>
      <c r="AI395" s="42"/>
      <c r="AJ395" s="42">
        <f t="shared" si="134"/>
        <v>0</v>
      </c>
      <c r="AL395" s="42"/>
      <c r="AM395" s="42"/>
      <c r="AN395" s="42"/>
      <c r="AO395" s="44"/>
      <c r="AP395" s="42"/>
      <c r="AQ395" s="42"/>
      <c r="AR395" s="42"/>
      <c r="AU395" s="98"/>
      <c r="AV395" s="35"/>
      <c r="AW395" s="104"/>
      <c r="AX395" s="42"/>
      <c r="AY395" s="42"/>
      <c r="AZ395" s="42">
        <f t="shared" si="131"/>
        <v>0</v>
      </c>
      <c r="BA395" s="42"/>
      <c r="BB395" s="42"/>
      <c r="BC395" s="42"/>
      <c r="BD395" s="38">
        <f t="shared" si="139"/>
        <v>0</v>
      </c>
      <c r="BE395" s="42"/>
      <c r="BF395" s="42"/>
      <c r="BG395" s="42"/>
      <c r="BH395" s="38">
        <f t="shared" si="140"/>
        <v>0</v>
      </c>
      <c r="BI395" s="42"/>
      <c r="BJ395" s="42"/>
      <c r="BK395" s="42"/>
      <c r="BL395" s="38">
        <f t="shared" si="141"/>
        <v>0</v>
      </c>
      <c r="BM395" s="42"/>
      <c r="BN395" s="42"/>
      <c r="BO395" s="42"/>
      <c r="BP395" s="42"/>
      <c r="BR395" s="42">
        <f t="shared" si="142"/>
        <v>19904.25</v>
      </c>
      <c r="BS395" s="43"/>
      <c r="BT395" s="42">
        <v>2169.77</v>
      </c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  <c r="FM395" s="31"/>
      <c r="FN395" s="31"/>
      <c r="FO395" s="31"/>
      <c r="FP395" s="31"/>
      <c r="FQ395" s="31"/>
      <c r="FR395" s="31"/>
      <c r="FS395" s="31"/>
      <c r="FT395" s="31"/>
      <c r="FU395" s="31"/>
      <c r="FV395" s="31"/>
      <c r="FW395" s="31"/>
      <c r="FX395" s="31"/>
      <c r="FY395" s="31"/>
      <c r="FZ395" s="31"/>
      <c r="GA395" s="31"/>
      <c r="GB395" s="31"/>
      <c r="GC395" s="31"/>
      <c r="GD395" s="31"/>
      <c r="GE395" s="31"/>
      <c r="GF395" s="31"/>
      <c r="GG395" s="31"/>
      <c r="GH395" s="31"/>
      <c r="GI395" s="31"/>
      <c r="GJ395" s="31"/>
      <c r="GK395" s="31"/>
      <c r="GL395" s="31"/>
      <c r="GM395" s="31"/>
      <c r="GN395" s="31"/>
      <c r="GO395" s="31"/>
      <c r="GP395" s="31"/>
      <c r="GQ395" s="31"/>
      <c r="GR395" s="31"/>
      <c r="GS395" s="31"/>
      <c r="GT395" s="31"/>
      <c r="GU395" s="31"/>
      <c r="GV395" s="31"/>
      <c r="GW395" s="31"/>
      <c r="GX395" s="31"/>
      <c r="GY395" s="31"/>
      <c r="GZ395" s="31"/>
      <c r="HA395" s="31"/>
      <c r="HB395" s="31"/>
      <c r="HC395" s="31"/>
      <c r="HD395" s="31"/>
      <c r="HE395" s="31"/>
      <c r="HF395" s="31"/>
      <c r="HG395" s="31"/>
      <c r="HH395" s="31"/>
      <c r="HI395" s="31"/>
      <c r="HJ395" s="31"/>
      <c r="HK395" s="31"/>
      <c r="HL395" s="31"/>
      <c r="HM395" s="31"/>
      <c r="HN395" s="31"/>
      <c r="HO395" s="31"/>
      <c r="HP395" s="31"/>
      <c r="HQ395" s="31"/>
      <c r="HR395" s="31"/>
      <c r="HS395" s="31"/>
      <c r="HT395" s="31"/>
      <c r="HU395" s="31"/>
      <c r="HV395" s="31"/>
      <c r="HW395" s="31"/>
      <c r="HX395" s="31"/>
      <c r="HY395" s="31"/>
      <c r="HZ395" s="31"/>
      <c r="IA395" s="31"/>
      <c r="IB395" s="31"/>
      <c r="IC395" s="31"/>
      <c r="ID395" s="31"/>
      <c r="IE395" s="31"/>
      <c r="IF395" s="31"/>
      <c r="IG395" s="31"/>
      <c r="IH395" s="31"/>
      <c r="II395" s="31"/>
      <c r="IJ395" s="31"/>
      <c r="IK395" s="31"/>
      <c r="IL395" s="31"/>
      <c r="IM395" s="31"/>
      <c r="IN395" s="31"/>
      <c r="IO395" s="31"/>
      <c r="IP395" s="31"/>
      <c r="IQ395" s="31"/>
      <c r="IR395" s="31"/>
      <c r="IS395" s="31"/>
      <c r="IT395" s="31"/>
      <c r="IU395" s="31"/>
      <c r="IV395" s="31"/>
      <c r="IW395" s="31"/>
      <c r="IX395" s="31"/>
      <c r="IY395" s="31"/>
      <c r="IZ395" s="31"/>
      <c r="JA395" s="31"/>
      <c r="JB395" s="31"/>
      <c r="JC395" s="31"/>
      <c r="JD395" s="31"/>
      <c r="JE395" s="31"/>
      <c r="JF395" s="31"/>
      <c r="JG395" s="31"/>
      <c r="JH395" s="31"/>
      <c r="JI395" s="31"/>
      <c r="JJ395" s="31"/>
      <c r="JK395" s="31"/>
      <c r="JL395" s="31"/>
      <c r="JM395" s="31"/>
      <c r="JN395" s="31"/>
      <c r="JO395" s="31"/>
      <c r="JP395" s="31"/>
      <c r="JQ395" s="31"/>
      <c r="JR395" s="31"/>
      <c r="JS395" s="31"/>
      <c r="JT395" s="31"/>
      <c r="JU395" s="31"/>
      <c r="JV395" s="31"/>
      <c r="JW395" s="31"/>
      <c r="JX395" s="31"/>
      <c r="JY395" s="31"/>
      <c r="JZ395" s="31"/>
      <c r="KA395" s="31"/>
      <c r="KB395" s="31"/>
      <c r="KC395" s="31"/>
      <c r="KD395" s="31"/>
      <c r="KE395" s="31"/>
      <c r="KF395" s="31"/>
      <c r="KG395" s="31"/>
      <c r="KH395" s="31"/>
      <c r="KI395" s="31"/>
      <c r="KJ395" s="31"/>
      <c r="KK395" s="31"/>
      <c r="KL395" s="31"/>
      <c r="KM395" s="31"/>
      <c r="KN395" s="31"/>
      <c r="KO395" s="31"/>
      <c r="KP395" s="31"/>
      <c r="KQ395" s="31"/>
      <c r="KR395" s="31"/>
      <c r="KS395" s="31"/>
      <c r="KT395" s="31"/>
      <c r="KU395" s="31"/>
      <c r="KV395" s="31"/>
      <c r="KW395" s="31"/>
      <c r="KX395" s="31"/>
      <c r="KY395" s="31"/>
      <c r="KZ395" s="31"/>
      <c r="LA395" s="31"/>
      <c r="LB395" s="31"/>
      <c r="LC395" s="31"/>
      <c r="LD395" s="31"/>
      <c r="LE395" s="31"/>
      <c r="LF395" s="31"/>
      <c r="LG395" s="31"/>
      <c r="LH395" s="31"/>
      <c r="LI395" s="31"/>
      <c r="LJ395" s="31"/>
      <c r="LK395" s="31"/>
      <c r="LL395" s="31"/>
      <c r="LM395" s="31"/>
      <c r="LN395" s="31"/>
      <c r="LO395" s="31"/>
      <c r="LP395" s="31"/>
      <c r="LQ395" s="31"/>
      <c r="LR395" s="31"/>
      <c r="LS395" s="31"/>
      <c r="LT395" s="31"/>
      <c r="LU395" s="31"/>
      <c r="LV395" s="31"/>
      <c r="LW395" s="31"/>
      <c r="LX395" s="31"/>
      <c r="LY395" s="31"/>
      <c r="LZ395" s="31"/>
      <c r="MA395" s="31"/>
      <c r="MB395" s="31"/>
      <c r="MC395" s="31"/>
      <c r="MD395" s="31"/>
      <c r="ME395" s="31"/>
      <c r="MF395" s="31"/>
      <c r="MG395" s="31"/>
      <c r="MH395" s="31"/>
      <c r="MI395" s="31"/>
      <c r="MJ395" s="31"/>
      <c r="MK395" s="31"/>
      <c r="ML395" s="31"/>
      <c r="MM395" s="31"/>
      <c r="MN395" s="31"/>
      <c r="MO395" s="31"/>
      <c r="MP395" s="31"/>
      <c r="MQ395" s="31"/>
      <c r="MR395" s="31"/>
      <c r="MS395" s="31"/>
      <c r="MT395" s="31"/>
      <c r="MU395" s="31"/>
      <c r="MV395" s="31"/>
      <c r="MW395" s="31"/>
      <c r="MX395" s="31"/>
      <c r="MY395" s="31"/>
      <c r="MZ395" s="31"/>
      <c r="NA395" s="31"/>
      <c r="NB395" s="31"/>
      <c r="NC395" s="31"/>
      <c r="ND395" s="31"/>
      <c r="NE395" s="31"/>
      <c r="NF395" s="31"/>
      <c r="NG395" s="31"/>
      <c r="NH395" s="31"/>
      <c r="NI395" s="31"/>
      <c r="NJ395" s="31"/>
      <c r="NK395" s="31"/>
      <c r="NL395" s="31"/>
      <c r="NM395" s="31"/>
      <c r="NN395" s="31"/>
      <c r="NO395" s="31"/>
      <c r="NP395" s="31"/>
      <c r="NQ395" s="31"/>
      <c r="NR395" s="31"/>
      <c r="NS395" s="31"/>
      <c r="NT395" s="31"/>
      <c r="NU395" s="31"/>
      <c r="NV395" s="31"/>
      <c r="NW395" s="31"/>
      <c r="NX395" s="31"/>
      <c r="NY395" s="31"/>
      <c r="NZ395" s="31"/>
      <c r="OA395" s="31"/>
      <c r="OB395" s="31"/>
      <c r="OC395" s="31"/>
      <c r="OD395" s="31"/>
      <c r="OE395" s="31"/>
      <c r="OF395" s="31"/>
      <c r="OG395" s="31"/>
      <c r="OH395" s="31"/>
      <c r="OI395" s="31"/>
      <c r="OJ395" s="31"/>
      <c r="OK395" s="31"/>
      <c r="OL395" s="31"/>
      <c r="OM395" s="31"/>
      <c r="ON395" s="31"/>
      <c r="OO395" s="31"/>
      <c r="OP395" s="31"/>
      <c r="OQ395" s="31"/>
      <c r="OR395" s="31"/>
      <c r="OS395" s="31"/>
      <c r="OT395" s="31"/>
      <c r="OU395" s="31"/>
      <c r="OV395" s="31"/>
      <c r="OW395" s="31"/>
      <c r="OX395" s="31"/>
    </row>
    <row r="396" spans="2:414" s="25" customFormat="1" ht="15.6">
      <c r="B396" s="25" t="s">
        <v>790</v>
      </c>
      <c r="C396" s="27" t="s">
        <v>581</v>
      </c>
      <c r="D396" s="30" t="s">
        <v>105</v>
      </c>
      <c r="G396" s="42">
        <v>80</v>
      </c>
      <c r="H396" s="89">
        <v>26.109000000000002</v>
      </c>
      <c r="I396" s="38">
        <f t="shared" si="135"/>
        <v>2088.7200000000003</v>
      </c>
      <c r="K396" s="42">
        <v>80</v>
      </c>
      <c r="L396" s="90">
        <v>26.849599999999999</v>
      </c>
      <c r="M396" s="38">
        <f t="shared" si="136"/>
        <v>2147.9679999999998</v>
      </c>
      <c r="O396" s="42">
        <v>505</v>
      </c>
      <c r="P396" s="38">
        <v>26.728300000000001</v>
      </c>
      <c r="Q396" s="38">
        <f t="shared" si="137"/>
        <v>13497.791500000001</v>
      </c>
      <c r="R396" s="43">
        <f t="shared" si="132"/>
        <v>665</v>
      </c>
      <c r="S396" s="38">
        <f t="shared" si="138"/>
        <v>17734.479500000001</v>
      </c>
      <c r="T396" s="49">
        <v>320</v>
      </c>
      <c r="U396" s="42">
        <v>26.728999999999999</v>
      </c>
      <c r="V396" s="38">
        <f t="shared" si="126"/>
        <v>8553.2799999999988</v>
      </c>
      <c r="W396" s="42">
        <v>520</v>
      </c>
      <c r="X396" s="42">
        <v>26.728300000000001</v>
      </c>
      <c r="Y396" s="42">
        <f t="shared" si="128"/>
        <v>13898.716</v>
      </c>
      <c r="Z396" s="42"/>
      <c r="AA396" s="42"/>
      <c r="AB396" s="42">
        <f t="shared" si="133"/>
        <v>0</v>
      </c>
      <c r="AD396" s="42"/>
      <c r="AE396" s="42"/>
      <c r="AF396" s="42">
        <f t="shared" si="130"/>
        <v>0</v>
      </c>
      <c r="AG396" s="42"/>
      <c r="AH396" s="42"/>
      <c r="AI396" s="42"/>
      <c r="AJ396" s="42">
        <f t="shared" si="134"/>
        <v>0</v>
      </c>
      <c r="AL396" s="42"/>
      <c r="AM396" s="42"/>
      <c r="AN396" s="42"/>
      <c r="AO396" s="44"/>
      <c r="AP396" s="42"/>
      <c r="AQ396" s="42"/>
      <c r="AR396" s="42"/>
      <c r="AU396" s="98"/>
      <c r="AV396" s="35"/>
      <c r="AW396" s="104"/>
      <c r="AX396" s="42"/>
      <c r="AY396" s="42"/>
      <c r="AZ396" s="42">
        <f t="shared" si="131"/>
        <v>0</v>
      </c>
      <c r="BA396" s="42"/>
      <c r="BB396" s="42"/>
      <c r="BC396" s="42"/>
      <c r="BD396" s="38">
        <f t="shared" si="139"/>
        <v>0</v>
      </c>
      <c r="BE396" s="42"/>
      <c r="BF396" s="42"/>
      <c r="BG396" s="42"/>
      <c r="BH396" s="38">
        <f t="shared" si="140"/>
        <v>0</v>
      </c>
      <c r="BI396" s="42"/>
      <c r="BJ396" s="42"/>
      <c r="BK396" s="42"/>
      <c r="BL396" s="38">
        <f t="shared" si="141"/>
        <v>0</v>
      </c>
      <c r="BM396" s="42"/>
      <c r="BN396" s="42"/>
      <c r="BO396" s="42"/>
      <c r="BP396" s="42"/>
      <c r="BR396" s="42">
        <f t="shared" si="142"/>
        <v>22451.995999999999</v>
      </c>
      <c r="BS396" s="43"/>
      <c r="BT396" s="42">
        <v>4717.5200000000004</v>
      </c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  <c r="FM396" s="31"/>
      <c r="FN396" s="31"/>
      <c r="FO396" s="31"/>
      <c r="FP396" s="31"/>
      <c r="FQ396" s="31"/>
      <c r="FR396" s="31"/>
      <c r="FS396" s="31"/>
      <c r="FT396" s="31"/>
      <c r="FU396" s="31"/>
      <c r="FV396" s="31"/>
      <c r="FW396" s="31"/>
      <c r="FX396" s="31"/>
      <c r="FY396" s="31"/>
      <c r="FZ396" s="31"/>
      <c r="GA396" s="31"/>
      <c r="GB396" s="31"/>
      <c r="GC396" s="31"/>
      <c r="GD396" s="31"/>
      <c r="GE396" s="31"/>
      <c r="GF396" s="31"/>
      <c r="GG396" s="31"/>
      <c r="GH396" s="31"/>
      <c r="GI396" s="31"/>
      <c r="GJ396" s="31"/>
      <c r="GK396" s="31"/>
      <c r="GL396" s="31"/>
      <c r="GM396" s="31"/>
      <c r="GN396" s="31"/>
      <c r="GO396" s="31"/>
      <c r="GP396" s="31"/>
      <c r="GQ396" s="31"/>
      <c r="GR396" s="31"/>
      <c r="GS396" s="31"/>
      <c r="GT396" s="31"/>
      <c r="GU396" s="31"/>
      <c r="GV396" s="31"/>
      <c r="GW396" s="31"/>
      <c r="GX396" s="31"/>
      <c r="GY396" s="31"/>
      <c r="GZ396" s="31"/>
      <c r="HA396" s="31"/>
      <c r="HB396" s="31"/>
      <c r="HC396" s="31"/>
      <c r="HD396" s="31"/>
      <c r="HE396" s="31"/>
      <c r="HF396" s="31"/>
      <c r="HG396" s="31"/>
      <c r="HH396" s="31"/>
      <c r="HI396" s="31"/>
      <c r="HJ396" s="31"/>
      <c r="HK396" s="31"/>
      <c r="HL396" s="31"/>
      <c r="HM396" s="31"/>
      <c r="HN396" s="31"/>
      <c r="HO396" s="31"/>
      <c r="HP396" s="31"/>
      <c r="HQ396" s="31"/>
      <c r="HR396" s="31"/>
      <c r="HS396" s="31"/>
      <c r="HT396" s="31"/>
      <c r="HU396" s="31"/>
      <c r="HV396" s="31"/>
      <c r="HW396" s="31"/>
      <c r="HX396" s="31"/>
      <c r="HY396" s="31"/>
      <c r="HZ396" s="31"/>
      <c r="IA396" s="31"/>
      <c r="IB396" s="31"/>
      <c r="IC396" s="31"/>
      <c r="ID396" s="31"/>
      <c r="IE396" s="31"/>
      <c r="IF396" s="31"/>
      <c r="IG396" s="31"/>
      <c r="IH396" s="31"/>
      <c r="II396" s="31"/>
      <c r="IJ396" s="31"/>
      <c r="IK396" s="31"/>
      <c r="IL396" s="31"/>
      <c r="IM396" s="31"/>
      <c r="IN396" s="31"/>
      <c r="IO396" s="31"/>
      <c r="IP396" s="31"/>
      <c r="IQ396" s="31"/>
      <c r="IR396" s="31"/>
      <c r="IS396" s="31"/>
      <c r="IT396" s="31"/>
      <c r="IU396" s="31"/>
      <c r="IV396" s="31"/>
      <c r="IW396" s="31"/>
      <c r="IX396" s="31"/>
      <c r="IY396" s="31"/>
      <c r="IZ396" s="31"/>
      <c r="JA396" s="31"/>
      <c r="JB396" s="31"/>
      <c r="JC396" s="31"/>
      <c r="JD396" s="31"/>
      <c r="JE396" s="31"/>
      <c r="JF396" s="31"/>
      <c r="JG396" s="31"/>
      <c r="JH396" s="31"/>
      <c r="JI396" s="31"/>
      <c r="JJ396" s="31"/>
      <c r="JK396" s="31"/>
      <c r="JL396" s="31"/>
      <c r="JM396" s="31"/>
      <c r="JN396" s="31"/>
      <c r="JO396" s="31"/>
      <c r="JP396" s="31"/>
      <c r="JQ396" s="31"/>
      <c r="JR396" s="31"/>
      <c r="JS396" s="31"/>
      <c r="JT396" s="31"/>
      <c r="JU396" s="31"/>
      <c r="JV396" s="31"/>
      <c r="JW396" s="31"/>
      <c r="JX396" s="31"/>
      <c r="JY396" s="31"/>
      <c r="JZ396" s="31"/>
      <c r="KA396" s="31"/>
      <c r="KB396" s="31"/>
      <c r="KC396" s="31"/>
      <c r="KD396" s="31"/>
      <c r="KE396" s="31"/>
      <c r="KF396" s="31"/>
      <c r="KG396" s="31"/>
      <c r="KH396" s="31"/>
      <c r="KI396" s="31"/>
      <c r="KJ396" s="31"/>
      <c r="KK396" s="31"/>
      <c r="KL396" s="31"/>
      <c r="KM396" s="31"/>
      <c r="KN396" s="31"/>
      <c r="KO396" s="31"/>
      <c r="KP396" s="31"/>
      <c r="KQ396" s="31"/>
      <c r="KR396" s="31"/>
      <c r="KS396" s="31"/>
      <c r="KT396" s="31"/>
      <c r="KU396" s="31"/>
      <c r="KV396" s="31"/>
      <c r="KW396" s="31"/>
      <c r="KX396" s="31"/>
      <c r="KY396" s="31"/>
      <c r="KZ396" s="31"/>
      <c r="LA396" s="31"/>
      <c r="LB396" s="31"/>
      <c r="LC396" s="31"/>
      <c r="LD396" s="31"/>
      <c r="LE396" s="31"/>
      <c r="LF396" s="31"/>
      <c r="LG396" s="31"/>
      <c r="LH396" s="31"/>
      <c r="LI396" s="31"/>
      <c r="LJ396" s="31"/>
      <c r="LK396" s="31"/>
      <c r="LL396" s="31"/>
      <c r="LM396" s="31"/>
      <c r="LN396" s="31"/>
      <c r="LO396" s="31"/>
      <c r="LP396" s="31"/>
      <c r="LQ396" s="31"/>
      <c r="LR396" s="31"/>
      <c r="LS396" s="31"/>
      <c r="LT396" s="31"/>
      <c r="LU396" s="31"/>
      <c r="LV396" s="31"/>
      <c r="LW396" s="31"/>
      <c r="LX396" s="31"/>
      <c r="LY396" s="31"/>
      <c r="LZ396" s="31"/>
      <c r="MA396" s="31"/>
      <c r="MB396" s="31"/>
      <c r="MC396" s="31"/>
      <c r="MD396" s="31"/>
      <c r="ME396" s="31"/>
      <c r="MF396" s="31"/>
      <c r="MG396" s="31"/>
      <c r="MH396" s="31"/>
      <c r="MI396" s="31"/>
      <c r="MJ396" s="31"/>
      <c r="MK396" s="31"/>
      <c r="ML396" s="31"/>
      <c r="MM396" s="31"/>
      <c r="MN396" s="31"/>
      <c r="MO396" s="31"/>
      <c r="MP396" s="31"/>
      <c r="MQ396" s="31"/>
      <c r="MR396" s="31"/>
      <c r="MS396" s="31"/>
      <c r="MT396" s="31"/>
      <c r="MU396" s="31"/>
      <c r="MV396" s="31"/>
      <c r="MW396" s="31"/>
      <c r="MX396" s="31"/>
      <c r="MY396" s="31"/>
      <c r="MZ396" s="31"/>
      <c r="NA396" s="31"/>
      <c r="NB396" s="31"/>
      <c r="NC396" s="31"/>
      <c r="ND396" s="31"/>
      <c r="NE396" s="31"/>
      <c r="NF396" s="31"/>
      <c r="NG396" s="31"/>
      <c r="NH396" s="31"/>
      <c r="NI396" s="31"/>
      <c r="NJ396" s="31"/>
      <c r="NK396" s="31"/>
      <c r="NL396" s="31"/>
      <c r="NM396" s="31"/>
      <c r="NN396" s="31"/>
      <c r="NO396" s="31"/>
      <c r="NP396" s="31"/>
      <c r="NQ396" s="31"/>
      <c r="NR396" s="31"/>
      <c r="NS396" s="31"/>
      <c r="NT396" s="31"/>
      <c r="NU396" s="31"/>
      <c r="NV396" s="31"/>
      <c r="NW396" s="31"/>
      <c r="NX396" s="31"/>
      <c r="NY396" s="31"/>
      <c r="NZ396" s="31"/>
      <c r="OA396" s="31"/>
      <c r="OB396" s="31"/>
      <c r="OC396" s="31"/>
      <c r="OD396" s="31"/>
      <c r="OE396" s="31"/>
      <c r="OF396" s="31"/>
      <c r="OG396" s="31"/>
      <c r="OH396" s="31"/>
      <c r="OI396" s="31"/>
      <c r="OJ396" s="31"/>
      <c r="OK396" s="31"/>
      <c r="OL396" s="31"/>
      <c r="OM396" s="31"/>
      <c r="ON396" s="31"/>
      <c r="OO396" s="31"/>
      <c r="OP396" s="31"/>
      <c r="OQ396" s="31"/>
      <c r="OR396" s="31"/>
      <c r="OS396" s="31"/>
      <c r="OT396" s="31"/>
      <c r="OU396" s="31"/>
      <c r="OV396" s="31"/>
      <c r="OW396" s="31"/>
      <c r="OX396" s="31"/>
    </row>
    <row r="397" spans="2:414" s="25" customFormat="1" ht="15.6">
      <c r="B397" s="25" t="s">
        <v>170</v>
      </c>
      <c r="C397" s="27" t="s">
        <v>874</v>
      </c>
      <c r="D397" s="30" t="s">
        <v>105</v>
      </c>
      <c r="G397" s="42">
        <v>80</v>
      </c>
      <c r="H397" s="89">
        <v>26.109000000000002</v>
      </c>
      <c r="I397" s="38">
        <f t="shared" si="135"/>
        <v>2088.7200000000003</v>
      </c>
      <c r="K397" s="42">
        <v>80</v>
      </c>
      <c r="L397" s="90">
        <v>26.849599999999999</v>
      </c>
      <c r="M397" s="38">
        <f t="shared" si="136"/>
        <v>2147.9679999999998</v>
      </c>
      <c r="O397" s="42">
        <v>505</v>
      </c>
      <c r="P397" s="38">
        <v>26.728300000000001</v>
      </c>
      <c r="Q397" s="38">
        <f t="shared" si="137"/>
        <v>13497.791500000001</v>
      </c>
      <c r="R397" s="43">
        <f t="shared" si="132"/>
        <v>665</v>
      </c>
      <c r="S397" s="38">
        <f t="shared" si="138"/>
        <v>17734.479500000001</v>
      </c>
      <c r="T397" s="49">
        <v>240</v>
      </c>
      <c r="U397" s="42">
        <v>26.766200000000001</v>
      </c>
      <c r="V397" s="38">
        <f t="shared" si="126"/>
        <v>6423.8879999999999</v>
      </c>
      <c r="W397" s="42">
        <v>420</v>
      </c>
      <c r="X397" s="42">
        <v>26.766200000000001</v>
      </c>
      <c r="Y397" s="42">
        <f t="shared" si="128"/>
        <v>11241.804</v>
      </c>
      <c r="Z397" s="42">
        <v>85</v>
      </c>
      <c r="AA397" s="42">
        <v>26.732500000000002</v>
      </c>
      <c r="AB397" s="42">
        <f t="shared" si="133"/>
        <v>2272.2625000000003</v>
      </c>
      <c r="AD397" s="42"/>
      <c r="AE397" s="42"/>
      <c r="AF397" s="42">
        <f t="shared" si="130"/>
        <v>0</v>
      </c>
      <c r="AG397" s="42"/>
      <c r="AH397" s="42"/>
      <c r="AI397" s="42"/>
      <c r="AJ397" s="42">
        <f t="shared" si="134"/>
        <v>0</v>
      </c>
      <c r="AL397" s="42"/>
      <c r="AM397" s="42"/>
      <c r="AN397" s="42"/>
      <c r="AO397" s="44"/>
      <c r="AP397" s="42"/>
      <c r="AQ397" s="42"/>
      <c r="AR397" s="42"/>
      <c r="AU397" s="98"/>
      <c r="AV397" s="35"/>
      <c r="AW397" s="104"/>
      <c r="AX397" s="42"/>
      <c r="AY397" s="42"/>
      <c r="AZ397" s="42">
        <f t="shared" si="131"/>
        <v>0</v>
      </c>
      <c r="BA397" s="42"/>
      <c r="BB397" s="42"/>
      <c r="BC397" s="42"/>
      <c r="BD397" s="38">
        <f t="shared" si="139"/>
        <v>0</v>
      </c>
      <c r="BE397" s="42"/>
      <c r="BF397" s="42"/>
      <c r="BG397" s="42"/>
      <c r="BH397" s="38">
        <f t="shared" si="140"/>
        <v>0</v>
      </c>
      <c r="BI397" s="42"/>
      <c r="BJ397" s="42"/>
      <c r="BK397" s="42"/>
      <c r="BL397" s="38">
        <f t="shared" si="141"/>
        <v>0</v>
      </c>
      <c r="BM397" s="42"/>
      <c r="BN397" s="42"/>
      <c r="BO397" s="42"/>
      <c r="BP397" s="42"/>
      <c r="BR397" s="42">
        <f t="shared" si="142"/>
        <v>19937.9545</v>
      </c>
      <c r="BS397" s="43"/>
      <c r="BT397" s="42">
        <v>2203.48</v>
      </c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  <c r="FM397" s="31"/>
      <c r="FN397" s="31"/>
      <c r="FO397" s="31"/>
      <c r="FP397" s="31"/>
      <c r="FQ397" s="31"/>
      <c r="FR397" s="31"/>
      <c r="FS397" s="31"/>
      <c r="FT397" s="31"/>
      <c r="FU397" s="31"/>
      <c r="FV397" s="31"/>
      <c r="FW397" s="31"/>
      <c r="FX397" s="31"/>
      <c r="FY397" s="31"/>
      <c r="FZ397" s="31"/>
      <c r="GA397" s="31"/>
      <c r="GB397" s="31"/>
      <c r="GC397" s="31"/>
      <c r="GD397" s="31"/>
      <c r="GE397" s="31"/>
      <c r="GF397" s="31"/>
      <c r="GG397" s="31"/>
      <c r="GH397" s="31"/>
      <c r="GI397" s="31"/>
      <c r="GJ397" s="31"/>
      <c r="GK397" s="31"/>
      <c r="GL397" s="31"/>
      <c r="GM397" s="31"/>
      <c r="GN397" s="31"/>
      <c r="GO397" s="31"/>
      <c r="GP397" s="31"/>
      <c r="GQ397" s="31"/>
      <c r="GR397" s="31"/>
      <c r="GS397" s="31"/>
      <c r="GT397" s="31"/>
      <c r="GU397" s="31"/>
      <c r="GV397" s="31"/>
      <c r="GW397" s="31"/>
      <c r="GX397" s="31"/>
      <c r="GY397" s="31"/>
      <c r="GZ397" s="31"/>
      <c r="HA397" s="31"/>
      <c r="HB397" s="31"/>
      <c r="HC397" s="31"/>
      <c r="HD397" s="31"/>
      <c r="HE397" s="31"/>
      <c r="HF397" s="31"/>
      <c r="HG397" s="31"/>
      <c r="HH397" s="31"/>
      <c r="HI397" s="31"/>
      <c r="HJ397" s="31"/>
      <c r="HK397" s="31"/>
      <c r="HL397" s="31"/>
      <c r="HM397" s="31"/>
      <c r="HN397" s="31"/>
      <c r="HO397" s="31"/>
      <c r="HP397" s="31"/>
      <c r="HQ397" s="31"/>
      <c r="HR397" s="31"/>
      <c r="HS397" s="31"/>
      <c r="HT397" s="31"/>
      <c r="HU397" s="31"/>
      <c r="HV397" s="31"/>
      <c r="HW397" s="31"/>
      <c r="HX397" s="31"/>
      <c r="HY397" s="31"/>
      <c r="HZ397" s="31"/>
      <c r="IA397" s="31"/>
      <c r="IB397" s="31"/>
      <c r="IC397" s="31"/>
      <c r="ID397" s="31"/>
      <c r="IE397" s="31"/>
      <c r="IF397" s="31"/>
      <c r="IG397" s="31"/>
      <c r="IH397" s="31"/>
      <c r="II397" s="31"/>
      <c r="IJ397" s="31"/>
      <c r="IK397" s="31"/>
      <c r="IL397" s="31"/>
      <c r="IM397" s="31"/>
      <c r="IN397" s="31"/>
      <c r="IO397" s="31"/>
      <c r="IP397" s="31"/>
      <c r="IQ397" s="31"/>
      <c r="IR397" s="31"/>
      <c r="IS397" s="31"/>
      <c r="IT397" s="31"/>
      <c r="IU397" s="31"/>
      <c r="IV397" s="31"/>
      <c r="IW397" s="31"/>
      <c r="IX397" s="31"/>
      <c r="IY397" s="31"/>
      <c r="IZ397" s="31"/>
      <c r="JA397" s="31"/>
      <c r="JB397" s="31"/>
      <c r="JC397" s="31"/>
      <c r="JD397" s="31"/>
      <c r="JE397" s="31"/>
      <c r="JF397" s="31"/>
      <c r="JG397" s="31"/>
      <c r="JH397" s="31"/>
      <c r="JI397" s="31"/>
      <c r="JJ397" s="31"/>
      <c r="JK397" s="31"/>
      <c r="JL397" s="31"/>
      <c r="JM397" s="31"/>
      <c r="JN397" s="31"/>
      <c r="JO397" s="31"/>
      <c r="JP397" s="31"/>
      <c r="JQ397" s="31"/>
      <c r="JR397" s="31"/>
      <c r="JS397" s="31"/>
      <c r="JT397" s="31"/>
      <c r="JU397" s="31"/>
      <c r="JV397" s="31"/>
      <c r="JW397" s="31"/>
      <c r="JX397" s="31"/>
      <c r="JY397" s="31"/>
      <c r="JZ397" s="31"/>
      <c r="KA397" s="31"/>
      <c r="KB397" s="31"/>
      <c r="KC397" s="31"/>
      <c r="KD397" s="31"/>
      <c r="KE397" s="31"/>
      <c r="KF397" s="31"/>
      <c r="KG397" s="31"/>
      <c r="KH397" s="31"/>
      <c r="KI397" s="31"/>
      <c r="KJ397" s="31"/>
      <c r="KK397" s="31"/>
      <c r="KL397" s="31"/>
      <c r="KM397" s="31"/>
      <c r="KN397" s="31"/>
      <c r="KO397" s="31"/>
      <c r="KP397" s="31"/>
      <c r="KQ397" s="31"/>
      <c r="KR397" s="31"/>
      <c r="KS397" s="31"/>
      <c r="KT397" s="31"/>
      <c r="KU397" s="31"/>
      <c r="KV397" s="31"/>
      <c r="KW397" s="31"/>
      <c r="KX397" s="31"/>
      <c r="KY397" s="31"/>
      <c r="KZ397" s="31"/>
      <c r="LA397" s="31"/>
      <c r="LB397" s="31"/>
      <c r="LC397" s="31"/>
      <c r="LD397" s="31"/>
      <c r="LE397" s="31"/>
      <c r="LF397" s="31"/>
      <c r="LG397" s="31"/>
      <c r="LH397" s="31"/>
      <c r="LI397" s="31"/>
      <c r="LJ397" s="31"/>
      <c r="LK397" s="31"/>
      <c r="LL397" s="31"/>
      <c r="LM397" s="31"/>
      <c r="LN397" s="31"/>
      <c r="LO397" s="31"/>
      <c r="LP397" s="31"/>
      <c r="LQ397" s="31"/>
      <c r="LR397" s="31"/>
      <c r="LS397" s="31"/>
      <c r="LT397" s="31"/>
      <c r="LU397" s="31"/>
      <c r="LV397" s="31"/>
      <c r="LW397" s="31"/>
      <c r="LX397" s="31"/>
      <c r="LY397" s="31"/>
      <c r="LZ397" s="31"/>
      <c r="MA397" s="31"/>
      <c r="MB397" s="31"/>
      <c r="MC397" s="31"/>
      <c r="MD397" s="31"/>
      <c r="ME397" s="31"/>
      <c r="MF397" s="31"/>
      <c r="MG397" s="31"/>
      <c r="MH397" s="31"/>
      <c r="MI397" s="31"/>
      <c r="MJ397" s="31"/>
      <c r="MK397" s="31"/>
      <c r="ML397" s="31"/>
      <c r="MM397" s="31"/>
      <c r="MN397" s="31"/>
      <c r="MO397" s="31"/>
      <c r="MP397" s="31"/>
      <c r="MQ397" s="31"/>
      <c r="MR397" s="31"/>
      <c r="MS397" s="31"/>
      <c r="MT397" s="31"/>
      <c r="MU397" s="31"/>
      <c r="MV397" s="31"/>
      <c r="MW397" s="31"/>
      <c r="MX397" s="31"/>
      <c r="MY397" s="31"/>
      <c r="MZ397" s="31"/>
      <c r="NA397" s="31"/>
      <c r="NB397" s="31"/>
      <c r="NC397" s="31"/>
      <c r="ND397" s="31"/>
      <c r="NE397" s="31"/>
      <c r="NF397" s="31"/>
      <c r="NG397" s="31"/>
      <c r="NH397" s="31"/>
      <c r="NI397" s="31"/>
      <c r="NJ397" s="31"/>
      <c r="NK397" s="31"/>
      <c r="NL397" s="31"/>
      <c r="NM397" s="31"/>
      <c r="NN397" s="31"/>
      <c r="NO397" s="31"/>
      <c r="NP397" s="31"/>
      <c r="NQ397" s="31"/>
      <c r="NR397" s="31"/>
      <c r="NS397" s="31"/>
      <c r="NT397" s="31"/>
      <c r="NU397" s="31"/>
      <c r="NV397" s="31"/>
      <c r="NW397" s="31"/>
      <c r="NX397" s="31"/>
      <c r="NY397" s="31"/>
      <c r="NZ397" s="31"/>
      <c r="OA397" s="31"/>
      <c r="OB397" s="31"/>
      <c r="OC397" s="31"/>
      <c r="OD397" s="31"/>
      <c r="OE397" s="31"/>
      <c r="OF397" s="31"/>
      <c r="OG397" s="31"/>
      <c r="OH397" s="31"/>
      <c r="OI397" s="31"/>
      <c r="OJ397" s="31"/>
      <c r="OK397" s="31"/>
      <c r="OL397" s="31"/>
      <c r="OM397" s="31"/>
      <c r="ON397" s="31"/>
      <c r="OO397" s="31"/>
      <c r="OP397" s="31"/>
      <c r="OQ397" s="31"/>
      <c r="OR397" s="31"/>
      <c r="OS397" s="31"/>
      <c r="OT397" s="31"/>
      <c r="OU397" s="31"/>
      <c r="OV397" s="31"/>
      <c r="OW397" s="31"/>
      <c r="OX397" s="31"/>
    </row>
    <row r="398" spans="2:414" s="25" customFormat="1" ht="15.6">
      <c r="B398" s="25" t="s">
        <v>973</v>
      </c>
      <c r="C398" s="27" t="s">
        <v>974</v>
      </c>
      <c r="D398" s="30" t="s">
        <v>105</v>
      </c>
      <c r="G398" s="42">
        <v>80</v>
      </c>
      <c r="H398" s="89">
        <v>26.109000000000002</v>
      </c>
      <c r="I398" s="38">
        <f t="shared" si="135"/>
        <v>2088.7200000000003</v>
      </c>
      <c r="K398" s="42">
        <v>80</v>
      </c>
      <c r="L398" s="90">
        <v>26.849599999999999</v>
      </c>
      <c r="M398" s="38">
        <f t="shared" si="136"/>
        <v>2147.9679999999998</v>
      </c>
      <c r="O398" s="42">
        <v>505</v>
      </c>
      <c r="P398" s="38">
        <v>26.728300000000001</v>
      </c>
      <c r="Q398" s="38">
        <f t="shared" si="137"/>
        <v>13497.791500000001</v>
      </c>
      <c r="R398" s="43">
        <f t="shared" si="132"/>
        <v>665</v>
      </c>
      <c r="S398" s="38">
        <f t="shared" si="138"/>
        <v>17734.479500000001</v>
      </c>
      <c r="T398" s="49">
        <v>240</v>
      </c>
      <c r="U398" s="42">
        <v>26.991800000000001</v>
      </c>
      <c r="V398" s="38">
        <f t="shared" si="126"/>
        <v>6478.0320000000002</v>
      </c>
      <c r="W398" s="42">
        <v>505</v>
      </c>
      <c r="X398" s="42">
        <v>26.677399999999999</v>
      </c>
      <c r="Y398" s="42">
        <f t="shared" si="128"/>
        <v>13472.087</v>
      </c>
      <c r="Z398" s="42"/>
      <c r="AA398" s="42"/>
      <c r="AB398" s="42">
        <f t="shared" si="133"/>
        <v>0</v>
      </c>
      <c r="AD398" s="42"/>
      <c r="AE398" s="42"/>
      <c r="AF398" s="42">
        <f t="shared" si="130"/>
        <v>0</v>
      </c>
      <c r="AG398" s="42"/>
      <c r="AH398" s="42"/>
      <c r="AI398" s="42"/>
      <c r="AJ398" s="42">
        <f t="shared" si="134"/>
        <v>0</v>
      </c>
      <c r="AL398" s="42"/>
      <c r="AM398" s="42"/>
      <c r="AN398" s="42"/>
      <c r="AO398" s="44"/>
      <c r="AP398" s="42"/>
      <c r="AQ398" s="42"/>
      <c r="AR398" s="42"/>
      <c r="AU398" s="98"/>
      <c r="AV398" s="35"/>
      <c r="AW398" s="104"/>
      <c r="AX398" s="42"/>
      <c r="AY398" s="42"/>
      <c r="AZ398" s="42">
        <f t="shared" si="131"/>
        <v>0</v>
      </c>
      <c r="BA398" s="42"/>
      <c r="BB398" s="42"/>
      <c r="BC398" s="42"/>
      <c r="BD398" s="38">
        <f t="shared" si="139"/>
        <v>0</v>
      </c>
      <c r="BE398" s="42"/>
      <c r="BF398" s="42"/>
      <c r="BG398" s="42"/>
      <c r="BH398" s="38">
        <f t="shared" si="140"/>
        <v>0</v>
      </c>
      <c r="BI398" s="42"/>
      <c r="BJ398" s="42"/>
      <c r="BK398" s="42"/>
      <c r="BL398" s="38">
        <f t="shared" si="141"/>
        <v>0</v>
      </c>
      <c r="BM398" s="42"/>
      <c r="BN398" s="42"/>
      <c r="BO398" s="42"/>
      <c r="BP398" s="42"/>
      <c r="BR398" s="42">
        <f t="shared" si="142"/>
        <v>19950.118999999999</v>
      </c>
      <c r="BS398" s="43"/>
      <c r="BT398" s="42">
        <v>2215.64</v>
      </c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  <c r="FM398" s="31"/>
      <c r="FN398" s="31"/>
      <c r="FO398" s="31"/>
      <c r="FP398" s="31"/>
      <c r="FQ398" s="31"/>
      <c r="FR398" s="31"/>
      <c r="FS398" s="31"/>
      <c r="FT398" s="31"/>
      <c r="FU398" s="31"/>
      <c r="FV398" s="31"/>
      <c r="FW398" s="31"/>
      <c r="FX398" s="31"/>
      <c r="FY398" s="31"/>
      <c r="FZ398" s="31"/>
      <c r="GA398" s="31"/>
      <c r="GB398" s="31"/>
      <c r="GC398" s="31"/>
      <c r="GD398" s="31"/>
      <c r="GE398" s="31"/>
      <c r="GF398" s="31"/>
      <c r="GG398" s="31"/>
      <c r="GH398" s="31"/>
      <c r="GI398" s="31"/>
      <c r="GJ398" s="31"/>
      <c r="GK398" s="31"/>
      <c r="GL398" s="31"/>
      <c r="GM398" s="31"/>
      <c r="GN398" s="31"/>
      <c r="GO398" s="31"/>
      <c r="GP398" s="31"/>
      <c r="GQ398" s="31"/>
      <c r="GR398" s="31"/>
      <c r="GS398" s="31"/>
      <c r="GT398" s="31"/>
      <c r="GU398" s="31"/>
      <c r="GV398" s="31"/>
      <c r="GW398" s="31"/>
      <c r="GX398" s="31"/>
      <c r="GY398" s="31"/>
      <c r="GZ398" s="31"/>
      <c r="HA398" s="31"/>
      <c r="HB398" s="31"/>
      <c r="HC398" s="31"/>
      <c r="HD398" s="31"/>
      <c r="HE398" s="31"/>
      <c r="HF398" s="31"/>
      <c r="HG398" s="31"/>
      <c r="HH398" s="31"/>
      <c r="HI398" s="31"/>
      <c r="HJ398" s="31"/>
      <c r="HK398" s="31"/>
      <c r="HL398" s="31"/>
      <c r="HM398" s="31"/>
      <c r="HN398" s="31"/>
      <c r="HO398" s="31"/>
      <c r="HP398" s="31"/>
      <c r="HQ398" s="31"/>
      <c r="HR398" s="31"/>
      <c r="HS398" s="31"/>
      <c r="HT398" s="31"/>
      <c r="HU398" s="31"/>
      <c r="HV398" s="31"/>
      <c r="HW398" s="31"/>
      <c r="HX398" s="31"/>
      <c r="HY398" s="31"/>
      <c r="HZ398" s="31"/>
      <c r="IA398" s="31"/>
      <c r="IB398" s="31"/>
      <c r="IC398" s="31"/>
      <c r="ID398" s="31"/>
      <c r="IE398" s="31"/>
      <c r="IF398" s="31"/>
      <c r="IG398" s="31"/>
      <c r="IH398" s="31"/>
      <c r="II398" s="31"/>
      <c r="IJ398" s="31"/>
      <c r="IK398" s="31"/>
      <c r="IL398" s="31"/>
      <c r="IM398" s="31"/>
      <c r="IN398" s="31"/>
      <c r="IO398" s="31"/>
      <c r="IP398" s="31"/>
      <c r="IQ398" s="31"/>
      <c r="IR398" s="31"/>
      <c r="IS398" s="31"/>
      <c r="IT398" s="31"/>
      <c r="IU398" s="31"/>
      <c r="IV398" s="31"/>
      <c r="IW398" s="31"/>
      <c r="IX398" s="31"/>
      <c r="IY398" s="31"/>
      <c r="IZ398" s="31"/>
      <c r="JA398" s="31"/>
      <c r="JB398" s="31"/>
      <c r="JC398" s="31"/>
      <c r="JD398" s="31"/>
      <c r="JE398" s="31"/>
      <c r="JF398" s="31"/>
      <c r="JG398" s="31"/>
      <c r="JH398" s="31"/>
      <c r="JI398" s="31"/>
      <c r="JJ398" s="31"/>
      <c r="JK398" s="31"/>
      <c r="JL398" s="31"/>
      <c r="JM398" s="31"/>
      <c r="JN398" s="31"/>
      <c r="JO398" s="31"/>
      <c r="JP398" s="31"/>
      <c r="JQ398" s="31"/>
      <c r="JR398" s="31"/>
      <c r="JS398" s="31"/>
      <c r="JT398" s="31"/>
      <c r="JU398" s="31"/>
      <c r="JV398" s="31"/>
      <c r="JW398" s="31"/>
      <c r="JX398" s="31"/>
      <c r="JY398" s="31"/>
      <c r="JZ398" s="31"/>
      <c r="KA398" s="31"/>
      <c r="KB398" s="31"/>
      <c r="KC398" s="31"/>
      <c r="KD398" s="31"/>
      <c r="KE398" s="31"/>
      <c r="KF398" s="31"/>
      <c r="KG398" s="31"/>
      <c r="KH398" s="31"/>
      <c r="KI398" s="31"/>
      <c r="KJ398" s="31"/>
      <c r="KK398" s="31"/>
      <c r="KL398" s="31"/>
      <c r="KM398" s="31"/>
      <c r="KN398" s="31"/>
      <c r="KO398" s="31"/>
      <c r="KP398" s="31"/>
      <c r="KQ398" s="31"/>
      <c r="KR398" s="31"/>
      <c r="KS398" s="31"/>
      <c r="KT398" s="31"/>
      <c r="KU398" s="31"/>
      <c r="KV398" s="31"/>
      <c r="KW398" s="31"/>
      <c r="KX398" s="31"/>
      <c r="KY398" s="31"/>
      <c r="KZ398" s="31"/>
      <c r="LA398" s="31"/>
      <c r="LB398" s="31"/>
      <c r="LC398" s="31"/>
      <c r="LD398" s="31"/>
      <c r="LE398" s="31"/>
      <c r="LF398" s="31"/>
      <c r="LG398" s="31"/>
      <c r="LH398" s="31"/>
      <c r="LI398" s="31"/>
      <c r="LJ398" s="31"/>
      <c r="LK398" s="31"/>
      <c r="LL398" s="31"/>
      <c r="LM398" s="31"/>
      <c r="LN398" s="31"/>
      <c r="LO398" s="31"/>
      <c r="LP398" s="31"/>
      <c r="LQ398" s="31"/>
      <c r="LR398" s="31"/>
      <c r="LS398" s="31"/>
      <c r="LT398" s="31"/>
      <c r="LU398" s="31"/>
      <c r="LV398" s="31"/>
      <c r="LW398" s="31"/>
      <c r="LX398" s="31"/>
      <c r="LY398" s="31"/>
      <c r="LZ398" s="31"/>
      <c r="MA398" s="31"/>
      <c r="MB398" s="31"/>
      <c r="MC398" s="31"/>
      <c r="MD398" s="31"/>
      <c r="ME398" s="31"/>
      <c r="MF398" s="31"/>
      <c r="MG398" s="31"/>
      <c r="MH398" s="31"/>
      <c r="MI398" s="31"/>
      <c r="MJ398" s="31"/>
      <c r="MK398" s="31"/>
      <c r="ML398" s="31"/>
      <c r="MM398" s="31"/>
      <c r="MN398" s="31"/>
      <c r="MO398" s="31"/>
      <c r="MP398" s="31"/>
      <c r="MQ398" s="31"/>
      <c r="MR398" s="31"/>
      <c r="MS398" s="31"/>
      <c r="MT398" s="31"/>
      <c r="MU398" s="31"/>
      <c r="MV398" s="31"/>
      <c r="MW398" s="31"/>
      <c r="MX398" s="31"/>
      <c r="MY398" s="31"/>
      <c r="MZ398" s="31"/>
      <c r="NA398" s="31"/>
      <c r="NB398" s="31"/>
      <c r="NC398" s="31"/>
      <c r="ND398" s="31"/>
      <c r="NE398" s="31"/>
      <c r="NF398" s="31"/>
      <c r="NG398" s="31"/>
      <c r="NH398" s="31"/>
      <c r="NI398" s="31"/>
      <c r="NJ398" s="31"/>
      <c r="NK398" s="31"/>
      <c r="NL398" s="31"/>
      <c r="NM398" s="31"/>
      <c r="NN398" s="31"/>
      <c r="NO398" s="31"/>
      <c r="NP398" s="31"/>
      <c r="NQ398" s="31"/>
      <c r="NR398" s="31"/>
      <c r="NS398" s="31"/>
      <c r="NT398" s="31"/>
      <c r="NU398" s="31"/>
      <c r="NV398" s="31"/>
      <c r="NW398" s="31"/>
      <c r="NX398" s="31"/>
      <c r="NY398" s="31"/>
      <c r="NZ398" s="31"/>
      <c r="OA398" s="31"/>
      <c r="OB398" s="31"/>
      <c r="OC398" s="31"/>
      <c r="OD398" s="31"/>
      <c r="OE398" s="31"/>
      <c r="OF398" s="31"/>
      <c r="OG398" s="31"/>
      <c r="OH398" s="31"/>
      <c r="OI398" s="31"/>
      <c r="OJ398" s="31"/>
      <c r="OK398" s="31"/>
      <c r="OL398" s="31"/>
      <c r="OM398" s="31"/>
      <c r="ON398" s="31"/>
      <c r="OO398" s="31"/>
      <c r="OP398" s="31"/>
      <c r="OQ398" s="31"/>
      <c r="OR398" s="31"/>
      <c r="OS398" s="31"/>
      <c r="OT398" s="31"/>
      <c r="OU398" s="31"/>
      <c r="OV398" s="31"/>
      <c r="OW398" s="31"/>
      <c r="OX398" s="31"/>
    </row>
    <row r="399" spans="2:414" s="25" customFormat="1" ht="15.6">
      <c r="B399" s="25" t="s">
        <v>70</v>
      </c>
      <c r="C399" s="27" t="s">
        <v>975</v>
      </c>
      <c r="D399" s="30" t="s">
        <v>105</v>
      </c>
      <c r="G399" s="42">
        <v>80</v>
      </c>
      <c r="H399" s="89">
        <v>26.109000000000002</v>
      </c>
      <c r="I399" s="38">
        <f t="shared" si="135"/>
        <v>2088.7200000000003</v>
      </c>
      <c r="K399" s="42">
        <v>80</v>
      </c>
      <c r="L399" s="90">
        <v>26.849599999999999</v>
      </c>
      <c r="M399" s="38">
        <f t="shared" si="136"/>
        <v>2147.9679999999998</v>
      </c>
      <c r="O399" s="42">
        <v>505</v>
      </c>
      <c r="P399" s="38">
        <v>26.728300000000001</v>
      </c>
      <c r="Q399" s="38">
        <f t="shared" si="137"/>
        <v>13497.791500000001</v>
      </c>
      <c r="R399" s="43">
        <f t="shared" si="132"/>
        <v>665</v>
      </c>
      <c r="S399" s="38">
        <f t="shared" si="138"/>
        <v>17734.479500000001</v>
      </c>
      <c r="T399" s="49">
        <v>240</v>
      </c>
      <c r="U399" s="42">
        <v>26.569700000000001</v>
      </c>
      <c r="V399" s="38">
        <f t="shared" si="126"/>
        <v>6376.7280000000001</v>
      </c>
      <c r="W399" s="42">
        <v>505</v>
      </c>
      <c r="X399" s="42">
        <v>26.57</v>
      </c>
      <c r="Y399" s="42">
        <f t="shared" si="128"/>
        <v>13417.85</v>
      </c>
      <c r="Z399" s="42"/>
      <c r="AA399" s="42"/>
      <c r="AB399" s="42">
        <f t="shared" si="133"/>
        <v>0</v>
      </c>
      <c r="AD399" s="42"/>
      <c r="AE399" s="42"/>
      <c r="AF399" s="42">
        <f t="shared" si="130"/>
        <v>0</v>
      </c>
      <c r="AG399" s="42"/>
      <c r="AH399" s="42"/>
      <c r="AI399" s="42"/>
      <c r="AJ399" s="42">
        <f t="shared" si="134"/>
        <v>0</v>
      </c>
      <c r="AL399" s="42"/>
      <c r="AM399" s="42"/>
      <c r="AN399" s="42"/>
      <c r="AO399" s="44"/>
      <c r="AP399" s="42"/>
      <c r="AQ399" s="42"/>
      <c r="AR399" s="42"/>
      <c r="AU399" s="98"/>
      <c r="AV399" s="35"/>
      <c r="AW399" s="104"/>
      <c r="AX399" s="42"/>
      <c r="AY399" s="42"/>
      <c r="AZ399" s="42">
        <f t="shared" si="131"/>
        <v>0</v>
      </c>
      <c r="BA399" s="42"/>
      <c r="BB399" s="42"/>
      <c r="BC399" s="42"/>
      <c r="BD399" s="38">
        <f t="shared" si="139"/>
        <v>0</v>
      </c>
      <c r="BE399" s="42"/>
      <c r="BF399" s="42"/>
      <c r="BG399" s="42"/>
      <c r="BH399" s="38">
        <f t="shared" si="140"/>
        <v>0</v>
      </c>
      <c r="BI399" s="42"/>
      <c r="BJ399" s="42"/>
      <c r="BK399" s="42"/>
      <c r="BL399" s="38">
        <f t="shared" si="141"/>
        <v>0</v>
      </c>
      <c r="BM399" s="42"/>
      <c r="BN399" s="42"/>
      <c r="BO399" s="42"/>
      <c r="BP399" s="42"/>
      <c r="BR399" s="42">
        <f t="shared" si="142"/>
        <v>19794.578000000001</v>
      </c>
      <c r="BS399" s="43"/>
      <c r="BT399" s="42">
        <v>2060.1</v>
      </c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  <c r="FM399" s="31"/>
      <c r="FN399" s="31"/>
      <c r="FO399" s="31"/>
      <c r="FP399" s="31"/>
      <c r="FQ399" s="31"/>
      <c r="FR399" s="31"/>
      <c r="FS399" s="31"/>
      <c r="FT399" s="31"/>
      <c r="FU399" s="31"/>
      <c r="FV399" s="31"/>
      <c r="FW399" s="31"/>
      <c r="FX399" s="31"/>
      <c r="FY399" s="31"/>
      <c r="FZ399" s="31"/>
      <c r="GA399" s="31"/>
      <c r="GB399" s="31"/>
      <c r="GC399" s="31"/>
      <c r="GD399" s="31"/>
      <c r="GE399" s="31"/>
      <c r="GF399" s="31"/>
      <c r="GG399" s="31"/>
      <c r="GH399" s="31"/>
      <c r="GI399" s="31"/>
      <c r="GJ399" s="31"/>
      <c r="GK399" s="31"/>
      <c r="GL399" s="31"/>
      <c r="GM399" s="31"/>
      <c r="GN399" s="31"/>
      <c r="GO399" s="31"/>
      <c r="GP399" s="31"/>
      <c r="GQ399" s="31"/>
      <c r="GR399" s="31"/>
      <c r="GS399" s="31"/>
      <c r="GT399" s="31"/>
      <c r="GU399" s="31"/>
      <c r="GV399" s="31"/>
      <c r="GW399" s="31"/>
      <c r="GX399" s="31"/>
      <c r="GY399" s="31"/>
      <c r="GZ399" s="31"/>
      <c r="HA399" s="31"/>
      <c r="HB399" s="31"/>
      <c r="HC399" s="31"/>
      <c r="HD399" s="31"/>
      <c r="HE399" s="31"/>
      <c r="HF399" s="31"/>
      <c r="HG399" s="31"/>
      <c r="HH399" s="31"/>
      <c r="HI399" s="31"/>
      <c r="HJ399" s="31"/>
      <c r="HK399" s="31"/>
      <c r="HL399" s="31"/>
      <c r="HM399" s="31"/>
      <c r="HN399" s="31"/>
      <c r="HO399" s="31"/>
      <c r="HP399" s="31"/>
      <c r="HQ399" s="31"/>
      <c r="HR399" s="31"/>
      <c r="HS399" s="31"/>
      <c r="HT399" s="31"/>
      <c r="HU399" s="31"/>
      <c r="HV399" s="31"/>
      <c r="HW399" s="31"/>
      <c r="HX399" s="31"/>
      <c r="HY399" s="31"/>
      <c r="HZ399" s="31"/>
      <c r="IA399" s="31"/>
      <c r="IB399" s="31"/>
      <c r="IC399" s="31"/>
      <c r="ID399" s="31"/>
      <c r="IE399" s="31"/>
      <c r="IF399" s="31"/>
      <c r="IG399" s="31"/>
      <c r="IH399" s="31"/>
      <c r="II399" s="31"/>
      <c r="IJ399" s="31"/>
      <c r="IK399" s="31"/>
      <c r="IL399" s="31"/>
      <c r="IM399" s="31"/>
      <c r="IN399" s="31"/>
      <c r="IO399" s="31"/>
      <c r="IP399" s="31"/>
      <c r="IQ399" s="31"/>
      <c r="IR399" s="31"/>
      <c r="IS399" s="31"/>
      <c r="IT399" s="31"/>
      <c r="IU399" s="31"/>
      <c r="IV399" s="31"/>
      <c r="IW399" s="31"/>
      <c r="IX399" s="31"/>
      <c r="IY399" s="31"/>
      <c r="IZ399" s="31"/>
      <c r="JA399" s="31"/>
      <c r="JB399" s="31"/>
      <c r="JC399" s="31"/>
      <c r="JD399" s="31"/>
      <c r="JE399" s="31"/>
      <c r="JF399" s="31"/>
      <c r="JG399" s="31"/>
      <c r="JH399" s="31"/>
      <c r="JI399" s="31"/>
      <c r="JJ399" s="31"/>
      <c r="JK399" s="31"/>
      <c r="JL399" s="31"/>
      <c r="JM399" s="31"/>
      <c r="JN399" s="31"/>
      <c r="JO399" s="31"/>
      <c r="JP399" s="31"/>
      <c r="JQ399" s="31"/>
      <c r="JR399" s="31"/>
      <c r="JS399" s="31"/>
      <c r="JT399" s="31"/>
      <c r="JU399" s="31"/>
      <c r="JV399" s="31"/>
      <c r="JW399" s="31"/>
      <c r="JX399" s="31"/>
      <c r="JY399" s="31"/>
      <c r="JZ399" s="31"/>
      <c r="KA399" s="31"/>
      <c r="KB399" s="31"/>
      <c r="KC399" s="31"/>
      <c r="KD399" s="31"/>
      <c r="KE399" s="31"/>
      <c r="KF399" s="31"/>
      <c r="KG399" s="31"/>
      <c r="KH399" s="31"/>
      <c r="KI399" s="31"/>
      <c r="KJ399" s="31"/>
      <c r="KK399" s="31"/>
      <c r="KL399" s="31"/>
      <c r="KM399" s="31"/>
      <c r="KN399" s="31"/>
      <c r="KO399" s="31"/>
      <c r="KP399" s="31"/>
      <c r="KQ399" s="31"/>
      <c r="KR399" s="31"/>
      <c r="KS399" s="31"/>
      <c r="KT399" s="31"/>
      <c r="KU399" s="31"/>
      <c r="KV399" s="31"/>
      <c r="KW399" s="31"/>
      <c r="KX399" s="31"/>
      <c r="KY399" s="31"/>
      <c r="KZ399" s="31"/>
      <c r="LA399" s="31"/>
      <c r="LB399" s="31"/>
      <c r="LC399" s="31"/>
      <c r="LD399" s="31"/>
      <c r="LE399" s="31"/>
      <c r="LF399" s="31"/>
      <c r="LG399" s="31"/>
      <c r="LH399" s="31"/>
      <c r="LI399" s="31"/>
      <c r="LJ399" s="31"/>
      <c r="LK399" s="31"/>
      <c r="LL399" s="31"/>
      <c r="LM399" s="31"/>
      <c r="LN399" s="31"/>
      <c r="LO399" s="31"/>
      <c r="LP399" s="31"/>
      <c r="LQ399" s="31"/>
      <c r="LR399" s="31"/>
      <c r="LS399" s="31"/>
      <c r="LT399" s="31"/>
      <c r="LU399" s="31"/>
      <c r="LV399" s="31"/>
      <c r="LW399" s="31"/>
      <c r="LX399" s="31"/>
      <c r="LY399" s="31"/>
      <c r="LZ399" s="31"/>
      <c r="MA399" s="31"/>
      <c r="MB399" s="31"/>
      <c r="MC399" s="31"/>
      <c r="MD399" s="31"/>
      <c r="ME399" s="31"/>
      <c r="MF399" s="31"/>
      <c r="MG399" s="31"/>
      <c r="MH399" s="31"/>
      <c r="MI399" s="31"/>
      <c r="MJ399" s="31"/>
      <c r="MK399" s="31"/>
      <c r="ML399" s="31"/>
      <c r="MM399" s="31"/>
      <c r="MN399" s="31"/>
      <c r="MO399" s="31"/>
      <c r="MP399" s="31"/>
      <c r="MQ399" s="31"/>
      <c r="MR399" s="31"/>
      <c r="MS399" s="31"/>
      <c r="MT399" s="31"/>
      <c r="MU399" s="31"/>
      <c r="MV399" s="31"/>
      <c r="MW399" s="31"/>
      <c r="MX399" s="31"/>
      <c r="MY399" s="31"/>
      <c r="MZ399" s="31"/>
      <c r="NA399" s="31"/>
      <c r="NB399" s="31"/>
      <c r="NC399" s="31"/>
      <c r="ND399" s="31"/>
      <c r="NE399" s="31"/>
      <c r="NF399" s="31"/>
      <c r="NG399" s="31"/>
      <c r="NH399" s="31"/>
      <c r="NI399" s="31"/>
      <c r="NJ399" s="31"/>
      <c r="NK399" s="31"/>
      <c r="NL399" s="31"/>
      <c r="NM399" s="31"/>
      <c r="NN399" s="31"/>
      <c r="NO399" s="31"/>
      <c r="NP399" s="31"/>
      <c r="NQ399" s="31"/>
      <c r="NR399" s="31"/>
      <c r="NS399" s="31"/>
      <c r="NT399" s="31"/>
      <c r="NU399" s="31"/>
      <c r="NV399" s="31"/>
      <c r="NW399" s="31"/>
      <c r="NX399" s="31"/>
      <c r="NY399" s="31"/>
      <c r="NZ399" s="31"/>
      <c r="OA399" s="31"/>
      <c r="OB399" s="31"/>
      <c r="OC399" s="31"/>
      <c r="OD399" s="31"/>
      <c r="OE399" s="31"/>
      <c r="OF399" s="31"/>
      <c r="OG399" s="31"/>
      <c r="OH399" s="31"/>
      <c r="OI399" s="31"/>
      <c r="OJ399" s="31"/>
      <c r="OK399" s="31"/>
      <c r="OL399" s="31"/>
      <c r="OM399" s="31"/>
      <c r="ON399" s="31"/>
      <c r="OO399" s="31"/>
      <c r="OP399" s="31"/>
      <c r="OQ399" s="31"/>
      <c r="OR399" s="31"/>
      <c r="OS399" s="31"/>
      <c r="OT399" s="31"/>
      <c r="OU399" s="31"/>
      <c r="OV399" s="31"/>
      <c r="OW399" s="31"/>
      <c r="OX399" s="31"/>
    </row>
    <row r="400" spans="2:414" s="25" customFormat="1" ht="15.6">
      <c r="B400" s="25" t="s">
        <v>412</v>
      </c>
      <c r="C400" s="27" t="s">
        <v>185</v>
      </c>
      <c r="D400" s="30" t="s">
        <v>105</v>
      </c>
      <c r="G400" s="42">
        <v>80</v>
      </c>
      <c r="H400" s="89">
        <v>26.109000000000002</v>
      </c>
      <c r="I400" s="38">
        <f t="shared" si="135"/>
        <v>2088.7200000000003</v>
      </c>
      <c r="K400" s="42">
        <v>80</v>
      </c>
      <c r="L400" s="90">
        <v>26.849599999999999</v>
      </c>
      <c r="M400" s="38">
        <f t="shared" si="136"/>
        <v>2147.9679999999998</v>
      </c>
      <c r="O400" s="42">
        <v>505</v>
      </c>
      <c r="P400" s="38">
        <v>26.728300000000001</v>
      </c>
      <c r="Q400" s="38">
        <f t="shared" si="137"/>
        <v>13497.791500000001</v>
      </c>
      <c r="R400" s="43">
        <f t="shared" si="132"/>
        <v>665</v>
      </c>
      <c r="S400" s="38">
        <f t="shared" si="138"/>
        <v>17734.479500000001</v>
      </c>
      <c r="T400" s="49">
        <v>140</v>
      </c>
      <c r="U400" s="42">
        <v>26.772400000000001</v>
      </c>
      <c r="V400" s="38">
        <f t="shared" si="126"/>
        <v>3748.136</v>
      </c>
      <c r="W400" s="42">
        <v>635</v>
      </c>
      <c r="X400" s="42">
        <v>26.677399999999999</v>
      </c>
      <c r="Y400" s="42">
        <f t="shared" si="128"/>
        <v>16940.148999999998</v>
      </c>
      <c r="Z400" s="42"/>
      <c r="AA400" s="42"/>
      <c r="AB400" s="42">
        <f t="shared" si="133"/>
        <v>0</v>
      </c>
      <c r="AD400" s="42"/>
      <c r="AE400" s="42"/>
      <c r="AF400" s="42">
        <f t="shared" si="130"/>
        <v>0</v>
      </c>
      <c r="AG400" s="42"/>
      <c r="AH400" s="42"/>
      <c r="AI400" s="42"/>
      <c r="AJ400" s="42">
        <f t="shared" si="134"/>
        <v>0</v>
      </c>
      <c r="AL400" s="42"/>
      <c r="AM400" s="42"/>
      <c r="AN400" s="42"/>
      <c r="AO400" s="44"/>
      <c r="AP400" s="42"/>
      <c r="AQ400" s="42"/>
      <c r="AR400" s="42"/>
      <c r="AU400" s="98"/>
      <c r="AV400" s="35"/>
      <c r="AW400" s="104"/>
      <c r="AX400" s="42"/>
      <c r="AY400" s="42"/>
      <c r="AZ400" s="42">
        <f t="shared" si="131"/>
        <v>0</v>
      </c>
      <c r="BA400" s="42"/>
      <c r="BB400" s="42"/>
      <c r="BC400" s="42"/>
      <c r="BD400" s="38">
        <f t="shared" si="139"/>
        <v>0</v>
      </c>
      <c r="BE400" s="42"/>
      <c r="BF400" s="42"/>
      <c r="BG400" s="42"/>
      <c r="BH400" s="38">
        <f t="shared" si="140"/>
        <v>0</v>
      </c>
      <c r="BI400" s="42"/>
      <c r="BJ400" s="42"/>
      <c r="BK400" s="42"/>
      <c r="BL400" s="38">
        <f t="shared" si="141"/>
        <v>0</v>
      </c>
      <c r="BM400" s="42"/>
      <c r="BN400" s="42"/>
      <c r="BO400" s="42"/>
      <c r="BP400" s="42"/>
      <c r="BR400" s="42">
        <f t="shared" si="142"/>
        <v>20688.284999999996</v>
      </c>
      <c r="BS400" s="43"/>
      <c r="BT400" s="42">
        <v>2953.81</v>
      </c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  <c r="FM400" s="31"/>
      <c r="FN400" s="31"/>
      <c r="FO400" s="31"/>
      <c r="FP400" s="31"/>
      <c r="FQ400" s="31"/>
      <c r="FR400" s="31"/>
      <c r="FS400" s="31"/>
      <c r="FT400" s="31"/>
      <c r="FU400" s="31"/>
      <c r="FV400" s="31"/>
      <c r="FW400" s="31"/>
      <c r="FX400" s="31"/>
      <c r="FY400" s="31"/>
      <c r="FZ400" s="31"/>
      <c r="GA400" s="31"/>
      <c r="GB400" s="31"/>
      <c r="GC400" s="31"/>
      <c r="GD400" s="31"/>
      <c r="GE400" s="31"/>
      <c r="GF400" s="31"/>
      <c r="GG400" s="31"/>
      <c r="GH400" s="31"/>
      <c r="GI400" s="31"/>
      <c r="GJ400" s="31"/>
      <c r="GK400" s="31"/>
      <c r="GL400" s="31"/>
      <c r="GM400" s="31"/>
      <c r="GN400" s="31"/>
      <c r="GO400" s="31"/>
      <c r="GP400" s="31"/>
      <c r="GQ400" s="31"/>
      <c r="GR400" s="31"/>
      <c r="GS400" s="31"/>
      <c r="GT400" s="31"/>
      <c r="GU400" s="31"/>
      <c r="GV400" s="31"/>
      <c r="GW400" s="31"/>
      <c r="GX400" s="31"/>
      <c r="GY400" s="31"/>
      <c r="GZ400" s="31"/>
      <c r="HA400" s="31"/>
      <c r="HB400" s="31"/>
      <c r="HC400" s="31"/>
      <c r="HD400" s="31"/>
      <c r="HE400" s="31"/>
      <c r="HF400" s="31"/>
      <c r="HG400" s="31"/>
      <c r="HH400" s="31"/>
      <c r="HI400" s="31"/>
      <c r="HJ400" s="31"/>
      <c r="HK400" s="31"/>
      <c r="HL400" s="31"/>
      <c r="HM400" s="31"/>
      <c r="HN400" s="31"/>
      <c r="HO400" s="31"/>
      <c r="HP400" s="31"/>
      <c r="HQ400" s="31"/>
      <c r="HR400" s="31"/>
      <c r="HS400" s="31"/>
      <c r="HT400" s="31"/>
      <c r="HU400" s="31"/>
      <c r="HV400" s="31"/>
      <c r="HW400" s="31"/>
      <c r="HX400" s="31"/>
      <c r="HY400" s="31"/>
      <c r="HZ400" s="31"/>
      <c r="IA400" s="31"/>
      <c r="IB400" s="31"/>
      <c r="IC400" s="31"/>
      <c r="ID400" s="31"/>
      <c r="IE400" s="31"/>
      <c r="IF400" s="31"/>
      <c r="IG400" s="31"/>
      <c r="IH400" s="31"/>
      <c r="II400" s="31"/>
      <c r="IJ400" s="31"/>
      <c r="IK400" s="31"/>
      <c r="IL400" s="31"/>
      <c r="IM400" s="31"/>
      <c r="IN400" s="31"/>
      <c r="IO400" s="31"/>
      <c r="IP400" s="31"/>
      <c r="IQ400" s="31"/>
      <c r="IR400" s="31"/>
      <c r="IS400" s="31"/>
      <c r="IT400" s="31"/>
      <c r="IU400" s="31"/>
      <c r="IV400" s="31"/>
      <c r="IW400" s="31"/>
      <c r="IX400" s="31"/>
      <c r="IY400" s="31"/>
      <c r="IZ400" s="31"/>
      <c r="JA400" s="31"/>
      <c r="JB400" s="31"/>
      <c r="JC400" s="31"/>
      <c r="JD400" s="31"/>
      <c r="JE400" s="31"/>
      <c r="JF400" s="31"/>
      <c r="JG400" s="31"/>
      <c r="JH400" s="31"/>
      <c r="JI400" s="31"/>
      <c r="JJ400" s="31"/>
      <c r="JK400" s="31"/>
      <c r="JL400" s="31"/>
      <c r="JM400" s="31"/>
      <c r="JN400" s="31"/>
      <c r="JO400" s="31"/>
      <c r="JP400" s="31"/>
      <c r="JQ400" s="31"/>
      <c r="JR400" s="31"/>
      <c r="JS400" s="31"/>
      <c r="JT400" s="31"/>
      <c r="JU400" s="31"/>
      <c r="JV400" s="31"/>
      <c r="JW400" s="31"/>
      <c r="JX400" s="31"/>
      <c r="JY400" s="31"/>
      <c r="JZ400" s="31"/>
      <c r="KA400" s="31"/>
      <c r="KB400" s="31"/>
      <c r="KC400" s="31"/>
      <c r="KD400" s="31"/>
      <c r="KE400" s="31"/>
      <c r="KF400" s="31"/>
      <c r="KG400" s="31"/>
      <c r="KH400" s="31"/>
      <c r="KI400" s="31"/>
      <c r="KJ400" s="31"/>
      <c r="KK400" s="31"/>
      <c r="KL400" s="31"/>
      <c r="KM400" s="31"/>
      <c r="KN400" s="31"/>
      <c r="KO400" s="31"/>
      <c r="KP400" s="31"/>
      <c r="KQ400" s="31"/>
      <c r="KR400" s="31"/>
      <c r="KS400" s="31"/>
      <c r="KT400" s="31"/>
      <c r="KU400" s="31"/>
      <c r="KV400" s="31"/>
      <c r="KW400" s="31"/>
      <c r="KX400" s="31"/>
      <c r="KY400" s="31"/>
      <c r="KZ400" s="31"/>
      <c r="LA400" s="31"/>
      <c r="LB400" s="31"/>
      <c r="LC400" s="31"/>
      <c r="LD400" s="31"/>
      <c r="LE400" s="31"/>
      <c r="LF400" s="31"/>
      <c r="LG400" s="31"/>
      <c r="LH400" s="31"/>
      <c r="LI400" s="31"/>
      <c r="LJ400" s="31"/>
      <c r="LK400" s="31"/>
      <c r="LL400" s="31"/>
      <c r="LM400" s="31"/>
      <c r="LN400" s="31"/>
      <c r="LO400" s="31"/>
      <c r="LP400" s="31"/>
      <c r="LQ400" s="31"/>
      <c r="LR400" s="31"/>
      <c r="LS400" s="31"/>
      <c r="LT400" s="31"/>
      <c r="LU400" s="31"/>
      <c r="LV400" s="31"/>
      <c r="LW400" s="31"/>
      <c r="LX400" s="31"/>
      <c r="LY400" s="31"/>
      <c r="LZ400" s="31"/>
      <c r="MA400" s="31"/>
      <c r="MB400" s="31"/>
      <c r="MC400" s="31"/>
      <c r="MD400" s="31"/>
      <c r="ME400" s="31"/>
      <c r="MF400" s="31"/>
      <c r="MG400" s="31"/>
      <c r="MH400" s="31"/>
      <c r="MI400" s="31"/>
      <c r="MJ400" s="31"/>
      <c r="MK400" s="31"/>
      <c r="ML400" s="31"/>
      <c r="MM400" s="31"/>
      <c r="MN400" s="31"/>
      <c r="MO400" s="31"/>
      <c r="MP400" s="31"/>
      <c r="MQ400" s="31"/>
      <c r="MR400" s="31"/>
      <c r="MS400" s="31"/>
      <c r="MT400" s="31"/>
      <c r="MU400" s="31"/>
      <c r="MV400" s="31"/>
      <c r="MW400" s="31"/>
      <c r="MX400" s="31"/>
      <c r="MY400" s="31"/>
      <c r="MZ400" s="31"/>
      <c r="NA400" s="31"/>
      <c r="NB400" s="31"/>
      <c r="NC400" s="31"/>
      <c r="ND400" s="31"/>
      <c r="NE400" s="31"/>
      <c r="NF400" s="31"/>
      <c r="NG400" s="31"/>
      <c r="NH400" s="31"/>
      <c r="NI400" s="31"/>
      <c r="NJ400" s="31"/>
      <c r="NK400" s="31"/>
      <c r="NL400" s="31"/>
      <c r="NM400" s="31"/>
      <c r="NN400" s="31"/>
      <c r="NO400" s="31"/>
      <c r="NP400" s="31"/>
      <c r="NQ400" s="31"/>
      <c r="NR400" s="31"/>
      <c r="NS400" s="31"/>
      <c r="NT400" s="31"/>
      <c r="NU400" s="31"/>
      <c r="NV400" s="31"/>
      <c r="NW400" s="31"/>
      <c r="NX400" s="31"/>
      <c r="NY400" s="31"/>
      <c r="NZ400" s="31"/>
      <c r="OA400" s="31"/>
      <c r="OB400" s="31"/>
      <c r="OC400" s="31"/>
      <c r="OD400" s="31"/>
      <c r="OE400" s="31"/>
      <c r="OF400" s="31"/>
      <c r="OG400" s="31"/>
      <c r="OH400" s="31"/>
      <c r="OI400" s="31"/>
      <c r="OJ400" s="31"/>
      <c r="OK400" s="31"/>
      <c r="OL400" s="31"/>
      <c r="OM400" s="31"/>
      <c r="ON400" s="31"/>
      <c r="OO400" s="31"/>
      <c r="OP400" s="31"/>
      <c r="OQ400" s="31"/>
      <c r="OR400" s="31"/>
      <c r="OS400" s="31"/>
      <c r="OT400" s="31"/>
      <c r="OU400" s="31"/>
      <c r="OV400" s="31"/>
      <c r="OW400" s="31"/>
      <c r="OX400" s="31"/>
    </row>
    <row r="401" spans="2:414" s="25" customFormat="1" ht="15.6">
      <c r="B401" s="25" t="s">
        <v>638</v>
      </c>
      <c r="C401" s="27" t="s">
        <v>637</v>
      </c>
      <c r="D401" s="30" t="s">
        <v>105</v>
      </c>
      <c r="G401" s="42">
        <v>80</v>
      </c>
      <c r="H401" s="89">
        <v>26.109000000000002</v>
      </c>
      <c r="I401" s="38">
        <f t="shared" si="135"/>
        <v>2088.7200000000003</v>
      </c>
      <c r="K401" s="42">
        <v>80</v>
      </c>
      <c r="L401" s="90">
        <v>26.849599999999999</v>
      </c>
      <c r="M401" s="38">
        <f t="shared" si="136"/>
        <v>2147.9679999999998</v>
      </c>
      <c r="O401" s="42">
        <v>505</v>
      </c>
      <c r="P401" s="38">
        <v>26.728300000000001</v>
      </c>
      <c r="Q401" s="38">
        <f t="shared" si="137"/>
        <v>13497.791500000001</v>
      </c>
      <c r="R401" s="43">
        <f t="shared" si="132"/>
        <v>665</v>
      </c>
      <c r="S401" s="38">
        <f t="shared" si="138"/>
        <v>17734.479500000001</v>
      </c>
      <c r="T401" s="49">
        <v>240</v>
      </c>
      <c r="U401" s="42">
        <v>26.726299999999998</v>
      </c>
      <c r="V401" s="38">
        <f t="shared" si="126"/>
        <v>6414.3119999999999</v>
      </c>
      <c r="W401" s="42">
        <v>505</v>
      </c>
      <c r="X401" s="42">
        <v>26.73</v>
      </c>
      <c r="Y401" s="42">
        <f t="shared" si="128"/>
        <v>13498.65</v>
      </c>
      <c r="Z401" s="42"/>
      <c r="AA401" s="42"/>
      <c r="AB401" s="42">
        <f t="shared" si="133"/>
        <v>0</v>
      </c>
      <c r="AD401" s="42"/>
      <c r="AE401" s="42"/>
      <c r="AF401" s="42">
        <f t="shared" si="130"/>
        <v>0</v>
      </c>
      <c r="AG401" s="42"/>
      <c r="AH401" s="42"/>
      <c r="AI401" s="42"/>
      <c r="AJ401" s="42">
        <f t="shared" si="134"/>
        <v>0</v>
      </c>
      <c r="AL401" s="42"/>
      <c r="AM401" s="42"/>
      <c r="AN401" s="42"/>
      <c r="AO401" s="44"/>
      <c r="AP401" s="42"/>
      <c r="AQ401" s="42"/>
      <c r="AR401" s="42"/>
      <c r="AU401" s="98"/>
      <c r="AV401" s="35"/>
      <c r="AW401" s="104"/>
      <c r="AX401" s="42"/>
      <c r="AY401" s="42"/>
      <c r="AZ401" s="42">
        <f t="shared" si="131"/>
        <v>0</v>
      </c>
      <c r="BA401" s="42"/>
      <c r="BB401" s="42"/>
      <c r="BC401" s="42"/>
      <c r="BD401" s="38">
        <f t="shared" si="139"/>
        <v>0</v>
      </c>
      <c r="BE401" s="42"/>
      <c r="BF401" s="42"/>
      <c r="BG401" s="42"/>
      <c r="BH401" s="38">
        <f t="shared" si="140"/>
        <v>0</v>
      </c>
      <c r="BI401" s="42"/>
      <c r="BJ401" s="42"/>
      <c r="BK401" s="42"/>
      <c r="BL401" s="38">
        <f t="shared" si="141"/>
        <v>0</v>
      </c>
      <c r="BM401" s="42"/>
      <c r="BN401" s="42"/>
      <c r="BO401" s="42"/>
      <c r="BP401" s="42"/>
      <c r="BR401" s="42">
        <f t="shared" si="142"/>
        <v>19912.962</v>
      </c>
      <c r="BS401" s="43"/>
      <c r="BT401" s="42">
        <v>2178.48</v>
      </c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  <c r="FM401" s="31"/>
      <c r="FN401" s="31"/>
      <c r="FO401" s="31"/>
      <c r="FP401" s="31"/>
      <c r="FQ401" s="31"/>
      <c r="FR401" s="31"/>
      <c r="FS401" s="31"/>
      <c r="FT401" s="31"/>
      <c r="FU401" s="31"/>
      <c r="FV401" s="31"/>
      <c r="FW401" s="31"/>
      <c r="FX401" s="31"/>
      <c r="FY401" s="31"/>
      <c r="FZ401" s="31"/>
      <c r="GA401" s="31"/>
      <c r="GB401" s="31"/>
      <c r="GC401" s="31"/>
      <c r="GD401" s="31"/>
      <c r="GE401" s="31"/>
      <c r="GF401" s="31"/>
      <c r="GG401" s="31"/>
      <c r="GH401" s="31"/>
      <c r="GI401" s="31"/>
      <c r="GJ401" s="31"/>
      <c r="GK401" s="31"/>
      <c r="GL401" s="31"/>
      <c r="GM401" s="31"/>
      <c r="GN401" s="31"/>
      <c r="GO401" s="31"/>
      <c r="GP401" s="31"/>
      <c r="GQ401" s="31"/>
      <c r="GR401" s="31"/>
      <c r="GS401" s="31"/>
      <c r="GT401" s="31"/>
      <c r="GU401" s="31"/>
      <c r="GV401" s="31"/>
      <c r="GW401" s="31"/>
      <c r="GX401" s="31"/>
      <c r="GY401" s="31"/>
      <c r="GZ401" s="31"/>
      <c r="HA401" s="31"/>
      <c r="HB401" s="31"/>
      <c r="HC401" s="31"/>
      <c r="HD401" s="31"/>
      <c r="HE401" s="31"/>
      <c r="HF401" s="31"/>
      <c r="HG401" s="31"/>
      <c r="HH401" s="31"/>
      <c r="HI401" s="31"/>
      <c r="HJ401" s="31"/>
      <c r="HK401" s="31"/>
      <c r="HL401" s="31"/>
      <c r="HM401" s="31"/>
      <c r="HN401" s="31"/>
      <c r="HO401" s="31"/>
      <c r="HP401" s="31"/>
      <c r="HQ401" s="31"/>
      <c r="HR401" s="31"/>
      <c r="HS401" s="31"/>
      <c r="HT401" s="31"/>
      <c r="HU401" s="31"/>
      <c r="HV401" s="31"/>
      <c r="HW401" s="31"/>
      <c r="HX401" s="31"/>
      <c r="HY401" s="31"/>
      <c r="HZ401" s="31"/>
      <c r="IA401" s="31"/>
      <c r="IB401" s="31"/>
      <c r="IC401" s="31"/>
      <c r="ID401" s="31"/>
      <c r="IE401" s="31"/>
      <c r="IF401" s="31"/>
      <c r="IG401" s="31"/>
      <c r="IH401" s="31"/>
      <c r="II401" s="31"/>
      <c r="IJ401" s="31"/>
      <c r="IK401" s="31"/>
      <c r="IL401" s="31"/>
      <c r="IM401" s="31"/>
      <c r="IN401" s="31"/>
      <c r="IO401" s="31"/>
      <c r="IP401" s="31"/>
      <c r="IQ401" s="31"/>
      <c r="IR401" s="31"/>
      <c r="IS401" s="31"/>
      <c r="IT401" s="31"/>
      <c r="IU401" s="31"/>
      <c r="IV401" s="31"/>
      <c r="IW401" s="31"/>
      <c r="IX401" s="31"/>
      <c r="IY401" s="31"/>
      <c r="IZ401" s="31"/>
      <c r="JA401" s="31"/>
      <c r="JB401" s="31"/>
      <c r="JC401" s="31"/>
      <c r="JD401" s="31"/>
      <c r="JE401" s="31"/>
      <c r="JF401" s="31"/>
      <c r="JG401" s="31"/>
      <c r="JH401" s="31"/>
      <c r="JI401" s="31"/>
      <c r="JJ401" s="31"/>
      <c r="JK401" s="31"/>
      <c r="JL401" s="31"/>
      <c r="JM401" s="31"/>
      <c r="JN401" s="31"/>
      <c r="JO401" s="31"/>
      <c r="JP401" s="31"/>
      <c r="JQ401" s="31"/>
      <c r="JR401" s="31"/>
      <c r="JS401" s="31"/>
      <c r="JT401" s="31"/>
      <c r="JU401" s="31"/>
      <c r="JV401" s="31"/>
      <c r="JW401" s="31"/>
      <c r="JX401" s="31"/>
      <c r="JY401" s="31"/>
      <c r="JZ401" s="31"/>
      <c r="KA401" s="31"/>
      <c r="KB401" s="31"/>
      <c r="KC401" s="31"/>
      <c r="KD401" s="31"/>
      <c r="KE401" s="31"/>
      <c r="KF401" s="31"/>
      <c r="KG401" s="31"/>
      <c r="KH401" s="31"/>
      <c r="KI401" s="31"/>
      <c r="KJ401" s="31"/>
      <c r="KK401" s="31"/>
      <c r="KL401" s="31"/>
      <c r="KM401" s="31"/>
      <c r="KN401" s="31"/>
      <c r="KO401" s="31"/>
      <c r="KP401" s="31"/>
      <c r="KQ401" s="31"/>
      <c r="KR401" s="31"/>
      <c r="KS401" s="31"/>
      <c r="KT401" s="31"/>
      <c r="KU401" s="31"/>
      <c r="KV401" s="31"/>
      <c r="KW401" s="31"/>
      <c r="KX401" s="31"/>
      <c r="KY401" s="31"/>
      <c r="KZ401" s="31"/>
      <c r="LA401" s="31"/>
      <c r="LB401" s="31"/>
      <c r="LC401" s="31"/>
      <c r="LD401" s="31"/>
      <c r="LE401" s="31"/>
      <c r="LF401" s="31"/>
      <c r="LG401" s="31"/>
      <c r="LH401" s="31"/>
      <c r="LI401" s="31"/>
      <c r="LJ401" s="31"/>
      <c r="LK401" s="31"/>
      <c r="LL401" s="31"/>
      <c r="LM401" s="31"/>
      <c r="LN401" s="31"/>
      <c r="LO401" s="31"/>
      <c r="LP401" s="31"/>
      <c r="LQ401" s="31"/>
      <c r="LR401" s="31"/>
      <c r="LS401" s="31"/>
      <c r="LT401" s="31"/>
      <c r="LU401" s="31"/>
      <c r="LV401" s="31"/>
      <c r="LW401" s="31"/>
      <c r="LX401" s="31"/>
      <c r="LY401" s="31"/>
      <c r="LZ401" s="31"/>
      <c r="MA401" s="31"/>
      <c r="MB401" s="31"/>
      <c r="MC401" s="31"/>
      <c r="MD401" s="31"/>
      <c r="ME401" s="31"/>
      <c r="MF401" s="31"/>
      <c r="MG401" s="31"/>
      <c r="MH401" s="31"/>
      <c r="MI401" s="31"/>
      <c r="MJ401" s="31"/>
      <c r="MK401" s="31"/>
      <c r="ML401" s="31"/>
      <c r="MM401" s="31"/>
      <c r="MN401" s="31"/>
      <c r="MO401" s="31"/>
      <c r="MP401" s="31"/>
      <c r="MQ401" s="31"/>
      <c r="MR401" s="31"/>
      <c r="MS401" s="31"/>
      <c r="MT401" s="31"/>
      <c r="MU401" s="31"/>
      <c r="MV401" s="31"/>
      <c r="MW401" s="31"/>
      <c r="MX401" s="31"/>
      <c r="MY401" s="31"/>
      <c r="MZ401" s="31"/>
      <c r="NA401" s="31"/>
      <c r="NB401" s="31"/>
      <c r="NC401" s="31"/>
      <c r="ND401" s="31"/>
      <c r="NE401" s="31"/>
      <c r="NF401" s="31"/>
      <c r="NG401" s="31"/>
      <c r="NH401" s="31"/>
      <c r="NI401" s="31"/>
      <c r="NJ401" s="31"/>
      <c r="NK401" s="31"/>
      <c r="NL401" s="31"/>
      <c r="NM401" s="31"/>
      <c r="NN401" s="31"/>
      <c r="NO401" s="31"/>
      <c r="NP401" s="31"/>
      <c r="NQ401" s="31"/>
      <c r="NR401" s="31"/>
      <c r="NS401" s="31"/>
      <c r="NT401" s="31"/>
      <c r="NU401" s="31"/>
      <c r="NV401" s="31"/>
      <c r="NW401" s="31"/>
      <c r="NX401" s="31"/>
      <c r="NY401" s="31"/>
      <c r="NZ401" s="31"/>
      <c r="OA401" s="31"/>
      <c r="OB401" s="31"/>
      <c r="OC401" s="31"/>
      <c r="OD401" s="31"/>
      <c r="OE401" s="31"/>
      <c r="OF401" s="31"/>
      <c r="OG401" s="31"/>
      <c r="OH401" s="31"/>
      <c r="OI401" s="31"/>
      <c r="OJ401" s="31"/>
      <c r="OK401" s="31"/>
      <c r="OL401" s="31"/>
      <c r="OM401" s="31"/>
      <c r="ON401" s="31"/>
      <c r="OO401" s="31"/>
      <c r="OP401" s="31"/>
      <c r="OQ401" s="31"/>
      <c r="OR401" s="31"/>
      <c r="OS401" s="31"/>
      <c r="OT401" s="31"/>
      <c r="OU401" s="31"/>
      <c r="OV401" s="31"/>
      <c r="OW401" s="31"/>
      <c r="OX401" s="31"/>
    </row>
    <row r="402" spans="2:414" s="25" customFormat="1" ht="15.6">
      <c r="B402" s="25" t="s">
        <v>976</v>
      </c>
      <c r="C402" s="27" t="s">
        <v>646</v>
      </c>
      <c r="D402" s="30" t="s">
        <v>105</v>
      </c>
      <c r="G402" s="42">
        <v>80</v>
      </c>
      <c r="H402" s="89">
        <v>26.109000000000002</v>
      </c>
      <c r="I402" s="38">
        <f t="shared" si="135"/>
        <v>2088.7200000000003</v>
      </c>
      <c r="K402" s="42">
        <v>80</v>
      </c>
      <c r="L402" s="90">
        <v>26.849599999999999</v>
      </c>
      <c r="M402" s="38">
        <f t="shared" si="136"/>
        <v>2147.9679999999998</v>
      </c>
      <c r="O402" s="42">
        <v>505</v>
      </c>
      <c r="P402" s="38">
        <v>26.728300000000001</v>
      </c>
      <c r="Q402" s="38">
        <f t="shared" si="137"/>
        <v>13497.791500000001</v>
      </c>
      <c r="R402" s="43">
        <f t="shared" si="132"/>
        <v>665</v>
      </c>
      <c r="S402" s="38">
        <f t="shared" si="138"/>
        <v>17734.479500000001</v>
      </c>
      <c r="T402" s="49">
        <v>240</v>
      </c>
      <c r="U402" s="42">
        <v>26.73</v>
      </c>
      <c r="V402" s="38">
        <f t="shared" si="126"/>
        <v>6415.2</v>
      </c>
      <c r="W402" s="42">
        <v>510</v>
      </c>
      <c r="X402" s="42">
        <v>26.73</v>
      </c>
      <c r="Y402" s="42">
        <f t="shared" si="128"/>
        <v>13632.300000000001</v>
      </c>
      <c r="Z402" s="42"/>
      <c r="AA402" s="42"/>
      <c r="AB402" s="42">
        <f t="shared" si="133"/>
        <v>0</v>
      </c>
      <c r="AD402" s="42"/>
      <c r="AE402" s="42"/>
      <c r="AF402" s="42">
        <f t="shared" si="130"/>
        <v>0</v>
      </c>
      <c r="AG402" s="42"/>
      <c r="AH402" s="42"/>
      <c r="AI402" s="42"/>
      <c r="AJ402" s="42">
        <f t="shared" si="134"/>
        <v>0</v>
      </c>
      <c r="AL402" s="42"/>
      <c r="AM402" s="42"/>
      <c r="AN402" s="42"/>
      <c r="AO402" s="44"/>
      <c r="AP402" s="42"/>
      <c r="AQ402" s="42"/>
      <c r="AR402" s="42"/>
      <c r="AU402" s="98"/>
      <c r="AV402" s="35"/>
      <c r="AW402" s="104"/>
      <c r="AX402" s="42"/>
      <c r="AY402" s="42"/>
      <c r="AZ402" s="42">
        <f t="shared" si="131"/>
        <v>0</v>
      </c>
      <c r="BA402" s="42"/>
      <c r="BB402" s="42"/>
      <c r="BC402" s="42"/>
      <c r="BD402" s="38">
        <f t="shared" si="139"/>
        <v>0</v>
      </c>
      <c r="BE402" s="42"/>
      <c r="BF402" s="42"/>
      <c r="BG402" s="42"/>
      <c r="BH402" s="38">
        <f t="shared" si="140"/>
        <v>0</v>
      </c>
      <c r="BI402" s="42"/>
      <c r="BJ402" s="42"/>
      <c r="BK402" s="42"/>
      <c r="BL402" s="38">
        <f t="shared" si="141"/>
        <v>0</v>
      </c>
      <c r="BM402" s="42"/>
      <c r="BN402" s="42"/>
      <c r="BO402" s="42"/>
      <c r="BP402" s="42"/>
      <c r="BR402" s="42">
        <f t="shared" si="142"/>
        <v>20047.5</v>
      </c>
      <c r="BS402" s="43"/>
      <c r="BT402" s="42">
        <v>2313.02</v>
      </c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  <c r="FM402" s="31"/>
      <c r="FN402" s="31"/>
      <c r="FO402" s="31"/>
      <c r="FP402" s="31"/>
      <c r="FQ402" s="31"/>
      <c r="FR402" s="31"/>
      <c r="FS402" s="31"/>
      <c r="FT402" s="31"/>
      <c r="FU402" s="31"/>
      <c r="FV402" s="31"/>
      <c r="FW402" s="31"/>
      <c r="FX402" s="31"/>
      <c r="FY402" s="31"/>
      <c r="FZ402" s="31"/>
      <c r="GA402" s="31"/>
      <c r="GB402" s="31"/>
      <c r="GC402" s="31"/>
      <c r="GD402" s="31"/>
      <c r="GE402" s="31"/>
      <c r="GF402" s="31"/>
      <c r="GG402" s="31"/>
      <c r="GH402" s="31"/>
      <c r="GI402" s="31"/>
      <c r="GJ402" s="31"/>
      <c r="GK402" s="31"/>
      <c r="GL402" s="31"/>
      <c r="GM402" s="31"/>
      <c r="GN402" s="31"/>
      <c r="GO402" s="31"/>
      <c r="GP402" s="31"/>
      <c r="GQ402" s="31"/>
      <c r="GR402" s="31"/>
      <c r="GS402" s="31"/>
      <c r="GT402" s="31"/>
      <c r="GU402" s="31"/>
      <c r="GV402" s="31"/>
      <c r="GW402" s="31"/>
      <c r="GX402" s="31"/>
      <c r="GY402" s="31"/>
      <c r="GZ402" s="31"/>
      <c r="HA402" s="31"/>
      <c r="HB402" s="31"/>
      <c r="HC402" s="31"/>
      <c r="HD402" s="31"/>
      <c r="HE402" s="31"/>
      <c r="HF402" s="31"/>
      <c r="HG402" s="31"/>
      <c r="HH402" s="31"/>
      <c r="HI402" s="31"/>
      <c r="HJ402" s="31"/>
      <c r="HK402" s="31"/>
      <c r="HL402" s="31"/>
      <c r="HM402" s="31"/>
      <c r="HN402" s="31"/>
      <c r="HO402" s="31"/>
      <c r="HP402" s="31"/>
      <c r="HQ402" s="31"/>
      <c r="HR402" s="31"/>
      <c r="HS402" s="31"/>
      <c r="HT402" s="31"/>
      <c r="HU402" s="31"/>
      <c r="HV402" s="31"/>
      <c r="HW402" s="31"/>
      <c r="HX402" s="31"/>
      <c r="HY402" s="31"/>
      <c r="HZ402" s="31"/>
      <c r="IA402" s="31"/>
      <c r="IB402" s="31"/>
      <c r="IC402" s="31"/>
      <c r="ID402" s="31"/>
      <c r="IE402" s="31"/>
      <c r="IF402" s="31"/>
      <c r="IG402" s="31"/>
      <c r="IH402" s="31"/>
      <c r="II402" s="31"/>
      <c r="IJ402" s="31"/>
      <c r="IK402" s="31"/>
      <c r="IL402" s="31"/>
      <c r="IM402" s="31"/>
      <c r="IN402" s="31"/>
      <c r="IO402" s="31"/>
      <c r="IP402" s="31"/>
      <c r="IQ402" s="31"/>
      <c r="IR402" s="31"/>
      <c r="IS402" s="31"/>
      <c r="IT402" s="31"/>
      <c r="IU402" s="31"/>
      <c r="IV402" s="31"/>
      <c r="IW402" s="31"/>
      <c r="IX402" s="31"/>
      <c r="IY402" s="31"/>
      <c r="IZ402" s="31"/>
      <c r="JA402" s="31"/>
      <c r="JB402" s="31"/>
      <c r="JC402" s="31"/>
      <c r="JD402" s="31"/>
      <c r="JE402" s="31"/>
      <c r="JF402" s="31"/>
      <c r="JG402" s="31"/>
      <c r="JH402" s="31"/>
      <c r="JI402" s="31"/>
      <c r="JJ402" s="31"/>
      <c r="JK402" s="31"/>
      <c r="JL402" s="31"/>
      <c r="JM402" s="31"/>
      <c r="JN402" s="31"/>
      <c r="JO402" s="31"/>
      <c r="JP402" s="31"/>
      <c r="JQ402" s="31"/>
      <c r="JR402" s="31"/>
      <c r="JS402" s="31"/>
      <c r="JT402" s="31"/>
      <c r="JU402" s="31"/>
      <c r="JV402" s="31"/>
      <c r="JW402" s="31"/>
      <c r="JX402" s="31"/>
      <c r="JY402" s="31"/>
      <c r="JZ402" s="31"/>
      <c r="KA402" s="31"/>
      <c r="KB402" s="31"/>
      <c r="KC402" s="31"/>
      <c r="KD402" s="31"/>
      <c r="KE402" s="31"/>
      <c r="KF402" s="31"/>
      <c r="KG402" s="31"/>
      <c r="KH402" s="31"/>
      <c r="KI402" s="31"/>
      <c r="KJ402" s="31"/>
      <c r="KK402" s="31"/>
      <c r="KL402" s="31"/>
      <c r="KM402" s="31"/>
      <c r="KN402" s="31"/>
      <c r="KO402" s="31"/>
      <c r="KP402" s="31"/>
      <c r="KQ402" s="31"/>
      <c r="KR402" s="31"/>
      <c r="KS402" s="31"/>
      <c r="KT402" s="31"/>
      <c r="KU402" s="31"/>
      <c r="KV402" s="31"/>
      <c r="KW402" s="31"/>
      <c r="KX402" s="31"/>
      <c r="KY402" s="31"/>
      <c r="KZ402" s="31"/>
      <c r="LA402" s="31"/>
      <c r="LB402" s="31"/>
      <c r="LC402" s="31"/>
      <c r="LD402" s="31"/>
      <c r="LE402" s="31"/>
      <c r="LF402" s="31"/>
      <c r="LG402" s="31"/>
      <c r="LH402" s="31"/>
      <c r="LI402" s="31"/>
      <c r="LJ402" s="31"/>
      <c r="LK402" s="31"/>
      <c r="LL402" s="31"/>
      <c r="LM402" s="31"/>
      <c r="LN402" s="31"/>
      <c r="LO402" s="31"/>
      <c r="LP402" s="31"/>
      <c r="LQ402" s="31"/>
      <c r="LR402" s="31"/>
      <c r="LS402" s="31"/>
      <c r="LT402" s="31"/>
      <c r="LU402" s="31"/>
      <c r="LV402" s="31"/>
      <c r="LW402" s="31"/>
      <c r="LX402" s="31"/>
      <c r="LY402" s="31"/>
      <c r="LZ402" s="31"/>
      <c r="MA402" s="31"/>
      <c r="MB402" s="31"/>
      <c r="MC402" s="31"/>
      <c r="MD402" s="31"/>
      <c r="ME402" s="31"/>
      <c r="MF402" s="31"/>
      <c r="MG402" s="31"/>
      <c r="MH402" s="31"/>
      <c r="MI402" s="31"/>
      <c r="MJ402" s="31"/>
      <c r="MK402" s="31"/>
      <c r="ML402" s="31"/>
      <c r="MM402" s="31"/>
      <c r="MN402" s="31"/>
      <c r="MO402" s="31"/>
      <c r="MP402" s="31"/>
      <c r="MQ402" s="31"/>
      <c r="MR402" s="31"/>
      <c r="MS402" s="31"/>
      <c r="MT402" s="31"/>
      <c r="MU402" s="31"/>
      <c r="MV402" s="31"/>
      <c r="MW402" s="31"/>
      <c r="MX402" s="31"/>
      <c r="MY402" s="31"/>
      <c r="MZ402" s="31"/>
      <c r="NA402" s="31"/>
      <c r="NB402" s="31"/>
      <c r="NC402" s="31"/>
      <c r="ND402" s="31"/>
      <c r="NE402" s="31"/>
      <c r="NF402" s="31"/>
      <c r="NG402" s="31"/>
      <c r="NH402" s="31"/>
      <c r="NI402" s="31"/>
      <c r="NJ402" s="31"/>
      <c r="NK402" s="31"/>
      <c r="NL402" s="31"/>
      <c r="NM402" s="31"/>
      <c r="NN402" s="31"/>
      <c r="NO402" s="31"/>
      <c r="NP402" s="31"/>
      <c r="NQ402" s="31"/>
      <c r="NR402" s="31"/>
      <c r="NS402" s="31"/>
      <c r="NT402" s="31"/>
      <c r="NU402" s="31"/>
      <c r="NV402" s="31"/>
      <c r="NW402" s="31"/>
      <c r="NX402" s="31"/>
      <c r="NY402" s="31"/>
      <c r="NZ402" s="31"/>
      <c r="OA402" s="31"/>
      <c r="OB402" s="31"/>
      <c r="OC402" s="31"/>
      <c r="OD402" s="31"/>
      <c r="OE402" s="31"/>
      <c r="OF402" s="31"/>
      <c r="OG402" s="31"/>
      <c r="OH402" s="31"/>
      <c r="OI402" s="31"/>
      <c r="OJ402" s="31"/>
      <c r="OK402" s="31"/>
      <c r="OL402" s="31"/>
      <c r="OM402" s="31"/>
      <c r="ON402" s="31"/>
      <c r="OO402" s="31"/>
      <c r="OP402" s="31"/>
      <c r="OQ402" s="31"/>
      <c r="OR402" s="31"/>
      <c r="OS402" s="31"/>
      <c r="OT402" s="31"/>
      <c r="OU402" s="31"/>
      <c r="OV402" s="31"/>
      <c r="OW402" s="31"/>
      <c r="OX402" s="31"/>
    </row>
    <row r="403" spans="2:414" s="25" customFormat="1" ht="15.6">
      <c r="B403" s="25" t="s">
        <v>813</v>
      </c>
      <c r="C403" s="27" t="s">
        <v>812</v>
      </c>
      <c r="D403" s="30" t="s">
        <v>105</v>
      </c>
      <c r="G403" s="42">
        <v>80</v>
      </c>
      <c r="H403" s="89">
        <v>26.109000000000002</v>
      </c>
      <c r="I403" s="38">
        <f t="shared" si="135"/>
        <v>2088.7200000000003</v>
      </c>
      <c r="K403" s="42">
        <v>80</v>
      </c>
      <c r="L403" s="90">
        <v>26.849599999999999</v>
      </c>
      <c r="M403" s="38">
        <f t="shared" si="136"/>
        <v>2147.9679999999998</v>
      </c>
      <c r="O403" s="42">
        <v>505</v>
      </c>
      <c r="P403" s="38">
        <v>26.728300000000001</v>
      </c>
      <c r="Q403" s="38">
        <f t="shared" si="137"/>
        <v>13497.791500000001</v>
      </c>
      <c r="R403" s="43">
        <f t="shared" si="132"/>
        <v>665</v>
      </c>
      <c r="S403" s="38">
        <f t="shared" si="138"/>
        <v>17734.479500000001</v>
      </c>
      <c r="T403" s="49">
        <v>240</v>
      </c>
      <c r="U403" s="42">
        <v>26.7165</v>
      </c>
      <c r="V403" s="38">
        <f t="shared" si="126"/>
        <v>6411.96</v>
      </c>
      <c r="W403" s="42">
        <v>505</v>
      </c>
      <c r="X403" s="42">
        <v>26.677399999999999</v>
      </c>
      <c r="Y403" s="42">
        <f t="shared" si="128"/>
        <v>13472.087</v>
      </c>
      <c r="Z403" s="42"/>
      <c r="AA403" s="42"/>
      <c r="AB403" s="42">
        <f t="shared" si="133"/>
        <v>0</v>
      </c>
      <c r="AD403" s="42"/>
      <c r="AE403" s="42"/>
      <c r="AF403" s="42">
        <f t="shared" si="130"/>
        <v>0</v>
      </c>
      <c r="AG403" s="42"/>
      <c r="AH403" s="42"/>
      <c r="AI403" s="42"/>
      <c r="AJ403" s="42">
        <f t="shared" si="134"/>
        <v>0</v>
      </c>
      <c r="AL403" s="42"/>
      <c r="AM403" s="42"/>
      <c r="AN403" s="42"/>
      <c r="AO403" s="44"/>
      <c r="AP403" s="42"/>
      <c r="AQ403" s="42"/>
      <c r="AR403" s="42"/>
      <c r="AU403" s="98"/>
      <c r="AV403" s="35"/>
      <c r="AW403" s="104"/>
      <c r="AX403" s="42"/>
      <c r="AY403" s="42"/>
      <c r="AZ403" s="42">
        <f t="shared" si="131"/>
        <v>0</v>
      </c>
      <c r="BA403" s="42"/>
      <c r="BB403" s="42"/>
      <c r="BC403" s="42"/>
      <c r="BD403" s="38">
        <f t="shared" si="139"/>
        <v>0</v>
      </c>
      <c r="BE403" s="42"/>
      <c r="BF403" s="42"/>
      <c r="BG403" s="42"/>
      <c r="BH403" s="38">
        <f t="shared" si="140"/>
        <v>0</v>
      </c>
      <c r="BI403" s="42"/>
      <c r="BJ403" s="42"/>
      <c r="BK403" s="42"/>
      <c r="BL403" s="38">
        <f t="shared" si="141"/>
        <v>0</v>
      </c>
      <c r="BM403" s="42"/>
      <c r="BN403" s="42"/>
      <c r="BO403" s="42"/>
      <c r="BP403" s="42"/>
      <c r="BR403" s="42">
        <f t="shared" si="142"/>
        <v>19884.046999999999</v>
      </c>
      <c r="BS403" s="43"/>
      <c r="BT403" s="42">
        <v>2149.5700000000002</v>
      </c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  <c r="FM403" s="31"/>
      <c r="FN403" s="31"/>
      <c r="FO403" s="31"/>
      <c r="FP403" s="31"/>
      <c r="FQ403" s="31"/>
      <c r="FR403" s="31"/>
      <c r="FS403" s="31"/>
      <c r="FT403" s="31"/>
      <c r="FU403" s="31"/>
      <c r="FV403" s="31"/>
      <c r="FW403" s="31"/>
      <c r="FX403" s="31"/>
      <c r="FY403" s="31"/>
      <c r="FZ403" s="31"/>
      <c r="GA403" s="31"/>
      <c r="GB403" s="31"/>
      <c r="GC403" s="31"/>
      <c r="GD403" s="31"/>
      <c r="GE403" s="31"/>
      <c r="GF403" s="31"/>
      <c r="GG403" s="31"/>
      <c r="GH403" s="31"/>
      <c r="GI403" s="31"/>
      <c r="GJ403" s="31"/>
      <c r="GK403" s="31"/>
      <c r="GL403" s="31"/>
      <c r="GM403" s="31"/>
      <c r="GN403" s="31"/>
      <c r="GO403" s="31"/>
      <c r="GP403" s="31"/>
      <c r="GQ403" s="31"/>
      <c r="GR403" s="31"/>
      <c r="GS403" s="31"/>
      <c r="GT403" s="31"/>
      <c r="GU403" s="31"/>
      <c r="GV403" s="31"/>
      <c r="GW403" s="31"/>
      <c r="GX403" s="31"/>
      <c r="GY403" s="31"/>
      <c r="GZ403" s="31"/>
      <c r="HA403" s="31"/>
      <c r="HB403" s="31"/>
      <c r="HC403" s="31"/>
      <c r="HD403" s="31"/>
      <c r="HE403" s="31"/>
      <c r="HF403" s="31"/>
      <c r="HG403" s="31"/>
      <c r="HH403" s="31"/>
      <c r="HI403" s="31"/>
      <c r="HJ403" s="31"/>
      <c r="HK403" s="31"/>
      <c r="HL403" s="31"/>
      <c r="HM403" s="31"/>
      <c r="HN403" s="31"/>
      <c r="HO403" s="31"/>
      <c r="HP403" s="31"/>
      <c r="HQ403" s="31"/>
      <c r="HR403" s="31"/>
      <c r="HS403" s="31"/>
      <c r="HT403" s="31"/>
      <c r="HU403" s="31"/>
      <c r="HV403" s="31"/>
      <c r="HW403" s="31"/>
      <c r="HX403" s="31"/>
      <c r="HY403" s="31"/>
      <c r="HZ403" s="31"/>
      <c r="IA403" s="31"/>
      <c r="IB403" s="31"/>
      <c r="IC403" s="31"/>
      <c r="ID403" s="31"/>
      <c r="IE403" s="31"/>
      <c r="IF403" s="31"/>
      <c r="IG403" s="31"/>
      <c r="IH403" s="31"/>
      <c r="II403" s="31"/>
      <c r="IJ403" s="31"/>
      <c r="IK403" s="31"/>
      <c r="IL403" s="31"/>
      <c r="IM403" s="31"/>
      <c r="IN403" s="31"/>
      <c r="IO403" s="31"/>
      <c r="IP403" s="31"/>
      <c r="IQ403" s="31"/>
      <c r="IR403" s="31"/>
      <c r="IS403" s="31"/>
      <c r="IT403" s="31"/>
      <c r="IU403" s="31"/>
      <c r="IV403" s="31"/>
      <c r="IW403" s="31"/>
      <c r="IX403" s="31"/>
      <c r="IY403" s="31"/>
      <c r="IZ403" s="31"/>
      <c r="JA403" s="31"/>
      <c r="JB403" s="31"/>
      <c r="JC403" s="31"/>
      <c r="JD403" s="31"/>
      <c r="JE403" s="31"/>
      <c r="JF403" s="31"/>
      <c r="JG403" s="31"/>
      <c r="JH403" s="31"/>
      <c r="JI403" s="31"/>
      <c r="JJ403" s="31"/>
      <c r="JK403" s="31"/>
      <c r="JL403" s="31"/>
      <c r="JM403" s="31"/>
      <c r="JN403" s="31"/>
      <c r="JO403" s="31"/>
      <c r="JP403" s="31"/>
      <c r="JQ403" s="31"/>
      <c r="JR403" s="31"/>
      <c r="JS403" s="31"/>
      <c r="JT403" s="31"/>
      <c r="JU403" s="31"/>
      <c r="JV403" s="31"/>
      <c r="JW403" s="31"/>
      <c r="JX403" s="31"/>
      <c r="JY403" s="31"/>
      <c r="JZ403" s="31"/>
      <c r="KA403" s="31"/>
      <c r="KB403" s="31"/>
      <c r="KC403" s="31"/>
      <c r="KD403" s="31"/>
      <c r="KE403" s="31"/>
      <c r="KF403" s="31"/>
      <c r="KG403" s="31"/>
      <c r="KH403" s="31"/>
      <c r="KI403" s="31"/>
      <c r="KJ403" s="31"/>
      <c r="KK403" s="31"/>
      <c r="KL403" s="31"/>
      <c r="KM403" s="31"/>
      <c r="KN403" s="31"/>
      <c r="KO403" s="31"/>
      <c r="KP403" s="31"/>
      <c r="KQ403" s="31"/>
      <c r="KR403" s="31"/>
      <c r="KS403" s="31"/>
      <c r="KT403" s="31"/>
      <c r="KU403" s="31"/>
      <c r="KV403" s="31"/>
      <c r="KW403" s="31"/>
      <c r="KX403" s="31"/>
      <c r="KY403" s="31"/>
      <c r="KZ403" s="31"/>
      <c r="LA403" s="31"/>
      <c r="LB403" s="31"/>
      <c r="LC403" s="31"/>
      <c r="LD403" s="31"/>
      <c r="LE403" s="31"/>
      <c r="LF403" s="31"/>
      <c r="LG403" s="31"/>
      <c r="LH403" s="31"/>
      <c r="LI403" s="31"/>
      <c r="LJ403" s="31"/>
      <c r="LK403" s="31"/>
      <c r="LL403" s="31"/>
      <c r="LM403" s="31"/>
      <c r="LN403" s="31"/>
      <c r="LO403" s="31"/>
      <c r="LP403" s="31"/>
      <c r="LQ403" s="31"/>
      <c r="LR403" s="31"/>
      <c r="LS403" s="31"/>
      <c r="LT403" s="31"/>
      <c r="LU403" s="31"/>
      <c r="LV403" s="31"/>
      <c r="LW403" s="31"/>
      <c r="LX403" s="31"/>
      <c r="LY403" s="31"/>
      <c r="LZ403" s="31"/>
      <c r="MA403" s="31"/>
      <c r="MB403" s="31"/>
      <c r="MC403" s="31"/>
      <c r="MD403" s="31"/>
      <c r="ME403" s="31"/>
      <c r="MF403" s="31"/>
      <c r="MG403" s="31"/>
      <c r="MH403" s="31"/>
      <c r="MI403" s="31"/>
      <c r="MJ403" s="31"/>
      <c r="MK403" s="31"/>
      <c r="ML403" s="31"/>
      <c r="MM403" s="31"/>
      <c r="MN403" s="31"/>
      <c r="MO403" s="31"/>
      <c r="MP403" s="31"/>
      <c r="MQ403" s="31"/>
      <c r="MR403" s="31"/>
      <c r="MS403" s="31"/>
      <c r="MT403" s="31"/>
      <c r="MU403" s="31"/>
      <c r="MV403" s="31"/>
      <c r="MW403" s="31"/>
      <c r="MX403" s="31"/>
      <c r="MY403" s="31"/>
      <c r="MZ403" s="31"/>
      <c r="NA403" s="31"/>
      <c r="NB403" s="31"/>
      <c r="NC403" s="31"/>
      <c r="ND403" s="31"/>
      <c r="NE403" s="31"/>
      <c r="NF403" s="31"/>
      <c r="NG403" s="31"/>
      <c r="NH403" s="31"/>
      <c r="NI403" s="31"/>
      <c r="NJ403" s="31"/>
      <c r="NK403" s="31"/>
      <c r="NL403" s="31"/>
      <c r="NM403" s="31"/>
      <c r="NN403" s="31"/>
      <c r="NO403" s="31"/>
      <c r="NP403" s="31"/>
      <c r="NQ403" s="31"/>
      <c r="NR403" s="31"/>
      <c r="NS403" s="31"/>
      <c r="NT403" s="31"/>
      <c r="NU403" s="31"/>
      <c r="NV403" s="31"/>
      <c r="NW403" s="31"/>
      <c r="NX403" s="31"/>
      <c r="NY403" s="31"/>
      <c r="NZ403" s="31"/>
      <c r="OA403" s="31"/>
      <c r="OB403" s="31"/>
      <c r="OC403" s="31"/>
      <c r="OD403" s="31"/>
      <c r="OE403" s="31"/>
      <c r="OF403" s="31"/>
      <c r="OG403" s="31"/>
      <c r="OH403" s="31"/>
      <c r="OI403" s="31"/>
      <c r="OJ403" s="31"/>
      <c r="OK403" s="31"/>
      <c r="OL403" s="31"/>
      <c r="OM403" s="31"/>
      <c r="ON403" s="31"/>
      <c r="OO403" s="31"/>
      <c r="OP403" s="31"/>
      <c r="OQ403" s="31"/>
      <c r="OR403" s="31"/>
      <c r="OS403" s="31"/>
      <c r="OT403" s="31"/>
      <c r="OU403" s="31"/>
      <c r="OV403" s="31"/>
      <c r="OW403" s="31"/>
      <c r="OX403" s="31"/>
    </row>
    <row r="404" spans="2:414" s="25" customFormat="1" ht="15.6">
      <c r="B404" s="25" t="s">
        <v>977</v>
      </c>
      <c r="C404" s="27" t="s">
        <v>978</v>
      </c>
      <c r="D404" s="30" t="s">
        <v>105</v>
      </c>
      <c r="G404" s="42">
        <v>80</v>
      </c>
      <c r="H404" s="89">
        <v>26.109000000000002</v>
      </c>
      <c r="I404" s="38">
        <f t="shared" si="135"/>
        <v>2088.7200000000003</v>
      </c>
      <c r="K404" s="42">
        <v>80</v>
      </c>
      <c r="L404" s="90">
        <v>26.849599999999999</v>
      </c>
      <c r="M404" s="38">
        <f t="shared" si="136"/>
        <v>2147.9679999999998</v>
      </c>
      <c r="O404" s="42">
        <v>505</v>
      </c>
      <c r="P404" s="38">
        <v>26.728300000000001</v>
      </c>
      <c r="Q404" s="38">
        <f t="shared" si="137"/>
        <v>13497.791500000001</v>
      </c>
      <c r="R404" s="43">
        <f t="shared" si="132"/>
        <v>665</v>
      </c>
      <c r="S404" s="38">
        <f t="shared" si="138"/>
        <v>17734.479500000001</v>
      </c>
      <c r="T404" s="49">
        <v>240</v>
      </c>
      <c r="U404" s="42">
        <v>26.704000000000001</v>
      </c>
      <c r="V404" s="38">
        <f t="shared" si="126"/>
        <v>6408.96</v>
      </c>
      <c r="W404" s="42">
        <v>505</v>
      </c>
      <c r="X404" s="42">
        <v>26.7</v>
      </c>
      <c r="Y404" s="42">
        <f t="shared" si="128"/>
        <v>13483.5</v>
      </c>
      <c r="Z404" s="42"/>
      <c r="AA404" s="42"/>
      <c r="AB404" s="42">
        <f t="shared" si="133"/>
        <v>0</v>
      </c>
      <c r="AD404" s="42"/>
      <c r="AE404" s="42"/>
      <c r="AF404" s="42">
        <f t="shared" si="130"/>
        <v>0</v>
      </c>
      <c r="AG404" s="42"/>
      <c r="AH404" s="42"/>
      <c r="AI404" s="42"/>
      <c r="AJ404" s="42">
        <f t="shared" si="134"/>
        <v>0</v>
      </c>
      <c r="AL404" s="42"/>
      <c r="AM404" s="42"/>
      <c r="AN404" s="42"/>
      <c r="AO404" s="44"/>
      <c r="AP404" s="42"/>
      <c r="AQ404" s="42"/>
      <c r="AR404" s="42"/>
      <c r="AU404" s="98"/>
      <c r="AV404" s="35"/>
      <c r="AW404" s="104"/>
      <c r="AX404" s="42"/>
      <c r="AY404" s="42"/>
      <c r="AZ404" s="42">
        <f t="shared" si="131"/>
        <v>0</v>
      </c>
      <c r="BA404" s="42"/>
      <c r="BB404" s="42"/>
      <c r="BC404" s="42"/>
      <c r="BD404" s="38">
        <f t="shared" si="139"/>
        <v>0</v>
      </c>
      <c r="BE404" s="42"/>
      <c r="BF404" s="42"/>
      <c r="BG404" s="42"/>
      <c r="BH404" s="38">
        <f t="shared" si="140"/>
        <v>0</v>
      </c>
      <c r="BI404" s="42"/>
      <c r="BJ404" s="42"/>
      <c r="BK404" s="42"/>
      <c r="BL404" s="38">
        <f t="shared" si="141"/>
        <v>0</v>
      </c>
      <c r="BM404" s="42"/>
      <c r="BN404" s="42"/>
      <c r="BO404" s="42"/>
      <c r="BP404" s="42"/>
      <c r="BR404" s="42">
        <f t="shared" si="142"/>
        <v>19892.46</v>
      </c>
      <c r="BS404" s="43"/>
      <c r="BT404" s="42">
        <v>2157.98</v>
      </c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  <c r="FM404" s="31"/>
      <c r="FN404" s="31"/>
      <c r="FO404" s="31"/>
      <c r="FP404" s="31"/>
      <c r="FQ404" s="31"/>
      <c r="FR404" s="31"/>
      <c r="FS404" s="31"/>
      <c r="FT404" s="31"/>
      <c r="FU404" s="31"/>
      <c r="FV404" s="31"/>
      <c r="FW404" s="31"/>
      <c r="FX404" s="31"/>
      <c r="FY404" s="31"/>
      <c r="FZ404" s="31"/>
      <c r="GA404" s="31"/>
      <c r="GB404" s="31"/>
      <c r="GC404" s="31"/>
      <c r="GD404" s="31"/>
      <c r="GE404" s="31"/>
      <c r="GF404" s="31"/>
      <c r="GG404" s="31"/>
      <c r="GH404" s="31"/>
      <c r="GI404" s="31"/>
      <c r="GJ404" s="31"/>
      <c r="GK404" s="31"/>
      <c r="GL404" s="31"/>
      <c r="GM404" s="31"/>
      <c r="GN404" s="31"/>
      <c r="GO404" s="31"/>
      <c r="GP404" s="31"/>
      <c r="GQ404" s="31"/>
      <c r="GR404" s="31"/>
      <c r="GS404" s="31"/>
      <c r="GT404" s="31"/>
      <c r="GU404" s="31"/>
      <c r="GV404" s="31"/>
      <c r="GW404" s="31"/>
      <c r="GX404" s="31"/>
      <c r="GY404" s="31"/>
      <c r="GZ404" s="31"/>
      <c r="HA404" s="31"/>
      <c r="HB404" s="31"/>
      <c r="HC404" s="31"/>
      <c r="HD404" s="31"/>
      <c r="HE404" s="31"/>
      <c r="HF404" s="31"/>
      <c r="HG404" s="31"/>
      <c r="HH404" s="31"/>
      <c r="HI404" s="31"/>
      <c r="HJ404" s="31"/>
      <c r="HK404" s="31"/>
      <c r="HL404" s="31"/>
      <c r="HM404" s="31"/>
      <c r="HN404" s="31"/>
      <c r="HO404" s="31"/>
      <c r="HP404" s="31"/>
      <c r="HQ404" s="31"/>
      <c r="HR404" s="31"/>
      <c r="HS404" s="31"/>
      <c r="HT404" s="31"/>
      <c r="HU404" s="31"/>
      <c r="HV404" s="31"/>
      <c r="HW404" s="31"/>
      <c r="HX404" s="31"/>
      <c r="HY404" s="31"/>
      <c r="HZ404" s="31"/>
      <c r="IA404" s="31"/>
      <c r="IB404" s="31"/>
      <c r="IC404" s="31"/>
      <c r="ID404" s="31"/>
      <c r="IE404" s="31"/>
      <c r="IF404" s="31"/>
      <c r="IG404" s="31"/>
      <c r="IH404" s="31"/>
      <c r="II404" s="31"/>
      <c r="IJ404" s="31"/>
      <c r="IK404" s="31"/>
      <c r="IL404" s="31"/>
      <c r="IM404" s="31"/>
      <c r="IN404" s="31"/>
      <c r="IO404" s="31"/>
      <c r="IP404" s="31"/>
      <c r="IQ404" s="31"/>
      <c r="IR404" s="31"/>
      <c r="IS404" s="31"/>
      <c r="IT404" s="31"/>
      <c r="IU404" s="31"/>
      <c r="IV404" s="31"/>
      <c r="IW404" s="31"/>
      <c r="IX404" s="31"/>
      <c r="IY404" s="31"/>
      <c r="IZ404" s="31"/>
      <c r="JA404" s="31"/>
      <c r="JB404" s="31"/>
      <c r="JC404" s="31"/>
      <c r="JD404" s="31"/>
      <c r="JE404" s="31"/>
      <c r="JF404" s="31"/>
      <c r="JG404" s="31"/>
      <c r="JH404" s="31"/>
      <c r="JI404" s="31"/>
      <c r="JJ404" s="31"/>
      <c r="JK404" s="31"/>
      <c r="JL404" s="31"/>
      <c r="JM404" s="31"/>
      <c r="JN404" s="31"/>
      <c r="JO404" s="31"/>
      <c r="JP404" s="31"/>
      <c r="JQ404" s="31"/>
      <c r="JR404" s="31"/>
      <c r="JS404" s="31"/>
      <c r="JT404" s="31"/>
      <c r="JU404" s="31"/>
      <c r="JV404" s="31"/>
      <c r="JW404" s="31"/>
      <c r="JX404" s="31"/>
      <c r="JY404" s="31"/>
      <c r="JZ404" s="31"/>
      <c r="KA404" s="31"/>
      <c r="KB404" s="31"/>
      <c r="KC404" s="31"/>
      <c r="KD404" s="31"/>
      <c r="KE404" s="31"/>
      <c r="KF404" s="31"/>
      <c r="KG404" s="31"/>
      <c r="KH404" s="31"/>
      <c r="KI404" s="31"/>
      <c r="KJ404" s="31"/>
      <c r="KK404" s="31"/>
      <c r="KL404" s="31"/>
      <c r="KM404" s="31"/>
      <c r="KN404" s="31"/>
      <c r="KO404" s="31"/>
      <c r="KP404" s="31"/>
      <c r="KQ404" s="31"/>
      <c r="KR404" s="31"/>
      <c r="KS404" s="31"/>
      <c r="KT404" s="31"/>
      <c r="KU404" s="31"/>
      <c r="KV404" s="31"/>
      <c r="KW404" s="31"/>
      <c r="KX404" s="31"/>
      <c r="KY404" s="31"/>
      <c r="KZ404" s="31"/>
      <c r="LA404" s="31"/>
      <c r="LB404" s="31"/>
      <c r="LC404" s="31"/>
      <c r="LD404" s="31"/>
      <c r="LE404" s="31"/>
      <c r="LF404" s="31"/>
      <c r="LG404" s="31"/>
      <c r="LH404" s="31"/>
      <c r="LI404" s="31"/>
      <c r="LJ404" s="31"/>
      <c r="LK404" s="31"/>
      <c r="LL404" s="31"/>
      <c r="LM404" s="31"/>
      <c r="LN404" s="31"/>
      <c r="LO404" s="31"/>
      <c r="LP404" s="31"/>
      <c r="LQ404" s="31"/>
      <c r="LR404" s="31"/>
      <c r="LS404" s="31"/>
      <c r="LT404" s="31"/>
      <c r="LU404" s="31"/>
      <c r="LV404" s="31"/>
      <c r="LW404" s="31"/>
      <c r="LX404" s="31"/>
      <c r="LY404" s="31"/>
      <c r="LZ404" s="31"/>
      <c r="MA404" s="31"/>
      <c r="MB404" s="31"/>
      <c r="MC404" s="31"/>
      <c r="MD404" s="31"/>
      <c r="ME404" s="31"/>
      <c r="MF404" s="31"/>
      <c r="MG404" s="31"/>
      <c r="MH404" s="31"/>
      <c r="MI404" s="31"/>
      <c r="MJ404" s="31"/>
      <c r="MK404" s="31"/>
      <c r="ML404" s="31"/>
      <c r="MM404" s="31"/>
      <c r="MN404" s="31"/>
      <c r="MO404" s="31"/>
      <c r="MP404" s="31"/>
      <c r="MQ404" s="31"/>
      <c r="MR404" s="31"/>
      <c r="MS404" s="31"/>
      <c r="MT404" s="31"/>
      <c r="MU404" s="31"/>
      <c r="MV404" s="31"/>
      <c r="MW404" s="31"/>
      <c r="MX404" s="31"/>
      <c r="MY404" s="31"/>
      <c r="MZ404" s="31"/>
      <c r="NA404" s="31"/>
      <c r="NB404" s="31"/>
      <c r="NC404" s="31"/>
      <c r="ND404" s="31"/>
      <c r="NE404" s="31"/>
      <c r="NF404" s="31"/>
      <c r="NG404" s="31"/>
      <c r="NH404" s="31"/>
      <c r="NI404" s="31"/>
      <c r="NJ404" s="31"/>
      <c r="NK404" s="31"/>
      <c r="NL404" s="31"/>
      <c r="NM404" s="31"/>
      <c r="NN404" s="31"/>
      <c r="NO404" s="31"/>
      <c r="NP404" s="31"/>
      <c r="NQ404" s="31"/>
      <c r="NR404" s="31"/>
      <c r="NS404" s="31"/>
      <c r="NT404" s="31"/>
      <c r="NU404" s="31"/>
      <c r="NV404" s="31"/>
      <c r="NW404" s="31"/>
      <c r="NX404" s="31"/>
      <c r="NY404" s="31"/>
      <c r="NZ404" s="31"/>
      <c r="OA404" s="31"/>
      <c r="OB404" s="31"/>
      <c r="OC404" s="31"/>
      <c r="OD404" s="31"/>
      <c r="OE404" s="31"/>
      <c r="OF404" s="31"/>
      <c r="OG404" s="31"/>
      <c r="OH404" s="31"/>
      <c r="OI404" s="31"/>
      <c r="OJ404" s="31"/>
      <c r="OK404" s="31"/>
      <c r="OL404" s="31"/>
      <c r="OM404" s="31"/>
      <c r="ON404" s="31"/>
      <c r="OO404" s="31"/>
      <c r="OP404" s="31"/>
      <c r="OQ404" s="31"/>
      <c r="OR404" s="31"/>
      <c r="OS404" s="31"/>
      <c r="OT404" s="31"/>
      <c r="OU404" s="31"/>
      <c r="OV404" s="31"/>
      <c r="OW404" s="31"/>
      <c r="OX404" s="31"/>
    </row>
    <row r="405" spans="2:414" s="25" customFormat="1" ht="15.6">
      <c r="B405" s="25" t="s">
        <v>59</v>
      </c>
      <c r="C405" s="27" t="s">
        <v>726</v>
      </c>
      <c r="D405" s="30" t="s">
        <v>105</v>
      </c>
      <c r="G405" s="42">
        <v>80</v>
      </c>
      <c r="H405" s="89">
        <v>26.109000000000002</v>
      </c>
      <c r="I405" s="38">
        <f t="shared" si="135"/>
        <v>2088.7200000000003</v>
      </c>
      <c r="K405" s="42">
        <v>80</v>
      </c>
      <c r="L405" s="90">
        <v>26.849599999999999</v>
      </c>
      <c r="M405" s="38">
        <f t="shared" si="136"/>
        <v>2147.9679999999998</v>
      </c>
      <c r="O405" s="42">
        <v>505</v>
      </c>
      <c r="P405" s="38">
        <v>26.728300000000001</v>
      </c>
      <c r="Q405" s="38">
        <f t="shared" si="137"/>
        <v>13497.791500000001</v>
      </c>
      <c r="R405" s="43">
        <f t="shared" si="132"/>
        <v>665</v>
      </c>
      <c r="S405" s="38">
        <f t="shared" si="138"/>
        <v>17734.479500000001</v>
      </c>
      <c r="T405" s="49">
        <v>240</v>
      </c>
      <c r="U405" s="42">
        <v>26.952500000000001</v>
      </c>
      <c r="V405" s="38">
        <f t="shared" si="126"/>
        <v>6468.6</v>
      </c>
      <c r="W405" s="42">
        <v>390</v>
      </c>
      <c r="X405" s="42">
        <v>26.677399999999999</v>
      </c>
      <c r="Y405" s="42">
        <f t="shared" si="128"/>
        <v>10404.186</v>
      </c>
      <c r="Z405" s="42"/>
      <c r="AA405" s="42"/>
      <c r="AB405" s="42">
        <f t="shared" si="133"/>
        <v>0</v>
      </c>
      <c r="AD405" s="42"/>
      <c r="AE405" s="42"/>
      <c r="AF405" s="42">
        <f t="shared" si="130"/>
        <v>0</v>
      </c>
      <c r="AG405" s="42"/>
      <c r="AH405" s="42"/>
      <c r="AI405" s="42"/>
      <c r="AJ405" s="42">
        <f t="shared" si="134"/>
        <v>0</v>
      </c>
      <c r="AL405" s="42"/>
      <c r="AM405" s="42"/>
      <c r="AN405" s="42"/>
      <c r="AO405" s="44"/>
      <c r="AP405" s="42"/>
      <c r="AQ405" s="42"/>
      <c r="AR405" s="42"/>
      <c r="AU405" s="98"/>
      <c r="AV405" s="35"/>
      <c r="AW405" s="104"/>
      <c r="AX405" s="42"/>
      <c r="AY405" s="42"/>
      <c r="AZ405" s="42">
        <f t="shared" si="131"/>
        <v>0</v>
      </c>
      <c r="BA405" s="42"/>
      <c r="BB405" s="42"/>
      <c r="BC405" s="42"/>
      <c r="BD405" s="38">
        <f t="shared" si="139"/>
        <v>0</v>
      </c>
      <c r="BE405" s="42"/>
      <c r="BF405" s="42"/>
      <c r="BG405" s="42"/>
      <c r="BH405" s="38">
        <f t="shared" si="140"/>
        <v>0</v>
      </c>
      <c r="BI405" s="42"/>
      <c r="BJ405" s="42"/>
      <c r="BK405" s="42"/>
      <c r="BL405" s="38">
        <f t="shared" si="141"/>
        <v>0</v>
      </c>
      <c r="BM405" s="42"/>
      <c r="BN405" s="42"/>
      <c r="BO405" s="42"/>
      <c r="BP405" s="42"/>
      <c r="BR405" s="42">
        <f t="shared" si="142"/>
        <v>16872.786</v>
      </c>
      <c r="BS405" s="43">
        <f t="shared" si="143"/>
        <v>861.69350000000122</v>
      </c>
      <c r="BT405" s="42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  <c r="FM405" s="31"/>
      <c r="FN405" s="31"/>
      <c r="FO405" s="31"/>
      <c r="FP405" s="31"/>
      <c r="FQ405" s="31"/>
      <c r="FR405" s="31"/>
      <c r="FS405" s="31"/>
      <c r="FT405" s="31"/>
      <c r="FU405" s="31"/>
      <c r="FV405" s="31"/>
      <c r="FW405" s="31"/>
      <c r="FX405" s="31"/>
      <c r="FY405" s="31"/>
      <c r="FZ405" s="31"/>
      <c r="GA405" s="31"/>
      <c r="GB405" s="31"/>
      <c r="GC405" s="31"/>
      <c r="GD405" s="31"/>
      <c r="GE405" s="31"/>
      <c r="GF405" s="31"/>
      <c r="GG405" s="31"/>
      <c r="GH405" s="31"/>
      <c r="GI405" s="31"/>
      <c r="GJ405" s="31"/>
      <c r="GK405" s="31"/>
      <c r="GL405" s="31"/>
      <c r="GM405" s="31"/>
      <c r="GN405" s="31"/>
      <c r="GO405" s="31"/>
      <c r="GP405" s="31"/>
      <c r="GQ405" s="31"/>
      <c r="GR405" s="31"/>
      <c r="GS405" s="31"/>
      <c r="GT405" s="31"/>
      <c r="GU405" s="31"/>
      <c r="GV405" s="31"/>
      <c r="GW405" s="31"/>
      <c r="GX405" s="31"/>
      <c r="GY405" s="31"/>
      <c r="GZ405" s="31"/>
      <c r="HA405" s="31"/>
      <c r="HB405" s="31"/>
      <c r="HC405" s="31"/>
      <c r="HD405" s="31"/>
      <c r="HE405" s="31"/>
      <c r="HF405" s="31"/>
      <c r="HG405" s="31"/>
      <c r="HH405" s="31"/>
      <c r="HI405" s="31"/>
      <c r="HJ405" s="31"/>
      <c r="HK405" s="31"/>
      <c r="HL405" s="31"/>
      <c r="HM405" s="31"/>
      <c r="HN405" s="31"/>
      <c r="HO405" s="31"/>
      <c r="HP405" s="31"/>
      <c r="HQ405" s="31"/>
      <c r="HR405" s="31"/>
      <c r="HS405" s="31"/>
      <c r="HT405" s="31"/>
      <c r="HU405" s="31"/>
      <c r="HV405" s="31"/>
      <c r="HW405" s="31"/>
      <c r="HX405" s="31"/>
      <c r="HY405" s="31"/>
      <c r="HZ405" s="31"/>
      <c r="IA405" s="31"/>
      <c r="IB405" s="31"/>
      <c r="IC405" s="31"/>
      <c r="ID405" s="31"/>
      <c r="IE405" s="31"/>
      <c r="IF405" s="31"/>
      <c r="IG405" s="31"/>
      <c r="IH405" s="31"/>
      <c r="II405" s="31"/>
      <c r="IJ405" s="31"/>
      <c r="IK405" s="31"/>
      <c r="IL405" s="31"/>
      <c r="IM405" s="31"/>
      <c r="IN405" s="31"/>
      <c r="IO405" s="31"/>
      <c r="IP405" s="31"/>
      <c r="IQ405" s="31"/>
      <c r="IR405" s="31"/>
      <c r="IS405" s="31"/>
      <c r="IT405" s="31"/>
      <c r="IU405" s="31"/>
      <c r="IV405" s="31"/>
      <c r="IW405" s="31"/>
      <c r="IX405" s="31"/>
      <c r="IY405" s="31"/>
      <c r="IZ405" s="31"/>
      <c r="JA405" s="31"/>
      <c r="JB405" s="31"/>
      <c r="JC405" s="31"/>
      <c r="JD405" s="31"/>
      <c r="JE405" s="31"/>
      <c r="JF405" s="31"/>
      <c r="JG405" s="31"/>
      <c r="JH405" s="31"/>
      <c r="JI405" s="31"/>
      <c r="JJ405" s="31"/>
      <c r="JK405" s="31"/>
      <c r="JL405" s="31"/>
      <c r="JM405" s="31"/>
      <c r="JN405" s="31"/>
      <c r="JO405" s="31"/>
      <c r="JP405" s="31"/>
      <c r="JQ405" s="31"/>
      <c r="JR405" s="31"/>
      <c r="JS405" s="31"/>
      <c r="JT405" s="31"/>
      <c r="JU405" s="31"/>
      <c r="JV405" s="31"/>
      <c r="JW405" s="31"/>
      <c r="JX405" s="31"/>
      <c r="JY405" s="31"/>
      <c r="JZ405" s="31"/>
      <c r="KA405" s="31"/>
      <c r="KB405" s="31"/>
      <c r="KC405" s="31"/>
      <c r="KD405" s="31"/>
      <c r="KE405" s="31"/>
      <c r="KF405" s="31"/>
      <c r="KG405" s="31"/>
      <c r="KH405" s="31"/>
      <c r="KI405" s="31"/>
      <c r="KJ405" s="31"/>
      <c r="KK405" s="31"/>
      <c r="KL405" s="31"/>
      <c r="KM405" s="31"/>
      <c r="KN405" s="31"/>
      <c r="KO405" s="31"/>
      <c r="KP405" s="31"/>
      <c r="KQ405" s="31"/>
      <c r="KR405" s="31"/>
      <c r="KS405" s="31"/>
      <c r="KT405" s="31"/>
      <c r="KU405" s="31"/>
      <c r="KV405" s="31"/>
      <c r="KW405" s="31"/>
      <c r="KX405" s="31"/>
      <c r="KY405" s="31"/>
      <c r="KZ405" s="31"/>
      <c r="LA405" s="31"/>
      <c r="LB405" s="31"/>
      <c r="LC405" s="31"/>
      <c r="LD405" s="31"/>
      <c r="LE405" s="31"/>
      <c r="LF405" s="31"/>
      <c r="LG405" s="31"/>
      <c r="LH405" s="31"/>
      <c r="LI405" s="31"/>
      <c r="LJ405" s="31"/>
      <c r="LK405" s="31"/>
      <c r="LL405" s="31"/>
      <c r="LM405" s="31"/>
      <c r="LN405" s="31"/>
      <c r="LO405" s="31"/>
      <c r="LP405" s="31"/>
      <c r="LQ405" s="31"/>
      <c r="LR405" s="31"/>
      <c r="LS405" s="31"/>
      <c r="LT405" s="31"/>
      <c r="LU405" s="31"/>
      <c r="LV405" s="31"/>
      <c r="LW405" s="31"/>
      <c r="LX405" s="31"/>
      <c r="LY405" s="31"/>
      <c r="LZ405" s="31"/>
      <c r="MA405" s="31"/>
      <c r="MB405" s="31"/>
      <c r="MC405" s="31"/>
      <c r="MD405" s="31"/>
      <c r="ME405" s="31"/>
      <c r="MF405" s="31"/>
      <c r="MG405" s="31"/>
      <c r="MH405" s="31"/>
      <c r="MI405" s="31"/>
      <c r="MJ405" s="31"/>
      <c r="MK405" s="31"/>
      <c r="ML405" s="31"/>
      <c r="MM405" s="31"/>
      <c r="MN405" s="31"/>
      <c r="MO405" s="31"/>
      <c r="MP405" s="31"/>
      <c r="MQ405" s="31"/>
      <c r="MR405" s="31"/>
      <c r="MS405" s="31"/>
      <c r="MT405" s="31"/>
      <c r="MU405" s="31"/>
      <c r="MV405" s="31"/>
      <c r="MW405" s="31"/>
      <c r="MX405" s="31"/>
      <c r="MY405" s="31"/>
      <c r="MZ405" s="31"/>
      <c r="NA405" s="31"/>
      <c r="NB405" s="31"/>
      <c r="NC405" s="31"/>
      <c r="ND405" s="31"/>
      <c r="NE405" s="31"/>
      <c r="NF405" s="31"/>
      <c r="NG405" s="31"/>
      <c r="NH405" s="31"/>
      <c r="NI405" s="31"/>
      <c r="NJ405" s="31"/>
      <c r="NK405" s="31"/>
      <c r="NL405" s="31"/>
      <c r="NM405" s="31"/>
      <c r="NN405" s="31"/>
      <c r="NO405" s="31"/>
      <c r="NP405" s="31"/>
      <c r="NQ405" s="31"/>
      <c r="NR405" s="31"/>
      <c r="NS405" s="31"/>
      <c r="NT405" s="31"/>
      <c r="NU405" s="31"/>
      <c r="NV405" s="31"/>
      <c r="NW405" s="31"/>
      <c r="NX405" s="31"/>
      <c r="NY405" s="31"/>
      <c r="NZ405" s="31"/>
      <c r="OA405" s="31"/>
      <c r="OB405" s="31"/>
      <c r="OC405" s="31"/>
      <c r="OD405" s="31"/>
      <c r="OE405" s="31"/>
      <c r="OF405" s="31"/>
      <c r="OG405" s="31"/>
      <c r="OH405" s="31"/>
      <c r="OI405" s="31"/>
      <c r="OJ405" s="31"/>
      <c r="OK405" s="31"/>
      <c r="OL405" s="31"/>
      <c r="OM405" s="31"/>
      <c r="ON405" s="31"/>
      <c r="OO405" s="31"/>
      <c r="OP405" s="31"/>
      <c r="OQ405" s="31"/>
      <c r="OR405" s="31"/>
      <c r="OS405" s="31"/>
      <c r="OT405" s="31"/>
      <c r="OU405" s="31"/>
      <c r="OV405" s="31"/>
      <c r="OW405" s="31"/>
      <c r="OX405" s="31"/>
    </row>
    <row r="406" spans="2:414" s="25" customFormat="1" ht="15.6">
      <c r="B406" s="25" t="s">
        <v>871</v>
      </c>
      <c r="C406" s="27" t="s">
        <v>872</v>
      </c>
      <c r="D406" s="30" t="s">
        <v>105</v>
      </c>
      <c r="G406" s="42">
        <v>80</v>
      </c>
      <c r="H406" s="89">
        <v>26.109000000000002</v>
      </c>
      <c r="I406" s="38">
        <f t="shared" si="135"/>
        <v>2088.7200000000003</v>
      </c>
      <c r="K406" s="42">
        <v>80</v>
      </c>
      <c r="L406" s="90">
        <v>26.849599999999999</v>
      </c>
      <c r="M406" s="38">
        <f t="shared" si="136"/>
        <v>2147.9679999999998</v>
      </c>
      <c r="O406" s="42">
        <v>505</v>
      </c>
      <c r="P406" s="38">
        <v>26.728300000000001</v>
      </c>
      <c r="Q406" s="38">
        <f t="shared" si="137"/>
        <v>13497.791500000001</v>
      </c>
      <c r="R406" s="43">
        <f t="shared" si="132"/>
        <v>665</v>
      </c>
      <c r="S406" s="38">
        <f t="shared" si="138"/>
        <v>17734.479500000001</v>
      </c>
      <c r="T406" s="49">
        <v>80</v>
      </c>
      <c r="U406" s="42">
        <v>26.95</v>
      </c>
      <c r="V406" s="38">
        <f t="shared" si="126"/>
        <v>2156</v>
      </c>
      <c r="W406" s="42"/>
      <c r="X406" s="42"/>
      <c r="Y406" s="42">
        <v>2080</v>
      </c>
      <c r="Z406" s="42"/>
      <c r="AA406" s="42"/>
      <c r="AB406" s="42">
        <v>3100</v>
      </c>
      <c r="AD406" s="42">
        <v>170</v>
      </c>
      <c r="AE406" s="42">
        <v>26.570799999999998</v>
      </c>
      <c r="AF406" s="42">
        <f t="shared" si="130"/>
        <v>4517.0360000000001</v>
      </c>
      <c r="AG406" s="42"/>
      <c r="AH406" s="42">
        <v>114</v>
      </c>
      <c r="AI406" s="42">
        <v>26.57</v>
      </c>
      <c r="AJ406" s="42">
        <f t="shared" si="134"/>
        <v>3028.98</v>
      </c>
      <c r="AL406" s="42"/>
      <c r="AM406" s="42"/>
      <c r="AN406" s="42"/>
      <c r="AO406" s="44"/>
      <c r="AP406" s="42"/>
      <c r="AQ406" s="42"/>
      <c r="AR406" s="42"/>
      <c r="AU406" s="98"/>
      <c r="AV406" s="35"/>
      <c r="AW406" s="104"/>
      <c r="AX406" s="42"/>
      <c r="AY406" s="42"/>
      <c r="AZ406" s="42">
        <f t="shared" si="131"/>
        <v>0</v>
      </c>
      <c r="BA406" s="42"/>
      <c r="BB406" s="42"/>
      <c r="BC406" s="42"/>
      <c r="BD406" s="38">
        <f t="shared" si="139"/>
        <v>0</v>
      </c>
      <c r="BE406" s="42"/>
      <c r="BF406" s="42"/>
      <c r="BG406" s="42"/>
      <c r="BH406" s="38">
        <f t="shared" si="140"/>
        <v>0</v>
      </c>
      <c r="BI406" s="42"/>
      <c r="BJ406" s="42"/>
      <c r="BK406" s="42"/>
      <c r="BL406" s="38">
        <f t="shared" si="141"/>
        <v>0</v>
      </c>
      <c r="BM406" s="42"/>
      <c r="BN406" s="42"/>
      <c r="BO406" s="42"/>
      <c r="BP406" s="42"/>
      <c r="BR406" s="42">
        <f t="shared" si="142"/>
        <v>14882.016</v>
      </c>
      <c r="BS406" s="43">
        <f t="shared" si="143"/>
        <v>2852.4635000000017</v>
      </c>
      <c r="BT406" s="42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  <c r="FM406" s="31"/>
      <c r="FN406" s="31"/>
      <c r="FO406" s="31"/>
      <c r="FP406" s="31"/>
      <c r="FQ406" s="31"/>
      <c r="FR406" s="31"/>
      <c r="FS406" s="31"/>
      <c r="FT406" s="31"/>
      <c r="FU406" s="31"/>
      <c r="FV406" s="31"/>
      <c r="FW406" s="31"/>
      <c r="FX406" s="31"/>
      <c r="FY406" s="31"/>
      <c r="FZ406" s="31"/>
      <c r="GA406" s="31"/>
      <c r="GB406" s="31"/>
      <c r="GC406" s="31"/>
      <c r="GD406" s="31"/>
      <c r="GE406" s="31"/>
      <c r="GF406" s="31"/>
      <c r="GG406" s="31"/>
      <c r="GH406" s="31"/>
      <c r="GI406" s="31"/>
      <c r="GJ406" s="31"/>
      <c r="GK406" s="31"/>
      <c r="GL406" s="31"/>
      <c r="GM406" s="31"/>
      <c r="GN406" s="31"/>
      <c r="GO406" s="31"/>
      <c r="GP406" s="31"/>
      <c r="GQ406" s="31"/>
      <c r="GR406" s="31"/>
      <c r="GS406" s="31"/>
      <c r="GT406" s="31"/>
      <c r="GU406" s="31"/>
      <c r="GV406" s="31"/>
      <c r="GW406" s="31"/>
      <c r="GX406" s="31"/>
      <c r="GY406" s="31"/>
      <c r="GZ406" s="31"/>
      <c r="HA406" s="31"/>
      <c r="HB406" s="31"/>
      <c r="HC406" s="31"/>
      <c r="HD406" s="31"/>
      <c r="HE406" s="31"/>
      <c r="HF406" s="31"/>
      <c r="HG406" s="31"/>
      <c r="HH406" s="31"/>
      <c r="HI406" s="31"/>
      <c r="HJ406" s="31"/>
      <c r="HK406" s="31"/>
      <c r="HL406" s="31"/>
      <c r="HM406" s="31"/>
      <c r="HN406" s="31"/>
      <c r="HO406" s="31"/>
      <c r="HP406" s="31"/>
      <c r="HQ406" s="31"/>
      <c r="HR406" s="31"/>
      <c r="HS406" s="31"/>
      <c r="HT406" s="31"/>
      <c r="HU406" s="31"/>
      <c r="HV406" s="31"/>
      <c r="HW406" s="31"/>
      <c r="HX406" s="31"/>
      <c r="HY406" s="31"/>
      <c r="HZ406" s="31"/>
      <c r="IA406" s="31"/>
      <c r="IB406" s="31"/>
      <c r="IC406" s="31"/>
      <c r="ID406" s="31"/>
      <c r="IE406" s="31"/>
      <c r="IF406" s="31"/>
      <c r="IG406" s="31"/>
      <c r="IH406" s="31"/>
      <c r="II406" s="31"/>
      <c r="IJ406" s="31"/>
      <c r="IK406" s="31"/>
      <c r="IL406" s="31"/>
      <c r="IM406" s="31"/>
      <c r="IN406" s="31"/>
      <c r="IO406" s="31"/>
      <c r="IP406" s="31"/>
      <c r="IQ406" s="31"/>
      <c r="IR406" s="31"/>
      <c r="IS406" s="31"/>
      <c r="IT406" s="31"/>
      <c r="IU406" s="31"/>
      <c r="IV406" s="31"/>
      <c r="IW406" s="31"/>
      <c r="IX406" s="31"/>
      <c r="IY406" s="31"/>
      <c r="IZ406" s="31"/>
      <c r="JA406" s="31"/>
      <c r="JB406" s="31"/>
      <c r="JC406" s="31"/>
      <c r="JD406" s="31"/>
      <c r="JE406" s="31"/>
      <c r="JF406" s="31"/>
      <c r="JG406" s="31"/>
      <c r="JH406" s="31"/>
      <c r="JI406" s="31"/>
      <c r="JJ406" s="31"/>
      <c r="JK406" s="31"/>
      <c r="JL406" s="31"/>
      <c r="JM406" s="31"/>
      <c r="JN406" s="31"/>
      <c r="JO406" s="31"/>
      <c r="JP406" s="31"/>
      <c r="JQ406" s="31"/>
      <c r="JR406" s="31"/>
      <c r="JS406" s="31"/>
      <c r="JT406" s="31"/>
      <c r="JU406" s="31"/>
      <c r="JV406" s="31"/>
      <c r="JW406" s="31"/>
      <c r="JX406" s="31"/>
      <c r="JY406" s="31"/>
      <c r="JZ406" s="31"/>
      <c r="KA406" s="31"/>
      <c r="KB406" s="31"/>
      <c r="KC406" s="31"/>
      <c r="KD406" s="31"/>
      <c r="KE406" s="31"/>
      <c r="KF406" s="31"/>
      <c r="KG406" s="31"/>
      <c r="KH406" s="31"/>
      <c r="KI406" s="31"/>
      <c r="KJ406" s="31"/>
      <c r="KK406" s="31"/>
      <c r="KL406" s="31"/>
      <c r="KM406" s="31"/>
      <c r="KN406" s="31"/>
      <c r="KO406" s="31"/>
      <c r="KP406" s="31"/>
      <c r="KQ406" s="31"/>
      <c r="KR406" s="31"/>
      <c r="KS406" s="31"/>
      <c r="KT406" s="31"/>
      <c r="KU406" s="31"/>
      <c r="KV406" s="31"/>
      <c r="KW406" s="31"/>
      <c r="KX406" s="31"/>
      <c r="KY406" s="31"/>
      <c r="KZ406" s="31"/>
      <c r="LA406" s="31"/>
      <c r="LB406" s="31"/>
      <c r="LC406" s="31"/>
      <c r="LD406" s="31"/>
      <c r="LE406" s="31"/>
      <c r="LF406" s="31"/>
      <c r="LG406" s="31"/>
      <c r="LH406" s="31"/>
      <c r="LI406" s="31"/>
      <c r="LJ406" s="31"/>
      <c r="LK406" s="31"/>
      <c r="LL406" s="31"/>
      <c r="LM406" s="31"/>
      <c r="LN406" s="31"/>
      <c r="LO406" s="31"/>
      <c r="LP406" s="31"/>
      <c r="LQ406" s="31"/>
      <c r="LR406" s="31"/>
      <c r="LS406" s="31"/>
      <c r="LT406" s="31"/>
      <c r="LU406" s="31"/>
      <c r="LV406" s="31"/>
      <c r="LW406" s="31"/>
      <c r="LX406" s="31"/>
      <c r="LY406" s="31"/>
      <c r="LZ406" s="31"/>
      <c r="MA406" s="31"/>
      <c r="MB406" s="31"/>
      <c r="MC406" s="31"/>
      <c r="MD406" s="31"/>
      <c r="ME406" s="31"/>
      <c r="MF406" s="31"/>
      <c r="MG406" s="31"/>
      <c r="MH406" s="31"/>
      <c r="MI406" s="31"/>
      <c r="MJ406" s="31"/>
      <c r="MK406" s="31"/>
      <c r="ML406" s="31"/>
      <c r="MM406" s="31"/>
      <c r="MN406" s="31"/>
      <c r="MO406" s="31"/>
      <c r="MP406" s="31"/>
      <c r="MQ406" s="31"/>
      <c r="MR406" s="31"/>
      <c r="MS406" s="31"/>
      <c r="MT406" s="31"/>
      <c r="MU406" s="31"/>
      <c r="MV406" s="31"/>
      <c r="MW406" s="31"/>
      <c r="MX406" s="31"/>
      <c r="MY406" s="31"/>
      <c r="MZ406" s="31"/>
      <c r="NA406" s="31"/>
      <c r="NB406" s="31"/>
      <c r="NC406" s="31"/>
      <c r="ND406" s="31"/>
      <c r="NE406" s="31"/>
      <c r="NF406" s="31"/>
      <c r="NG406" s="31"/>
      <c r="NH406" s="31"/>
      <c r="NI406" s="31"/>
      <c r="NJ406" s="31"/>
      <c r="NK406" s="31"/>
      <c r="NL406" s="31"/>
      <c r="NM406" s="31"/>
      <c r="NN406" s="31"/>
      <c r="NO406" s="31"/>
      <c r="NP406" s="31"/>
      <c r="NQ406" s="31"/>
      <c r="NR406" s="31"/>
      <c r="NS406" s="31"/>
      <c r="NT406" s="31"/>
      <c r="NU406" s="31"/>
      <c r="NV406" s="31"/>
      <c r="NW406" s="31"/>
      <c r="NX406" s="31"/>
      <c r="NY406" s="31"/>
      <c r="NZ406" s="31"/>
      <c r="OA406" s="31"/>
      <c r="OB406" s="31"/>
      <c r="OC406" s="31"/>
      <c r="OD406" s="31"/>
      <c r="OE406" s="31"/>
      <c r="OF406" s="31"/>
      <c r="OG406" s="31"/>
      <c r="OH406" s="31"/>
      <c r="OI406" s="31"/>
      <c r="OJ406" s="31"/>
      <c r="OK406" s="31"/>
      <c r="OL406" s="31"/>
      <c r="OM406" s="31"/>
      <c r="ON406" s="31"/>
      <c r="OO406" s="31"/>
      <c r="OP406" s="31"/>
      <c r="OQ406" s="31"/>
      <c r="OR406" s="31"/>
      <c r="OS406" s="31"/>
      <c r="OT406" s="31"/>
      <c r="OU406" s="31"/>
      <c r="OV406" s="31"/>
      <c r="OW406" s="31"/>
      <c r="OX406" s="31"/>
    </row>
    <row r="407" spans="2:414" s="25" customFormat="1" ht="15.6">
      <c r="B407" s="25" t="s">
        <v>708</v>
      </c>
      <c r="C407" s="27" t="s">
        <v>707</v>
      </c>
      <c r="D407" s="30" t="s">
        <v>105</v>
      </c>
      <c r="G407" s="42">
        <v>80</v>
      </c>
      <c r="H407" s="89">
        <v>26.109000000000002</v>
      </c>
      <c r="I407" s="38">
        <f t="shared" si="135"/>
        <v>2088.7200000000003</v>
      </c>
      <c r="K407" s="42">
        <v>80</v>
      </c>
      <c r="L407" s="90">
        <v>26.849599999999999</v>
      </c>
      <c r="M407" s="38">
        <f t="shared" si="136"/>
        <v>2147.9679999999998</v>
      </c>
      <c r="O407" s="42">
        <v>505</v>
      </c>
      <c r="P407" s="38">
        <v>26.728300000000001</v>
      </c>
      <c r="Q407" s="38">
        <f t="shared" si="137"/>
        <v>13497.791500000001</v>
      </c>
      <c r="R407" s="43">
        <f t="shared" si="132"/>
        <v>665</v>
      </c>
      <c r="S407" s="38">
        <f t="shared" si="138"/>
        <v>17734.479500000001</v>
      </c>
      <c r="T407" s="49">
        <v>240</v>
      </c>
      <c r="U407" s="42">
        <v>26.95</v>
      </c>
      <c r="V407" s="38">
        <f t="shared" si="126"/>
        <v>6468</v>
      </c>
      <c r="W407" s="42">
        <v>85</v>
      </c>
      <c r="X407" s="42">
        <v>26.789400000000001</v>
      </c>
      <c r="Y407" s="42">
        <f>W407*X407</f>
        <v>2277.0990000000002</v>
      </c>
      <c r="Z407" s="42">
        <v>300</v>
      </c>
      <c r="AA407" s="42">
        <v>26.778500000000001</v>
      </c>
      <c r="AB407" s="42">
        <f>Z407*AA407</f>
        <v>8033.55</v>
      </c>
      <c r="AD407" s="42">
        <v>120</v>
      </c>
      <c r="AE407" s="42">
        <v>26.750599999999999</v>
      </c>
      <c r="AF407" s="42">
        <f t="shared" si="130"/>
        <v>3210.0719999999997</v>
      </c>
      <c r="AG407" s="42"/>
      <c r="AH407" s="42"/>
      <c r="AI407" s="42"/>
      <c r="AJ407" s="42">
        <f t="shared" si="134"/>
        <v>0</v>
      </c>
      <c r="AL407" s="42"/>
      <c r="AM407" s="42"/>
      <c r="AN407" s="42"/>
      <c r="AO407" s="44"/>
      <c r="AP407" s="42"/>
      <c r="AQ407" s="42"/>
      <c r="AR407" s="42"/>
      <c r="AU407" s="98"/>
      <c r="AV407" s="35"/>
      <c r="AW407" s="104"/>
      <c r="AX407" s="42"/>
      <c r="AY407" s="42"/>
      <c r="AZ407" s="42">
        <f t="shared" si="131"/>
        <v>0</v>
      </c>
      <c r="BA407" s="42"/>
      <c r="BB407" s="42"/>
      <c r="BC407" s="42"/>
      <c r="BD407" s="38">
        <f t="shared" si="139"/>
        <v>0</v>
      </c>
      <c r="BE407" s="42"/>
      <c r="BF407" s="42"/>
      <c r="BG407" s="42"/>
      <c r="BH407" s="38">
        <f t="shared" si="140"/>
        <v>0</v>
      </c>
      <c r="BI407" s="42"/>
      <c r="BJ407" s="42"/>
      <c r="BK407" s="42"/>
      <c r="BL407" s="38">
        <f t="shared" si="141"/>
        <v>0</v>
      </c>
      <c r="BM407" s="42"/>
      <c r="BN407" s="42"/>
      <c r="BO407" s="42"/>
      <c r="BP407" s="42"/>
      <c r="BR407" s="42">
        <f t="shared" si="142"/>
        <v>19988.721000000001</v>
      </c>
      <c r="BS407" s="43"/>
      <c r="BT407" s="42">
        <v>2254.2399999999998</v>
      </c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  <c r="FM407" s="31"/>
      <c r="FN407" s="31"/>
      <c r="FO407" s="31"/>
      <c r="FP407" s="31"/>
      <c r="FQ407" s="31"/>
      <c r="FR407" s="31"/>
      <c r="FS407" s="31"/>
      <c r="FT407" s="31"/>
      <c r="FU407" s="31"/>
      <c r="FV407" s="31"/>
      <c r="FW407" s="31"/>
      <c r="FX407" s="31"/>
      <c r="FY407" s="31"/>
      <c r="FZ407" s="31"/>
      <c r="GA407" s="31"/>
      <c r="GB407" s="31"/>
      <c r="GC407" s="31"/>
      <c r="GD407" s="31"/>
      <c r="GE407" s="31"/>
      <c r="GF407" s="31"/>
      <c r="GG407" s="31"/>
      <c r="GH407" s="31"/>
      <c r="GI407" s="31"/>
      <c r="GJ407" s="31"/>
      <c r="GK407" s="31"/>
      <c r="GL407" s="31"/>
      <c r="GM407" s="31"/>
      <c r="GN407" s="31"/>
      <c r="GO407" s="31"/>
      <c r="GP407" s="31"/>
      <c r="GQ407" s="31"/>
      <c r="GR407" s="31"/>
      <c r="GS407" s="31"/>
      <c r="GT407" s="31"/>
      <c r="GU407" s="31"/>
      <c r="GV407" s="31"/>
      <c r="GW407" s="31"/>
      <c r="GX407" s="31"/>
      <c r="GY407" s="31"/>
      <c r="GZ407" s="31"/>
      <c r="HA407" s="31"/>
      <c r="HB407" s="31"/>
      <c r="HC407" s="31"/>
      <c r="HD407" s="31"/>
      <c r="HE407" s="31"/>
      <c r="HF407" s="31"/>
      <c r="HG407" s="31"/>
      <c r="HH407" s="31"/>
      <c r="HI407" s="31"/>
      <c r="HJ407" s="31"/>
      <c r="HK407" s="31"/>
      <c r="HL407" s="31"/>
      <c r="HM407" s="31"/>
      <c r="HN407" s="31"/>
      <c r="HO407" s="31"/>
      <c r="HP407" s="31"/>
      <c r="HQ407" s="31"/>
      <c r="HR407" s="31"/>
      <c r="HS407" s="31"/>
      <c r="HT407" s="31"/>
      <c r="HU407" s="31"/>
      <c r="HV407" s="31"/>
      <c r="HW407" s="31"/>
      <c r="HX407" s="31"/>
      <c r="HY407" s="31"/>
      <c r="HZ407" s="31"/>
      <c r="IA407" s="31"/>
      <c r="IB407" s="31"/>
      <c r="IC407" s="31"/>
      <c r="ID407" s="31"/>
      <c r="IE407" s="31"/>
      <c r="IF407" s="31"/>
      <c r="IG407" s="31"/>
      <c r="IH407" s="31"/>
      <c r="II407" s="31"/>
      <c r="IJ407" s="31"/>
      <c r="IK407" s="31"/>
      <c r="IL407" s="31"/>
      <c r="IM407" s="31"/>
      <c r="IN407" s="31"/>
      <c r="IO407" s="31"/>
      <c r="IP407" s="31"/>
      <c r="IQ407" s="31"/>
      <c r="IR407" s="31"/>
      <c r="IS407" s="31"/>
      <c r="IT407" s="31"/>
      <c r="IU407" s="31"/>
      <c r="IV407" s="31"/>
      <c r="IW407" s="31"/>
      <c r="IX407" s="31"/>
      <c r="IY407" s="31"/>
      <c r="IZ407" s="31"/>
      <c r="JA407" s="31"/>
      <c r="JB407" s="31"/>
      <c r="JC407" s="31"/>
      <c r="JD407" s="31"/>
      <c r="JE407" s="31"/>
      <c r="JF407" s="31"/>
      <c r="JG407" s="31"/>
      <c r="JH407" s="31"/>
      <c r="JI407" s="31"/>
      <c r="JJ407" s="31"/>
      <c r="JK407" s="31"/>
      <c r="JL407" s="31"/>
      <c r="JM407" s="31"/>
      <c r="JN407" s="31"/>
      <c r="JO407" s="31"/>
      <c r="JP407" s="31"/>
      <c r="JQ407" s="31"/>
      <c r="JR407" s="31"/>
      <c r="JS407" s="31"/>
      <c r="JT407" s="31"/>
      <c r="JU407" s="31"/>
      <c r="JV407" s="31"/>
      <c r="JW407" s="31"/>
      <c r="JX407" s="31"/>
      <c r="JY407" s="31"/>
      <c r="JZ407" s="31"/>
      <c r="KA407" s="31"/>
      <c r="KB407" s="31"/>
      <c r="KC407" s="31"/>
      <c r="KD407" s="31"/>
      <c r="KE407" s="31"/>
      <c r="KF407" s="31"/>
      <c r="KG407" s="31"/>
      <c r="KH407" s="31"/>
      <c r="KI407" s="31"/>
      <c r="KJ407" s="31"/>
      <c r="KK407" s="31"/>
      <c r="KL407" s="31"/>
      <c r="KM407" s="31"/>
      <c r="KN407" s="31"/>
      <c r="KO407" s="31"/>
      <c r="KP407" s="31"/>
      <c r="KQ407" s="31"/>
      <c r="KR407" s="31"/>
      <c r="KS407" s="31"/>
      <c r="KT407" s="31"/>
      <c r="KU407" s="31"/>
      <c r="KV407" s="31"/>
      <c r="KW407" s="31"/>
      <c r="KX407" s="31"/>
      <c r="KY407" s="31"/>
      <c r="KZ407" s="31"/>
      <c r="LA407" s="31"/>
      <c r="LB407" s="31"/>
      <c r="LC407" s="31"/>
      <c r="LD407" s="31"/>
      <c r="LE407" s="31"/>
      <c r="LF407" s="31"/>
      <c r="LG407" s="31"/>
      <c r="LH407" s="31"/>
      <c r="LI407" s="31"/>
      <c r="LJ407" s="31"/>
      <c r="LK407" s="31"/>
      <c r="LL407" s="31"/>
      <c r="LM407" s="31"/>
      <c r="LN407" s="31"/>
      <c r="LO407" s="31"/>
      <c r="LP407" s="31"/>
      <c r="LQ407" s="31"/>
      <c r="LR407" s="31"/>
      <c r="LS407" s="31"/>
      <c r="LT407" s="31"/>
      <c r="LU407" s="31"/>
      <c r="LV407" s="31"/>
      <c r="LW407" s="31"/>
      <c r="LX407" s="31"/>
      <c r="LY407" s="31"/>
      <c r="LZ407" s="31"/>
      <c r="MA407" s="31"/>
      <c r="MB407" s="31"/>
      <c r="MC407" s="31"/>
      <c r="MD407" s="31"/>
      <c r="ME407" s="31"/>
      <c r="MF407" s="31"/>
      <c r="MG407" s="31"/>
      <c r="MH407" s="31"/>
      <c r="MI407" s="31"/>
      <c r="MJ407" s="31"/>
      <c r="MK407" s="31"/>
      <c r="ML407" s="31"/>
      <c r="MM407" s="31"/>
      <c r="MN407" s="31"/>
      <c r="MO407" s="31"/>
      <c r="MP407" s="31"/>
      <c r="MQ407" s="31"/>
      <c r="MR407" s="31"/>
      <c r="MS407" s="31"/>
      <c r="MT407" s="31"/>
      <c r="MU407" s="31"/>
      <c r="MV407" s="31"/>
      <c r="MW407" s="31"/>
      <c r="MX407" s="31"/>
      <c r="MY407" s="31"/>
      <c r="MZ407" s="31"/>
      <c r="NA407" s="31"/>
      <c r="NB407" s="31"/>
      <c r="NC407" s="31"/>
      <c r="ND407" s="31"/>
      <c r="NE407" s="31"/>
      <c r="NF407" s="31"/>
      <c r="NG407" s="31"/>
      <c r="NH407" s="31"/>
      <c r="NI407" s="31"/>
      <c r="NJ407" s="31"/>
      <c r="NK407" s="31"/>
      <c r="NL407" s="31"/>
      <c r="NM407" s="31"/>
      <c r="NN407" s="31"/>
      <c r="NO407" s="31"/>
      <c r="NP407" s="31"/>
      <c r="NQ407" s="31"/>
      <c r="NR407" s="31"/>
      <c r="NS407" s="31"/>
      <c r="NT407" s="31"/>
      <c r="NU407" s="31"/>
      <c r="NV407" s="31"/>
      <c r="NW407" s="31"/>
      <c r="NX407" s="31"/>
      <c r="NY407" s="31"/>
      <c r="NZ407" s="31"/>
      <c r="OA407" s="31"/>
      <c r="OB407" s="31"/>
      <c r="OC407" s="31"/>
      <c r="OD407" s="31"/>
      <c r="OE407" s="31"/>
      <c r="OF407" s="31"/>
      <c r="OG407" s="31"/>
      <c r="OH407" s="31"/>
      <c r="OI407" s="31"/>
      <c r="OJ407" s="31"/>
      <c r="OK407" s="31"/>
      <c r="OL407" s="31"/>
      <c r="OM407" s="31"/>
      <c r="ON407" s="31"/>
      <c r="OO407" s="31"/>
      <c r="OP407" s="31"/>
      <c r="OQ407" s="31"/>
      <c r="OR407" s="31"/>
      <c r="OS407" s="31"/>
      <c r="OT407" s="31"/>
      <c r="OU407" s="31"/>
      <c r="OV407" s="31"/>
      <c r="OW407" s="31"/>
      <c r="OX407" s="31"/>
    </row>
    <row r="408" spans="2:414" s="25" customFormat="1" ht="15.6">
      <c r="B408" s="25" t="s">
        <v>979</v>
      </c>
      <c r="C408" s="27" t="s">
        <v>980</v>
      </c>
      <c r="D408" s="30" t="s">
        <v>105</v>
      </c>
      <c r="G408" s="42">
        <v>80</v>
      </c>
      <c r="H408" s="89">
        <v>26.109000000000002</v>
      </c>
      <c r="I408" s="38">
        <f t="shared" si="135"/>
        <v>2088.7200000000003</v>
      </c>
      <c r="K408" s="42">
        <v>80</v>
      </c>
      <c r="L408" s="90">
        <v>26.849599999999999</v>
      </c>
      <c r="M408" s="38">
        <f t="shared" si="136"/>
        <v>2147.9679999999998</v>
      </c>
      <c r="O408" s="42">
        <v>505</v>
      </c>
      <c r="P408" s="38">
        <v>26.728300000000001</v>
      </c>
      <c r="Q408" s="38">
        <f t="shared" si="137"/>
        <v>13497.791500000001</v>
      </c>
      <c r="R408" s="43">
        <f t="shared" si="132"/>
        <v>665</v>
      </c>
      <c r="S408" s="38">
        <f t="shared" si="138"/>
        <v>17734.479500000001</v>
      </c>
      <c r="T408" s="49">
        <v>240</v>
      </c>
      <c r="U408" s="42">
        <v>26.95</v>
      </c>
      <c r="V408" s="38">
        <f t="shared" si="126"/>
        <v>6468</v>
      </c>
      <c r="W408" s="42">
        <v>505</v>
      </c>
      <c r="X408" s="42">
        <v>26.728300000000001</v>
      </c>
      <c r="Y408" s="42">
        <f t="shared" ref="Y408:Y471" si="144">W408*X408</f>
        <v>13497.791500000001</v>
      </c>
      <c r="Z408" s="42"/>
      <c r="AA408" s="42"/>
      <c r="AB408" s="42">
        <f t="shared" ref="AB408:AB471" si="145">Z408*AA408</f>
        <v>0</v>
      </c>
      <c r="AD408" s="42"/>
      <c r="AE408" s="42"/>
      <c r="AF408" s="42">
        <f t="shared" si="130"/>
        <v>0</v>
      </c>
      <c r="AG408" s="42"/>
      <c r="AH408" s="42"/>
      <c r="AI408" s="42"/>
      <c r="AJ408" s="42">
        <f t="shared" si="134"/>
        <v>0</v>
      </c>
      <c r="AL408" s="42"/>
      <c r="AM408" s="42"/>
      <c r="AN408" s="42"/>
      <c r="AO408" s="44"/>
      <c r="AP408" s="42"/>
      <c r="AQ408" s="42"/>
      <c r="AR408" s="42"/>
      <c r="AU408" s="98"/>
      <c r="AV408" s="35"/>
      <c r="AW408" s="104"/>
      <c r="AX408" s="42"/>
      <c r="AY408" s="42"/>
      <c r="AZ408" s="42">
        <f t="shared" si="131"/>
        <v>0</v>
      </c>
      <c r="BA408" s="42"/>
      <c r="BB408" s="42"/>
      <c r="BC408" s="42"/>
      <c r="BD408" s="38">
        <f t="shared" si="139"/>
        <v>0</v>
      </c>
      <c r="BE408" s="42"/>
      <c r="BF408" s="42"/>
      <c r="BG408" s="42"/>
      <c r="BH408" s="38">
        <f t="shared" si="140"/>
        <v>0</v>
      </c>
      <c r="BI408" s="42"/>
      <c r="BJ408" s="42"/>
      <c r="BK408" s="42"/>
      <c r="BL408" s="38">
        <f t="shared" si="141"/>
        <v>0</v>
      </c>
      <c r="BM408" s="42"/>
      <c r="BN408" s="42"/>
      <c r="BO408" s="42"/>
      <c r="BP408" s="42"/>
      <c r="BR408" s="42">
        <f t="shared" si="142"/>
        <v>19965.791499999999</v>
      </c>
      <c r="BS408" s="43"/>
      <c r="BT408" s="42">
        <v>2231.31</v>
      </c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  <c r="FM408" s="31"/>
      <c r="FN408" s="31"/>
      <c r="FO408" s="31"/>
      <c r="FP408" s="31"/>
      <c r="FQ408" s="31"/>
      <c r="FR408" s="31"/>
      <c r="FS408" s="31"/>
      <c r="FT408" s="31"/>
      <c r="FU408" s="31"/>
      <c r="FV408" s="31"/>
      <c r="FW408" s="31"/>
      <c r="FX408" s="31"/>
      <c r="FY408" s="31"/>
      <c r="FZ408" s="31"/>
      <c r="GA408" s="31"/>
      <c r="GB408" s="31"/>
      <c r="GC408" s="31"/>
      <c r="GD408" s="31"/>
      <c r="GE408" s="31"/>
      <c r="GF408" s="31"/>
      <c r="GG408" s="31"/>
      <c r="GH408" s="31"/>
      <c r="GI408" s="31"/>
      <c r="GJ408" s="31"/>
      <c r="GK408" s="31"/>
      <c r="GL408" s="31"/>
      <c r="GM408" s="31"/>
      <c r="GN408" s="31"/>
      <c r="GO408" s="31"/>
      <c r="GP408" s="31"/>
      <c r="GQ408" s="31"/>
      <c r="GR408" s="31"/>
      <c r="GS408" s="31"/>
      <c r="GT408" s="31"/>
      <c r="GU408" s="31"/>
      <c r="GV408" s="31"/>
      <c r="GW408" s="31"/>
      <c r="GX408" s="31"/>
      <c r="GY408" s="31"/>
      <c r="GZ408" s="31"/>
      <c r="HA408" s="31"/>
      <c r="HB408" s="31"/>
      <c r="HC408" s="31"/>
      <c r="HD408" s="31"/>
      <c r="HE408" s="31"/>
      <c r="HF408" s="31"/>
      <c r="HG408" s="31"/>
      <c r="HH408" s="31"/>
      <c r="HI408" s="31"/>
      <c r="HJ408" s="31"/>
      <c r="HK408" s="31"/>
      <c r="HL408" s="31"/>
      <c r="HM408" s="31"/>
      <c r="HN408" s="31"/>
      <c r="HO408" s="31"/>
      <c r="HP408" s="31"/>
      <c r="HQ408" s="31"/>
      <c r="HR408" s="31"/>
      <c r="HS408" s="31"/>
      <c r="HT408" s="31"/>
      <c r="HU408" s="31"/>
      <c r="HV408" s="31"/>
      <c r="HW408" s="31"/>
      <c r="HX408" s="31"/>
      <c r="HY408" s="31"/>
      <c r="HZ408" s="31"/>
      <c r="IA408" s="31"/>
      <c r="IB408" s="31"/>
      <c r="IC408" s="31"/>
      <c r="ID408" s="31"/>
      <c r="IE408" s="31"/>
      <c r="IF408" s="31"/>
      <c r="IG408" s="31"/>
      <c r="IH408" s="31"/>
      <c r="II408" s="31"/>
      <c r="IJ408" s="31"/>
      <c r="IK408" s="31"/>
      <c r="IL408" s="31"/>
      <c r="IM408" s="31"/>
      <c r="IN408" s="31"/>
      <c r="IO408" s="31"/>
      <c r="IP408" s="31"/>
      <c r="IQ408" s="31"/>
      <c r="IR408" s="31"/>
      <c r="IS408" s="31"/>
      <c r="IT408" s="31"/>
      <c r="IU408" s="31"/>
      <c r="IV408" s="31"/>
      <c r="IW408" s="31"/>
      <c r="IX408" s="31"/>
      <c r="IY408" s="31"/>
      <c r="IZ408" s="31"/>
      <c r="JA408" s="31"/>
      <c r="JB408" s="31"/>
      <c r="JC408" s="31"/>
      <c r="JD408" s="31"/>
      <c r="JE408" s="31"/>
      <c r="JF408" s="31"/>
      <c r="JG408" s="31"/>
      <c r="JH408" s="31"/>
      <c r="JI408" s="31"/>
      <c r="JJ408" s="31"/>
      <c r="JK408" s="31"/>
      <c r="JL408" s="31"/>
      <c r="JM408" s="31"/>
      <c r="JN408" s="31"/>
      <c r="JO408" s="31"/>
      <c r="JP408" s="31"/>
      <c r="JQ408" s="31"/>
      <c r="JR408" s="31"/>
      <c r="JS408" s="31"/>
      <c r="JT408" s="31"/>
      <c r="JU408" s="31"/>
      <c r="JV408" s="31"/>
      <c r="JW408" s="31"/>
      <c r="JX408" s="31"/>
      <c r="JY408" s="31"/>
      <c r="JZ408" s="31"/>
      <c r="KA408" s="31"/>
      <c r="KB408" s="31"/>
      <c r="KC408" s="31"/>
      <c r="KD408" s="31"/>
      <c r="KE408" s="31"/>
      <c r="KF408" s="31"/>
      <c r="KG408" s="31"/>
      <c r="KH408" s="31"/>
      <c r="KI408" s="31"/>
      <c r="KJ408" s="31"/>
      <c r="KK408" s="31"/>
      <c r="KL408" s="31"/>
      <c r="KM408" s="31"/>
      <c r="KN408" s="31"/>
      <c r="KO408" s="31"/>
      <c r="KP408" s="31"/>
      <c r="KQ408" s="31"/>
      <c r="KR408" s="31"/>
      <c r="KS408" s="31"/>
      <c r="KT408" s="31"/>
      <c r="KU408" s="31"/>
      <c r="KV408" s="31"/>
      <c r="KW408" s="31"/>
      <c r="KX408" s="31"/>
      <c r="KY408" s="31"/>
      <c r="KZ408" s="31"/>
      <c r="LA408" s="31"/>
      <c r="LB408" s="31"/>
      <c r="LC408" s="31"/>
      <c r="LD408" s="31"/>
      <c r="LE408" s="31"/>
      <c r="LF408" s="31"/>
      <c r="LG408" s="31"/>
      <c r="LH408" s="31"/>
      <c r="LI408" s="31"/>
      <c r="LJ408" s="31"/>
      <c r="LK408" s="31"/>
      <c r="LL408" s="31"/>
      <c r="LM408" s="31"/>
      <c r="LN408" s="31"/>
      <c r="LO408" s="31"/>
      <c r="LP408" s="31"/>
      <c r="LQ408" s="31"/>
      <c r="LR408" s="31"/>
      <c r="LS408" s="31"/>
      <c r="LT408" s="31"/>
      <c r="LU408" s="31"/>
      <c r="LV408" s="31"/>
      <c r="LW408" s="31"/>
      <c r="LX408" s="31"/>
      <c r="LY408" s="31"/>
      <c r="LZ408" s="31"/>
      <c r="MA408" s="31"/>
      <c r="MB408" s="31"/>
      <c r="MC408" s="31"/>
      <c r="MD408" s="31"/>
      <c r="ME408" s="31"/>
      <c r="MF408" s="31"/>
      <c r="MG408" s="31"/>
      <c r="MH408" s="31"/>
      <c r="MI408" s="31"/>
      <c r="MJ408" s="31"/>
      <c r="MK408" s="31"/>
      <c r="ML408" s="31"/>
      <c r="MM408" s="31"/>
      <c r="MN408" s="31"/>
      <c r="MO408" s="31"/>
      <c r="MP408" s="31"/>
      <c r="MQ408" s="31"/>
      <c r="MR408" s="31"/>
      <c r="MS408" s="31"/>
      <c r="MT408" s="31"/>
      <c r="MU408" s="31"/>
      <c r="MV408" s="31"/>
      <c r="MW408" s="31"/>
      <c r="MX408" s="31"/>
      <c r="MY408" s="31"/>
      <c r="MZ408" s="31"/>
      <c r="NA408" s="31"/>
      <c r="NB408" s="31"/>
      <c r="NC408" s="31"/>
      <c r="ND408" s="31"/>
      <c r="NE408" s="31"/>
      <c r="NF408" s="31"/>
      <c r="NG408" s="31"/>
      <c r="NH408" s="31"/>
      <c r="NI408" s="31"/>
      <c r="NJ408" s="31"/>
      <c r="NK408" s="31"/>
      <c r="NL408" s="31"/>
      <c r="NM408" s="31"/>
      <c r="NN408" s="31"/>
      <c r="NO408" s="31"/>
      <c r="NP408" s="31"/>
      <c r="NQ408" s="31"/>
      <c r="NR408" s="31"/>
      <c r="NS408" s="31"/>
      <c r="NT408" s="31"/>
      <c r="NU408" s="31"/>
      <c r="NV408" s="31"/>
      <c r="NW408" s="31"/>
      <c r="NX408" s="31"/>
      <c r="NY408" s="31"/>
      <c r="NZ408" s="31"/>
      <c r="OA408" s="31"/>
      <c r="OB408" s="31"/>
      <c r="OC408" s="31"/>
      <c r="OD408" s="31"/>
      <c r="OE408" s="31"/>
      <c r="OF408" s="31"/>
      <c r="OG408" s="31"/>
      <c r="OH408" s="31"/>
      <c r="OI408" s="31"/>
      <c r="OJ408" s="31"/>
      <c r="OK408" s="31"/>
      <c r="OL408" s="31"/>
      <c r="OM408" s="31"/>
      <c r="ON408" s="31"/>
      <c r="OO408" s="31"/>
      <c r="OP408" s="31"/>
      <c r="OQ408" s="31"/>
      <c r="OR408" s="31"/>
      <c r="OS408" s="31"/>
      <c r="OT408" s="31"/>
      <c r="OU408" s="31"/>
      <c r="OV408" s="31"/>
      <c r="OW408" s="31"/>
      <c r="OX408" s="31"/>
    </row>
    <row r="409" spans="2:414" s="25" customFormat="1" ht="15.6">
      <c r="B409" s="25" t="s">
        <v>781</v>
      </c>
      <c r="C409" s="27" t="s">
        <v>121</v>
      </c>
      <c r="D409" s="30" t="s">
        <v>105</v>
      </c>
      <c r="G409" s="42">
        <v>80</v>
      </c>
      <c r="H409" s="89">
        <v>26.109000000000002</v>
      </c>
      <c r="I409" s="38">
        <f t="shared" si="135"/>
        <v>2088.7200000000003</v>
      </c>
      <c r="K409" s="42">
        <v>80</v>
      </c>
      <c r="L409" s="90">
        <v>26.849599999999999</v>
      </c>
      <c r="M409" s="38">
        <f t="shared" si="136"/>
        <v>2147.9679999999998</v>
      </c>
      <c r="O409" s="42">
        <v>505</v>
      </c>
      <c r="P409" s="38">
        <v>26.728300000000001</v>
      </c>
      <c r="Q409" s="38">
        <f t="shared" si="137"/>
        <v>13497.791500000001</v>
      </c>
      <c r="R409" s="43">
        <f t="shared" si="132"/>
        <v>665</v>
      </c>
      <c r="S409" s="38">
        <f t="shared" si="138"/>
        <v>17734.479500000001</v>
      </c>
      <c r="T409" s="49">
        <v>240</v>
      </c>
      <c r="U409" s="42">
        <v>26.7624</v>
      </c>
      <c r="V409" s="38">
        <f t="shared" ref="V409:V472" si="146">T409*U409</f>
        <v>6422.9759999999997</v>
      </c>
      <c r="W409" s="42">
        <v>505</v>
      </c>
      <c r="X409" s="42">
        <v>26.7165</v>
      </c>
      <c r="Y409" s="42">
        <f t="shared" si="144"/>
        <v>13491.8325</v>
      </c>
      <c r="Z409" s="42"/>
      <c r="AA409" s="42"/>
      <c r="AB409" s="42">
        <f t="shared" si="145"/>
        <v>0</v>
      </c>
      <c r="AD409" s="42"/>
      <c r="AE409" s="42"/>
      <c r="AF409" s="42">
        <f t="shared" si="130"/>
        <v>0</v>
      </c>
      <c r="AG409" s="42"/>
      <c r="AH409" s="42"/>
      <c r="AI409" s="42"/>
      <c r="AJ409" s="42">
        <f t="shared" si="134"/>
        <v>0</v>
      </c>
      <c r="AL409" s="42"/>
      <c r="AM409" s="42"/>
      <c r="AN409" s="42"/>
      <c r="AO409" s="44"/>
      <c r="AP409" s="42"/>
      <c r="AQ409" s="42"/>
      <c r="AR409" s="42"/>
      <c r="AU409" s="98"/>
      <c r="AV409" s="35"/>
      <c r="AW409" s="104"/>
      <c r="AX409" s="42"/>
      <c r="AY409" s="42"/>
      <c r="AZ409" s="42">
        <f t="shared" si="131"/>
        <v>0</v>
      </c>
      <c r="BA409" s="42"/>
      <c r="BB409" s="42"/>
      <c r="BC409" s="42"/>
      <c r="BD409" s="38">
        <f t="shared" si="139"/>
        <v>0</v>
      </c>
      <c r="BE409" s="42"/>
      <c r="BF409" s="42"/>
      <c r="BG409" s="42"/>
      <c r="BH409" s="38">
        <f t="shared" si="140"/>
        <v>0</v>
      </c>
      <c r="BI409" s="42"/>
      <c r="BJ409" s="42"/>
      <c r="BK409" s="42"/>
      <c r="BL409" s="38">
        <f t="shared" si="141"/>
        <v>0</v>
      </c>
      <c r="BM409" s="42"/>
      <c r="BN409" s="42"/>
      <c r="BO409" s="42"/>
      <c r="BP409" s="42"/>
      <c r="BR409" s="42">
        <f t="shared" si="142"/>
        <v>19914.808499999999</v>
      </c>
      <c r="BS409" s="43"/>
      <c r="BT409" s="42">
        <v>2180.33</v>
      </c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  <c r="FM409" s="31"/>
      <c r="FN409" s="31"/>
      <c r="FO409" s="31"/>
      <c r="FP409" s="31"/>
      <c r="FQ409" s="31"/>
      <c r="FR409" s="31"/>
      <c r="FS409" s="31"/>
      <c r="FT409" s="31"/>
      <c r="FU409" s="31"/>
      <c r="FV409" s="31"/>
      <c r="FW409" s="31"/>
      <c r="FX409" s="31"/>
      <c r="FY409" s="31"/>
      <c r="FZ409" s="31"/>
      <c r="GA409" s="31"/>
      <c r="GB409" s="31"/>
      <c r="GC409" s="31"/>
      <c r="GD409" s="31"/>
      <c r="GE409" s="31"/>
      <c r="GF409" s="31"/>
      <c r="GG409" s="31"/>
      <c r="GH409" s="31"/>
      <c r="GI409" s="31"/>
      <c r="GJ409" s="31"/>
      <c r="GK409" s="31"/>
      <c r="GL409" s="31"/>
      <c r="GM409" s="31"/>
      <c r="GN409" s="31"/>
      <c r="GO409" s="31"/>
      <c r="GP409" s="31"/>
      <c r="GQ409" s="31"/>
      <c r="GR409" s="31"/>
      <c r="GS409" s="31"/>
      <c r="GT409" s="31"/>
      <c r="GU409" s="31"/>
      <c r="GV409" s="31"/>
      <c r="GW409" s="31"/>
      <c r="GX409" s="31"/>
      <c r="GY409" s="31"/>
      <c r="GZ409" s="31"/>
      <c r="HA409" s="31"/>
      <c r="HB409" s="31"/>
      <c r="HC409" s="31"/>
      <c r="HD409" s="31"/>
      <c r="HE409" s="31"/>
      <c r="HF409" s="31"/>
      <c r="HG409" s="31"/>
      <c r="HH409" s="31"/>
      <c r="HI409" s="31"/>
      <c r="HJ409" s="31"/>
      <c r="HK409" s="31"/>
      <c r="HL409" s="31"/>
      <c r="HM409" s="31"/>
      <c r="HN409" s="31"/>
      <c r="HO409" s="31"/>
      <c r="HP409" s="31"/>
      <c r="HQ409" s="31"/>
      <c r="HR409" s="31"/>
      <c r="HS409" s="31"/>
      <c r="HT409" s="31"/>
      <c r="HU409" s="31"/>
      <c r="HV409" s="31"/>
      <c r="HW409" s="31"/>
      <c r="HX409" s="31"/>
      <c r="HY409" s="31"/>
      <c r="HZ409" s="31"/>
      <c r="IA409" s="31"/>
      <c r="IB409" s="31"/>
      <c r="IC409" s="31"/>
      <c r="ID409" s="31"/>
      <c r="IE409" s="31"/>
      <c r="IF409" s="31"/>
      <c r="IG409" s="31"/>
      <c r="IH409" s="31"/>
      <c r="II409" s="31"/>
      <c r="IJ409" s="31"/>
      <c r="IK409" s="31"/>
      <c r="IL409" s="31"/>
      <c r="IM409" s="31"/>
      <c r="IN409" s="31"/>
      <c r="IO409" s="31"/>
      <c r="IP409" s="31"/>
      <c r="IQ409" s="31"/>
      <c r="IR409" s="31"/>
      <c r="IS409" s="31"/>
      <c r="IT409" s="31"/>
      <c r="IU409" s="31"/>
      <c r="IV409" s="31"/>
      <c r="IW409" s="31"/>
      <c r="IX409" s="31"/>
      <c r="IY409" s="31"/>
      <c r="IZ409" s="31"/>
      <c r="JA409" s="31"/>
      <c r="JB409" s="31"/>
      <c r="JC409" s="31"/>
      <c r="JD409" s="31"/>
      <c r="JE409" s="31"/>
      <c r="JF409" s="31"/>
      <c r="JG409" s="31"/>
      <c r="JH409" s="31"/>
      <c r="JI409" s="31"/>
      <c r="JJ409" s="31"/>
      <c r="JK409" s="31"/>
      <c r="JL409" s="31"/>
      <c r="JM409" s="31"/>
      <c r="JN409" s="31"/>
      <c r="JO409" s="31"/>
      <c r="JP409" s="31"/>
      <c r="JQ409" s="31"/>
      <c r="JR409" s="31"/>
      <c r="JS409" s="31"/>
      <c r="JT409" s="31"/>
      <c r="JU409" s="31"/>
      <c r="JV409" s="31"/>
      <c r="JW409" s="31"/>
      <c r="JX409" s="31"/>
      <c r="JY409" s="31"/>
      <c r="JZ409" s="31"/>
      <c r="KA409" s="31"/>
      <c r="KB409" s="31"/>
      <c r="KC409" s="31"/>
      <c r="KD409" s="31"/>
      <c r="KE409" s="31"/>
      <c r="KF409" s="31"/>
      <c r="KG409" s="31"/>
      <c r="KH409" s="31"/>
      <c r="KI409" s="31"/>
      <c r="KJ409" s="31"/>
      <c r="KK409" s="31"/>
      <c r="KL409" s="31"/>
      <c r="KM409" s="31"/>
      <c r="KN409" s="31"/>
      <c r="KO409" s="31"/>
      <c r="KP409" s="31"/>
      <c r="KQ409" s="31"/>
      <c r="KR409" s="31"/>
      <c r="KS409" s="31"/>
      <c r="KT409" s="31"/>
      <c r="KU409" s="31"/>
      <c r="KV409" s="31"/>
      <c r="KW409" s="31"/>
      <c r="KX409" s="31"/>
      <c r="KY409" s="31"/>
      <c r="KZ409" s="31"/>
      <c r="LA409" s="31"/>
      <c r="LB409" s="31"/>
      <c r="LC409" s="31"/>
      <c r="LD409" s="31"/>
      <c r="LE409" s="31"/>
      <c r="LF409" s="31"/>
      <c r="LG409" s="31"/>
      <c r="LH409" s="31"/>
      <c r="LI409" s="31"/>
      <c r="LJ409" s="31"/>
      <c r="LK409" s="31"/>
      <c r="LL409" s="31"/>
      <c r="LM409" s="31"/>
      <c r="LN409" s="31"/>
      <c r="LO409" s="31"/>
      <c r="LP409" s="31"/>
      <c r="LQ409" s="31"/>
      <c r="LR409" s="31"/>
      <c r="LS409" s="31"/>
      <c r="LT409" s="31"/>
      <c r="LU409" s="31"/>
      <c r="LV409" s="31"/>
      <c r="LW409" s="31"/>
      <c r="LX409" s="31"/>
      <c r="LY409" s="31"/>
      <c r="LZ409" s="31"/>
      <c r="MA409" s="31"/>
      <c r="MB409" s="31"/>
      <c r="MC409" s="31"/>
      <c r="MD409" s="31"/>
      <c r="ME409" s="31"/>
      <c r="MF409" s="31"/>
      <c r="MG409" s="31"/>
      <c r="MH409" s="31"/>
      <c r="MI409" s="31"/>
      <c r="MJ409" s="31"/>
      <c r="MK409" s="31"/>
      <c r="ML409" s="31"/>
      <c r="MM409" s="31"/>
      <c r="MN409" s="31"/>
      <c r="MO409" s="31"/>
      <c r="MP409" s="31"/>
      <c r="MQ409" s="31"/>
      <c r="MR409" s="31"/>
      <c r="MS409" s="31"/>
      <c r="MT409" s="31"/>
      <c r="MU409" s="31"/>
      <c r="MV409" s="31"/>
      <c r="MW409" s="31"/>
      <c r="MX409" s="31"/>
      <c r="MY409" s="31"/>
      <c r="MZ409" s="31"/>
      <c r="NA409" s="31"/>
      <c r="NB409" s="31"/>
      <c r="NC409" s="31"/>
      <c r="ND409" s="31"/>
      <c r="NE409" s="31"/>
      <c r="NF409" s="31"/>
      <c r="NG409" s="31"/>
      <c r="NH409" s="31"/>
      <c r="NI409" s="31"/>
      <c r="NJ409" s="31"/>
      <c r="NK409" s="31"/>
      <c r="NL409" s="31"/>
      <c r="NM409" s="31"/>
      <c r="NN409" s="31"/>
      <c r="NO409" s="31"/>
      <c r="NP409" s="31"/>
      <c r="NQ409" s="31"/>
      <c r="NR409" s="31"/>
      <c r="NS409" s="31"/>
      <c r="NT409" s="31"/>
      <c r="NU409" s="31"/>
      <c r="NV409" s="31"/>
      <c r="NW409" s="31"/>
      <c r="NX409" s="31"/>
      <c r="NY409" s="31"/>
      <c r="NZ409" s="31"/>
      <c r="OA409" s="31"/>
      <c r="OB409" s="31"/>
      <c r="OC409" s="31"/>
      <c r="OD409" s="31"/>
      <c r="OE409" s="31"/>
      <c r="OF409" s="31"/>
      <c r="OG409" s="31"/>
      <c r="OH409" s="31"/>
      <c r="OI409" s="31"/>
      <c r="OJ409" s="31"/>
      <c r="OK409" s="31"/>
      <c r="OL409" s="31"/>
      <c r="OM409" s="31"/>
      <c r="ON409" s="31"/>
      <c r="OO409" s="31"/>
      <c r="OP409" s="31"/>
      <c r="OQ409" s="31"/>
      <c r="OR409" s="31"/>
      <c r="OS409" s="31"/>
      <c r="OT409" s="31"/>
      <c r="OU409" s="31"/>
      <c r="OV409" s="31"/>
      <c r="OW409" s="31"/>
      <c r="OX409" s="31"/>
    </row>
    <row r="410" spans="2:414" s="25" customFormat="1" ht="15.6">
      <c r="B410" s="25" t="s">
        <v>981</v>
      </c>
      <c r="C410" s="27" t="s">
        <v>665</v>
      </c>
      <c r="D410" s="30" t="s">
        <v>105</v>
      </c>
      <c r="G410" s="42">
        <v>80</v>
      </c>
      <c r="H410" s="89">
        <v>26.109000000000002</v>
      </c>
      <c r="I410" s="38">
        <f t="shared" si="135"/>
        <v>2088.7200000000003</v>
      </c>
      <c r="K410" s="42">
        <v>80</v>
      </c>
      <c r="L410" s="90">
        <v>26.849599999999999</v>
      </c>
      <c r="M410" s="38">
        <f t="shared" si="136"/>
        <v>2147.9679999999998</v>
      </c>
      <c r="O410" s="42">
        <v>505</v>
      </c>
      <c r="P410" s="38">
        <v>26.728300000000001</v>
      </c>
      <c r="Q410" s="38">
        <f t="shared" si="137"/>
        <v>13497.791500000001</v>
      </c>
      <c r="R410" s="43">
        <f t="shared" si="132"/>
        <v>665</v>
      </c>
      <c r="S410" s="38">
        <f t="shared" si="138"/>
        <v>17734.479500000001</v>
      </c>
      <c r="T410" s="49">
        <v>240</v>
      </c>
      <c r="U410" s="42">
        <v>26.76</v>
      </c>
      <c r="V410" s="38">
        <f t="shared" si="146"/>
        <v>6422.4000000000005</v>
      </c>
      <c r="W410" s="42">
        <v>505</v>
      </c>
      <c r="X410" s="42">
        <v>26.731200000000001</v>
      </c>
      <c r="Y410" s="42">
        <f t="shared" si="144"/>
        <v>13499.256000000001</v>
      </c>
      <c r="Z410" s="42"/>
      <c r="AA410" s="42"/>
      <c r="AB410" s="42">
        <f t="shared" si="145"/>
        <v>0</v>
      </c>
      <c r="AD410" s="42"/>
      <c r="AE410" s="42"/>
      <c r="AF410" s="42">
        <f t="shared" si="130"/>
        <v>0</v>
      </c>
      <c r="AG410" s="42"/>
      <c r="AH410" s="42"/>
      <c r="AI410" s="42"/>
      <c r="AJ410" s="42">
        <f t="shared" si="134"/>
        <v>0</v>
      </c>
      <c r="AL410" s="42"/>
      <c r="AM410" s="42"/>
      <c r="AN410" s="42"/>
      <c r="AO410" s="44"/>
      <c r="AP410" s="42"/>
      <c r="AQ410" s="42"/>
      <c r="AR410" s="42"/>
      <c r="AU410" s="98"/>
      <c r="AV410" s="35"/>
      <c r="AW410" s="104"/>
      <c r="AX410" s="42"/>
      <c r="AY410" s="42"/>
      <c r="AZ410" s="42">
        <f t="shared" si="131"/>
        <v>0</v>
      </c>
      <c r="BA410" s="42"/>
      <c r="BB410" s="42"/>
      <c r="BC410" s="42"/>
      <c r="BD410" s="38">
        <f t="shared" si="139"/>
        <v>0</v>
      </c>
      <c r="BE410" s="42"/>
      <c r="BF410" s="42"/>
      <c r="BG410" s="42"/>
      <c r="BH410" s="38">
        <f t="shared" si="140"/>
        <v>0</v>
      </c>
      <c r="BI410" s="42"/>
      <c r="BJ410" s="42"/>
      <c r="BK410" s="42"/>
      <c r="BL410" s="38">
        <f t="shared" si="141"/>
        <v>0</v>
      </c>
      <c r="BM410" s="42"/>
      <c r="BN410" s="42"/>
      <c r="BO410" s="42"/>
      <c r="BP410" s="42"/>
      <c r="BR410" s="42">
        <f t="shared" si="142"/>
        <v>19921.656000000003</v>
      </c>
      <c r="BS410" s="43"/>
      <c r="BT410" s="42">
        <v>2187.1799999999998</v>
      </c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  <c r="FM410" s="31"/>
      <c r="FN410" s="31"/>
      <c r="FO410" s="31"/>
      <c r="FP410" s="31"/>
      <c r="FQ410" s="31"/>
      <c r="FR410" s="31"/>
      <c r="FS410" s="31"/>
      <c r="FT410" s="31"/>
      <c r="FU410" s="31"/>
      <c r="FV410" s="31"/>
      <c r="FW410" s="31"/>
      <c r="FX410" s="31"/>
      <c r="FY410" s="31"/>
      <c r="FZ410" s="31"/>
      <c r="GA410" s="31"/>
      <c r="GB410" s="31"/>
      <c r="GC410" s="31"/>
      <c r="GD410" s="31"/>
      <c r="GE410" s="31"/>
      <c r="GF410" s="31"/>
      <c r="GG410" s="31"/>
      <c r="GH410" s="31"/>
      <c r="GI410" s="31"/>
      <c r="GJ410" s="31"/>
      <c r="GK410" s="31"/>
      <c r="GL410" s="31"/>
      <c r="GM410" s="31"/>
      <c r="GN410" s="31"/>
      <c r="GO410" s="31"/>
      <c r="GP410" s="31"/>
      <c r="GQ410" s="31"/>
      <c r="GR410" s="31"/>
      <c r="GS410" s="31"/>
      <c r="GT410" s="31"/>
      <c r="GU410" s="31"/>
      <c r="GV410" s="31"/>
      <c r="GW410" s="31"/>
      <c r="GX410" s="31"/>
      <c r="GY410" s="31"/>
      <c r="GZ410" s="31"/>
      <c r="HA410" s="31"/>
      <c r="HB410" s="31"/>
      <c r="HC410" s="31"/>
      <c r="HD410" s="31"/>
      <c r="HE410" s="31"/>
      <c r="HF410" s="31"/>
      <c r="HG410" s="31"/>
      <c r="HH410" s="31"/>
      <c r="HI410" s="31"/>
      <c r="HJ410" s="31"/>
      <c r="HK410" s="31"/>
      <c r="HL410" s="31"/>
      <c r="HM410" s="31"/>
      <c r="HN410" s="31"/>
      <c r="HO410" s="31"/>
      <c r="HP410" s="31"/>
      <c r="HQ410" s="31"/>
      <c r="HR410" s="31"/>
      <c r="HS410" s="31"/>
      <c r="HT410" s="31"/>
      <c r="HU410" s="31"/>
      <c r="HV410" s="31"/>
      <c r="HW410" s="31"/>
      <c r="HX410" s="31"/>
      <c r="HY410" s="31"/>
      <c r="HZ410" s="31"/>
      <c r="IA410" s="31"/>
      <c r="IB410" s="31"/>
      <c r="IC410" s="31"/>
      <c r="ID410" s="31"/>
      <c r="IE410" s="31"/>
      <c r="IF410" s="31"/>
      <c r="IG410" s="31"/>
      <c r="IH410" s="31"/>
      <c r="II410" s="31"/>
      <c r="IJ410" s="31"/>
      <c r="IK410" s="31"/>
      <c r="IL410" s="31"/>
      <c r="IM410" s="31"/>
      <c r="IN410" s="31"/>
      <c r="IO410" s="31"/>
      <c r="IP410" s="31"/>
      <c r="IQ410" s="31"/>
      <c r="IR410" s="31"/>
      <c r="IS410" s="31"/>
      <c r="IT410" s="31"/>
      <c r="IU410" s="31"/>
      <c r="IV410" s="31"/>
      <c r="IW410" s="31"/>
      <c r="IX410" s="31"/>
      <c r="IY410" s="31"/>
      <c r="IZ410" s="31"/>
      <c r="JA410" s="31"/>
      <c r="JB410" s="31"/>
      <c r="JC410" s="31"/>
      <c r="JD410" s="31"/>
      <c r="JE410" s="31"/>
      <c r="JF410" s="31"/>
      <c r="JG410" s="31"/>
      <c r="JH410" s="31"/>
      <c r="JI410" s="31"/>
      <c r="JJ410" s="31"/>
      <c r="JK410" s="31"/>
      <c r="JL410" s="31"/>
      <c r="JM410" s="31"/>
      <c r="JN410" s="31"/>
      <c r="JO410" s="31"/>
      <c r="JP410" s="31"/>
      <c r="JQ410" s="31"/>
      <c r="JR410" s="31"/>
      <c r="JS410" s="31"/>
      <c r="JT410" s="31"/>
      <c r="JU410" s="31"/>
      <c r="JV410" s="31"/>
      <c r="JW410" s="31"/>
      <c r="JX410" s="31"/>
      <c r="JY410" s="31"/>
      <c r="JZ410" s="31"/>
      <c r="KA410" s="31"/>
      <c r="KB410" s="31"/>
      <c r="KC410" s="31"/>
      <c r="KD410" s="31"/>
      <c r="KE410" s="31"/>
      <c r="KF410" s="31"/>
      <c r="KG410" s="31"/>
      <c r="KH410" s="31"/>
      <c r="KI410" s="31"/>
      <c r="KJ410" s="31"/>
      <c r="KK410" s="31"/>
      <c r="KL410" s="31"/>
      <c r="KM410" s="31"/>
      <c r="KN410" s="31"/>
      <c r="KO410" s="31"/>
      <c r="KP410" s="31"/>
      <c r="KQ410" s="31"/>
      <c r="KR410" s="31"/>
      <c r="KS410" s="31"/>
      <c r="KT410" s="31"/>
      <c r="KU410" s="31"/>
      <c r="KV410" s="31"/>
      <c r="KW410" s="31"/>
      <c r="KX410" s="31"/>
      <c r="KY410" s="31"/>
      <c r="KZ410" s="31"/>
      <c r="LA410" s="31"/>
      <c r="LB410" s="31"/>
      <c r="LC410" s="31"/>
      <c r="LD410" s="31"/>
      <c r="LE410" s="31"/>
      <c r="LF410" s="31"/>
      <c r="LG410" s="31"/>
      <c r="LH410" s="31"/>
      <c r="LI410" s="31"/>
      <c r="LJ410" s="31"/>
      <c r="LK410" s="31"/>
      <c r="LL410" s="31"/>
      <c r="LM410" s="31"/>
      <c r="LN410" s="31"/>
      <c r="LO410" s="31"/>
      <c r="LP410" s="31"/>
      <c r="LQ410" s="31"/>
      <c r="LR410" s="31"/>
      <c r="LS410" s="31"/>
      <c r="LT410" s="31"/>
      <c r="LU410" s="31"/>
      <c r="LV410" s="31"/>
      <c r="LW410" s="31"/>
      <c r="LX410" s="31"/>
      <c r="LY410" s="31"/>
      <c r="LZ410" s="31"/>
      <c r="MA410" s="31"/>
      <c r="MB410" s="31"/>
      <c r="MC410" s="31"/>
      <c r="MD410" s="31"/>
      <c r="ME410" s="31"/>
      <c r="MF410" s="31"/>
      <c r="MG410" s="31"/>
      <c r="MH410" s="31"/>
      <c r="MI410" s="31"/>
      <c r="MJ410" s="31"/>
      <c r="MK410" s="31"/>
      <c r="ML410" s="31"/>
      <c r="MM410" s="31"/>
      <c r="MN410" s="31"/>
      <c r="MO410" s="31"/>
      <c r="MP410" s="31"/>
      <c r="MQ410" s="31"/>
      <c r="MR410" s="31"/>
      <c r="MS410" s="31"/>
      <c r="MT410" s="31"/>
      <c r="MU410" s="31"/>
      <c r="MV410" s="31"/>
      <c r="MW410" s="31"/>
      <c r="MX410" s="31"/>
      <c r="MY410" s="31"/>
      <c r="MZ410" s="31"/>
      <c r="NA410" s="31"/>
      <c r="NB410" s="31"/>
      <c r="NC410" s="31"/>
      <c r="ND410" s="31"/>
      <c r="NE410" s="31"/>
      <c r="NF410" s="31"/>
      <c r="NG410" s="31"/>
      <c r="NH410" s="31"/>
      <c r="NI410" s="31"/>
      <c r="NJ410" s="31"/>
      <c r="NK410" s="31"/>
      <c r="NL410" s="31"/>
      <c r="NM410" s="31"/>
      <c r="NN410" s="31"/>
      <c r="NO410" s="31"/>
      <c r="NP410" s="31"/>
      <c r="NQ410" s="31"/>
      <c r="NR410" s="31"/>
      <c r="NS410" s="31"/>
      <c r="NT410" s="31"/>
      <c r="NU410" s="31"/>
      <c r="NV410" s="31"/>
      <c r="NW410" s="31"/>
      <c r="NX410" s="31"/>
      <c r="NY410" s="31"/>
      <c r="NZ410" s="31"/>
      <c r="OA410" s="31"/>
      <c r="OB410" s="31"/>
      <c r="OC410" s="31"/>
      <c r="OD410" s="31"/>
      <c r="OE410" s="31"/>
      <c r="OF410" s="31"/>
      <c r="OG410" s="31"/>
      <c r="OH410" s="31"/>
      <c r="OI410" s="31"/>
      <c r="OJ410" s="31"/>
      <c r="OK410" s="31"/>
      <c r="OL410" s="31"/>
      <c r="OM410" s="31"/>
      <c r="ON410" s="31"/>
      <c r="OO410" s="31"/>
      <c r="OP410" s="31"/>
      <c r="OQ410" s="31"/>
      <c r="OR410" s="31"/>
      <c r="OS410" s="31"/>
      <c r="OT410" s="31"/>
      <c r="OU410" s="31"/>
      <c r="OV410" s="31"/>
      <c r="OW410" s="31"/>
      <c r="OX410" s="31"/>
    </row>
    <row r="411" spans="2:414" s="25" customFormat="1" ht="15.6">
      <c r="B411" s="25" t="s">
        <v>982</v>
      </c>
      <c r="C411" s="27" t="s">
        <v>983</v>
      </c>
      <c r="D411" s="30" t="s">
        <v>105</v>
      </c>
      <c r="G411" s="42">
        <v>80</v>
      </c>
      <c r="H411" s="89">
        <v>26.109000000000002</v>
      </c>
      <c r="I411" s="38">
        <f t="shared" si="135"/>
        <v>2088.7200000000003</v>
      </c>
      <c r="K411" s="42">
        <v>80</v>
      </c>
      <c r="L411" s="90">
        <v>26.849599999999999</v>
      </c>
      <c r="M411" s="38">
        <f t="shared" si="136"/>
        <v>2147.9679999999998</v>
      </c>
      <c r="O411" s="42">
        <v>505</v>
      </c>
      <c r="P411" s="38">
        <v>26.728300000000001</v>
      </c>
      <c r="Q411" s="38">
        <f t="shared" si="137"/>
        <v>13497.791500000001</v>
      </c>
      <c r="R411" s="43">
        <f t="shared" si="132"/>
        <v>665</v>
      </c>
      <c r="S411" s="38">
        <f t="shared" si="138"/>
        <v>17734.479500000001</v>
      </c>
      <c r="T411" s="49">
        <v>240</v>
      </c>
      <c r="U411" s="42">
        <v>26.76</v>
      </c>
      <c r="V411" s="38">
        <f t="shared" si="146"/>
        <v>6422.4000000000005</v>
      </c>
      <c r="W411" s="42">
        <v>505</v>
      </c>
      <c r="X411" s="42">
        <v>26.677399999999999</v>
      </c>
      <c r="Y411" s="42">
        <f t="shared" si="144"/>
        <v>13472.087</v>
      </c>
      <c r="Z411" s="42"/>
      <c r="AA411" s="42"/>
      <c r="AB411" s="42">
        <f t="shared" si="145"/>
        <v>0</v>
      </c>
      <c r="AD411" s="42"/>
      <c r="AE411" s="42"/>
      <c r="AF411" s="42">
        <f t="shared" si="130"/>
        <v>0</v>
      </c>
      <c r="AG411" s="42"/>
      <c r="AH411" s="42"/>
      <c r="AI411" s="42"/>
      <c r="AJ411" s="42">
        <f t="shared" si="134"/>
        <v>0</v>
      </c>
      <c r="AL411" s="42"/>
      <c r="AM411" s="42"/>
      <c r="AN411" s="42"/>
      <c r="AO411" s="44"/>
      <c r="AP411" s="42"/>
      <c r="AQ411" s="42"/>
      <c r="AR411" s="42"/>
      <c r="AU411" s="98"/>
      <c r="AV411" s="35"/>
      <c r="AW411" s="104"/>
      <c r="AX411" s="42"/>
      <c r="AY411" s="42"/>
      <c r="AZ411" s="42">
        <f t="shared" si="131"/>
        <v>0</v>
      </c>
      <c r="BA411" s="42"/>
      <c r="BB411" s="42"/>
      <c r="BC411" s="42"/>
      <c r="BD411" s="38">
        <f t="shared" si="139"/>
        <v>0</v>
      </c>
      <c r="BE411" s="42"/>
      <c r="BF411" s="42"/>
      <c r="BG411" s="42"/>
      <c r="BH411" s="38">
        <f t="shared" si="140"/>
        <v>0</v>
      </c>
      <c r="BI411" s="42"/>
      <c r="BJ411" s="42"/>
      <c r="BK411" s="42"/>
      <c r="BL411" s="38">
        <f t="shared" si="141"/>
        <v>0</v>
      </c>
      <c r="BM411" s="42"/>
      <c r="BN411" s="42"/>
      <c r="BO411" s="42"/>
      <c r="BP411" s="42"/>
      <c r="BR411" s="42">
        <f t="shared" si="142"/>
        <v>19894.487000000001</v>
      </c>
      <c r="BS411" s="43"/>
      <c r="BT411" s="42">
        <v>2160.0100000000002</v>
      </c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  <c r="FM411" s="31"/>
      <c r="FN411" s="31"/>
      <c r="FO411" s="31"/>
      <c r="FP411" s="31"/>
      <c r="FQ411" s="31"/>
      <c r="FR411" s="31"/>
      <c r="FS411" s="31"/>
      <c r="FT411" s="31"/>
      <c r="FU411" s="31"/>
      <c r="FV411" s="31"/>
      <c r="FW411" s="31"/>
      <c r="FX411" s="31"/>
      <c r="FY411" s="31"/>
      <c r="FZ411" s="31"/>
      <c r="GA411" s="31"/>
      <c r="GB411" s="31"/>
      <c r="GC411" s="31"/>
      <c r="GD411" s="31"/>
      <c r="GE411" s="31"/>
      <c r="GF411" s="31"/>
      <c r="GG411" s="31"/>
      <c r="GH411" s="31"/>
      <c r="GI411" s="31"/>
      <c r="GJ411" s="31"/>
      <c r="GK411" s="31"/>
      <c r="GL411" s="31"/>
      <c r="GM411" s="31"/>
      <c r="GN411" s="31"/>
      <c r="GO411" s="31"/>
      <c r="GP411" s="31"/>
      <c r="GQ411" s="31"/>
      <c r="GR411" s="31"/>
      <c r="GS411" s="31"/>
      <c r="GT411" s="31"/>
      <c r="GU411" s="31"/>
      <c r="GV411" s="31"/>
      <c r="GW411" s="31"/>
      <c r="GX411" s="31"/>
      <c r="GY411" s="31"/>
      <c r="GZ411" s="31"/>
      <c r="HA411" s="31"/>
      <c r="HB411" s="31"/>
      <c r="HC411" s="31"/>
      <c r="HD411" s="31"/>
      <c r="HE411" s="31"/>
      <c r="HF411" s="31"/>
      <c r="HG411" s="31"/>
      <c r="HH411" s="31"/>
      <c r="HI411" s="31"/>
      <c r="HJ411" s="31"/>
      <c r="HK411" s="31"/>
      <c r="HL411" s="31"/>
      <c r="HM411" s="31"/>
      <c r="HN411" s="31"/>
      <c r="HO411" s="31"/>
      <c r="HP411" s="31"/>
      <c r="HQ411" s="31"/>
      <c r="HR411" s="31"/>
      <c r="HS411" s="31"/>
      <c r="HT411" s="31"/>
      <c r="HU411" s="31"/>
      <c r="HV411" s="31"/>
      <c r="HW411" s="31"/>
      <c r="HX411" s="31"/>
      <c r="HY411" s="31"/>
      <c r="HZ411" s="31"/>
      <c r="IA411" s="31"/>
      <c r="IB411" s="31"/>
      <c r="IC411" s="31"/>
      <c r="ID411" s="31"/>
      <c r="IE411" s="31"/>
      <c r="IF411" s="31"/>
      <c r="IG411" s="31"/>
      <c r="IH411" s="31"/>
      <c r="II411" s="31"/>
      <c r="IJ411" s="31"/>
      <c r="IK411" s="31"/>
      <c r="IL411" s="31"/>
      <c r="IM411" s="31"/>
      <c r="IN411" s="31"/>
      <c r="IO411" s="31"/>
      <c r="IP411" s="31"/>
      <c r="IQ411" s="31"/>
      <c r="IR411" s="31"/>
      <c r="IS411" s="31"/>
      <c r="IT411" s="31"/>
      <c r="IU411" s="31"/>
      <c r="IV411" s="31"/>
      <c r="IW411" s="31"/>
      <c r="IX411" s="31"/>
      <c r="IY411" s="31"/>
      <c r="IZ411" s="31"/>
      <c r="JA411" s="31"/>
      <c r="JB411" s="31"/>
      <c r="JC411" s="31"/>
      <c r="JD411" s="31"/>
      <c r="JE411" s="31"/>
      <c r="JF411" s="31"/>
      <c r="JG411" s="31"/>
      <c r="JH411" s="31"/>
      <c r="JI411" s="31"/>
      <c r="JJ411" s="31"/>
      <c r="JK411" s="31"/>
      <c r="JL411" s="31"/>
      <c r="JM411" s="31"/>
      <c r="JN411" s="31"/>
      <c r="JO411" s="31"/>
      <c r="JP411" s="31"/>
      <c r="JQ411" s="31"/>
      <c r="JR411" s="31"/>
      <c r="JS411" s="31"/>
      <c r="JT411" s="31"/>
      <c r="JU411" s="31"/>
      <c r="JV411" s="31"/>
      <c r="JW411" s="31"/>
      <c r="JX411" s="31"/>
      <c r="JY411" s="31"/>
      <c r="JZ411" s="31"/>
      <c r="KA411" s="31"/>
      <c r="KB411" s="31"/>
      <c r="KC411" s="31"/>
      <c r="KD411" s="31"/>
      <c r="KE411" s="31"/>
      <c r="KF411" s="31"/>
      <c r="KG411" s="31"/>
      <c r="KH411" s="31"/>
      <c r="KI411" s="31"/>
      <c r="KJ411" s="31"/>
      <c r="KK411" s="31"/>
      <c r="KL411" s="31"/>
      <c r="KM411" s="31"/>
      <c r="KN411" s="31"/>
      <c r="KO411" s="31"/>
      <c r="KP411" s="31"/>
      <c r="KQ411" s="31"/>
      <c r="KR411" s="31"/>
      <c r="KS411" s="31"/>
      <c r="KT411" s="31"/>
      <c r="KU411" s="31"/>
      <c r="KV411" s="31"/>
      <c r="KW411" s="31"/>
      <c r="KX411" s="31"/>
      <c r="KY411" s="31"/>
      <c r="KZ411" s="31"/>
      <c r="LA411" s="31"/>
      <c r="LB411" s="31"/>
      <c r="LC411" s="31"/>
      <c r="LD411" s="31"/>
      <c r="LE411" s="31"/>
      <c r="LF411" s="31"/>
      <c r="LG411" s="31"/>
      <c r="LH411" s="31"/>
      <c r="LI411" s="31"/>
      <c r="LJ411" s="31"/>
      <c r="LK411" s="31"/>
      <c r="LL411" s="31"/>
      <c r="LM411" s="31"/>
      <c r="LN411" s="31"/>
      <c r="LO411" s="31"/>
      <c r="LP411" s="31"/>
      <c r="LQ411" s="31"/>
      <c r="LR411" s="31"/>
      <c r="LS411" s="31"/>
      <c r="LT411" s="31"/>
      <c r="LU411" s="31"/>
      <c r="LV411" s="31"/>
      <c r="LW411" s="31"/>
      <c r="LX411" s="31"/>
      <c r="LY411" s="31"/>
      <c r="LZ411" s="31"/>
      <c r="MA411" s="31"/>
      <c r="MB411" s="31"/>
      <c r="MC411" s="31"/>
      <c r="MD411" s="31"/>
      <c r="ME411" s="31"/>
      <c r="MF411" s="31"/>
      <c r="MG411" s="31"/>
      <c r="MH411" s="31"/>
      <c r="MI411" s="31"/>
      <c r="MJ411" s="31"/>
      <c r="MK411" s="31"/>
      <c r="ML411" s="31"/>
      <c r="MM411" s="31"/>
      <c r="MN411" s="31"/>
      <c r="MO411" s="31"/>
      <c r="MP411" s="31"/>
      <c r="MQ411" s="31"/>
      <c r="MR411" s="31"/>
      <c r="MS411" s="31"/>
      <c r="MT411" s="31"/>
      <c r="MU411" s="31"/>
      <c r="MV411" s="31"/>
      <c r="MW411" s="31"/>
      <c r="MX411" s="31"/>
      <c r="MY411" s="31"/>
      <c r="MZ411" s="31"/>
      <c r="NA411" s="31"/>
      <c r="NB411" s="31"/>
      <c r="NC411" s="31"/>
      <c r="ND411" s="31"/>
      <c r="NE411" s="31"/>
      <c r="NF411" s="31"/>
      <c r="NG411" s="31"/>
      <c r="NH411" s="31"/>
      <c r="NI411" s="31"/>
      <c r="NJ411" s="31"/>
      <c r="NK411" s="31"/>
      <c r="NL411" s="31"/>
      <c r="NM411" s="31"/>
      <c r="NN411" s="31"/>
      <c r="NO411" s="31"/>
      <c r="NP411" s="31"/>
      <c r="NQ411" s="31"/>
      <c r="NR411" s="31"/>
      <c r="NS411" s="31"/>
      <c r="NT411" s="31"/>
      <c r="NU411" s="31"/>
      <c r="NV411" s="31"/>
      <c r="NW411" s="31"/>
      <c r="NX411" s="31"/>
      <c r="NY411" s="31"/>
      <c r="NZ411" s="31"/>
      <c r="OA411" s="31"/>
      <c r="OB411" s="31"/>
      <c r="OC411" s="31"/>
      <c r="OD411" s="31"/>
      <c r="OE411" s="31"/>
      <c r="OF411" s="31"/>
      <c r="OG411" s="31"/>
      <c r="OH411" s="31"/>
      <c r="OI411" s="31"/>
      <c r="OJ411" s="31"/>
      <c r="OK411" s="31"/>
      <c r="OL411" s="31"/>
      <c r="OM411" s="31"/>
      <c r="ON411" s="31"/>
      <c r="OO411" s="31"/>
      <c r="OP411" s="31"/>
      <c r="OQ411" s="31"/>
      <c r="OR411" s="31"/>
      <c r="OS411" s="31"/>
      <c r="OT411" s="31"/>
      <c r="OU411" s="31"/>
      <c r="OV411" s="31"/>
      <c r="OW411" s="31"/>
      <c r="OX411" s="31"/>
    </row>
    <row r="412" spans="2:414" s="25" customFormat="1" ht="15.6">
      <c r="B412" s="25" t="s">
        <v>984</v>
      </c>
      <c r="C412" s="27" t="s">
        <v>985</v>
      </c>
      <c r="D412" s="30" t="s">
        <v>105</v>
      </c>
      <c r="G412" s="42">
        <v>80</v>
      </c>
      <c r="H412" s="89">
        <v>26.109000000000002</v>
      </c>
      <c r="I412" s="38">
        <f t="shared" si="135"/>
        <v>2088.7200000000003</v>
      </c>
      <c r="K412" s="42">
        <v>80</v>
      </c>
      <c r="L412" s="90">
        <v>26.849599999999999</v>
      </c>
      <c r="M412" s="38">
        <f t="shared" si="136"/>
        <v>2147.9679999999998</v>
      </c>
      <c r="O412" s="42">
        <v>505</v>
      </c>
      <c r="P412" s="38">
        <v>26.728300000000001</v>
      </c>
      <c r="Q412" s="38">
        <f t="shared" si="137"/>
        <v>13497.791500000001</v>
      </c>
      <c r="R412" s="43">
        <f t="shared" si="132"/>
        <v>665</v>
      </c>
      <c r="S412" s="38">
        <f t="shared" si="138"/>
        <v>17734.479500000001</v>
      </c>
      <c r="T412" s="49"/>
      <c r="U412" s="42"/>
      <c r="V412" s="38">
        <f t="shared" si="146"/>
        <v>0</v>
      </c>
      <c r="W412" s="42"/>
      <c r="X412" s="42"/>
      <c r="Y412" s="42">
        <f t="shared" si="144"/>
        <v>0</v>
      </c>
      <c r="Z412" s="42"/>
      <c r="AA412" s="42"/>
      <c r="AB412" s="42">
        <f t="shared" si="145"/>
        <v>0</v>
      </c>
      <c r="AD412" s="42"/>
      <c r="AE412" s="42"/>
      <c r="AF412" s="42">
        <f t="shared" si="130"/>
        <v>0</v>
      </c>
      <c r="AG412" s="42"/>
      <c r="AH412" s="42"/>
      <c r="AI412" s="42"/>
      <c r="AJ412" s="42">
        <f t="shared" si="134"/>
        <v>0</v>
      </c>
      <c r="AL412" s="42"/>
      <c r="AM412" s="42"/>
      <c r="AN412" s="42"/>
      <c r="AO412" s="44"/>
      <c r="AP412" s="42"/>
      <c r="AQ412" s="42"/>
      <c r="AR412" s="42"/>
      <c r="AU412" s="98"/>
      <c r="AV412" s="35"/>
      <c r="AW412" s="104"/>
      <c r="AX412" s="42"/>
      <c r="AY412" s="42"/>
      <c r="AZ412" s="42">
        <f t="shared" si="131"/>
        <v>0</v>
      </c>
      <c r="BA412" s="42"/>
      <c r="BB412" s="42"/>
      <c r="BC412" s="42"/>
      <c r="BD412" s="38">
        <f t="shared" si="139"/>
        <v>0</v>
      </c>
      <c r="BE412" s="42"/>
      <c r="BF412" s="42"/>
      <c r="BG412" s="42"/>
      <c r="BH412" s="38">
        <f t="shared" si="140"/>
        <v>0</v>
      </c>
      <c r="BI412" s="42"/>
      <c r="BJ412" s="42"/>
      <c r="BK412" s="42"/>
      <c r="BL412" s="38">
        <f t="shared" si="141"/>
        <v>0</v>
      </c>
      <c r="BM412" s="42"/>
      <c r="BN412" s="42"/>
      <c r="BO412" s="42"/>
      <c r="BP412" s="42"/>
      <c r="BR412" s="42">
        <f t="shared" si="142"/>
        <v>0</v>
      </c>
      <c r="BS412" s="43">
        <f t="shared" si="143"/>
        <v>17734.479500000001</v>
      </c>
      <c r="BT412" s="42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  <c r="FM412" s="31"/>
      <c r="FN412" s="31"/>
      <c r="FO412" s="31"/>
      <c r="FP412" s="31"/>
      <c r="FQ412" s="31"/>
      <c r="FR412" s="31"/>
      <c r="FS412" s="31"/>
      <c r="FT412" s="31"/>
      <c r="FU412" s="31"/>
      <c r="FV412" s="31"/>
      <c r="FW412" s="31"/>
      <c r="FX412" s="31"/>
      <c r="FY412" s="31"/>
      <c r="FZ412" s="31"/>
      <c r="GA412" s="31"/>
      <c r="GB412" s="31"/>
      <c r="GC412" s="31"/>
      <c r="GD412" s="31"/>
      <c r="GE412" s="31"/>
      <c r="GF412" s="31"/>
      <c r="GG412" s="31"/>
      <c r="GH412" s="31"/>
      <c r="GI412" s="31"/>
      <c r="GJ412" s="31"/>
      <c r="GK412" s="31"/>
      <c r="GL412" s="31"/>
      <c r="GM412" s="31"/>
      <c r="GN412" s="31"/>
      <c r="GO412" s="31"/>
      <c r="GP412" s="31"/>
      <c r="GQ412" s="31"/>
      <c r="GR412" s="31"/>
      <c r="GS412" s="31"/>
      <c r="GT412" s="31"/>
      <c r="GU412" s="31"/>
      <c r="GV412" s="31"/>
      <c r="GW412" s="31"/>
      <c r="GX412" s="31"/>
      <c r="GY412" s="31"/>
      <c r="GZ412" s="31"/>
      <c r="HA412" s="31"/>
      <c r="HB412" s="31"/>
      <c r="HC412" s="31"/>
      <c r="HD412" s="31"/>
      <c r="HE412" s="31"/>
      <c r="HF412" s="31"/>
      <c r="HG412" s="31"/>
      <c r="HH412" s="31"/>
      <c r="HI412" s="31"/>
      <c r="HJ412" s="31"/>
      <c r="HK412" s="31"/>
      <c r="HL412" s="31"/>
      <c r="HM412" s="31"/>
      <c r="HN412" s="31"/>
      <c r="HO412" s="31"/>
      <c r="HP412" s="31"/>
      <c r="HQ412" s="31"/>
      <c r="HR412" s="31"/>
      <c r="HS412" s="31"/>
      <c r="HT412" s="31"/>
      <c r="HU412" s="31"/>
      <c r="HV412" s="31"/>
      <c r="HW412" s="31"/>
      <c r="HX412" s="31"/>
      <c r="HY412" s="31"/>
      <c r="HZ412" s="31"/>
      <c r="IA412" s="31"/>
      <c r="IB412" s="31"/>
      <c r="IC412" s="31"/>
      <c r="ID412" s="31"/>
      <c r="IE412" s="31"/>
      <c r="IF412" s="31"/>
      <c r="IG412" s="31"/>
      <c r="IH412" s="31"/>
      <c r="II412" s="31"/>
      <c r="IJ412" s="31"/>
      <c r="IK412" s="31"/>
      <c r="IL412" s="31"/>
      <c r="IM412" s="31"/>
      <c r="IN412" s="31"/>
      <c r="IO412" s="31"/>
      <c r="IP412" s="31"/>
      <c r="IQ412" s="31"/>
      <c r="IR412" s="31"/>
      <c r="IS412" s="31"/>
      <c r="IT412" s="31"/>
      <c r="IU412" s="31"/>
      <c r="IV412" s="31"/>
      <c r="IW412" s="31"/>
      <c r="IX412" s="31"/>
      <c r="IY412" s="31"/>
      <c r="IZ412" s="31"/>
      <c r="JA412" s="31"/>
      <c r="JB412" s="31"/>
      <c r="JC412" s="31"/>
      <c r="JD412" s="31"/>
      <c r="JE412" s="31"/>
      <c r="JF412" s="31"/>
      <c r="JG412" s="31"/>
      <c r="JH412" s="31"/>
      <c r="JI412" s="31"/>
      <c r="JJ412" s="31"/>
      <c r="JK412" s="31"/>
      <c r="JL412" s="31"/>
      <c r="JM412" s="31"/>
      <c r="JN412" s="31"/>
      <c r="JO412" s="31"/>
      <c r="JP412" s="31"/>
      <c r="JQ412" s="31"/>
      <c r="JR412" s="31"/>
      <c r="JS412" s="31"/>
      <c r="JT412" s="31"/>
      <c r="JU412" s="31"/>
      <c r="JV412" s="31"/>
      <c r="JW412" s="31"/>
      <c r="JX412" s="31"/>
      <c r="JY412" s="31"/>
      <c r="JZ412" s="31"/>
      <c r="KA412" s="31"/>
      <c r="KB412" s="31"/>
      <c r="KC412" s="31"/>
      <c r="KD412" s="31"/>
      <c r="KE412" s="31"/>
      <c r="KF412" s="31"/>
      <c r="KG412" s="31"/>
      <c r="KH412" s="31"/>
      <c r="KI412" s="31"/>
      <c r="KJ412" s="31"/>
      <c r="KK412" s="31"/>
      <c r="KL412" s="31"/>
      <c r="KM412" s="31"/>
      <c r="KN412" s="31"/>
      <c r="KO412" s="31"/>
      <c r="KP412" s="31"/>
      <c r="KQ412" s="31"/>
      <c r="KR412" s="31"/>
      <c r="KS412" s="31"/>
      <c r="KT412" s="31"/>
      <c r="KU412" s="31"/>
      <c r="KV412" s="31"/>
      <c r="KW412" s="31"/>
      <c r="KX412" s="31"/>
      <c r="KY412" s="31"/>
      <c r="KZ412" s="31"/>
      <c r="LA412" s="31"/>
      <c r="LB412" s="31"/>
      <c r="LC412" s="31"/>
      <c r="LD412" s="31"/>
      <c r="LE412" s="31"/>
      <c r="LF412" s="31"/>
      <c r="LG412" s="31"/>
      <c r="LH412" s="31"/>
      <c r="LI412" s="31"/>
      <c r="LJ412" s="31"/>
      <c r="LK412" s="31"/>
      <c r="LL412" s="31"/>
      <c r="LM412" s="31"/>
      <c r="LN412" s="31"/>
      <c r="LO412" s="31"/>
      <c r="LP412" s="31"/>
      <c r="LQ412" s="31"/>
      <c r="LR412" s="31"/>
      <c r="LS412" s="31"/>
      <c r="LT412" s="31"/>
      <c r="LU412" s="31"/>
      <c r="LV412" s="31"/>
      <c r="LW412" s="31"/>
      <c r="LX412" s="31"/>
      <c r="LY412" s="31"/>
      <c r="LZ412" s="31"/>
      <c r="MA412" s="31"/>
      <c r="MB412" s="31"/>
      <c r="MC412" s="31"/>
      <c r="MD412" s="31"/>
      <c r="ME412" s="31"/>
      <c r="MF412" s="31"/>
      <c r="MG412" s="31"/>
      <c r="MH412" s="31"/>
      <c r="MI412" s="31"/>
      <c r="MJ412" s="31"/>
      <c r="MK412" s="31"/>
      <c r="ML412" s="31"/>
      <c r="MM412" s="31"/>
      <c r="MN412" s="31"/>
      <c r="MO412" s="31"/>
      <c r="MP412" s="31"/>
      <c r="MQ412" s="31"/>
      <c r="MR412" s="31"/>
      <c r="MS412" s="31"/>
      <c r="MT412" s="31"/>
      <c r="MU412" s="31"/>
      <c r="MV412" s="31"/>
      <c r="MW412" s="31"/>
      <c r="MX412" s="31"/>
      <c r="MY412" s="31"/>
      <c r="MZ412" s="31"/>
      <c r="NA412" s="31"/>
      <c r="NB412" s="31"/>
      <c r="NC412" s="31"/>
      <c r="ND412" s="31"/>
      <c r="NE412" s="31"/>
      <c r="NF412" s="31"/>
      <c r="NG412" s="31"/>
      <c r="NH412" s="31"/>
      <c r="NI412" s="31"/>
      <c r="NJ412" s="31"/>
      <c r="NK412" s="31"/>
      <c r="NL412" s="31"/>
      <c r="NM412" s="31"/>
      <c r="NN412" s="31"/>
      <c r="NO412" s="31"/>
      <c r="NP412" s="31"/>
      <c r="NQ412" s="31"/>
      <c r="NR412" s="31"/>
      <c r="NS412" s="31"/>
      <c r="NT412" s="31"/>
      <c r="NU412" s="31"/>
      <c r="NV412" s="31"/>
      <c r="NW412" s="31"/>
      <c r="NX412" s="31"/>
      <c r="NY412" s="31"/>
      <c r="NZ412" s="31"/>
      <c r="OA412" s="31"/>
      <c r="OB412" s="31"/>
      <c r="OC412" s="31"/>
      <c r="OD412" s="31"/>
      <c r="OE412" s="31"/>
      <c r="OF412" s="31"/>
      <c r="OG412" s="31"/>
      <c r="OH412" s="31"/>
      <c r="OI412" s="31"/>
      <c r="OJ412" s="31"/>
      <c r="OK412" s="31"/>
      <c r="OL412" s="31"/>
      <c r="OM412" s="31"/>
      <c r="ON412" s="31"/>
      <c r="OO412" s="31"/>
      <c r="OP412" s="31"/>
      <c r="OQ412" s="31"/>
      <c r="OR412" s="31"/>
      <c r="OS412" s="31"/>
      <c r="OT412" s="31"/>
      <c r="OU412" s="31"/>
      <c r="OV412" s="31"/>
      <c r="OW412" s="31"/>
      <c r="OX412" s="31"/>
    </row>
    <row r="413" spans="2:414" s="25" customFormat="1" ht="15.6">
      <c r="B413" s="25" t="s">
        <v>986</v>
      </c>
      <c r="C413" s="27" t="s">
        <v>987</v>
      </c>
      <c r="D413" s="30" t="s">
        <v>105</v>
      </c>
      <c r="G413" s="42">
        <v>80</v>
      </c>
      <c r="H413" s="89">
        <v>26.109000000000002</v>
      </c>
      <c r="I413" s="38">
        <f t="shared" si="135"/>
        <v>2088.7200000000003</v>
      </c>
      <c r="K413" s="42">
        <v>80</v>
      </c>
      <c r="L413" s="90">
        <v>26.849599999999999</v>
      </c>
      <c r="M413" s="38">
        <f t="shared" si="136"/>
        <v>2147.9679999999998</v>
      </c>
      <c r="O413" s="42">
        <v>505</v>
      </c>
      <c r="P413" s="38">
        <v>26.728300000000001</v>
      </c>
      <c r="Q413" s="38">
        <f t="shared" si="137"/>
        <v>13497.791500000001</v>
      </c>
      <c r="R413" s="43">
        <f t="shared" si="132"/>
        <v>665</v>
      </c>
      <c r="S413" s="38">
        <f t="shared" si="138"/>
        <v>17734.479500000001</v>
      </c>
      <c r="T413" s="49"/>
      <c r="U413" s="42"/>
      <c r="V413" s="38">
        <f t="shared" si="146"/>
        <v>0</v>
      </c>
      <c r="W413" s="42"/>
      <c r="X413" s="42"/>
      <c r="Y413" s="42">
        <f t="shared" si="144"/>
        <v>0</v>
      </c>
      <c r="Z413" s="42"/>
      <c r="AA413" s="42"/>
      <c r="AB413" s="42">
        <f t="shared" si="145"/>
        <v>0</v>
      </c>
      <c r="AD413" s="42"/>
      <c r="AE413" s="42"/>
      <c r="AF413" s="42">
        <f t="shared" si="130"/>
        <v>0</v>
      </c>
      <c r="AG413" s="42"/>
      <c r="AH413" s="42"/>
      <c r="AI413" s="42"/>
      <c r="AJ413" s="42">
        <f t="shared" si="134"/>
        <v>0</v>
      </c>
      <c r="AL413" s="42"/>
      <c r="AM413" s="42"/>
      <c r="AN413" s="42"/>
      <c r="AO413" s="44"/>
      <c r="AP413" s="42"/>
      <c r="AQ413" s="42"/>
      <c r="AR413" s="42"/>
      <c r="AU413" s="98"/>
      <c r="AV413" s="35"/>
      <c r="AW413" s="104"/>
      <c r="AX413" s="42"/>
      <c r="AY413" s="42"/>
      <c r="AZ413" s="42">
        <f t="shared" si="131"/>
        <v>0</v>
      </c>
      <c r="BA413" s="42"/>
      <c r="BB413" s="42"/>
      <c r="BC413" s="42"/>
      <c r="BD413" s="38">
        <f t="shared" si="139"/>
        <v>0</v>
      </c>
      <c r="BE413" s="42"/>
      <c r="BF413" s="42"/>
      <c r="BG413" s="42"/>
      <c r="BH413" s="38">
        <f t="shared" si="140"/>
        <v>0</v>
      </c>
      <c r="BI413" s="42"/>
      <c r="BJ413" s="42"/>
      <c r="BK413" s="42"/>
      <c r="BL413" s="38">
        <f t="shared" si="141"/>
        <v>0</v>
      </c>
      <c r="BM413" s="42"/>
      <c r="BN413" s="42"/>
      <c r="BO413" s="42"/>
      <c r="BP413" s="42"/>
      <c r="BR413" s="42">
        <f t="shared" si="142"/>
        <v>0</v>
      </c>
      <c r="BS413" s="43">
        <f t="shared" si="143"/>
        <v>17734.479500000001</v>
      </c>
      <c r="BT413" s="42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  <c r="FM413" s="31"/>
      <c r="FN413" s="31"/>
      <c r="FO413" s="31"/>
      <c r="FP413" s="31"/>
      <c r="FQ413" s="31"/>
      <c r="FR413" s="31"/>
      <c r="FS413" s="31"/>
      <c r="FT413" s="31"/>
      <c r="FU413" s="31"/>
      <c r="FV413" s="31"/>
      <c r="FW413" s="31"/>
      <c r="FX413" s="31"/>
      <c r="FY413" s="31"/>
      <c r="FZ413" s="31"/>
      <c r="GA413" s="31"/>
      <c r="GB413" s="31"/>
      <c r="GC413" s="31"/>
      <c r="GD413" s="31"/>
      <c r="GE413" s="31"/>
      <c r="GF413" s="31"/>
      <c r="GG413" s="31"/>
      <c r="GH413" s="31"/>
      <c r="GI413" s="31"/>
      <c r="GJ413" s="31"/>
      <c r="GK413" s="31"/>
      <c r="GL413" s="31"/>
      <c r="GM413" s="31"/>
      <c r="GN413" s="31"/>
      <c r="GO413" s="31"/>
      <c r="GP413" s="31"/>
      <c r="GQ413" s="31"/>
      <c r="GR413" s="31"/>
      <c r="GS413" s="31"/>
      <c r="GT413" s="31"/>
      <c r="GU413" s="31"/>
      <c r="GV413" s="31"/>
      <c r="GW413" s="31"/>
      <c r="GX413" s="31"/>
      <c r="GY413" s="31"/>
      <c r="GZ413" s="31"/>
      <c r="HA413" s="31"/>
      <c r="HB413" s="31"/>
      <c r="HC413" s="31"/>
      <c r="HD413" s="31"/>
      <c r="HE413" s="31"/>
      <c r="HF413" s="31"/>
      <c r="HG413" s="31"/>
      <c r="HH413" s="31"/>
      <c r="HI413" s="31"/>
      <c r="HJ413" s="31"/>
      <c r="HK413" s="31"/>
      <c r="HL413" s="31"/>
      <c r="HM413" s="31"/>
      <c r="HN413" s="31"/>
      <c r="HO413" s="31"/>
      <c r="HP413" s="31"/>
      <c r="HQ413" s="31"/>
      <c r="HR413" s="31"/>
      <c r="HS413" s="31"/>
      <c r="HT413" s="31"/>
      <c r="HU413" s="31"/>
      <c r="HV413" s="31"/>
      <c r="HW413" s="31"/>
      <c r="HX413" s="31"/>
      <c r="HY413" s="31"/>
      <c r="HZ413" s="31"/>
      <c r="IA413" s="31"/>
      <c r="IB413" s="31"/>
      <c r="IC413" s="31"/>
      <c r="ID413" s="31"/>
      <c r="IE413" s="31"/>
      <c r="IF413" s="31"/>
      <c r="IG413" s="31"/>
      <c r="IH413" s="31"/>
      <c r="II413" s="31"/>
      <c r="IJ413" s="31"/>
      <c r="IK413" s="31"/>
      <c r="IL413" s="31"/>
      <c r="IM413" s="31"/>
      <c r="IN413" s="31"/>
      <c r="IO413" s="31"/>
      <c r="IP413" s="31"/>
      <c r="IQ413" s="31"/>
      <c r="IR413" s="31"/>
      <c r="IS413" s="31"/>
      <c r="IT413" s="31"/>
      <c r="IU413" s="31"/>
      <c r="IV413" s="31"/>
      <c r="IW413" s="31"/>
      <c r="IX413" s="31"/>
      <c r="IY413" s="31"/>
      <c r="IZ413" s="31"/>
      <c r="JA413" s="31"/>
      <c r="JB413" s="31"/>
      <c r="JC413" s="31"/>
      <c r="JD413" s="31"/>
      <c r="JE413" s="31"/>
      <c r="JF413" s="31"/>
      <c r="JG413" s="31"/>
      <c r="JH413" s="31"/>
      <c r="JI413" s="31"/>
      <c r="JJ413" s="31"/>
      <c r="JK413" s="31"/>
      <c r="JL413" s="31"/>
      <c r="JM413" s="31"/>
      <c r="JN413" s="31"/>
      <c r="JO413" s="31"/>
      <c r="JP413" s="31"/>
      <c r="JQ413" s="31"/>
      <c r="JR413" s="31"/>
      <c r="JS413" s="31"/>
      <c r="JT413" s="31"/>
      <c r="JU413" s="31"/>
      <c r="JV413" s="31"/>
      <c r="JW413" s="31"/>
      <c r="JX413" s="31"/>
      <c r="JY413" s="31"/>
      <c r="JZ413" s="31"/>
      <c r="KA413" s="31"/>
      <c r="KB413" s="31"/>
      <c r="KC413" s="31"/>
      <c r="KD413" s="31"/>
      <c r="KE413" s="31"/>
      <c r="KF413" s="31"/>
      <c r="KG413" s="31"/>
      <c r="KH413" s="31"/>
      <c r="KI413" s="31"/>
      <c r="KJ413" s="31"/>
      <c r="KK413" s="31"/>
      <c r="KL413" s="31"/>
      <c r="KM413" s="31"/>
      <c r="KN413" s="31"/>
      <c r="KO413" s="31"/>
      <c r="KP413" s="31"/>
      <c r="KQ413" s="31"/>
      <c r="KR413" s="31"/>
      <c r="KS413" s="31"/>
      <c r="KT413" s="31"/>
      <c r="KU413" s="31"/>
      <c r="KV413" s="31"/>
      <c r="KW413" s="31"/>
      <c r="KX413" s="31"/>
      <c r="KY413" s="31"/>
      <c r="KZ413" s="31"/>
      <c r="LA413" s="31"/>
      <c r="LB413" s="31"/>
      <c r="LC413" s="31"/>
      <c r="LD413" s="31"/>
      <c r="LE413" s="31"/>
      <c r="LF413" s="31"/>
      <c r="LG413" s="31"/>
      <c r="LH413" s="31"/>
      <c r="LI413" s="31"/>
      <c r="LJ413" s="31"/>
      <c r="LK413" s="31"/>
      <c r="LL413" s="31"/>
      <c r="LM413" s="31"/>
      <c r="LN413" s="31"/>
      <c r="LO413" s="31"/>
      <c r="LP413" s="31"/>
      <c r="LQ413" s="31"/>
      <c r="LR413" s="31"/>
      <c r="LS413" s="31"/>
      <c r="LT413" s="31"/>
      <c r="LU413" s="31"/>
      <c r="LV413" s="31"/>
      <c r="LW413" s="31"/>
      <c r="LX413" s="31"/>
      <c r="LY413" s="31"/>
      <c r="LZ413" s="31"/>
      <c r="MA413" s="31"/>
      <c r="MB413" s="31"/>
      <c r="MC413" s="31"/>
      <c r="MD413" s="31"/>
      <c r="ME413" s="31"/>
      <c r="MF413" s="31"/>
      <c r="MG413" s="31"/>
      <c r="MH413" s="31"/>
      <c r="MI413" s="31"/>
      <c r="MJ413" s="31"/>
      <c r="MK413" s="31"/>
      <c r="ML413" s="31"/>
      <c r="MM413" s="31"/>
      <c r="MN413" s="31"/>
      <c r="MO413" s="31"/>
      <c r="MP413" s="31"/>
      <c r="MQ413" s="31"/>
      <c r="MR413" s="31"/>
      <c r="MS413" s="31"/>
      <c r="MT413" s="31"/>
      <c r="MU413" s="31"/>
      <c r="MV413" s="31"/>
      <c r="MW413" s="31"/>
      <c r="MX413" s="31"/>
      <c r="MY413" s="31"/>
      <c r="MZ413" s="31"/>
      <c r="NA413" s="31"/>
      <c r="NB413" s="31"/>
      <c r="NC413" s="31"/>
      <c r="ND413" s="31"/>
      <c r="NE413" s="31"/>
      <c r="NF413" s="31"/>
      <c r="NG413" s="31"/>
      <c r="NH413" s="31"/>
      <c r="NI413" s="31"/>
      <c r="NJ413" s="31"/>
      <c r="NK413" s="31"/>
      <c r="NL413" s="31"/>
      <c r="NM413" s="31"/>
      <c r="NN413" s="31"/>
      <c r="NO413" s="31"/>
      <c r="NP413" s="31"/>
      <c r="NQ413" s="31"/>
      <c r="NR413" s="31"/>
      <c r="NS413" s="31"/>
      <c r="NT413" s="31"/>
      <c r="NU413" s="31"/>
      <c r="NV413" s="31"/>
      <c r="NW413" s="31"/>
      <c r="NX413" s="31"/>
      <c r="NY413" s="31"/>
      <c r="NZ413" s="31"/>
      <c r="OA413" s="31"/>
      <c r="OB413" s="31"/>
      <c r="OC413" s="31"/>
      <c r="OD413" s="31"/>
      <c r="OE413" s="31"/>
      <c r="OF413" s="31"/>
      <c r="OG413" s="31"/>
      <c r="OH413" s="31"/>
      <c r="OI413" s="31"/>
      <c r="OJ413" s="31"/>
      <c r="OK413" s="31"/>
      <c r="OL413" s="31"/>
      <c r="OM413" s="31"/>
      <c r="ON413" s="31"/>
      <c r="OO413" s="31"/>
      <c r="OP413" s="31"/>
      <c r="OQ413" s="31"/>
      <c r="OR413" s="31"/>
      <c r="OS413" s="31"/>
      <c r="OT413" s="31"/>
      <c r="OU413" s="31"/>
      <c r="OV413" s="31"/>
      <c r="OW413" s="31"/>
      <c r="OX413" s="31"/>
    </row>
    <row r="414" spans="2:414" s="25" customFormat="1" ht="15.6">
      <c r="B414" s="25" t="s">
        <v>788</v>
      </c>
      <c r="C414" s="27" t="s">
        <v>988</v>
      </c>
      <c r="D414" s="30" t="s">
        <v>105</v>
      </c>
      <c r="G414" s="42">
        <v>80</v>
      </c>
      <c r="H414" s="89">
        <v>26.109000000000002</v>
      </c>
      <c r="I414" s="38">
        <f t="shared" si="135"/>
        <v>2088.7200000000003</v>
      </c>
      <c r="K414" s="42">
        <v>80</v>
      </c>
      <c r="L414" s="90">
        <v>26.849599999999999</v>
      </c>
      <c r="M414" s="38">
        <f t="shared" si="136"/>
        <v>2147.9679999999998</v>
      </c>
      <c r="O414" s="42">
        <v>505</v>
      </c>
      <c r="P414" s="38">
        <v>26.728300000000001</v>
      </c>
      <c r="Q414" s="38">
        <f t="shared" si="137"/>
        <v>13497.791500000001</v>
      </c>
      <c r="R414" s="43">
        <f t="shared" si="132"/>
        <v>665</v>
      </c>
      <c r="S414" s="38">
        <f t="shared" si="138"/>
        <v>17734.479500000001</v>
      </c>
      <c r="T414" s="49">
        <v>180</v>
      </c>
      <c r="U414" s="42">
        <v>26.8827</v>
      </c>
      <c r="V414" s="38">
        <f t="shared" si="146"/>
        <v>4838.8860000000004</v>
      </c>
      <c r="W414" s="42">
        <v>565</v>
      </c>
      <c r="X414" s="42">
        <v>26.732500000000002</v>
      </c>
      <c r="Y414" s="42">
        <f t="shared" si="144"/>
        <v>15103.862500000001</v>
      </c>
      <c r="Z414" s="42"/>
      <c r="AA414" s="42"/>
      <c r="AB414" s="42">
        <f t="shared" si="145"/>
        <v>0</v>
      </c>
      <c r="AD414" s="42"/>
      <c r="AE414" s="42"/>
      <c r="AF414" s="42">
        <f t="shared" si="130"/>
        <v>0</v>
      </c>
      <c r="AG414" s="42"/>
      <c r="AH414" s="42"/>
      <c r="AI414" s="42"/>
      <c r="AJ414" s="42">
        <f t="shared" si="134"/>
        <v>0</v>
      </c>
      <c r="AL414" s="42"/>
      <c r="AM414" s="42"/>
      <c r="AN414" s="42"/>
      <c r="AO414" s="44"/>
      <c r="AP414" s="42"/>
      <c r="AQ414" s="42"/>
      <c r="AR414" s="42"/>
      <c r="AU414" s="98"/>
      <c r="AV414" s="35"/>
      <c r="AW414" s="104"/>
      <c r="AX414" s="42"/>
      <c r="AY414" s="42"/>
      <c r="AZ414" s="42">
        <f t="shared" si="131"/>
        <v>0</v>
      </c>
      <c r="BA414" s="42"/>
      <c r="BB414" s="42"/>
      <c r="BC414" s="42"/>
      <c r="BD414" s="38">
        <f t="shared" si="139"/>
        <v>0</v>
      </c>
      <c r="BE414" s="42"/>
      <c r="BF414" s="42"/>
      <c r="BG414" s="42"/>
      <c r="BH414" s="38">
        <f t="shared" si="140"/>
        <v>0</v>
      </c>
      <c r="BI414" s="42"/>
      <c r="BJ414" s="42"/>
      <c r="BK414" s="42"/>
      <c r="BL414" s="38">
        <f t="shared" si="141"/>
        <v>0</v>
      </c>
      <c r="BM414" s="42"/>
      <c r="BN414" s="42"/>
      <c r="BO414" s="42"/>
      <c r="BP414" s="42"/>
      <c r="BR414" s="42">
        <f t="shared" si="142"/>
        <v>19942.748500000002</v>
      </c>
      <c r="BS414" s="43"/>
      <c r="BT414" s="42">
        <v>2208.27</v>
      </c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  <c r="FM414" s="31"/>
      <c r="FN414" s="31"/>
      <c r="FO414" s="31"/>
      <c r="FP414" s="31"/>
      <c r="FQ414" s="31"/>
      <c r="FR414" s="31"/>
      <c r="FS414" s="31"/>
      <c r="FT414" s="31"/>
      <c r="FU414" s="31"/>
      <c r="FV414" s="31"/>
      <c r="FW414" s="31"/>
      <c r="FX414" s="31"/>
      <c r="FY414" s="31"/>
      <c r="FZ414" s="31"/>
      <c r="GA414" s="31"/>
      <c r="GB414" s="31"/>
      <c r="GC414" s="31"/>
      <c r="GD414" s="31"/>
      <c r="GE414" s="31"/>
      <c r="GF414" s="31"/>
      <c r="GG414" s="31"/>
      <c r="GH414" s="31"/>
      <c r="GI414" s="31"/>
      <c r="GJ414" s="31"/>
      <c r="GK414" s="31"/>
      <c r="GL414" s="31"/>
      <c r="GM414" s="31"/>
      <c r="GN414" s="31"/>
      <c r="GO414" s="31"/>
      <c r="GP414" s="31"/>
      <c r="GQ414" s="31"/>
      <c r="GR414" s="31"/>
      <c r="GS414" s="31"/>
      <c r="GT414" s="31"/>
      <c r="GU414" s="31"/>
      <c r="GV414" s="31"/>
      <c r="GW414" s="31"/>
      <c r="GX414" s="31"/>
      <c r="GY414" s="31"/>
      <c r="GZ414" s="31"/>
      <c r="HA414" s="31"/>
      <c r="HB414" s="31"/>
      <c r="HC414" s="31"/>
      <c r="HD414" s="31"/>
      <c r="HE414" s="31"/>
      <c r="HF414" s="31"/>
      <c r="HG414" s="31"/>
      <c r="HH414" s="31"/>
      <c r="HI414" s="31"/>
      <c r="HJ414" s="31"/>
      <c r="HK414" s="31"/>
      <c r="HL414" s="31"/>
      <c r="HM414" s="31"/>
      <c r="HN414" s="31"/>
      <c r="HO414" s="31"/>
      <c r="HP414" s="31"/>
      <c r="HQ414" s="31"/>
      <c r="HR414" s="31"/>
      <c r="HS414" s="31"/>
      <c r="HT414" s="31"/>
      <c r="HU414" s="31"/>
      <c r="HV414" s="31"/>
      <c r="HW414" s="31"/>
      <c r="HX414" s="31"/>
      <c r="HY414" s="31"/>
      <c r="HZ414" s="31"/>
      <c r="IA414" s="31"/>
      <c r="IB414" s="31"/>
      <c r="IC414" s="31"/>
      <c r="ID414" s="31"/>
      <c r="IE414" s="31"/>
      <c r="IF414" s="31"/>
      <c r="IG414" s="31"/>
      <c r="IH414" s="31"/>
      <c r="II414" s="31"/>
      <c r="IJ414" s="31"/>
      <c r="IK414" s="31"/>
      <c r="IL414" s="31"/>
      <c r="IM414" s="31"/>
      <c r="IN414" s="31"/>
      <c r="IO414" s="31"/>
      <c r="IP414" s="31"/>
      <c r="IQ414" s="31"/>
      <c r="IR414" s="31"/>
      <c r="IS414" s="31"/>
      <c r="IT414" s="31"/>
      <c r="IU414" s="31"/>
      <c r="IV414" s="31"/>
      <c r="IW414" s="31"/>
      <c r="IX414" s="31"/>
      <c r="IY414" s="31"/>
      <c r="IZ414" s="31"/>
      <c r="JA414" s="31"/>
      <c r="JB414" s="31"/>
      <c r="JC414" s="31"/>
      <c r="JD414" s="31"/>
      <c r="JE414" s="31"/>
      <c r="JF414" s="31"/>
      <c r="JG414" s="31"/>
      <c r="JH414" s="31"/>
      <c r="JI414" s="31"/>
      <c r="JJ414" s="31"/>
      <c r="JK414" s="31"/>
      <c r="JL414" s="31"/>
      <c r="JM414" s="31"/>
      <c r="JN414" s="31"/>
      <c r="JO414" s="31"/>
      <c r="JP414" s="31"/>
      <c r="JQ414" s="31"/>
      <c r="JR414" s="31"/>
      <c r="JS414" s="31"/>
      <c r="JT414" s="31"/>
      <c r="JU414" s="31"/>
      <c r="JV414" s="31"/>
      <c r="JW414" s="31"/>
      <c r="JX414" s="31"/>
      <c r="JY414" s="31"/>
      <c r="JZ414" s="31"/>
      <c r="KA414" s="31"/>
      <c r="KB414" s="31"/>
      <c r="KC414" s="31"/>
      <c r="KD414" s="31"/>
      <c r="KE414" s="31"/>
      <c r="KF414" s="31"/>
      <c r="KG414" s="31"/>
      <c r="KH414" s="31"/>
      <c r="KI414" s="31"/>
      <c r="KJ414" s="31"/>
      <c r="KK414" s="31"/>
      <c r="KL414" s="31"/>
      <c r="KM414" s="31"/>
      <c r="KN414" s="31"/>
      <c r="KO414" s="31"/>
      <c r="KP414" s="31"/>
      <c r="KQ414" s="31"/>
      <c r="KR414" s="31"/>
      <c r="KS414" s="31"/>
      <c r="KT414" s="31"/>
      <c r="KU414" s="31"/>
      <c r="KV414" s="31"/>
      <c r="KW414" s="31"/>
      <c r="KX414" s="31"/>
      <c r="KY414" s="31"/>
      <c r="KZ414" s="31"/>
      <c r="LA414" s="31"/>
      <c r="LB414" s="31"/>
      <c r="LC414" s="31"/>
      <c r="LD414" s="31"/>
      <c r="LE414" s="31"/>
      <c r="LF414" s="31"/>
      <c r="LG414" s="31"/>
      <c r="LH414" s="31"/>
      <c r="LI414" s="31"/>
      <c r="LJ414" s="31"/>
      <c r="LK414" s="31"/>
      <c r="LL414" s="31"/>
      <c r="LM414" s="31"/>
      <c r="LN414" s="31"/>
      <c r="LO414" s="31"/>
      <c r="LP414" s="31"/>
      <c r="LQ414" s="31"/>
      <c r="LR414" s="31"/>
      <c r="LS414" s="31"/>
      <c r="LT414" s="31"/>
      <c r="LU414" s="31"/>
      <c r="LV414" s="31"/>
      <c r="LW414" s="31"/>
      <c r="LX414" s="31"/>
      <c r="LY414" s="31"/>
      <c r="LZ414" s="31"/>
      <c r="MA414" s="31"/>
      <c r="MB414" s="31"/>
      <c r="MC414" s="31"/>
      <c r="MD414" s="31"/>
      <c r="ME414" s="31"/>
      <c r="MF414" s="31"/>
      <c r="MG414" s="31"/>
      <c r="MH414" s="31"/>
      <c r="MI414" s="31"/>
      <c r="MJ414" s="31"/>
      <c r="MK414" s="31"/>
      <c r="ML414" s="31"/>
      <c r="MM414" s="31"/>
      <c r="MN414" s="31"/>
      <c r="MO414" s="31"/>
      <c r="MP414" s="31"/>
      <c r="MQ414" s="31"/>
      <c r="MR414" s="31"/>
      <c r="MS414" s="31"/>
      <c r="MT414" s="31"/>
      <c r="MU414" s="31"/>
      <c r="MV414" s="31"/>
      <c r="MW414" s="31"/>
      <c r="MX414" s="31"/>
      <c r="MY414" s="31"/>
      <c r="MZ414" s="31"/>
      <c r="NA414" s="31"/>
      <c r="NB414" s="31"/>
      <c r="NC414" s="31"/>
      <c r="ND414" s="31"/>
      <c r="NE414" s="31"/>
      <c r="NF414" s="31"/>
      <c r="NG414" s="31"/>
      <c r="NH414" s="31"/>
      <c r="NI414" s="31"/>
      <c r="NJ414" s="31"/>
      <c r="NK414" s="31"/>
      <c r="NL414" s="31"/>
      <c r="NM414" s="31"/>
      <c r="NN414" s="31"/>
      <c r="NO414" s="31"/>
      <c r="NP414" s="31"/>
      <c r="NQ414" s="31"/>
      <c r="NR414" s="31"/>
      <c r="NS414" s="31"/>
      <c r="NT414" s="31"/>
      <c r="NU414" s="31"/>
      <c r="NV414" s="31"/>
      <c r="NW414" s="31"/>
      <c r="NX414" s="31"/>
      <c r="NY414" s="31"/>
      <c r="NZ414" s="31"/>
      <c r="OA414" s="31"/>
      <c r="OB414" s="31"/>
      <c r="OC414" s="31"/>
      <c r="OD414" s="31"/>
      <c r="OE414" s="31"/>
      <c r="OF414" s="31"/>
      <c r="OG414" s="31"/>
      <c r="OH414" s="31"/>
      <c r="OI414" s="31"/>
      <c r="OJ414" s="31"/>
      <c r="OK414" s="31"/>
      <c r="OL414" s="31"/>
      <c r="OM414" s="31"/>
      <c r="ON414" s="31"/>
      <c r="OO414" s="31"/>
      <c r="OP414" s="31"/>
      <c r="OQ414" s="31"/>
      <c r="OR414" s="31"/>
      <c r="OS414" s="31"/>
      <c r="OT414" s="31"/>
      <c r="OU414" s="31"/>
      <c r="OV414" s="31"/>
      <c r="OW414" s="31"/>
      <c r="OX414" s="31"/>
    </row>
    <row r="415" spans="2:414" s="25" customFormat="1" ht="15.6">
      <c r="B415" s="25" t="s">
        <v>842</v>
      </c>
      <c r="C415" s="27" t="s">
        <v>244</v>
      </c>
      <c r="D415" s="30" t="s">
        <v>105</v>
      </c>
      <c r="G415" s="42">
        <v>80</v>
      </c>
      <c r="H415" s="89">
        <v>26.109000000000002</v>
      </c>
      <c r="I415" s="38">
        <f t="shared" si="135"/>
        <v>2088.7200000000003</v>
      </c>
      <c r="K415" s="42">
        <v>80</v>
      </c>
      <c r="L415" s="90">
        <v>26.849599999999999</v>
      </c>
      <c r="M415" s="38">
        <f t="shared" si="136"/>
        <v>2147.9679999999998</v>
      </c>
      <c r="O415" s="42">
        <v>505</v>
      </c>
      <c r="P415" s="38">
        <v>26.728300000000001</v>
      </c>
      <c r="Q415" s="38">
        <f t="shared" si="137"/>
        <v>13497.791500000001</v>
      </c>
      <c r="R415" s="43">
        <f t="shared" si="132"/>
        <v>665</v>
      </c>
      <c r="S415" s="38">
        <f t="shared" si="138"/>
        <v>17734.479500000001</v>
      </c>
      <c r="T415" s="49">
        <v>240</v>
      </c>
      <c r="U415" s="42">
        <v>26.88</v>
      </c>
      <c r="V415" s="38">
        <f t="shared" si="146"/>
        <v>6451.2</v>
      </c>
      <c r="W415" s="42">
        <v>505</v>
      </c>
      <c r="X415" s="42">
        <v>26.73</v>
      </c>
      <c r="Y415" s="42">
        <f t="shared" si="144"/>
        <v>13498.65</v>
      </c>
      <c r="Z415" s="42"/>
      <c r="AA415" s="42"/>
      <c r="AB415" s="42">
        <f t="shared" si="145"/>
        <v>0</v>
      </c>
      <c r="AD415" s="42"/>
      <c r="AE415" s="42"/>
      <c r="AF415" s="42">
        <f t="shared" si="130"/>
        <v>0</v>
      </c>
      <c r="AG415" s="42"/>
      <c r="AH415" s="42"/>
      <c r="AI415" s="42"/>
      <c r="AJ415" s="42">
        <f t="shared" si="134"/>
        <v>0</v>
      </c>
      <c r="AL415" s="42"/>
      <c r="AM415" s="42"/>
      <c r="AN415" s="42"/>
      <c r="AO415" s="44"/>
      <c r="AP415" s="42"/>
      <c r="AQ415" s="42"/>
      <c r="AR415" s="42"/>
      <c r="AU415" s="98"/>
      <c r="AV415" s="35"/>
      <c r="AW415" s="104"/>
      <c r="AX415" s="42"/>
      <c r="AY415" s="42"/>
      <c r="AZ415" s="42">
        <f t="shared" si="131"/>
        <v>0</v>
      </c>
      <c r="BA415" s="42"/>
      <c r="BB415" s="42"/>
      <c r="BC415" s="42"/>
      <c r="BD415" s="38">
        <f t="shared" si="139"/>
        <v>0</v>
      </c>
      <c r="BE415" s="42"/>
      <c r="BF415" s="42"/>
      <c r="BG415" s="42"/>
      <c r="BH415" s="38">
        <f t="shared" si="140"/>
        <v>0</v>
      </c>
      <c r="BI415" s="42"/>
      <c r="BJ415" s="42"/>
      <c r="BK415" s="42"/>
      <c r="BL415" s="38">
        <f t="shared" si="141"/>
        <v>0</v>
      </c>
      <c r="BM415" s="42"/>
      <c r="BN415" s="42"/>
      <c r="BO415" s="42"/>
      <c r="BP415" s="42"/>
      <c r="BR415" s="42">
        <f t="shared" si="142"/>
        <v>19949.849999999999</v>
      </c>
      <c r="BS415" s="43"/>
      <c r="BT415" s="42">
        <v>2215.37</v>
      </c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  <c r="FM415" s="31"/>
      <c r="FN415" s="31"/>
      <c r="FO415" s="31"/>
      <c r="FP415" s="31"/>
      <c r="FQ415" s="31"/>
      <c r="FR415" s="31"/>
      <c r="FS415" s="31"/>
      <c r="FT415" s="31"/>
      <c r="FU415" s="31"/>
      <c r="FV415" s="31"/>
      <c r="FW415" s="31"/>
      <c r="FX415" s="31"/>
      <c r="FY415" s="31"/>
      <c r="FZ415" s="31"/>
      <c r="GA415" s="31"/>
      <c r="GB415" s="31"/>
      <c r="GC415" s="31"/>
      <c r="GD415" s="31"/>
      <c r="GE415" s="31"/>
      <c r="GF415" s="31"/>
      <c r="GG415" s="31"/>
      <c r="GH415" s="31"/>
      <c r="GI415" s="31"/>
      <c r="GJ415" s="31"/>
      <c r="GK415" s="31"/>
      <c r="GL415" s="31"/>
      <c r="GM415" s="31"/>
      <c r="GN415" s="31"/>
      <c r="GO415" s="31"/>
      <c r="GP415" s="31"/>
      <c r="GQ415" s="31"/>
      <c r="GR415" s="31"/>
      <c r="GS415" s="31"/>
      <c r="GT415" s="31"/>
      <c r="GU415" s="31"/>
      <c r="GV415" s="31"/>
      <c r="GW415" s="31"/>
      <c r="GX415" s="31"/>
      <c r="GY415" s="31"/>
      <c r="GZ415" s="31"/>
      <c r="HA415" s="31"/>
      <c r="HB415" s="31"/>
      <c r="HC415" s="31"/>
      <c r="HD415" s="31"/>
      <c r="HE415" s="31"/>
      <c r="HF415" s="31"/>
      <c r="HG415" s="31"/>
      <c r="HH415" s="31"/>
      <c r="HI415" s="31"/>
      <c r="HJ415" s="31"/>
      <c r="HK415" s="31"/>
      <c r="HL415" s="31"/>
      <c r="HM415" s="31"/>
      <c r="HN415" s="31"/>
      <c r="HO415" s="31"/>
      <c r="HP415" s="31"/>
      <c r="HQ415" s="31"/>
      <c r="HR415" s="31"/>
      <c r="HS415" s="31"/>
      <c r="HT415" s="31"/>
      <c r="HU415" s="31"/>
      <c r="HV415" s="31"/>
      <c r="HW415" s="31"/>
      <c r="HX415" s="31"/>
      <c r="HY415" s="31"/>
      <c r="HZ415" s="31"/>
      <c r="IA415" s="31"/>
      <c r="IB415" s="31"/>
      <c r="IC415" s="31"/>
      <c r="ID415" s="31"/>
      <c r="IE415" s="31"/>
      <c r="IF415" s="31"/>
      <c r="IG415" s="31"/>
      <c r="IH415" s="31"/>
      <c r="II415" s="31"/>
      <c r="IJ415" s="31"/>
      <c r="IK415" s="31"/>
      <c r="IL415" s="31"/>
      <c r="IM415" s="31"/>
      <c r="IN415" s="31"/>
      <c r="IO415" s="31"/>
      <c r="IP415" s="31"/>
      <c r="IQ415" s="31"/>
      <c r="IR415" s="31"/>
      <c r="IS415" s="31"/>
      <c r="IT415" s="31"/>
      <c r="IU415" s="31"/>
      <c r="IV415" s="31"/>
      <c r="IW415" s="31"/>
      <c r="IX415" s="31"/>
      <c r="IY415" s="31"/>
      <c r="IZ415" s="31"/>
      <c r="JA415" s="31"/>
      <c r="JB415" s="31"/>
      <c r="JC415" s="31"/>
      <c r="JD415" s="31"/>
      <c r="JE415" s="31"/>
      <c r="JF415" s="31"/>
      <c r="JG415" s="31"/>
      <c r="JH415" s="31"/>
      <c r="JI415" s="31"/>
      <c r="JJ415" s="31"/>
      <c r="JK415" s="31"/>
      <c r="JL415" s="31"/>
      <c r="JM415" s="31"/>
      <c r="JN415" s="31"/>
      <c r="JO415" s="31"/>
      <c r="JP415" s="31"/>
      <c r="JQ415" s="31"/>
      <c r="JR415" s="31"/>
      <c r="JS415" s="31"/>
      <c r="JT415" s="31"/>
      <c r="JU415" s="31"/>
      <c r="JV415" s="31"/>
      <c r="JW415" s="31"/>
      <c r="JX415" s="31"/>
      <c r="JY415" s="31"/>
      <c r="JZ415" s="31"/>
      <c r="KA415" s="31"/>
      <c r="KB415" s="31"/>
      <c r="KC415" s="31"/>
      <c r="KD415" s="31"/>
      <c r="KE415" s="31"/>
      <c r="KF415" s="31"/>
      <c r="KG415" s="31"/>
      <c r="KH415" s="31"/>
      <c r="KI415" s="31"/>
      <c r="KJ415" s="31"/>
      <c r="KK415" s="31"/>
      <c r="KL415" s="31"/>
      <c r="KM415" s="31"/>
      <c r="KN415" s="31"/>
      <c r="KO415" s="31"/>
      <c r="KP415" s="31"/>
      <c r="KQ415" s="31"/>
      <c r="KR415" s="31"/>
      <c r="KS415" s="31"/>
      <c r="KT415" s="31"/>
      <c r="KU415" s="31"/>
      <c r="KV415" s="31"/>
      <c r="KW415" s="31"/>
      <c r="KX415" s="31"/>
      <c r="KY415" s="31"/>
      <c r="KZ415" s="31"/>
      <c r="LA415" s="31"/>
      <c r="LB415" s="31"/>
      <c r="LC415" s="31"/>
      <c r="LD415" s="31"/>
      <c r="LE415" s="31"/>
      <c r="LF415" s="31"/>
      <c r="LG415" s="31"/>
      <c r="LH415" s="31"/>
      <c r="LI415" s="31"/>
      <c r="LJ415" s="31"/>
      <c r="LK415" s="31"/>
      <c r="LL415" s="31"/>
      <c r="LM415" s="31"/>
      <c r="LN415" s="31"/>
      <c r="LO415" s="31"/>
      <c r="LP415" s="31"/>
      <c r="LQ415" s="31"/>
      <c r="LR415" s="31"/>
      <c r="LS415" s="31"/>
      <c r="LT415" s="31"/>
      <c r="LU415" s="31"/>
      <c r="LV415" s="31"/>
      <c r="LW415" s="31"/>
      <c r="LX415" s="31"/>
      <c r="LY415" s="31"/>
      <c r="LZ415" s="31"/>
      <c r="MA415" s="31"/>
      <c r="MB415" s="31"/>
      <c r="MC415" s="31"/>
      <c r="MD415" s="31"/>
      <c r="ME415" s="31"/>
      <c r="MF415" s="31"/>
      <c r="MG415" s="31"/>
      <c r="MH415" s="31"/>
      <c r="MI415" s="31"/>
      <c r="MJ415" s="31"/>
      <c r="MK415" s="31"/>
      <c r="ML415" s="31"/>
      <c r="MM415" s="31"/>
      <c r="MN415" s="31"/>
      <c r="MO415" s="31"/>
      <c r="MP415" s="31"/>
      <c r="MQ415" s="31"/>
      <c r="MR415" s="31"/>
      <c r="MS415" s="31"/>
      <c r="MT415" s="31"/>
      <c r="MU415" s="31"/>
      <c r="MV415" s="31"/>
      <c r="MW415" s="31"/>
      <c r="MX415" s="31"/>
      <c r="MY415" s="31"/>
      <c r="MZ415" s="31"/>
      <c r="NA415" s="31"/>
      <c r="NB415" s="31"/>
      <c r="NC415" s="31"/>
      <c r="ND415" s="31"/>
      <c r="NE415" s="31"/>
      <c r="NF415" s="31"/>
      <c r="NG415" s="31"/>
      <c r="NH415" s="31"/>
      <c r="NI415" s="31"/>
      <c r="NJ415" s="31"/>
      <c r="NK415" s="31"/>
      <c r="NL415" s="31"/>
      <c r="NM415" s="31"/>
      <c r="NN415" s="31"/>
      <c r="NO415" s="31"/>
      <c r="NP415" s="31"/>
      <c r="NQ415" s="31"/>
      <c r="NR415" s="31"/>
      <c r="NS415" s="31"/>
      <c r="NT415" s="31"/>
      <c r="NU415" s="31"/>
      <c r="NV415" s="31"/>
      <c r="NW415" s="31"/>
      <c r="NX415" s="31"/>
      <c r="NY415" s="31"/>
      <c r="NZ415" s="31"/>
      <c r="OA415" s="31"/>
      <c r="OB415" s="31"/>
      <c r="OC415" s="31"/>
      <c r="OD415" s="31"/>
      <c r="OE415" s="31"/>
      <c r="OF415" s="31"/>
      <c r="OG415" s="31"/>
      <c r="OH415" s="31"/>
      <c r="OI415" s="31"/>
      <c r="OJ415" s="31"/>
      <c r="OK415" s="31"/>
      <c r="OL415" s="31"/>
      <c r="OM415" s="31"/>
      <c r="ON415" s="31"/>
      <c r="OO415" s="31"/>
      <c r="OP415" s="31"/>
      <c r="OQ415" s="31"/>
      <c r="OR415" s="31"/>
      <c r="OS415" s="31"/>
      <c r="OT415" s="31"/>
      <c r="OU415" s="31"/>
      <c r="OV415" s="31"/>
      <c r="OW415" s="31"/>
      <c r="OX415" s="31"/>
    </row>
    <row r="416" spans="2:414" s="25" customFormat="1" ht="15.6">
      <c r="B416" s="25" t="s">
        <v>884</v>
      </c>
      <c r="C416" s="27" t="s">
        <v>377</v>
      </c>
      <c r="D416" s="30" t="s">
        <v>105</v>
      </c>
      <c r="G416" s="42">
        <v>80</v>
      </c>
      <c r="H416" s="89">
        <v>26.109000000000002</v>
      </c>
      <c r="I416" s="38">
        <f t="shared" si="135"/>
        <v>2088.7200000000003</v>
      </c>
      <c r="K416" s="42">
        <v>80</v>
      </c>
      <c r="L416" s="90">
        <v>26.849599999999999</v>
      </c>
      <c r="M416" s="38">
        <f t="shared" si="136"/>
        <v>2147.9679999999998</v>
      </c>
      <c r="O416" s="42">
        <v>505</v>
      </c>
      <c r="P416" s="38">
        <v>26.728300000000001</v>
      </c>
      <c r="Q416" s="38">
        <f t="shared" si="137"/>
        <v>13497.791500000001</v>
      </c>
      <c r="R416" s="43">
        <f t="shared" si="132"/>
        <v>665</v>
      </c>
      <c r="S416" s="38">
        <f t="shared" si="138"/>
        <v>17734.479500000001</v>
      </c>
      <c r="T416" s="49">
        <v>240</v>
      </c>
      <c r="U416" s="42">
        <v>26.569800000000001</v>
      </c>
      <c r="V416" s="38">
        <f t="shared" si="146"/>
        <v>6376.7520000000004</v>
      </c>
      <c r="W416" s="42">
        <v>505</v>
      </c>
      <c r="X416" s="42">
        <v>26.758099999999999</v>
      </c>
      <c r="Y416" s="42">
        <f t="shared" si="144"/>
        <v>13512.8405</v>
      </c>
      <c r="Z416" s="42"/>
      <c r="AA416" s="42"/>
      <c r="AB416" s="42">
        <f t="shared" si="145"/>
        <v>0</v>
      </c>
      <c r="AD416" s="42"/>
      <c r="AE416" s="42"/>
      <c r="AF416" s="42">
        <f t="shared" si="130"/>
        <v>0</v>
      </c>
      <c r="AG416" s="42"/>
      <c r="AH416" s="42"/>
      <c r="AI416" s="42"/>
      <c r="AJ416" s="42">
        <f t="shared" si="134"/>
        <v>0</v>
      </c>
      <c r="AL416" s="42"/>
      <c r="AM416" s="42"/>
      <c r="AN416" s="42"/>
      <c r="AO416" s="44"/>
      <c r="AP416" s="42"/>
      <c r="AQ416" s="42"/>
      <c r="AR416" s="42"/>
      <c r="AU416" s="98"/>
      <c r="AV416" s="35"/>
      <c r="AW416" s="104"/>
      <c r="AX416" s="42"/>
      <c r="AY416" s="42"/>
      <c r="AZ416" s="42">
        <f t="shared" si="131"/>
        <v>0</v>
      </c>
      <c r="BA416" s="42"/>
      <c r="BB416" s="42"/>
      <c r="BC416" s="42"/>
      <c r="BD416" s="38">
        <f t="shared" si="139"/>
        <v>0</v>
      </c>
      <c r="BE416" s="42"/>
      <c r="BF416" s="42"/>
      <c r="BG416" s="42"/>
      <c r="BH416" s="38">
        <f t="shared" si="140"/>
        <v>0</v>
      </c>
      <c r="BI416" s="42"/>
      <c r="BJ416" s="42"/>
      <c r="BK416" s="42"/>
      <c r="BL416" s="38">
        <f t="shared" si="141"/>
        <v>0</v>
      </c>
      <c r="BM416" s="42"/>
      <c r="BN416" s="42"/>
      <c r="BO416" s="42"/>
      <c r="BP416" s="42"/>
      <c r="BR416" s="42">
        <f t="shared" si="142"/>
        <v>19889.592499999999</v>
      </c>
      <c r="BS416" s="43"/>
      <c r="BT416" s="42">
        <v>2155.11</v>
      </c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  <c r="FM416" s="31"/>
      <c r="FN416" s="31"/>
      <c r="FO416" s="31"/>
      <c r="FP416" s="31"/>
      <c r="FQ416" s="31"/>
      <c r="FR416" s="31"/>
      <c r="FS416" s="31"/>
      <c r="FT416" s="31"/>
      <c r="FU416" s="31"/>
      <c r="FV416" s="31"/>
      <c r="FW416" s="31"/>
      <c r="FX416" s="31"/>
      <c r="FY416" s="31"/>
      <c r="FZ416" s="31"/>
      <c r="GA416" s="31"/>
      <c r="GB416" s="31"/>
      <c r="GC416" s="31"/>
      <c r="GD416" s="31"/>
      <c r="GE416" s="31"/>
      <c r="GF416" s="31"/>
      <c r="GG416" s="31"/>
      <c r="GH416" s="31"/>
      <c r="GI416" s="31"/>
      <c r="GJ416" s="31"/>
      <c r="GK416" s="31"/>
      <c r="GL416" s="31"/>
      <c r="GM416" s="31"/>
      <c r="GN416" s="31"/>
      <c r="GO416" s="31"/>
      <c r="GP416" s="31"/>
      <c r="GQ416" s="31"/>
      <c r="GR416" s="31"/>
      <c r="GS416" s="31"/>
      <c r="GT416" s="31"/>
      <c r="GU416" s="31"/>
      <c r="GV416" s="31"/>
      <c r="GW416" s="31"/>
      <c r="GX416" s="31"/>
      <c r="GY416" s="31"/>
      <c r="GZ416" s="31"/>
      <c r="HA416" s="31"/>
      <c r="HB416" s="31"/>
      <c r="HC416" s="31"/>
      <c r="HD416" s="31"/>
      <c r="HE416" s="31"/>
      <c r="HF416" s="31"/>
      <c r="HG416" s="31"/>
      <c r="HH416" s="31"/>
      <c r="HI416" s="31"/>
      <c r="HJ416" s="31"/>
      <c r="HK416" s="31"/>
      <c r="HL416" s="31"/>
      <c r="HM416" s="31"/>
      <c r="HN416" s="31"/>
      <c r="HO416" s="31"/>
      <c r="HP416" s="31"/>
      <c r="HQ416" s="31"/>
      <c r="HR416" s="31"/>
      <c r="HS416" s="31"/>
      <c r="HT416" s="31"/>
      <c r="HU416" s="31"/>
      <c r="HV416" s="31"/>
      <c r="HW416" s="31"/>
      <c r="HX416" s="31"/>
      <c r="HY416" s="31"/>
      <c r="HZ416" s="31"/>
      <c r="IA416" s="31"/>
      <c r="IB416" s="31"/>
      <c r="IC416" s="31"/>
      <c r="ID416" s="31"/>
      <c r="IE416" s="31"/>
      <c r="IF416" s="31"/>
      <c r="IG416" s="31"/>
      <c r="IH416" s="31"/>
      <c r="II416" s="31"/>
      <c r="IJ416" s="31"/>
      <c r="IK416" s="31"/>
      <c r="IL416" s="31"/>
      <c r="IM416" s="31"/>
      <c r="IN416" s="31"/>
      <c r="IO416" s="31"/>
      <c r="IP416" s="31"/>
      <c r="IQ416" s="31"/>
      <c r="IR416" s="31"/>
      <c r="IS416" s="31"/>
      <c r="IT416" s="31"/>
      <c r="IU416" s="31"/>
      <c r="IV416" s="31"/>
      <c r="IW416" s="31"/>
      <c r="IX416" s="31"/>
      <c r="IY416" s="31"/>
      <c r="IZ416" s="31"/>
      <c r="JA416" s="31"/>
      <c r="JB416" s="31"/>
      <c r="JC416" s="31"/>
      <c r="JD416" s="31"/>
      <c r="JE416" s="31"/>
      <c r="JF416" s="31"/>
      <c r="JG416" s="31"/>
      <c r="JH416" s="31"/>
      <c r="JI416" s="31"/>
      <c r="JJ416" s="31"/>
      <c r="JK416" s="31"/>
      <c r="JL416" s="31"/>
      <c r="JM416" s="31"/>
      <c r="JN416" s="31"/>
      <c r="JO416" s="31"/>
      <c r="JP416" s="31"/>
      <c r="JQ416" s="31"/>
      <c r="JR416" s="31"/>
      <c r="JS416" s="31"/>
      <c r="JT416" s="31"/>
      <c r="JU416" s="31"/>
      <c r="JV416" s="31"/>
      <c r="JW416" s="31"/>
      <c r="JX416" s="31"/>
      <c r="JY416" s="31"/>
      <c r="JZ416" s="31"/>
      <c r="KA416" s="31"/>
      <c r="KB416" s="31"/>
      <c r="KC416" s="31"/>
      <c r="KD416" s="31"/>
      <c r="KE416" s="31"/>
      <c r="KF416" s="31"/>
      <c r="KG416" s="31"/>
      <c r="KH416" s="31"/>
      <c r="KI416" s="31"/>
      <c r="KJ416" s="31"/>
      <c r="KK416" s="31"/>
      <c r="KL416" s="31"/>
      <c r="KM416" s="31"/>
      <c r="KN416" s="31"/>
      <c r="KO416" s="31"/>
      <c r="KP416" s="31"/>
      <c r="KQ416" s="31"/>
      <c r="KR416" s="31"/>
      <c r="KS416" s="31"/>
      <c r="KT416" s="31"/>
      <c r="KU416" s="31"/>
      <c r="KV416" s="31"/>
      <c r="KW416" s="31"/>
      <c r="KX416" s="31"/>
      <c r="KY416" s="31"/>
      <c r="KZ416" s="31"/>
      <c r="LA416" s="31"/>
      <c r="LB416" s="31"/>
      <c r="LC416" s="31"/>
      <c r="LD416" s="31"/>
      <c r="LE416" s="31"/>
      <c r="LF416" s="31"/>
      <c r="LG416" s="31"/>
      <c r="LH416" s="31"/>
      <c r="LI416" s="31"/>
      <c r="LJ416" s="31"/>
      <c r="LK416" s="31"/>
      <c r="LL416" s="31"/>
      <c r="LM416" s="31"/>
      <c r="LN416" s="31"/>
      <c r="LO416" s="31"/>
      <c r="LP416" s="31"/>
      <c r="LQ416" s="31"/>
      <c r="LR416" s="31"/>
      <c r="LS416" s="31"/>
      <c r="LT416" s="31"/>
      <c r="LU416" s="31"/>
      <c r="LV416" s="31"/>
      <c r="LW416" s="31"/>
      <c r="LX416" s="31"/>
      <c r="LY416" s="31"/>
      <c r="LZ416" s="31"/>
      <c r="MA416" s="31"/>
      <c r="MB416" s="31"/>
      <c r="MC416" s="31"/>
      <c r="MD416" s="31"/>
      <c r="ME416" s="31"/>
      <c r="MF416" s="31"/>
      <c r="MG416" s="31"/>
      <c r="MH416" s="31"/>
      <c r="MI416" s="31"/>
      <c r="MJ416" s="31"/>
      <c r="MK416" s="31"/>
      <c r="ML416" s="31"/>
      <c r="MM416" s="31"/>
      <c r="MN416" s="31"/>
      <c r="MO416" s="31"/>
      <c r="MP416" s="31"/>
      <c r="MQ416" s="31"/>
      <c r="MR416" s="31"/>
      <c r="MS416" s="31"/>
      <c r="MT416" s="31"/>
      <c r="MU416" s="31"/>
      <c r="MV416" s="31"/>
      <c r="MW416" s="31"/>
      <c r="MX416" s="31"/>
      <c r="MY416" s="31"/>
      <c r="MZ416" s="31"/>
      <c r="NA416" s="31"/>
      <c r="NB416" s="31"/>
      <c r="NC416" s="31"/>
      <c r="ND416" s="31"/>
      <c r="NE416" s="31"/>
      <c r="NF416" s="31"/>
      <c r="NG416" s="31"/>
      <c r="NH416" s="31"/>
      <c r="NI416" s="31"/>
      <c r="NJ416" s="31"/>
      <c r="NK416" s="31"/>
      <c r="NL416" s="31"/>
      <c r="NM416" s="31"/>
      <c r="NN416" s="31"/>
      <c r="NO416" s="31"/>
      <c r="NP416" s="31"/>
      <c r="NQ416" s="31"/>
      <c r="NR416" s="31"/>
      <c r="NS416" s="31"/>
      <c r="NT416" s="31"/>
      <c r="NU416" s="31"/>
      <c r="NV416" s="31"/>
      <c r="NW416" s="31"/>
      <c r="NX416" s="31"/>
      <c r="NY416" s="31"/>
      <c r="NZ416" s="31"/>
      <c r="OA416" s="31"/>
      <c r="OB416" s="31"/>
      <c r="OC416" s="31"/>
      <c r="OD416" s="31"/>
      <c r="OE416" s="31"/>
      <c r="OF416" s="31"/>
      <c r="OG416" s="31"/>
      <c r="OH416" s="31"/>
      <c r="OI416" s="31"/>
      <c r="OJ416" s="31"/>
      <c r="OK416" s="31"/>
      <c r="OL416" s="31"/>
      <c r="OM416" s="31"/>
      <c r="ON416" s="31"/>
      <c r="OO416" s="31"/>
      <c r="OP416" s="31"/>
      <c r="OQ416" s="31"/>
      <c r="OR416" s="31"/>
      <c r="OS416" s="31"/>
      <c r="OT416" s="31"/>
      <c r="OU416" s="31"/>
      <c r="OV416" s="31"/>
      <c r="OW416" s="31"/>
      <c r="OX416" s="31"/>
    </row>
    <row r="417" spans="2:414" s="25" customFormat="1" ht="15.6">
      <c r="B417" s="25" t="s">
        <v>888</v>
      </c>
      <c r="C417" s="27" t="s">
        <v>24</v>
      </c>
      <c r="D417" s="30" t="s">
        <v>105</v>
      </c>
      <c r="G417" s="42">
        <v>80</v>
      </c>
      <c r="H417" s="89">
        <v>26.109000000000002</v>
      </c>
      <c r="I417" s="38">
        <f t="shared" si="135"/>
        <v>2088.7200000000003</v>
      </c>
      <c r="K417" s="42">
        <v>80</v>
      </c>
      <c r="L417" s="90">
        <v>26.849599999999999</v>
      </c>
      <c r="M417" s="38">
        <f t="shared" si="136"/>
        <v>2147.9679999999998</v>
      </c>
      <c r="O417" s="42">
        <v>505</v>
      </c>
      <c r="P417" s="38">
        <v>26.728300000000001</v>
      </c>
      <c r="Q417" s="38">
        <f t="shared" si="137"/>
        <v>13497.791500000001</v>
      </c>
      <c r="R417" s="43">
        <f t="shared" si="132"/>
        <v>665</v>
      </c>
      <c r="S417" s="38">
        <f t="shared" si="138"/>
        <v>17734.479500000001</v>
      </c>
      <c r="T417" s="49">
        <v>240</v>
      </c>
      <c r="U417" s="42">
        <v>26.57</v>
      </c>
      <c r="V417" s="38">
        <f t="shared" si="146"/>
        <v>6376.8</v>
      </c>
      <c r="W417" s="42">
        <v>503.45</v>
      </c>
      <c r="X417" s="42">
        <v>26.643899999999999</v>
      </c>
      <c r="Y417" s="42">
        <f t="shared" si="144"/>
        <v>13413.871454999999</v>
      </c>
      <c r="Z417" s="42"/>
      <c r="AA417" s="42"/>
      <c r="AB417" s="42">
        <f t="shared" si="145"/>
        <v>0</v>
      </c>
      <c r="AD417" s="42"/>
      <c r="AE417" s="42"/>
      <c r="AF417" s="42">
        <f t="shared" si="130"/>
        <v>0</v>
      </c>
      <c r="AG417" s="42"/>
      <c r="AH417" s="42"/>
      <c r="AI417" s="42"/>
      <c r="AJ417" s="42">
        <f t="shared" si="134"/>
        <v>0</v>
      </c>
      <c r="AL417" s="42"/>
      <c r="AM417" s="42"/>
      <c r="AN417" s="42"/>
      <c r="AO417" s="44"/>
      <c r="AP417" s="42"/>
      <c r="AQ417" s="42"/>
      <c r="AR417" s="42"/>
      <c r="AU417" s="98"/>
      <c r="AV417" s="35"/>
      <c r="AW417" s="104"/>
      <c r="AX417" s="42"/>
      <c r="AY417" s="42"/>
      <c r="AZ417" s="42">
        <f t="shared" si="131"/>
        <v>0</v>
      </c>
      <c r="BA417" s="42"/>
      <c r="BB417" s="42"/>
      <c r="BC417" s="42"/>
      <c r="BD417" s="38">
        <f t="shared" si="139"/>
        <v>0</v>
      </c>
      <c r="BE417" s="42"/>
      <c r="BF417" s="42"/>
      <c r="BG417" s="42"/>
      <c r="BH417" s="38">
        <f t="shared" si="140"/>
        <v>0</v>
      </c>
      <c r="BI417" s="42"/>
      <c r="BJ417" s="42"/>
      <c r="BK417" s="42"/>
      <c r="BL417" s="38">
        <f t="shared" si="141"/>
        <v>0</v>
      </c>
      <c r="BM417" s="42"/>
      <c r="BN417" s="42"/>
      <c r="BO417" s="42"/>
      <c r="BP417" s="42"/>
      <c r="BR417" s="42">
        <f t="shared" si="142"/>
        <v>19790.671455</v>
      </c>
      <c r="BS417" s="43"/>
      <c r="BT417" s="42">
        <v>2056.19</v>
      </c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  <c r="FM417" s="31"/>
      <c r="FN417" s="31"/>
      <c r="FO417" s="31"/>
      <c r="FP417" s="31"/>
      <c r="FQ417" s="31"/>
      <c r="FR417" s="31"/>
      <c r="FS417" s="31"/>
      <c r="FT417" s="31"/>
      <c r="FU417" s="31"/>
      <c r="FV417" s="31"/>
      <c r="FW417" s="31"/>
      <c r="FX417" s="31"/>
      <c r="FY417" s="31"/>
      <c r="FZ417" s="31"/>
      <c r="GA417" s="31"/>
      <c r="GB417" s="31"/>
      <c r="GC417" s="31"/>
      <c r="GD417" s="31"/>
      <c r="GE417" s="31"/>
      <c r="GF417" s="31"/>
      <c r="GG417" s="31"/>
      <c r="GH417" s="31"/>
      <c r="GI417" s="31"/>
      <c r="GJ417" s="31"/>
      <c r="GK417" s="31"/>
      <c r="GL417" s="31"/>
      <c r="GM417" s="31"/>
      <c r="GN417" s="31"/>
      <c r="GO417" s="31"/>
      <c r="GP417" s="31"/>
      <c r="GQ417" s="31"/>
      <c r="GR417" s="31"/>
      <c r="GS417" s="31"/>
      <c r="GT417" s="31"/>
      <c r="GU417" s="31"/>
      <c r="GV417" s="31"/>
      <c r="GW417" s="31"/>
      <c r="GX417" s="31"/>
      <c r="GY417" s="31"/>
      <c r="GZ417" s="31"/>
      <c r="HA417" s="31"/>
      <c r="HB417" s="31"/>
      <c r="HC417" s="31"/>
      <c r="HD417" s="31"/>
      <c r="HE417" s="31"/>
      <c r="HF417" s="31"/>
      <c r="HG417" s="31"/>
      <c r="HH417" s="31"/>
      <c r="HI417" s="31"/>
      <c r="HJ417" s="31"/>
      <c r="HK417" s="31"/>
      <c r="HL417" s="31"/>
      <c r="HM417" s="31"/>
      <c r="HN417" s="31"/>
      <c r="HO417" s="31"/>
      <c r="HP417" s="31"/>
      <c r="HQ417" s="31"/>
      <c r="HR417" s="31"/>
      <c r="HS417" s="31"/>
      <c r="HT417" s="31"/>
      <c r="HU417" s="31"/>
      <c r="HV417" s="31"/>
      <c r="HW417" s="31"/>
      <c r="HX417" s="31"/>
      <c r="HY417" s="31"/>
      <c r="HZ417" s="31"/>
      <c r="IA417" s="31"/>
      <c r="IB417" s="31"/>
      <c r="IC417" s="31"/>
      <c r="ID417" s="31"/>
      <c r="IE417" s="31"/>
      <c r="IF417" s="31"/>
      <c r="IG417" s="31"/>
      <c r="IH417" s="31"/>
      <c r="II417" s="31"/>
      <c r="IJ417" s="31"/>
      <c r="IK417" s="31"/>
      <c r="IL417" s="31"/>
      <c r="IM417" s="31"/>
      <c r="IN417" s="31"/>
      <c r="IO417" s="31"/>
      <c r="IP417" s="31"/>
      <c r="IQ417" s="31"/>
      <c r="IR417" s="31"/>
      <c r="IS417" s="31"/>
      <c r="IT417" s="31"/>
      <c r="IU417" s="31"/>
      <c r="IV417" s="31"/>
      <c r="IW417" s="31"/>
      <c r="IX417" s="31"/>
      <c r="IY417" s="31"/>
      <c r="IZ417" s="31"/>
      <c r="JA417" s="31"/>
      <c r="JB417" s="31"/>
      <c r="JC417" s="31"/>
      <c r="JD417" s="31"/>
      <c r="JE417" s="31"/>
      <c r="JF417" s="31"/>
      <c r="JG417" s="31"/>
      <c r="JH417" s="31"/>
      <c r="JI417" s="31"/>
      <c r="JJ417" s="31"/>
      <c r="JK417" s="31"/>
      <c r="JL417" s="31"/>
      <c r="JM417" s="31"/>
      <c r="JN417" s="31"/>
      <c r="JO417" s="31"/>
      <c r="JP417" s="31"/>
      <c r="JQ417" s="31"/>
      <c r="JR417" s="31"/>
      <c r="JS417" s="31"/>
      <c r="JT417" s="31"/>
      <c r="JU417" s="31"/>
      <c r="JV417" s="31"/>
      <c r="JW417" s="31"/>
      <c r="JX417" s="31"/>
      <c r="JY417" s="31"/>
      <c r="JZ417" s="31"/>
      <c r="KA417" s="31"/>
      <c r="KB417" s="31"/>
      <c r="KC417" s="31"/>
      <c r="KD417" s="31"/>
      <c r="KE417" s="31"/>
      <c r="KF417" s="31"/>
      <c r="KG417" s="31"/>
      <c r="KH417" s="31"/>
      <c r="KI417" s="31"/>
      <c r="KJ417" s="31"/>
      <c r="KK417" s="31"/>
      <c r="KL417" s="31"/>
      <c r="KM417" s="31"/>
      <c r="KN417" s="31"/>
      <c r="KO417" s="31"/>
      <c r="KP417" s="31"/>
      <c r="KQ417" s="31"/>
      <c r="KR417" s="31"/>
      <c r="KS417" s="31"/>
      <c r="KT417" s="31"/>
      <c r="KU417" s="31"/>
      <c r="KV417" s="31"/>
      <c r="KW417" s="31"/>
      <c r="KX417" s="31"/>
      <c r="KY417" s="31"/>
      <c r="KZ417" s="31"/>
      <c r="LA417" s="31"/>
      <c r="LB417" s="31"/>
      <c r="LC417" s="31"/>
      <c r="LD417" s="31"/>
      <c r="LE417" s="31"/>
      <c r="LF417" s="31"/>
      <c r="LG417" s="31"/>
      <c r="LH417" s="31"/>
      <c r="LI417" s="31"/>
      <c r="LJ417" s="31"/>
      <c r="LK417" s="31"/>
      <c r="LL417" s="31"/>
      <c r="LM417" s="31"/>
      <c r="LN417" s="31"/>
      <c r="LO417" s="31"/>
      <c r="LP417" s="31"/>
      <c r="LQ417" s="31"/>
      <c r="LR417" s="31"/>
      <c r="LS417" s="31"/>
      <c r="LT417" s="31"/>
      <c r="LU417" s="31"/>
      <c r="LV417" s="31"/>
      <c r="LW417" s="31"/>
      <c r="LX417" s="31"/>
      <c r="LY417" s="31"/>
      <c r="LZ417" s="31"/>
      <c r="MA417" s="31"/>
      <c r="MB417" s="31"/>
      <c r="MC417" s="31"/>
      <c r="MD417" s="31"/>
      <c r="ME417" s="31"/>
      <c r="MF417" s="31"/>
      <c r="MG417" s="31"/>
      <c r="MH417" s="31"/>
      <c r="MI417" s="31"/>
      <c r="MJ417" s="31"/>
      <c r="MK417" s="31"/>
      <c r="ML417" s="31"/>
      <c r="MM417" s="31"/>
      <c r="MN417" s="31"/>
      <c r="MO417" s="31"/>
      <c r="MP417" s="31"/>
      <c r="MQ417" s="31"/>
      <c r="MR417" s="31"/>
      <c r="MS417" s="31"/>
      <c r="MT417" s="31"/>
      <c r="MU417" s="31"/>
      <c r="MV417" s="31"/>
      <c r="MW417" s="31"/>
      <c r="MX417" s="31"/>
      <c r="MY417" s="31"/>
      <c r="MZ417" s="31"/>
      <c r="NA417" s="31"/>
      <c r="NB417" s="31"/>
      <c r="NC417" s="31"/>
      <c r="ND417" s="31"/>
      <c r="NE417" s="31"/>
      <c r="NF417" s="31"/>
      <c r="NG417" s="31"/>
      <c r="NH417" s="31"/>
      <c r="NI417" s="31"/>
      <c r="NJ417" s="31"/>
      <c r="NK417" s="31"/>
      <c r="NL417" s="31"/>
      <c r="NM417" s="31"/>
      <c r="NN417" s="31"/>
      <c r="NO417" s="31"/>
      <c r="NP417" s="31"/>
      <c r="NQ417" s="31"/>
      <c r="NR417" s="31"/>
      <c r="NS417" s="31"/>
      <c r="NT417" s="31"/>
      <c r="NU417" s="31"/>
      <c r="NV417" s="31"/>
      <c r="NW417" s="31"/>
      <c r="NX417" s="31"/>
      <c r="NY417" s="31"/>
      <c r="NZ417" s="31"/>
      <c r="OA417" s="31"/>
      <c r="OB417" s="31"/>
      <c r="OC417" s="31"/>
      <c r="OD417" s="31"/>
      <c r="OE417" s="31"/>
      <c r="OF417" s="31"/>
      <c r="OG417" s="31"/>
      <c r="OH417" s="31"/>
      <c r="OI417" s="31"/>
      <c r="OJ417" s="31"/>
      <c r="OK417" s="31"/>
      <c r="OL417" s="31"/>
      <c r="OM417" s="31"/>
      <c r="ON417" s="31"/>
      <c r="OO417" s="31"/>
      <c r="OP417" s="31"/>
      <c r="OQ417" s="31"/>
      <c r="OR417" s="31"/>
      <c r="OS417" s="31"/>
      <c r="OT417" s="31"/>
      <c r="OU417" s="31"/>
      <c r="OV417" s="31"/>
      <c r="OW417" s="31"/>
      <c r="OX417" s="31"/>
    </row>
    <row r="418" spans="2:414" s="25" customFormat="1" ht="15.6">
      <c r="B418" s="25" t="s">
        <v>164</v>
      </c>
      <c r="C418" s="27" t="s">
        <v>779</v>
      </c>
      <c r="D418" s="30" t="s">
        <v>105</v>
      </c>
      <c r="G418" s="42">
        <v>80</v>
      </c>
      <c r="H418" s="89">
        <v>26.109000000000002</v>
      </c>
      <c r="I418" s="38">
        <f t="shared" si="135"/>
        <v>2088.7200000000003</v>
      </c>
      <c r="K418" s="42">
        <v>80</v>
      </c>
      <c r="L418" s="90">
        <v>26.849599999999999</v>
      </c>
      <c r="M418" s="38">
        <f t="shared" si="136"/>
        <v>2147.9679999999998</v>
      </c>
      <c r="O418" s="42">
        <v>505</v>
      </c>
      <c r="P418" s="38">
        <v>26.728300000000001</v>
      </c>
      <c r="Q418" s="38">
        <f t="shared" si="137"/>
        <v>13497.791500000001</v>
      </c>
      <c r="R418" s="43">
        <f t="shared" si="132"/>
        <v>665</v>
      </c>
      <c r="S418" s="38">
        <f t="shared" si="138"/>
        <v>17734.479500000001</v>
      </c>
      <c r="T418" s="49">
        <v>240</v>
      </c>
      <c r="U418" s="42">
        <v>26.731200000000001</v>
      </c>
      <c r="V418" s="38">
        <f t="shared" si="146"/>
        <v>6415.4880000000003</v>
      </c>
      <c r="W418" s="42">
        <v>420</v>
      </c>
      <c r="X418" s="42">
        <v>26.766200000000001</v>
      </c>
      <c r="Y418" s="42">
        <f t="shared" si="144"/>
        <v>11241.804</v>
      </c>
      <c r="Z418" s="42">
        <v>85</v>
      </c>
      <c r="AA418" s="42">
        <v>26.728300000000001</v>
      </c>
      <c r="AB418" s="42">
        <f t="shared" si="145"/>
        <v>2271.9054999999998</v>
      </c>
      <c r="AD418" s="42"/>
      <c r="AE418" s="42"/>
      <c r="AF418" s="42">
        <f t="shared" si="130"/>
        <v>0</v>
      </c>
      <c r="AG418" s="42"/>
      <c r="AH418" s="42"/>
      <c r="AI418" s="42"/>
      <c r="AJ418" s="42">
        <f t="shared" si="134"/>
        <v>0</v>
      </c>
      <c r="AL418" s="42"/>
      <c r="AM418" s="42"/>
      <c r="AN418" s="42"/>
      <c r="AO418" s="44"/>
      <c r="AP418" s="42"/>
      <c r="AQ418" s="42"/>
      <c r="AR418" s="42"/>
      <c r="AU418" s="98"/>
      <c r="AV418" s="35"/>
      <c r="AW418" s="104"/>
      <c r="AX418" s="42"/>
      <c r="AY418" s="42"/>
      <c r="AZ418" s="42">
        <f t="shared" si="131"/>
        <v>0</v>
      </c>
      <c r="BA418" s="42"/>
      <c r="BB418" s="42"/>
      <c r="BC418" s="42"/>
      <c r="BD418" s="38">
        <f t="shared" si="139"/>
        <v>0</v>
      </c>
      <c r="BE418" s="42"/>
      <c r="BF418" s="42"/>
      <c r="BG418" s="42"/>
      <c r="BH418" s="38">
        <f t="shared" si="140"/>
        <v>0</v>
      </c>
      <c r="BI418" s="42"/>
      <c r="BJ418" s="42"/>
      <c r="BK418" s="42"/>
      <c r="BL418" s="38">
        <f t="shared" si="141"/>
        <v>0</v>
      </c>
      <c r="BM418" s="42"/>
      <c r="BN418" s="42"/>
      <c r="BO418" s="42"/>
      <c r="BP418" s="42"/>
      <c r="BR418" s="42">
        <f t="shared" si="142"/>
        <v>19929.197500000002</v>
      </c>
      <c r="BS418" s="43"/>
      <c r="BT418" s="42">
        <v>2194.7199999999998</v>
      </c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  <c r="FM418" s="31"/>
      <c r="FN418" s="31"/>
      <c r="FO418" s="31"/>
      <c r="FP418" s="31"/>
      <c r="FQ418" s="31"/>
      <c r="FR418" s="31"/>
      <c r="FS418" s="31"/>
      <c r="FT418" s="31"/>
      <c r="FU418" s="31"/>
      <c r="FV418" s="31"/>
      <c r="FW418" s="31"/>
      <c r="FX418" s="31"/>
      <c r="FY418" s="31"/>
      <c r="FZ418" s="31"/>
      <c r="GA418" s="31"/>
      <c r="GB418" s="31"/>
      <c r="GC418" s="31"/>
      <c r="GD418" s="31"/>
      <c r="GE418" s="31"/>
      <c r="GF418" s="31"/>
      <c r="GG418" s="31"/>
      <c r="GH418" s="31"/>
      <c r="GI418" s="31"/>
      <c r="GJ418" s="31"/>
      <c r="GK418" s="31"/>
      <c r="GL418" s="31"/>
      <c r="GM418" s="31"/>
      <c r="GN418" s="31"/>
      <c r="GO418" s="31"/>
      <c r="GP418" s="31"/>
      <c r="GQ418" s="31"/>
      <c r="GR418" s="31"/>
      <c r="GS418" s="31"/>
      <c r="GT418" s="31"/>
      <c r="GU418" s="31"/>
      <c r="GV418" s="31"/>
      <c r="GW418" s="31"/>
      <c r="GX418" s="31"/>
      <c r="GY418" s="31"/>
      <c r="GZ418" s="31"/>
      <c r="HA418" s="31"/>
      <c r="HB418" s="31"/>
      <c r="HC418" s="31"/>
      <c r="HD418" s="31"/>
      <c r="HE418" s="31"/>
      <c r="HF418" s="31"/>
      <c r="HG418" s="31"/>
      <c r="HH418" s="31"/>
      <c r="HI418" s="31"/>
      <c r="HJ418" s="31"/>
      <c r="HK418" s="31"/>
      <c r="HL418" s="31"/>
      <c r="HM418" s="31"/>
      <c r="HN418" s="31"/>
      <c r="HO418" s="31"/>
      <c r="HP418" s="31"/>
      <c r="HQ418" s="31"/>
      <c r="HR418" s="31"/>
      <c r="HS418" s="31"/>
      <c r="HT418" s="31"/>
      <c r="HU418" s="31"/>
      <c r="HV418" s="31"/>
      <c r="HW418" s="31"/>
      <c r="HX418" s="31"/>
      <c r="HY418" s="31"/>
      <c r="HZ418" s="31"/>
      <c r="IA418" s="31"/>
      <c r="IB418" s="31"/>
      <c r="IC418" s="31"/>
      <c r="ID418" s="31"/>
      <c r="IE418" s="31"/>
      <c r="IF418" s="31"/>
      <c r="IG418" s="31"/>
      <c r="IH418" s="31"/>
      <c r="II418" s="31"/>
      <c r="IJ418" s="31"/>
      <c r="IK418" s="31"/>
      <c r="IL418" s="31"/>
      <c r="IM418" s="31"/>
      <c r="IN418" s="31"/>
      <c r="IO418" s="31"/>
      <c r="IP418" s="31"/>
      <c r="IQ418" s="31"/>
      <c r="IR418" s="31"/>
      <c r="IS418" s="31"/>
      <c r="IT418" s="31"/>
      <c r="IU418" s="31"/>
      <c r="IV418" s="31"/>
      <c r="IW418" s="31"/>
      <c r="IX418" s="31"/>
      <c r="IY418" s="31"/>
      <c r="IZ418" s="31"/>
      <c r="JA418" s="31"/>
      <c r="JB418" s="31"/>
      <c r="JC418" s="31"/>
      <c r="JD418" s="31"/>
      <c r="JE418" s="31"/>
      <c r="JF418" s="31"/>
      <c r="JG418" s="31"/>
      <c r="JH418" s="31"/>
      <c r="JI418" s="31"/>
      <c r="JJ418" s="31"/>
      <c r="JK418" s="31"/>
      <c r="JL418" s="31"/>
      <c r="JM418" s="31"/>
      <c r="JN418" s="31"/>
      <c r="JO418" s="31"/>
      <c r="JP418" s="31"/>
      <c r="JQ418" s="31"/>
      <c r="JR418" s="31"/>
      <c r="JS418" s="31"/>
      <c r="JT418" s="31"/>
      <c r="JU418" s="31"/>
      <c r="JV418" s="31"/>
      <c r="JW418" s="31"/>
      <c r="JX418" s="31"/>
      <c r="JY418" s="31"/>
      <c r="JZ418" s="31"/>
      <c r="KA418" s="31"/>
      <c r="KB418" s="31"/>
      <c r="KC418" s="31"/>
      <c r="KD418" s="31"/>
      <c r="KE418" s="31"/>
      <c r="KF418" s="31"/>
      <c r="KG418" s="31"/>
      <c r="KH418" s="31"/>
      <c r="KI418" s="31"/>
      <c r="KJ418" s="31"/>
      <c r="KK418" s="31"/>
      <c r="KL418" s="31"/>
      <c r="KM418" s="31"/>
      <c r="KN418" s="31"/>
      <c r="KO418" s="31"/>
      <c r="KP418" s="31"/>
      <c r="KQ418" s="31"/>
      <c r="KR418" s="31"/>
      <c r="KS418" s="31"/>
      <c r="KT418" s="31"/>
      <c r="KU418" s="31"/>
      <c r="KV418" s="31"/>
      <c r="KW418" s="31"/>
      <c r="KX418" s="31"/>
      <c r="KY418" s="31"/>
      <c r="KZ418" s="31"/>
      <c r="LA418" s="31"/>
      <c r="LB418" s="31"/>
      <c r="LC418" s="31"/>
      <c r="LD418" s="31"/>
      <c r="LE418" s="31"/>
      <c r="LF418" s="31"/>
      <c r="LG418" s="31"/>
      <c r="LH418" s="31"/>
      <c r="LI418" s="31"/>
      <c r="LJ418" s="31"/>
      <c r="LK418" s="31"/>
      <c r="LL418" s="31"/>
      <c r="LM418" s="31"/>
      <c r="LN418" s="31"/>
      <c r="LO418" s="31"/>
      <c r="LP418" s="31"/>
      <c r="LQ418" s="31"/>
      <c r="LR418" s="31"/>
      <c r="LS418" s="31"/>
      <c r="LT418" s="31"/>
      <c r="LU418" s="31"/>
      <c r="LV418" s="31"/>
      <c r="LW418" s="31"/>
      <c r="LX418" s="31"/>
      <c r="LY418" s="31"/>
      <c r="LZ418" s="31"/>
      <c r="MA418" s="31"/>
      <c r="MB418" s="31"/>
      <c r="MC418" s="31"/>
      <c r="MD418" s="31"/>
      <c r="ME418" s="31"/>
      <c r="MF418" s="31"/>
      <c r="MG418" s="31"/>
      <c r="MH418" s="31"/>
      <c r="MI418" s="31"/>
      <c r="MJ418" s="31"/>
      <c r="MK418" s="31"/>
      <c r="ML418" s="31"/>
      <c r="MM418" s="31"/>
      <c r="MN418" s="31"/>
      <c r="MO418" s="31"/>
      <c r="MP418" s="31"/>
      <c r="MQ418" s="31"/>
      <c r="MR418" s="31"/>
      <c r="MS418" s="31"/>
      <c r="MT418" s="31"/>
      <c r="MU418" s="31"/>
      <c r="MV418" s="31"/>
      <c r="MW418" s="31"/>
      <c r="MX418" s="31"/>
      <c r="MY418" s="31"/>
      <c r="MZ418" s="31"/>
      <c r="NA418" s="31"/>
      <c r="NB418" s="31"/>
      <c r="NC418" s="31"/>
      <c r="ND418" s="31"/>
      <c r="NE418" s="31"/>
      <c r="NF418" s="31"/>
      <c r="NG418" s="31"/>
      <c r="NH418" s="31"/>
      <c r="NI418" s="31"/>
      <c r="NJ418" s="31"/>
      <c r="NK418" s="31"/>
      <c r="NL418" s="31"/>
      <c r="NM418" s="31"/>
      <c r="NN418" s="31"/>
      <c r="NO418" s="31"/>
      <c r="NP418" s="31"/>
      <c r="NQ418" s="31"/>
      <c r="NR418" s="31"/>
      <c r="NS418" s="31"/>
      <c r="NT418" s="31"/>
      <c r="NU418" s="31"/>
      <c r="NV418" s="31"/>
      <c r="NW418" s="31"/>
      <c r="NX418" s="31"/>
      <c r="NY418" s="31"/>
      <c r="NZ418" s="31"/>
      <c r="OA418" s="31"/>
      <c r="OB418" s="31"/>
      <c r="OC418" s="31"/>
      <c r="OD418" s="31"/>
      <c r="OE418" s="31"/>
      <c r="OF418" s="31"/>
      <c r="OG418" s="31"/>
      <c r="OH418" s="31"/>
      <c r="OI418" s="31"/>
      <c r="OJ418" s="31"/>
      <c r="OK418" s="31"/>
      <c r="OL418" s="31"/>
      <c r="OM418" s="31"/>
      <c r="ON418" s="31"/>
      <c r="OO418" s="31"/>
      <c r="OP418" s="31"/>
      <c r="OQ418" s="31"/>
      <c r="OR418" s="31"/>
      <c r="OS418" s="31"/>
      <c r="OT418" s="31"/>
      <c r="OU418" s="31"/>
      <c r="OV418" s="31"/>
      <c r="OW418" s="31"/>
      <c r="OX418" s="31"/>
    </row>
    <row r="419" spans="2:414" s="25" customFormat="1" ht="15.6">
      <c r="B419" s="25" t="s">
        <v>722</v>
      </c>
      <c r="C419" s="27" t="s">
        <v>17</v>
      </c>
      <c r="D419" s="30" t="s">
        <v>105</v>
      </c>
      <c r="G419" s="42">
        <v>80</v>
      </c>
      <c r="H419" s="89">
        <v>26.109000000000002</v>
      </c>
      <c r="I419" s="38">
        <f t="shared" si="135"/>
        <v>2088.7200000000003</v>
      </c>
      <c r="K419" s="42">
        <v>80</v>
      </c>
      <c r="L419" s="90">
        <v>26.849599999999999</v>
      </c>
      <c r="M419" s="38">
        <f t="shared" si="136"/>
        <v>2147.9679999999998</v>
      </c>
      <c r="O419" s="42">
        <v>505</v>
      </c>
      <c r="P419" s="38">
        <v>26.728300000000001</v>
      </c>
      <c r="Q419" s="38">
        <f t="shared" si="137"/>
        <v>13497.791500000001</v>
      </c>
      <c r="R419" s="43">
        <f t="shared" si="132"/>
        <v>665</v>
      </c>
      <c r="S419" s="38">
        <f t="shared" si="138"/>
        <v>17734.479500000001</v>
      </c>
      <c r="T419" s="49">
        <v>265</v>
      </c>
      <c r="U419" s="42">
        <v>26.57</v>
      </c>
      <c r="V419" s="38">
        <f t="shared" si="146"/>
        <v>7041.05</v>
      </c>
      <c r="W419" s="42">
        <v>505</v>
      </c>
      <c r="X419" s="42">
        <v>26.77</v>
      </c>
      <c r="Y419" s="42">
        <f t="shared" si="144"/>
        <v>13518.85</v>
      </c>
      <c r="Z419" s="42"/>
      <c r="AA419" s="42"/>
      <c r="AB419" s="42">
        <f t="shared" si="145"/>
        <v>0</v>
      </c>
      <c r="AD419" s="42"/>
      <c r="AE419" s="42"/>
      <c r="AF419" s="42">
        <f t="shared" si="130"/>
        <v>0</v>
      </c>
      <c r="AG419" s="42"/>
      <c r="AH419" s="42"/>
      <c r="AI419" s="42"/>
      <c r="AJ419" s="42">
        <f t="shared" si="134"/>
        <v>0</v>
      </c>
      <c r="AL419" s="42"/>
      <c r="AM419" s="42"/>
      <c r="AN419" s="42"/>
      <c r="AO419" s="44"/>
      <c r="AP419" s="42"/>
      <c r="AQ419" s="42"/>
      <c r="AR419" s="42"/>
      <c r="AU419" s="98"/>
      <c r="AV419" s="35"/>
      <c r="AW419" s="104"/>
      <c r="AX419" s="42"/>
      <c r="AY419" s="42"/>
      <c r="AZ419" s="42">
        <f t="shared" si="131"/>
        <v>0</v>
      </c>
      <c r="BA419" s="42"/>
      <c r="BB419" s="42"/>
      <c r="BC419" s="42"/>
      <c r="BD419" s="38">
        <f t="shared" si="139"/>
        <v>0</v>
      </c>
      <c r="BE419" s="42"/>
      <c r="BF419" s="42"/>
      <c r="BG419" s="42"/>
      <c r="BH419" s="38">
        <f t="shared" si="140"/>
        <v>0</v>
      </c>
      <c r="BI419" s="42"/>
      <c r="BJ419" s="42"/>
      <c r="BK419" s="42"/>
      <c r="BL419" s="38">
        <f t="shared" si="141"/>
        <v>0</v>
      </c>
      <c r="BM419" s="42"/>
      <c r="BN419" s="42"/>
      <c r="BO419" s="42"/>
      <c r="BP419" s="42"/>
      <c r="BR419" s="42">
        <f t="shared" si="142"/>
        <v>20559.900000000001</v>
      </c>
      <c r="BS419" s="43"/>
      <c r="BT419" s="42">
        <v>2825.42</v>
      </c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  <c r="FM419" s="31"/>
      <c r="FN419" s="31"/>
      <c r="FO419" s="31"/>
      <c r="FP419" s="31"/>
      <c r="FQ419" s="31"/>
      <c r="FR419" s="31"/>
      <c r="FS419" s="31"/>
      <c r="FT419" s="31"/>
      <c r="FU419" s="31"/>
      <c r="FV419" s="31"/>
      <c r="FW419" s="31"/>
      <c r="FX419" s="31"/>
      <c r="FY419" s="31"/>
      <c r="FZ419" s="31"/>
      <c r="GA419" s="31"/>
      <c r="GB419" s="31"/>
      <c r="GC419" s="31"/>
      <c r="GD419" s="31"/>
      <c r="GE419" s="31"/>
      <c r="GF419" s="31"/>
      <c r="GG419" s="31"/>
      <c r="GH419" s="31"/>
      <c r="GI419" s="31"/>
      <c r="GJ419" s="31"/>
      <c r="GK419" s="31"/>
      <c r="GL419" s="31"/>
      <c r="GM419" s="31"/>
      <c r="GN419" s="31"/>
      <c r="GO419" s="31"/>
      <c r="GP419" s="31"/>
      <c r="GQ419" s="31"/>
      <c r="GR419" s="31"/>
      <c r="GS419" s="31"/>
      <c r="GT419" s="31"/>
      <c r="GU419" s="31"/>
      <c r="GV419" s="31"/>
      <c r="GW419" s="31"/>
      <c r="GX419" s="31"/>
      <c r="GY419" s="31"/>
      <c r="GZ419" s="31"/>
      <c r="HA419" s="31"/>
      <c r="HB419" s="31"/>
      <c r="HC419" s="31"/>
      <c r="HD419" s="31"/>
      <c r="HE419" s="31"/>
      <c r="HF419" s="31"/>
      <c r="HG419" s="31"/>
      <c r="HH419" s="31"/>
      <c r="HI419" s="31"/>
      <c r="HJ419" s="31"/>
      <c r="HK419" s="31"/>
      <c r="HL419" s="31"/>
      <c r="HM419" s="31"/>
      <c r="HN419" s="31"/>
      <c r="HO419" s="31"/>
      <c r="HP419" s="31"/>
      <c r="HQ419" s="31"/>
      <c r="HR419" s="31"/>
      <c r="HS419" s="31"/>
      <c r="HT419" s="31"/>
      <c r="HU419" s="31"/>
      <c r="HV419" s="31"/>
      <c r="HW419" s="31"/>
      <c r="HX419" s="31"/>
      <c r="HY419" s="31"/>
      <c r="HZ419" s="31"/>
      <c r="IA419" s="31"/>
      <c r="IB419" s="31"/>
      <c r="IC419" s="31"/>
      <c r="ID419" s="31"/>
      <c r="IE419" s="31"/>
      <c r="IF419" s="31"/>
      <c r="IG419" s="31"/>
      <c r="IH419" s="31"/>
      <c r="II419" s="31"/>
      <c r="IJ419" s="31"/>
      <c r="IK419" s="31"/>
      <c r="IL419" s="31"/>
      <c r="IM419" s="31"/>
      <c r="IN419" s="31"/>
      <c r="IO419" s="31"/>
      <c r="IP419" s="31"/>
      <c r="IQ419" s="31"/>
      <c r="IR419" s="31"/>
      <c r="IS419" s="31"/>
      <c r="IT419" s="31"/>
      <c r="IU419" s="31"/>
      <c r="IV419" s="31"/>
      <c r="IW419" s="31"/>
      <c r="IX419" s="31"/>
      <c r="IY419" s="31"/>
      <c r="IZ419" s="31"/>
      <c r="JA419" s="31"/>
      <c r="JB419" s="31"/>
      <c r="JC419" s="31"/>
      <c r="JD419" s="31"/>
      <c r="JE419" s="31"/>
      <c r="JF419" s="31"/>
      <c r="JG419" s="31"/>
      <c r="JH419" s="31"/>
      <c r="JI419" s="31"/>
      <c r="JJ419" s="31"/>
      <c r="JK419" s="31"/>
      <c r="JL419" s="31"/>
      <c r="JM419" s="31"/>
      <c r="JN419" s="31"/>
      <c r="JO419" s="31"/>
      <c r="JP419" s="31"/>
      <c r="JQ419" s="31"/>
      <c r="JR419" s="31"/>
      <c r="JS419" s="31"/>
      <c r="JT419" s="31"/>
      <c r="JU419" s="31"/>
      <c r="JV419" s="31"/>
      <c r="JW419" s="31"/>
      <c r="JX419" s="31"/>
      <c r="JY419" s="31"/>
      <c r="JZ419" s="31"/>
      <c r="KA419" s="31"/>
      <c r="KB419" s="31"/>
      <c r="KC419" s="31"/>
      <c r="KD419" s="31"/>
      <c r="KE419" s="31"/>
      <c r="KF419" s="31"/>
      <c r="KG419" s="31"/>
      <c r="KH419" s="31"/>
      <c r="KI419" s="31"/>
      <c r="KJ419" s="31"/>
      <c r="KK419" s="31"/>
      <c r="KL419" s="31"/>
      <c r="KM419" s="31"/>
      <c r="KN419" s="31"/>
      <c r="KO419" s="31"/>
      <c r="KP419" s="31"/>
      <c r="KQ419" s="31"/>
      <c r="KR419" s="31"/>
      <c r="KS419" s="31"/>
      <c r="KT419" s="31"/>
      <c r="KU419" s="31"/>
      <c r="KV419" s="31"/>
      <c r="KW419" s="31"/>
      <c r="KX419" s="31"/>
      <c r="KY419" s="31"/>
      <c r="KZ419" s="31"/>
      <c r="LA419" s="31"/>
      <c r="LB419" s="31"/>
      <c r="LC419" s="31"/>
      <c r="LD419" s="31"/>
      <c r="LE419" s="31"/>
      <c r="LF419" s="31"/>
      <c r="LG419" s="31"/>
      <c r="LH419" s="31"/>
      <c r="LI419" s="31"/>
      <c r="LJ419" s="31"/>
      <c r="LK419" s="31"/>
      <c r="LL419" s="31"/>
      <c r="LM419" s="31"/>
      <c r="LN419" s="31"/>
      <c r="LO419" s="31"/>
      <c r="LP419" s="31"/>
      <c r="LQ419" s="31"/>
      <c r="LR419" s="31"/>
      <c r="LS419" s="31"/>
      <c r="LT419" s="31"/>
      <c r="LU419" s="31"/>
      <c r="LV419" s="31"/>
      <c r="LW419" s="31"/>
      <c r="LX419" s="31"/>
      <c r="LY419" s="31"/>
      <c r="LZ419" s="31"/>
      <c r="MA419" s="31"/>
      <c r="MB419" s="31"/>
      <c r="MC419" s="31"/>
      <c r="MD419" s="31"/>
      <c r="ME419" s="31"/>
      <c r="MF419" s="31"/>
      <c r="MG419" s="31"/>
      <c r="MH419" s="31"/>
      <c r="MI419" s="31"/>
      <c r="MJ419" s="31"/>
      <c r="MK419" s="31"/>
      <c r="ML419" s="31"/>
      <c r="MM419" s="31"/>
      <c r="MN419" s="31"/>
      <c r="MO419" s="31"/>
      <c r="MP419" s="31"/>
      <c r="MQ419" s="31"/>
      <c r="MR419" s="31"/>
      <c r="MS419" s="31"/>
      <c r="MT419" s="31"/>
      <c r="MU419" s="31"/>
      <c r="MV419" s="31"/>
      <c r="MW419" s="31"/>
      <c r="MX419" s="31"/>
      <c r="MY419" s="31"/>
      <c r="MZ419" s="31"/>
      <c r="NA419" s="31"/>
      <c r="NB419" s="31"/>
      <c r="NC419" s="31"/>
      <c r="ND419" s="31"/>
      <c r="NE419" s="31"/>
      <c r="NF419" s="31"/>
      <c r="NG419" s="31"/>
      <c r="NH419" s="31"/>
      <c r="NI419" s="31"/>
      <c r="NJ419" s="31"/>
      <c r="NK419" s="31"/>
      <c r="NL419" s="31"/>
      <c r="NM419" s="31"/>
      <c r="NN419" s="31"/>
      <c r="NO419" s="31"/>
      <c r="NP419" s="31"/>
      <c r="NQ419" s="31"/>
      <c r="NR419" s="31"/>
      <c r="NS419" s="31"/>
      <c r="NT419" s="31"/>
      <c r="NU419" s="31"/>
      <c r="NV419" s="31"/>
      <c r="NW419" s="31"/>
      <c r="NX419" s="31"/>
      <c r="NY419" s="31"/>
      <c r="NZ419" s="31"/>
      <c r="OA419" s="31"/>
      <c r="OB419" s="31"/>
      <c r="OC419" s="31"/>
      <c r="OD419" s="31"/>
      <c r="OE419" s="31"/>
      <c r="OF419" s="31"/>
      <c r="OG419" s="31"/>
      <c r="OH419" s="31"/>
      <c r="OI419" s="31"/>
      <c r="OJ419" s="31"/>
      <c r="OK419" s="31"/>
      <c r="OL419" s="31"/>
      <c r="OM419" s="31"/>
      <c r="ON419" s="31"/>
      <c r="OO419" s="31"/>
      <c r="OP419" s="31"/>
      <c r="OQ419" s="31"/>
      <c r="OR419" s="31"/>
      <c r="OS419" s="31"/>
      <c r="OT419" s="31"/>
      <c r="OU419" s="31"/>
      <c r="OV419" s="31"/>
      <c r="OW419" s="31"/>
      <c r="OX419" s="31"/>
    </row>
    <row r="420" spans="2:414" s="25" customFormat="1" ht="15.6">
      <c r="B420" s="25" t="s">
        <v>800</v>
      </c>
      <c r="C420" s="27" t="s">
        <v>801</v>
      </c>
      <c r="D420" s="30" t="s">
        <v>105</v>
      </c>
      <c r="G420" s="42">
        <v>80</v>
      </c>
      <c r="H420" s="89">
        <v>26.109000000000002</v>
      </c>
      <c r="I420" s="38">
        <f t="shared" si="135"/>
        <v>2088.7200000000003</v>
      </c>
      <c r="K420" s="42">
        <v>80</v>
      </c>
      <c r="L420" s="90">
        <v>26.849599999999999</v>
      </c>
      <c r="M420" s="38">
        <f t="shared" si="136"/>
        <v>2147.9679999999998</v>
      </c>
      <c r="O420" s="42">
        <v>505</v>
      </c>
      <c r="P420" s="38">
        <v>26.728300000000001</v>
      </c>
      <c r="Q420" s="38">
        <f t="shared" si="137"/>
        <v>13497.791500000001</v>
      </c>
      <c r="R420" s="43">
        <f t="shared" si="132"/>
        <v>665</v>
      </c>
      <c r="S420" s="38">
        <f t="shared" si="138"/>
        <v>17734.479500000001</v>
      </c>
      <c r="T420" s="49">
        <v>240</v>
      </c>
      <c r="U420" s="42">
        <v>26.6023</v>
      </c>
      <c r="V420" s="38">
        <f t="shared" si="146"/>
        <v>6384.5519999999997</v>
      </c>
      <c r="W420" s="42">
        <v>505</v>
      </c>
      <c r="X420" s="42">
        <v>26.763100000000001</v>
      </c>
      <c r="Y420" s="42">
        <f t="shared" si="144"/>
        <v>13515.3655</v>
      </c>
      <c r="Z420" s="42"/>
      <c r="AA420" s="42"/>
      <c r="AB420" s="42">
        <f t="shared" si="145"/>
        <v>0</v>
      </c>
      <c r="AD420" s="42"/>
      <c r="AE420" s="42"/>
      <c r="AF420" s="42">
        <f t="shared" si="130"/>
        <v>0</v>
      </c>
      <c r="AG420" s="42"/>
      <c r="AH420" s="42"/>
      <c r="AI420" s="42"/>
      <c r="AJ420" s="42">
        <f t="shared" si="134"/>
        <v>0</v>
      </c>
      <c r="AL420" s="42"/>
      <c r="AM420" s="42"/>
      <c r="AN420" s="42"/>
      <c r="AO420" s="44"/>
      <c r="AP420" s="42"/>
      <c r="AQ420" s="42"/>
      <c r="AR420" s="42"/>
      <c r="AU420" s="98"/>
      <c r="AV420" s="35"/>
      <c r="AW420" s="104"/>
      <c r="AX420" s="42"/>
      <c r="AY420" s="42"/>
      <c r="AZ420" s="42">
        <f t="shared" si="131"/>
        <v>0</v>
      </c>
      <c r="BA420" s="42"/>
      <c r="BB420" s="42"/>
      <c r="BC420" s="42"/>
      <c r="BD420" s="38">
        <f t="shared" si="139"/>
        <v>0</v>
      </c>
      <c r="BE420" s="42"/>
      <c r="BF420" s="42"/>
      <c r="BG420" s="42"/>
      <c r="BH420" s="38">
        <f t="shared" si="140"/>
        <v>0</v>
      </c>
      <c r="BI420" s="42"/>
      <c r="BJ420" s="42"/>
      <c r="BK420" s="42"/>
      <c r="BL420" s="38">
        <f t="shared" si="141"/>
        <v>0</v>
      </c>
      <c r="BM420" s="42"/>
      <c r="BN420" s="42"/>
      <c r="BO420" s="42"/>
      <c r="BP420" s="42"/>
      <c r="BR420" s="42">
        <f t="shared" si="142"/>
        <v>19899.9175</v>
      </c>
      <c r="BS420" s="43"/>
      <c r="BT420" s="42">
        <v>2165.44</v>
      </c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  <c r="FM420" s="31"/>
      <c r="FN420" s="31"/>
      <c r="FO420" s="31"/>
      <c r="FP420" s="31"/>
      <c r="FQ420" s="31"/>
      <c r="FR420" s="31"/>
      <c r="FS420" s="31"/>
      <c r="FT420" s="31"/>
      <c r="FU420" s="31"/>
      <c r="FV420" s="31"/>
      <c r="FW420" s="31"/>
      <c r="FX420" s="31"/>
      <c r="FY420" s="31"/>
      <c r="FZ420" s="31"/>
      <c r="GA420" s="31"/>
      <c r="GB420" s="31"/>
      <c r="GC420" s="31"/>
      <c r="GD420" s="31"/>
      <c r="GE420" s="31"/>
      <c r="GF420" s="31"/>
      <c r="GG420" s="31"/>
      <c r="GH420" s="31"/>
      <c r="GI420" s="31"/>
      <c r="GJ420" s="31"/>
      <c r="GK420" s="31"/>
      <c r="GL420" s="31"/>
      <c r="GM420" s="31"/>
      <c r="GN420" s="31"/>
      <c r="GO420" s="31"/>
      <c r="GP420" s="31"/>
      <c r="GQ420" s="31"/>
      <c r="GR420" s="31"/>
      <c r="GS420" s="31"/>
      <c r="GT420" s="31"/>
      <c r="GU420" s="31"/>
      <c r="GV420" s="31"/>
      <c r="GW420" s="31"/>
      <c r="GX420" s="31"/>
      <c r="GY420" s="31"/>
      <c r="GZ420" s="31"/>
      <c r="HA420" s="31"/>
      <c r="HB420" s="31"/>
      <c r="HC420" s="31"/>
      <c r="HD420" s="31"/>
      <c r="HE420" s="31"/>
      <c r="HF420" s="31"/>
      <c r="HG420" s="31"/>
      <c r="HH420" s="31"/>
      <c r="HI420" s="31"/>
      <c r="HJ420" s="31"/>
      <c r="HK420" s="31"/>
      <c r="HL420" s="31"/>
      <c r="HM420" s="31"/>
      <c r="HN420" s="31"/>
      <c r="HO420" s="31"/>
      <c r="HP420" s="31"/>
      <c r="HQ420" s="31"/>
      <c r="HR420" s="31"/>
      <c r="HS420" s="31"/>
      <c r="HT420" s="31"/>
      <c r="HU420" s="31"/>
      <c r="HV420" s="31"/>
      <c r="HW420" s="31"/>
      <c r="HX420" s="31"/>
      <c r="HY420" s="31"/>
      <c r="HZ420" s="31"/>
      <c r="IA420" s="31"/>
      <c r="IB420" s="31"/>
      <c r="IC420" s="31"/>
      <c r="ID420" s="31"/>
      <c r="IE420" s="31"/>
      <c r="IF420" s="31"/>
      <c r="IG420" s="31"/>
      <c r="IH420" s="31"/>
      <c r="II420" s="31"/>
      <c r="IJ420" s="31"/>
      <c r="IK420" s="31"/>
      <c r="IL420" s="31"/>
      <c r="IM420" s="31"/>
      <c r="IN420" s="31"/>
      <c r="IO420" s="31"/>
      <c r="IP420" s="31"/>
      <c r="IQ420" s="31"/>
      <c r="IR420" s="31"/>
      <c r="IS420" s="31"/>
      <c r="IT420" s="31"/>
      <c r="IU420" s="31"/>
      <c r="IV420" s="31"/>
      <c r="IW420" s="31"/>
      <c r="IX420" s="31"/>
      <c r="IY420" s="31"/>
      <c r="IZ420" s="31"/>
      <c r="JA420" s="31"/>
      <c r="JB420" s="31"/>
      <c r="JC420" s="31"/>
      <c r="JD420" s="31"/>
      <c r="JE420" s="31"/>
      <c r="JF420" s="31"/>
      <c r="JG420" s="31"/>
      <c r="JH420" s="31"/>
      <c r="JI420" s="31"/>
      <c r="JJ420" s="31"/>
      <c r="JK420" s="31"/>
      <c r="JL420" s="31"/>
      <c r="JM420" s="31"/>
      <c r="JN420" s="31"/>
      <c r="JO420" s="31"/>
      <c r="JP420" s="31"/>
      <c r="JQ420" s="31"/>
      <c r="JR420" s="31"/>
      <c r="JS420" s="31"/>
      <c r="JT420" s="31"/>
      <c r="JU420" s="31"/>
      <c r="JV420" s="31"/>
      <c r="JW420" s="31"/>
      <c r="JX420" s="31"/>
      <c r="JY420" s="31"/>
      <c r="JZ420" s="31"/>
      <c r="KA420" s="31"/>
      <c r="KB420" s="31"/>
      <c r="KC420" s="31"/>
      <c r="KD420" s="31"/>
      <c r="KE420" s="31"/>
      <c r="KF420" s="31"/>
      <c r="KG420" s="31"/>
      <c r="KH420" s="31"/>
      <c r="KI420" s="31"/>
      <c r="KJ420" s="31"/>
      <c r="KK420" s="31"/>
      <c r="KL420" s="31"/>
      <c r="KM420" s="31"/>
      <c r="KN420" s="31"/>
      <c r="KO420" s="31"/>
      <c r="KP420" s="31"/>
      <c r="KQ420" s="31"/>
      <c r="KR420" s="31"/>
      <c r="KS420" s="31"/>
      <c r="KT420" s="31"/>
      <c r="KU420" s="31"/>
      <c r="KV420" s="31"/>
      <c r="KW420" s="31"/>
      <c r="KX420" s="31"/>
      <c r="KY420" s="31"/>
      <c r="KZ420" s="31"/>
      <c r="LA420" s="31"/>
      <c r="LB420" s="31"/>
      <c r="LC420" s="31"/>
      <c r="LD420" s="31"/>
      <c r="LE420" s="31"/>
      <c r="LF420" s="31"/>
      <c r="LG420" s="31"/>
      <c r="LH420" s="31"/>
      <c r="LI420" s="31"/>
      <c r="LJ420" s="31"/>
      <c r="LK420" s="31"/>
      <c r="LL420" s="31"/>
      <c r="LM420" s="31"/>
      <c r="LN420" s="31"/>
      <c r="LO420" s="31"/>
      <c r="LP420" s="31"/>
      <c r="LQ420" s="31"/>
      <c r="LR420" s="31"/>
      <c r="LS420" s="31"/>
      <c r="LT420" s="31"/>
      <c r="LU420" s="31"/>
      <c r="LV420" s="31"/>
      <c r="LW420" s="31"/>
      <c r="LX420" s="31"/>
      <c r="LY420" s="31"/>
      <c r="LZ420" s="31"/>
      <c r="MA420" s="31"/>
      <c r="MB420" s="31"/>
      <c r="MC420" s="31"/>
      <c r="MD420" s="31"/>
      <c r="ME420" s="31"/>
      <c r="MF420" s="31"/>
      <c r="MG420" s="31"/>
      <c r="MH420" s="31"/>
      <c r="MI420" s="31"/>
      <c r="MJ420" s="31"/>
      <c r="MK420" s="31"/>
      <c r="ML420" s="31"/>
      <c r="MM420" s="31"/>
      <c r="MN420" s="31"/>
      <c r="MO420" s="31"/>
      <c r="MP420" s="31"/>
      <c r="MQ420" s="31"/>
      <c r="MR420" s="31"/>
      <c r="MS420" s="31"/>
      <c r="MT420" s="31"/>
      <c r="MU420" s="31"/>
      <c r="MV420" s="31"/>
      <c r="MW420" s="31"/>
      <c r="MX420" s="31"/>
      <c r="MY420" s="31"/>
      <c r="MZ420" s="31"/>
      <c r="NA420" s="31"/>
      <c r="NB420" s="31"/>
      <c r="NC420" s="31"/>
      <c r="ND420" s="31"/>
      <c r="NE420" s="31"/>
      <c r="NF420" s="31"/>
      <c r="NG420" s="31"/>
      <c r="NH420" s="31"/>
      <c r="NI420" s="31"/>
      <c r="NJ420" s="31"/>
      <c r="NK420" s="31"/>
      <c r="NL420" s="31"/>
      <c r="NM420" s="31"/>
      <c r="NN420" s="31"/>
      <c r="NO420" s="31"/>
      <c r="NP420" s="31"/>
      <c r="NQ420" s="31"/>
      <c r="NR420" s="31"/>
      <c r="NS420" s="31"/>
      <c r="NT420" s="31"/>
      <c r="NU420" s="31"/>
      <c r="NV420" s="31"/>
      <c r="NW420" s="31"/>
      <c r="NX420" s="31"/>
      <c r="NY420" s="31"/>
      <c r="NZ420" s="31"/>
      <c r="OA420" s="31"/>
      <c r="OB420" s="31"/>
      <c r="OC420" s="31"/>
      <c r="OD420" s="31"/>
      <c r="OE420" s="31"/>
      <c r="OF420" s="31"/>
      <c r="OG420" s="31"/>
      <c r="OH420" s="31"/>
      <c r="OI420" s="31"/>
      <c r="OJ420" s="31"/>
      <c r="OK420" s="31"/>
      <c r="OL420" s="31"/>
      <c r="OM420" s="31"/>
      <c r="ON420" s="31"/>
      <c r="OO420" s="31"/>
      <c r="OP420" s="31"/>
      <c r="OQ420" s="31"/>
      <c r="OR420" s="31"/>
      <c r="OS420" s="31"/>
      <c r="OT420" s="31"/>
      <c r="OU420" s="31"/>
      <c r="OV420" s="31"/>
      <c r="OW420" s="31"/>
      <c r="OX420" s="31"/>
    </row>
    <row r="421" spans="2:414" s="25" customFormat="1" ht="15.6">
      <c r="B421" s="25" t="s">
        <v>673</v>
      </c>
      <c r="C421" s="27" t="s">
        <v>326</v>
      </c>
      <c r="D421" s="30" t="s">
        <v>105</v>
      </c>
      <c r="G421" s="42">
        <v>80</v>
      </c>
      <c r="H421" s="89">
        <v>26.109000000000002</v>
      </c>
      <c r="I421" s="38">
        <f t="shared" si="135"/>
        <v>2088.7200000000003</v>
      </c>
      <c r="K421" s="42">
        <v>80</v>
      </c>
      <c r="L421" s="90">
        <v>26.849599999999999</v>
      </c>
      <c r="M421" s="38">
        <f t="shared" si="136"/>
        <v>2147.9679999999998</v>
      </c>
      <c r="O421" s="42">
        <v>505</v>
      </c>
      <c r="P421" s="38">
        <v>26.728300000000001</v>
      </c>
      <c r="Q421" s="38">
        <f t="shared" si="137"/>
        <v>13497.791500000001</v>
      </c>
      <c r="R421" s="43">
        <f t="shared" si="132"/>
        <v>665</v>
      </c>
      <c r="S421" s="38">
        <f t="shared" si="138"/>
        <v>17734.479500000001</v>
      </c>
      <c r="T421" s="49">
        <v>240</v>
      </c>
      <c r="U421" s="42">
        <v>26.741199999999999</v>
      </c>
      <c r="V421" s="38">
        <f t="shared" si="146"/>
        <v>6417.8879999999999</v>
      </c>
      <c r="W421" s="42">
        <v>505</v>
      </c>
      <c r="X421" s="42">
        <v>26.732500000000002</v>
      </c>
      <c r="Y421" s="42">
        <f t="shared" si="144"/>
        <v>13499.9125</v>
      </c>
      <c r="Z421" s="42"/>
      <c r="AA421" s="42"/>
      <c r="AB421" s="42">
        <f t="shared" si="145"/>
        <v>0</v>
      </c>
      <c r="AD421" s="42"/>
      <c r="AE421" s="42"/>
      <c r="AF421" s="42">
        <f t="shared" ref="AF421:AF484" si="147">AD421*AE421</f>
        <v>0</v>
      </c>
      <c r="AG421" s="42"/>
      <c r="AH421" s="42"/>
      <c r="AI421" s="42"/>
      <c r="AJ421" s="42">
        <f t="shared" si="134"/>
        <v>0</v>
      </c>
      <c r="AL421" s="42"/>
      <c r="AM421" s="42"/>
      <c r="AN421" s="42"/>
      <c r="AO421" s="44"/>
      <c r="AP421" s="42"/>
      <c r="AQ421" s="42"/>
      <c r="AR421" s="42"/>
      <c r="AU421" s="98"/>
      <c r="AV421" s="35"/>
      <c r="AW421" s="104"/>
      <c r="AX421" s="42"/>
      <c r="AY421" s="42"/>
      <c r="AZ421" s="42">
        <f t="shared" si="131"/>
        <v>0</v>
      </c>
      <c r="BA421" s="42"/>
      <c r="BB421" s="42"/>
      <c r="BC421" s="42"/>
      <c r="BD421" s="38">
        <f t="shared" si="139"/>
        <v>0</v>
      </c>
      <c r="BE421" s="42"/>
      <c r="BF421" s="42"/>
      <c r="BG421" s="42"/>
      <c r="BH421" s="38">
        <f t="shared" si="140"/>
        <v>0</v>
      </c>
      <c r="BI421" s="42"/>
      <c r="BJ421" s="42"/>
      <c r="BK421" s="42"/>
      <c r="BL421" s="38">
        <f t="shared" si="141"/>
        <v>0</v>
      </c>
      <c r="BM421" s="42"/>
      <c r="BN421" s="42"/>
      <c r="BO421" s="42"/>
      <c r="BP421" s="42"/>
      <c r="BR421" s="42">
        <f t="shared" si="142"/>
        <v>19917.800500000001</v>
      </c>
      <c r="BS421" s="43"/>
      <c r="BT421" s="42">
        <v>2183.3200000000002</v>
      </c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  <c r="FM421" s="31"/>
      <c r="FN421" s="31"/>
      <c r="FO421" s="31"/>
      <c r="FP421" s="31"/>
      <c r="FQ421" s="31"/>
      <c r="FR421" s="31"/>
      <c r="FS421" s="31"/>
      <c r="FT421" s="31"/>
      <c r="FU421" s="31"/>
      <c r="FV421" s="31"/>
      <c r="FW421" s="31"/>
      <c r="FX421" s="31"/>
      <c r="FY421" s="31"/>
      <c r="FZ421" s="31"/>
      <c r="GA421" s="31"/>
      <c r="GB421" s="31"/>
      <c r="GC421" s="31"/>
      <c r="GD421" s="31"/>
      <c r="GE421" s="31"/>
      <c r="GF421" s="31"/>
      <c r="GG421" s="31"/>
      <c r="GH421" s="31"/>
      <c r="GI421" s="31"/>
      <c r="GJ421" s="31"/>
      <c r="GK421" s="31"/>
      <c r="GL421" s="31"/>
      <c r="GM421" s="31"/>
      <c r="GN421" s="31"/>
      <c r="GO421" s="31"/>
      <c r="GP421" s="31"/>
      <c r="GQ421" s="31"/>
      <c r="GR421" s="31"/>
      <c r="GS421" s="31"/>
      <c r="GT421" s="31"/>
      <c r="GU421" s="31"/>
      <c r="GV421" s="31"/>
      <c r="GW421" s="31"/>
      <c r="GX421" s="31"/>
      <c r="GY421" s="31"/>
      <c r="GZ421" s="31"/>
      <c r="HA421" s="31"/>
      <c r="HB421" s="31"/>
      <c r="HC421" s="31"/>
      <c r="HD421" s="31"/>
      <c r="HE421" s="31"/>
      <c r="HF421" s="31"/>
      <c r="HG421" s="31"/>
      <c r="HH421" s="31"/>
      <c r="HI421" s="31"/>
      <c r="HJ421" s="31"/>
      <c r="HK421" s="31"/>
      <c r="HL421" s="31"/>
      <c r="HM421" s="31"/>
      <c r="HN421" s="31"/>
      <c r="HO421" s="31"/>
      <c r="HP421" s="31"/>
      <c r="HQ421" s="31"/>
      <c r="HR421" s="31"/>
      <c r="HS421" s="31"/>
      <c r="HT421" s="31"/>
      <c r="HU421" s="31"/>
      <c r="HV421" s="31"/>
      <c r="HW421" s="31"/>
      <c r="HX421" s="31"/>
      <c r="HY421" s="31"/>
      <c r="HZ421" s="31"/>
      <c r="IA421" s="31"/>
      <c r="IB421" s="31"/>
      <c r="IC421" s="31"/>
      <c r="ID421" s="31"/>
      <c r="IE421" s="31"/>
      <c r="IF421" s="31"/>
      <c r="IG421" s="31"/>
      <c r="IH421" s="31"/>
      <c r="II421" s="31"/>
      <c r="IJ421" s="31"/>
      <c r="IK421" s="31"/>
      <c r="IL421" s="31"/>
      <c r="IM421" s="31"/>
      <c r="IN421" s="31"/>
      <c r="IO421" s="31"/>
      <c r="IP421" s="31"/>
      <c r="IQ421" s="31"/>
      <c r="IR421" s="31"/>
      <c r="IS421" s="31"/>
      <c r="IT421" s="31"/>
      <c r="IU421" s="31"/>
      <c r="IV421" s="31"/>
      <c r="IW421" s="31"/>
      <c r="IX421" s="31"/>
      <c r="IY421" s="31"/>
      <c r="IZ421" s="31"/>
      <c r="JA421" s="31"/>
      <c r="JB421" s="31"/>
      <c r="JC421" s="31"/>
      <c r="JD421" s="31"/>
      <c r="JE421" s="31"/>
      <c r="JF421" s="31"/>
      <c r="JG421" s="31"/>
      <c r="JH421" s="31"/>
      <c r="JI421" s="31"/>
      <c r="JJ421" s="31"/>
      <c r="JK421" s="31"/>
      <c r="JL421" s="31"/>
      <c r="JM421" s="31"/>
      <c r="JN421" s="31"/>
      <c r="JO421" s="31"/>
      <c r="JP421" s="31"/>
      <c r="JQ421" s="31"/>
      <c r="JR421" s="31"/>
      <c r="JS421" s="31"/>
      <c r="JT421" s="31"/>
      <c r="JU421" s="31"/>
      <c r="JV421" s="31"/>
      <c r="JW421" s="31"/>
      <c r="JX421" s="31"/>
      <c r="JY421" s="31"/>
      <c r="JZ421" s="31"/>
      <c r="KA421" s="31"/>
      <c r="KB421" s="31"/>
      <c r="KC421" s="31"/>
      <c r="KD421" s="31"/>
      <c r="KE421" s="31"/>
      <c r="KF421" s="31"/>
      <c r="KG421" s="31"/>
      <c r="KH421" s="31"/>
      <c r="KI421" s="31"/>
      <c r="KJ421" s="31"/>
      <c r="KK421" s="31"/>
      <c r="KL421" s="31"/>
      <c r="KM421" s="31"/>
      <c r="KN421" s="31"/>
      <c r="KO421" s="31"/>
      <c r="KP421" s="31"/>
      <c r="KQ421" s="31"/>
      <c r="KR421" s="31"/>
      <c r="KS421" s="31"/>
      <c r="KT421" s="31"/>
      <c r="KU421" s="31"/>
      <c r="KV421" s="31"/>
      <c r="KW421" s="31"/>
      <c r="KX421" s="31"/>
      <c r="KY421" s="31"/>
      <c r="KZ421" s="31"/>
      <c r="LA421" s="31"/>
      <c r="LB421" s="31"/>
      <c r="LC421" s="31"/>
      <c r="LD421" s="31"/>
      <c r="LE421" s="31"/>
      <c r="LF421" s="31"/>
      <c r="LG421" s="31"/>
      <c r="LH421" s="31"/>
      <c r="LI421" s="31"/>
      <c r="LJ421" s="31"/>
      <c r="LK421" s="31"/>
      <c r="LL421" s="31"/>
      <c r="LM421" s="31"/>
      <c r="LN421" s="31"/>
      <c r="LO421" s="31"/>
      <c r="LP421" s="31"/>
      <c r="LQ421" s="31"/>
      <c r="LR421" s="31"/>
      <c r="LS421" s="31"/>
      <c r="LT421" s="31"/>
      <c r="LU421" s="31"/>
      <c r="LV421" s="31"/>
      <c r="LW421" s="31"/>
      <c r="LX421" s="31"/>
      <c r="LY421" s="31"/>
      <c r="LZ421" s="31"/>
      <c r="MA421" s="31"/>
      <c r="MB421" s="31"/>
      <c r="MC421" s="31"/>
      <c r="MD421" s="31"/>
      <c r="ME421" s="31"/>
      <c r="MF421" s="31"/>
      <c r="MG421" s="31"/>
      <c r="MH421" s="31"/>
      <c r="MI421" s="31"/>
      <c r="MJ421" s="31"/>
      <c r="MK421" s="31"/>
      <c r="ML421" s="31"/>
      <c r="MM421" s="31"/>
      <c r="MN421" s="31"/>
      <c r="MO421" s="31"/>
      <c r="MP421" s="31"/>
      <c r="MQ421" s="31"/>
      <c r="MR421" s="31"/>
      <c r="MS421" s="31"/>
      <c r="MT421" s="31"/>
      <c r="MU421" s="31"/>
      <c r="MV421" s="31"/>
      <c r="MW421" s="31"/>
      <c r="MX421" s="31"/>
      <c r="MY421" s="31"/>
      <c r="MZ421" s="31"/>
      <c r="NA421" s="31"/>
      <c r="NB421" s="31"/>
      <c r="NC421" s="31"/>
      <c r="ND421" s="31"/>
      <c r="NE421" s="31"/>
      <c r="NF421" s="31"/>
      <c r="NG421" s="31"/>
      <c r="NH421" s="31"/>
      <c r="NI421" s="31"/>
      <c r="NJ421" s="31"/>
      <c r="NK421" s="31"/>
      <c r="NL421" s="31"/>
      <c r="NM421" s="31"/>
      <c r="NN421" s="31"/>
      <c r="NO421" s="31"/>
      <c r="NP421" s="31"/>
      <c r="NQ421" s="31"/>
      <c r="NR421" s="31"/>
      <c r="NS421" s="31"/>
      <c r="NT421" s="31"/>
      <c r="NU421" s="31"/>
      <c r="NV421" s="31"/>
      <c r="NW421" s="31"/>
      <c r="NX421" s="31"/>
      <c r="NY421" s="31"/>
      <c r="NZ421" s="31"/>
      <c r="OA421" s="31"/>
      <c r="OB421" s="31"/>
      <c r="OC421" s="31"/>
      <c r="OD421" s="31"/>
      <c r="OE421" s="31"/>
      <c r="OF421" s="31"/>
      <c r="OG421" s="31"/>
      <c r="OH421" s="31"/>
      <c r="OI421" s="31"/>
      <c r="OJ421" s="31"/>
      <c r="OK421" s="31"/>
      <c r="OL421" s="31"/>
      <c r="OM421" s="31"/>
      <c r="ON421" s="31"/>
      <c r="OO421" s="31"/>
      <c r="OP421" s="31"/>
      <c r="OQ421" s="31"/>
      <c r="OR421" s="31"/>
      <c r="OS421" s="31"/>
      <c r="OT421" s="31"/>
      <c r="OU421" s="31"/>
      <c r="OV421" s="31"/>
      <c r="OW421" s="31"/>
      <c r="OX421" s="31"/>
    </row>
    <row r="422" spans="2:414" s="25" customFormat="1" ht="15.6">
      <c r="B422" s="25" t="s">
        <v>811</v>
      </c>
      <c r="C422" s="27" t="s">
        <v>22</v>
      </c>
      <c r="D422" s="30" t="s">
        <v>105</v>
      </c>
      <c r="G422" s="42">
        <v>80</v>
      </c>
      <c r="H422" s="89">
        <v>26.109000000000002</v>
      </c>
      <c r="I422" s="38">
        <f t="shared" si="135"/>
        <v>2088.7200000000003</v>
      </c>
      <c r="K422" s="42">
        <v>80</v>
      </c>
      <c r="L422" s="90">
        <v>26.849599999999999</v>
      </c>
      <c r="M422" s="38">
        <f t="shared" si="136"/>
        <v>2147.9679999999998</v>
      </c>
      <c r="O422" s="42">
        <v>505</v>
      </c>
      <c r="P422" s="38">
        <v>26.728300000000001</v>
      </c>
      <c r="Q422" s="38">
        <f t="shared" si="137"/>
        <v>13497.791500000001</v>
      </c>
      <c r="R422" s="43">
        <f t="shared" si="132"/>
        <v>665</v>
      </c>
      <c r="S422" s="38">
        <f t="shared" si="138"/>
        <v>17734.479500000001</v>
      </c>
      <c r="T422" s="49">
        <v>240</v>
      </c>
      <c r="U422" s="42">
        <v>26.6</v>
      </c>
      <c r="V422" s="38">
        <f t="shared" si="146"/>
        <v>6384</v>
      </c>
      <c r="W422" s="42">
        <v>505</v>
      </c>
      <c r="X422" s="42">
        <v>26.73</v>
      </c>
      <c r="Y422" s="42">
        <f t="shared" si="144"/>
        <v>13498.65</v>
      </c>
      <c r="Z422" s="42"/>
      <c r="AA422" s="42"/>
      <c r="AB422" s="42">
        <f t="shared" si="145"/>
        <v>0</v>
      </c>
      <c r="AD422" s="42"/>
      <c r="AE422" s="42"/>
      <c r="AF422" s="42">
        <f t="shared" si="147"/>
        <v>0</v>
      </c>
      <c r="AG422" s="42"/>
      <c r="AH422" s="42"/>
      <c r="AI422" s="42"/>
      <c r="AJ422" s="42">
        <f t="shared" si="134"/>
        <v>0</v>
      </c>
      <c r="AL422" s="42"/>
      <c r="AM422" s="42"/>
      <c r="AN422" s="42"/>
      <c r="AO422" s="44"/>
      <c r="AP422" s="42"/>
      <c r="AQ422" s="42"/>
      <c r="AR422" s="42"/>
      <c r="AU422" s="98"/>
      <c r="AV422" s="35"/>
      <c r="AW422" s="104"/>
      <c r="AX422" s="42"/>
      <c r="AY422" s="42"/>
      <c r="AZ422" s="42">
        <f t="shared" si="131"/>
        <v>0</v>
      </c>
      <c r="BA422" s="42"/>
      <c r="BB422" s="42"/>
      <c r="BC422" s="42"/>
      <c r="BD422" s="38">
        <f t="shared" si="139"/>
        <v>0</v>
      </c>
      <c r="BE422" s="42"/>
      <c r="BF422" s="42"/>
      <c r="BG422" s="42"/>
      <c r="BH422" s="38">
        <f t="shared" si="140"/>
        <v>0</v>
      </c>
      <c r="BI422" s="42"/>
      <c r="BJ422" s="42"/>
      <c r="BK422" s="42"/>
      <c r="BL422" s="38">
        <f t="shared" si="141"/>
        <v>0</v>
      </c>
      <c r="BM422" s="42"/>
      <c r="BN422" s="42"/>
      <c r="BO422" s="42"/>
      <c r="BP422" s="42"/>
      <c r="BR422" s="42">
        <f t="shared" si="142"/>
        <v>19882.650000000001</v>
      </c>
      <c r="BS422" s="43"/>
      <c r="BT422" s="42">
        <v>2148.17</v>
      </c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  <c r="FM422" s="31"/>
      <c r="FN422" s="31"/>
      <c r="FO422" s="31"/>
      <c r="FP422" s="31"/>
      <c r="FQ422" s="31"/>
      <c r="FR422" s="31"/>
      <c r="FS422" s="31"/>
      <c r="FT422" s="31"/>
      <c r="FU422" s="31"/>
      <c r="FV422" s="31"/>
      <c r="FW422" s="31"/>
      <c r="FX422" s="31"/>
      <c r="FY422" s="31"/>
      <c r="FZ422" s="31"/>
      <c r="GA422" s="31"/>
      <c r="GB422" s="31"/>
      <c r="GC422" s="31"/>
      <c r="GD422" s="31"/>
      <c r="GE422" s="31"/>
      <c r="GF422" s="31"/>
      <c r="GG422" s="31"/>
      <c r="GH422" s="31"/>
      <c r="GI422" s="31"/>
      <c r="GJ422" s="31"/>
      <c r="GK422" s="31"/>
      <c r="GL422" s="31"/>
      <c r="GM422" s="31"/>
      <c r="GN422" s="31"/>
      <c r="GO422" s="31"/>
      <c r="GP422" s="31"/>
      <c r="GQ422" s="31"/>
      <c r="GR422" s="31"/>
      <c r="GS422" s="31"/>
      <c r="GT422" s="31"/>
      <c r="GU422" s="31"/>
      <c r="GV422" s="31"/>
      <c r="GW422" s="31"/>
      <c r="GX422" s="31"/>
      <c r="GY422" s="31"/>
      <c r="GZ422" s="31"/>
      <c r="HA422" s="31"/>
      <c r="HB422" s="31"/>
      <c r="HC422" s="31"/>
      <c r="HD422" s="31"/>
      <c r="HE422" s="31"/>
      <c r="HF422" s="31"/>
      <c r="HG422" s="31"/>
      <c r="HH422" s="31"/>
      <c r="HI422" s="31"/>
      <c r="HJ422" s="31"/>
      <c r="HK422" s="31"/>
      <c r="HL422" s="31"/>
      <c r="HM422" s="31"/>
      <c r="HN422" s="31"/>
      <c r="HO422" s="31"/>
      <c r="HP422" s="31"/>
      <c r="HQ422" s="31"/>
      <c r="HR422" s="31"/>
      <c r="HS422" s="31"/>
      <c r="HT422" s="31"/>
      <c r="HU422" s="31"/>
      <c r="HV422" s="31"/>
      <c r="HW422" s="31"/>
      <c r="HX422" s="31"/>
      <c r="HY422" s="31"/>
      <c r="HZ422" s="31"/>
      <c r="IA422" s="31"/>
      <c r="IB422" s="31"/>
      <c r="IC422" s="31"/>
      <c r="ID422" s="31"/>
      <c r="IE422" s="31"/>
      <c r="IF422" s="31"/>
      <c r="IG422" s="31"/>
      <c r="IH422" s="31"/>
      <c r="II422" s="31"/>
      <c r="IJ422" s="31"/>
      <c r="IK422" s="31"/>
      <c r="IL422" s="31"/>
      <c r="IM422" s="31"/>
      <c r="IN422" s="31"/>
      <c r="IO422" s="31"/>
      <c r="IP422" s="31"/>
      <c r="IQ422" s="31"/>
      <c r="IR422" s="31"/>
      <c r="IS422" s="31"/>
      <c r="IT422" s="31"/>
      <c r="IU422" s="31"/>
      <c r="IV422" s="31"/>
      <c r="IW422" s="31"/>
      <c r="IX422" s="31"/>
      <c r="IY422" s="31"/>
      <c r="IZ422" s="31"/>
      <c r="JA422" s="31"/>
      <c r="JB422" s="31"/>
      <c r="JC422" s="31"/>
      <c r="JD422" s="31"/>
      <c r="JE422" s="31"/>
      <c r="JF422" s="31"/>
      <c r="JG422" s="31"/>
      <c r="JH422" s="31"/>
      <c r="JI422" s="31"/>
      <c r="JJ422" s="31"/>
      <c r="JK422" s="31"/>
      <c r="JL422" s="31"/>
      <c r="JM422" s="31"/>
      <c r="JN422" s="31"/>
      <c r="JO422" s="31"/>
      <c r="JP422" s="31"/>
      <c r="JQ422" s="31"/>
      <c r="JR422" s="31"/>
      <c r="JS422" s="31"/>
      <c r="JT422" s="31"/>
      <c r="JU422" s="31"/>
      <c r="JV422" s="31"/>
      <c r="JW422" s="31"/>
      <c r="JX422" s="31"/>
      <c r="JY422" s="31"/>
      <c r="JZ422" s="31"/>
      <c r="KA422" s="31"/>
      <c r="KB422" s="31"/>
      <c r="KC422" s="31"/>
      <c r="KD422" s="31"/>
      <c r="KE422" s="31"/>
      <c r="KF422" s="31"/>
      <c r="KG422" s="31"/>
      <c r="KH422" s="31"/>
      <c r="KI422" s="31"/>
      <c r="KJ422" s="31"/>
      <c r="KK422" s="31"/>
      <c r="KL422" s="31"/>
      <c r="KM422" s="31"/>
      <c r="KN422" s="31"/>
      <c r="KO422" s="31"/>
      <c r="KP422" s="31"/>
      <c r="KQ422" s="31"/>
      <c r="KR422" s="31"/>
      <c r="KS422" s="31"/>
      <c r="KT422" s="31"/>
      <c r="KU422" s="31"/>
      <c r="KV422" s="31"/>
      <c r="KW422" s="31"/>
      <c r="KX422" s="31"/>
      <c r="KY422" s="31"/>
      <c r="KZ422" s="31"/>
      <c r="LA422" s="31"/>
      <c r="LB422" s="31"/>
      <c r="LC422" s="31"/>
      <c r="LD422" s="31"/>
      <c r="LE422" s="31"/>
      <c r="LF422" s="31"/>
      <c r="LG422" s="31"/>
      <c r="LH422" s="31"/>
      <c r="LI422" s="31"/>
      <c r="LJ422" s="31"/>
      <c r="LK422" s="31"/>
      <c r="LL422" s="31"/>
      <c r="LM422" s="31"/>
      <c r="LN422" s="31"/>
      <c r="LO422" s="31"/>
      <c r="LP422" s="31"/>
      <c r="LQ422" s="31"/>
      <c r="LR422" s="31"/>
      <c r="LS422" s="31"/>
      <c r="LT422" s="31"/>
      <c r="LU422" s="31"/>
      <c r="LV422" s="31"/>
      <c r="LW422" s="31"/>
      <c r="LX422" s="31"/>
      <c r="LY422" s="31"/>
      <c r="LZ422" s="31"/>
      <c r="MA422" s="31"/>
      <c r="MB422" s="31"/>
      <c r="MC422" s="31"/>
      <c r="MD422" s="31"/>
      <c r="ME422" s="31"/>
      <c r="MF422" s="31"/>
      <c r="MG422" s="31"/>
      <c r="MH422" s="31"/>
      <c r="MI422" s="31"/>
      <c r="MJ422" s="31"/>
      <c r="MK422" s="31"/>
      <c r="ML422" s="31"/>
      <c r="MM422" s="31"/>
      <c r="MN422" s="31"/>
      <c r="MO422" s="31"/>
      <c r="MP422" s="31"/>
      <c r="MQ422" s="31"/>
      <c r="MR422" s="31"/>
      <c r="MS422" s="31"/>
      <c r="MT422" s="31"/>
      <c r="MU422" s="31"/>
      <c r="MV422" s="31"/>
      <c r="MW422" s="31"/>
      <c r="MX422" s="31"/>
      <c r="MY422" s="31"/>
      <c r="MZ422" s="31"/>
      <c r="NA422" s="31"/>
      <c r="NB422" s="31"/>
      <c r="NC422" s="31"/>
      <c r="ND422" s="31"/>
      <c r="NE422" s="31"/>
      <c r="NF422" s="31"/>
      <c r="NG422" s="31"/>
      <c r="NH422" s="31"/>
      <c r="NI422" s="31"/>
      <c r="NJ422" s="31"/>
      <c r="NK422" s="31"/>
      <c r="NL422" s="31"/>
      <c r="NM422" s="31"/>
      <c r="NN422" s="31"/>
      <c r="NO422" s="31"/>
      <c r="NP422" s="31"/>
      <c r="NQ422" s="31"/>
      <c r="NR422" s="31"/>
      <c r="NS422" s="31"/>
      <c r="NT422" s="31"/>
      <c r="NU422" s="31"/>
      <c r="NV422" s="31"/>
      <c r="NW422" s="31"/>
      <c r="NX422" s="31"/>
      <c r="NY422" s="31"/>
      <c r="NZ422" s="31"/>
      <c r="OA422" s="31"/>
      <c r="OB422" s="31"/>
      <c r="OC422" s="31"/>
      <c r="OD422" s="31"/>
      <c r="OE422" s="31"/>
      <c r="OF422" s="31"/>
      <c r="OG422" s="31"/>
      <c r="OH422" s="31"/>
      <c r="OI422" s="31"/>
      <c r="OJ422" s="31"/>
      <c r="OK422" s="31"/>
      <c r="OL422" s="31"/>
      <c r="OM422" s="31"/>
      <c r="ON422" s="31"/>
      <c r="OO422" s="31"/>
      <c r="OP422" s="31"/>
      <c r="OQ422" s="31"/>
      <c r="OR422" s="31"/>
      <c r="OS422" s="31"/>
      <c r="OT422" s="31"/>
      <c r="OU422" s="31"/>
      <c r="OV422" s="31"/>
      <c r="OW422" s="31"/>
      <c r="OX422" s="31"/>
    </row>
    <row r="423" spans="2:414" s="25" customFormat="1" ht="15.6">
      <c r="B423" s="25" t="s">
        <v>901</v>
      </c>
      <c r="C423" s="27" t="s">
        <v>900</v>
      </c>
      <c r="D423" s="30" t="s">
        <v>489</v>
      </c>
      <c r="G423" s="42">
        <v>80</v>
      </c>
      <c r="H423" s="89">
        <v>26.109000000000002</v>
      </c>
      <c r="I423" s="38">
        <f t="shared" si="135"/>
        <v>2088.7200000000003</v>
      </c>
      <c r="K423" s="42">
        <v>80</v>
      </c>
      <c r="L423" s="90">
        <v>26.849599999999999</v>
      </c>
      <c r="M423" s="38">
        <f t="shared" si="136"/>
        <v>2147.9679999999998</v>
      </c>
      <c r="O423" s="42">
        <v>505</v>
      </c>
      <c r="P423" s="38">
        <v>26.728300000000001</v>
      </c>
      <c r="Q423" s="38">
        <f t="shared" si="137"/>
        <v>13497.791500000001</v>
      </c>
      <c r="R423" s="43">
        <f t="shared" si="132"/>
        <v>665</v>
      </c>
      <c r="S423" s="38">
        <f t="shared" si="138"/>
        <v>17734.479500000001</v>
      </c>
      <c r="T423" s="49">
        <v>240</v>
      </c>
      <c r="U423" s="42">
        <v>26.6</v>
      </c>
      <c r="V423" s="38">
        <f t="shared" si="146"/>
        <v>6384</v>
      </c>
      <c r="W423" s="42">
        <v>505</v>
      </c>
      <c r="X423" s="42">
        <v>26.79</v>
      </c>
      <c r="Y423" s="42">
        <f t="shared" si="144"/>
        <v>13528.949999999999</v>
      </c>
      <c r="Z423" s="42"/>
      <c r="AA423" s="42"/>
      <c r="AB423" s="42">
        <f t="shared" si="145"/>
        <v>0</v>
      </c>
      <c r="AD423" s="42"/>
      <c r="AE423" s="42"/>
      <c r="AF423" s="42">
        <f t="shared" si="147"/>
        <v>0</v>
      </c>
      <c r="AG423" s="42"/>
      <c r="AH423" s="42"/>
      <c r="AI423" s="42"/>
      <c r="AJ423" s="42">
        <f t="shared" si="134"/>
        <v>0</v>
      </c>
      <c r="AL423" s="42"/>
      <c r="AM423" s="42"/>
      <c r="AN423" s="42"/>
      <c r="AO423" s="44"/>
      <c r="AP423" s="42"/>
      <c r="AQ423" s="42"/>
      <c r="AR423" s="42"/>
      <c r="AU423" s="98"/>
      <c r="AV423" s="35"/>
      <c r="AW423" s="104"/>
      <c r="AX423" s="42"/>
      <c r="AY423" s="42"/>
      <c r="AZ423" s="42">
        <f t="shared" si="131"/>
        <v>0</v>
      </c>
      <c r="BA423" s="42"/>
      <c r="BB423" s="42"/>
      <c r="BC423" s="42"/>
      <c r="BD423" s="38">
        <f t="shared" si="139"/>
        <v>0</v>
      </c>
      <c r="BE423" s="42"/>
      <c r="BF423" s="42"/>
      <c r="BG423" s="42"/>
      <c r="BH423" s="38">
        <f t="shared" si="140"/>
        <v>0</v>
      </c>
      <c r="BI423" s="42"/>
      <c r="BJ423" s="42"/>
      <c r="BK423" s="42"/>
      <c r="BL423" s="38">
        <f t="shared" si="141"/>
        <v>0</v>
      </c>
      <c r="BM423" s="42"/>
      <c r="BN423" s="42"/>
      <c r="BO423" s="42"/>
      <c r="BP423" s="42"/>
      <c r="BR423" s="42">
        <f t="shared" si="142"/>
        <v>19912.949999999997</v>
      </c>
      <c r="BS423" s="43"/>
      <c r="BT423" s="42">
        <v>2178.4699999999998</v>
      </c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  <c r="FM423" s="31"/>
      <c r="FN423" s="31"/>
      <c r="FO423" s="31"/>
      <c r="FP423" s="31"/>
      <c r="FQ423" s="31"/>
      <c r="FR423" s="31"/>
      <c r="FS423" s="31"/>
      <c r="FT423" s="31"/>
      <c r="FU423" s="31"/>
      <c r="FV423" s="31"/>
      <c r="FW423" s="31"/>
      <c r="FX423" s="31"/>
      <c r="FY423" s="31"/>
      <c r="FZ423" s="31"/>
      <c r="GA423" s="31"/>
      <c r="GB423" s="31"/>
      <c r="GC423" s="31"/>
      <c r="GD423" s="31"/>
      <c r="GE423" s="31"/>
      <c r="GF423" s="31"/>
      <c r="GG423" s="31"/>
      <c r="GH423" s="31"/>
      <c r="GI423" s="31"/>
      <c r="GJ423" s="31"/>
      <c r="GK423" s="31"/>
      <c r="GL423" s="31"/>
      <c r="GM423" s="31"/>
      <c r="GN423" s="31"/>
      <c r="GO423" s="31"/>
      <c r="GP423" s="31"/>
      <c r="GQ423" s="31"/>
      <c r="GR423" s="31"/>
      <c r="GS423" s="31"/>
      <c r="GT423" s="31"/>
      <c r="GU423" s="31"/>
      <c r="GV423" s="31"/>
      <c r="GW423" s="31"/>
      <c r="GX423" s="31"/>
      <c r="GY423" s="31"/>
      <c r="GZ423" s="31"/>
      <c r="HA423" s="31"/>
      <c r="HB423" s="31"/>
      <c r="HC423" s="31"/>
      <c r="HD423" s="31"/>
      <c r="HE423" s="31"/>
      <c r="HF423" s="31"/>
      <c r="HG423" s="31"/>
      <c r="HH423" s="31"/>
      <c r="HI423" s="31"/>
      <c r="HJ423" s="31"/>
      <c r="HK423" s="31"/>
      <c r="HL423" s="31"/>
      <c r="HM423" s="31"/>
      <c r="HN423" s="31"/>
      <c r="HO423" s="31"/>
      <c r="HP423" s="31"/>
      <c r="HQ423" s="31"/>
      <c r="HR423" s="31"/>
      <c r="HS423" s="31"/>
      <c r="HT423" s="31"/>
      <c r="HU423" s="31"/>
      <c r="HV423" s="31"/>
      <c r="HW423" s="31"/>
      <c r="HX423" s="31"/>
      <c r="HY423" s="31"/>
      <c r="HZ423" s="31"/>
      <c r="IA423" s="31"/>
      <c r="IB423" s="31"/>
      <c r="IC423" s="31"/>
      <c r="ID423" s="31"/>
      <c r="IE423" s="31"/>
      <c r="IF423" s="31"/>
      <c r="IG423" s="31"/>
      <c r="IH423" s="31"/>
      <c r="II423" s="31"/>
      <c r="IJ423" s="31"/>
      <c r="IK423" s="31"/>
      <c r="IL423" s="31"/>
      <c r="IM423" s="31"/>
      <c r="IN423" s="31"/>
      <c r="IO423" s="31"/>
      <c r="IP423" s="31"/>
      <c r="IQ423" s="31"/>
      <c r="IR423" s="31"/>
      <c r="IS423" s="31"/>
      <c r="IT423" s="31"/>
      <c r="IU423" s="31"/>
      <c r="IV423" s="31"/>
      <c r="IW423" s="31"/>
      <c r="IX423" s="31"/>
      <c r="IY423" s="31"/>
      <c r="IZ423" s="31"/>
      <c r="JA423" s="31"/>
      <c r="JB423" s="31"/>
      <c r="JC423" s="31"/>
      <c r="JD423" s="31"/>
      <c r="JE423" s="31"/>
      <c r="JF423" s="31"/>
      <c r="JG423" s="31"/>
      <c r="JH423" s="31"/>
      <c r="JI423" s="31"/>
      <c r="JJ423" s="31"/>
      <c r="JK423" s="31"/>
      <c r="JL423" s="31"/>
      <c r="JM423" s="31"/>
      <c r="JN423" s="31"/>
      <c r="JO423" s="31"/>
      <c r="JP423" s="31"/>
      <c r="JQ423" s="31"/>
      <c r="JR423" s="31"/>
      <c r="JS423" s="31"/>
      <c r="JT423" s="31"/>
      <c r="JU423" s="31"/>
      <c r="JV423" s="31"/>
      <c r="JW423" s="31"/>
      <c r="JX423" s="31"/>
      <c r="JY423" s="31"/>
      <c r="JZ423" s="31"/>
      <c r="KA423" s="31"/>
      <c r="KB423" s="31"/>
      <c r="KC423" s="31"/>
      <c r="KD423" s="31"/>
      <c r="KE423" s="31"/>
      <c r="KF423" s="31"/>
      <c r="KG423" s="31"/>
      <c r="KH423" s="31"/>
      <c r="KI423" s="31"/>
      <c r="KJ423" s="31"/>
      <c r="KK423" s="31"/>
      <c r="KL423" s="31"/>
      <c r="KM423" s="31"/>
      <c r="KN423" s="31"/>
      <c r="KO423" s="31"/>
      <c r="KP423" s="31"/>
      <c r="KQ423" s="31"/>
      <c r="KR423" s="31"/>
      <c r="KS423" s="31"/>
      <c r="KT423" s="31"/>
      <c r="KU423" s="31"/>
      <c r="KV423" s="31"/>
      <c r="KW423" s="31"/>
      <c r="KX423" s="31"/>
      <c r="KY423" s="31"/>
      <c r="KZ423" s="31"/>
      <c r="LA423" s="31"/>
      <c r="LB423" s="31"/>
      <c r="LC423" s="31"/>
      <c r="LD423" s="31"/>
      <c r="LE423" s="31"/>
      <c r="LF423" s="31"/>
      <c r="LG423" s="31"/>
      <c r="LH423" s="31"/>
      <c r="LI423" s="31"/>
      <c r="LJ423" s="31"/>
      <c r="LK423" s="31"/>
      <c r="LL423" s="31"/>
      <c r="LM423" s="31"/>
      <c r="LN423" s="31"/>
      <c r="LO423" s="31"/>
      <c r="LP423" s="31"/>
      <c r="LQ423" s="31"/>
      <c r="LR423" s="31"/>
      <c r="LS423" s="31"/>
      <c r="LT423" s="31"/>
      <c r="LU423" s="31"/>
      <c r="LV423" s="31"/>
      <c r="LW423" s="31"/>
      <c r="LX423" s="31"/>
      <c r="LY423" s="31"/>
      <c r="LZ423" s="31"/>
      <c r="MA423" s="31"/>
      <c r="MB423" s="31"/>
      <c r="MC423" s="31"/>
      <c r="MD423" s="31"/>
      <c r="ME423" s="31"/>
      <c r="MF423" s="31"/>
      <c r="MG423" s="31"/>
      <c r="MH423" s="31"/>
      <c r="MI423" s="31"/>
      <c r="MJ423" s="31"/>
      <c r="MK423" s="31"/>
      <c r="ML423" s="31"/>
      <c r="MM423" s="31"/>
      <c r="MN423" s="31"/>
      <c r="MO423" s="31"/>
      <c r="MP423" s="31"/>
      <c r="MQ423" s="31"/>
      <c r="MR423" s="31"/>
      <c r="MS423" s="31"/>
      <c r="MT423" s="31"/>
      <c r="MU423" s="31"/>
      <c r="MV423" s="31"/>
      <c r="MW423" s="31"/>
      <c r="MX423" s="31"/>
      <c r="MY423" s="31"/>
      <c r="MZ423" s="31"/>
      <c r="NA423" s="31"/>
      <c r="NB423" s="31"/>
      <c r="NC423" s="31"/>
      <c r="ND423" s="31"/>
      <c r="NE423" s="31"/>
      <c r="NF423" s="31"/>
      <c r="NG423" s="31"/>
      <c r="NH423" s="31"/>
      <c r="NI423" s="31"/>
      <c r="NJ423" s="31"/>
      <c r="NK423" s="31"/>
      <c r="NL423" s="31"/>
      <c r="NM423" s="31"/>
      <c r="NN423" s="31"/>
      <c r="NO423" s="31"/>
      <c r="NP423" s="31"/>
      <c r="NQ423" s="31"/>
      <c r="NR423" s="31"/>
      <c r="NS423" s="31"/>
      <c r="NT423" s="31"/>
      <c r="NU423" s="31"/>
      <c r="NV423" s="31"/>
      <c r="NW423" s="31"/>
      <c r="NX423" s="31"/>
      <c r="NY423" s="31"/>
      <c r="NZ423" s="31"/>
      <c r="OA423" s="31"/>
      <c r="OB423" s="31"/>
      <c r="OC423" s="31"/>
      <c r="OD423" s="31"/>
      <c r="OE423" s="31"/>
      <c r="OF423" s="31"/>
      <c r="OG423" s="31"/>
      <c r="OH423" s="31"/>
      <c r="OI423" s="31"/>
      <c r="OJ423" s="31"/>
      <c r="OK423" s="31"/>
      <c r="OL423" s="31"/>
      <c r="OM423" s="31"/>
      <c r="ON423" s="31"/>
      <c r="OO423" s="31"/>
      <c r="OP423" s="31"/>
      <c r="OQ423" s="31"/>
      <c r="OR423" s="31"/>
      <c r="OS423" s="31"/>
      <c r="OT423" s="31"/>
      <c r="OU423" s="31"/>
      <c r="OV423" s="31"/>
      <c r="OW423" s="31"/>
      <c r="OX423" s="31"/>
    </row>
    <row r="424" spans="2:414" s="25" customFormat="1" ht="15.6">
      <c r="B424" s="25" t="s">
        <v>606</v>
      </c>
      <c r="C424" s="27" t="s">
        <v>213</v>
      </c>
      <c r="D424" s="30" t="s">
        <v>489</v>
      </c>
      <c r="G424" s="42">
        <v>80</v>
      </c>
      <c r="H424" s="89">
        <v>26.109000000000002</v>
      </c>
      <c r="I424" s="38">
        <f t="shared" si="135"/>
        <v>2088.7200000000003</v>
      </c>
      <c r="K424" s="42">
        <v>80</v>
      </c>
      <c r="L424" s="90">
        <v>26.849599999999999</v>
      </c>
      <c r="M424" s="38">
        <f t="shared" si="136"/>
        <v>2147.9679999999998</v>
      </c>
      <c r="O424" s="42">
        <v>505</v>
      </c>
      <c r="P424" s="38">
        <v>26.728300000000001</v>
      </c>
      <c r="Q424" s="38">
        <f t="shared" si="137"/>
        <v>13497.791500000001</v>
      </c>
      <c r="R424" s="43">
        <f t="shared" si="132"/>
        <v>665</v>
      </c>
      <c r="S424" s="38">
        <f t="shared" si="138"/>
        <v>17734.479500000001</v>
      </c>
      <c r="T424" s="49">
        <v>505</v>
      </c>
      <c r="U424" s="42">
        <v>26.74</v>
      </c>
      <c r="V424" s="38">
        <f t="shared" si="146"/>
        <v>13503.699999999999</v>
      </c>
      <c r="W424" s="42"/>
      <c r="X424" s="42"/>
      <c r="Y424" s="42">
        <f t="shared" si="144"/>
        <v>0</v>
      </c>
      <c r="Z424" s="42"/>
      <c r="AA424" s="42"/>
      <c r="AB424" s="42">
        <f t="shared" si="145"/>
        <v>0</v>
      </c>
      <c r="AD424" s="42"/>
      <c r="AE424" s="42"/>
      <c r="AF424" s="42">
        <f t="shared" si="147"/>
        <v>0</v>
      </c>
      <c r="AG424" s="42"/>
      <c r="AH424" s="42"/>
      <c r="AI424" s="42"/>
      <c r="AJ424" s="42">
        <f t="shared" si="134"/>
        <v>0</v>
      </c>
      <c r="AL424" s="42"/>
      <c r="AM424" s="42"/>
      <c r="AN424" s="42"/>
      <c r="AO424" s="44"/>
      <c r="AP424" s="42"/>
      <c r="AQ424" s="42"/>
      <c r="AR424" s="42"/>
      <c r="AU424" s="98"/>
      <c r="AV424" s="35"/>
      <c r="AW424" s="104"/>
      <c r="AX424" s="42"/>
      <c r="AY424" s="42"/>
      <c r="AZ424" s="42">
        <f t="shared" si="131"/>
        <v>0</v>
      </c>
      <c r="BA424" s="42"/>
      <c r="BB424" s="42"/>
      <c r="BC424" s="42"/>
      <c r="BD424" s="38">
        <f t="shared" si="139"/>
        <v>0</v>
      </c>
      <c r="BE424" s="42"/>
      <c r="BF424" s="42"/>
      <c r="BG424" s="42"/>
      <c r="BH424" s="38">
        <f t="shared" si="140"/>
        <v>0</v>
      </c>
      <c r="BI424" s="42"/>
      <c r="BJ424" s="42"/>
      <c r="BK424" s="42"/>
      <c r="BL424" s="38">
        <f t="shared" si="141"/>
        <v>0</v>
      </c>
      <c r="BM424" s="42"/>
      <c r="BN424" s="42"/>
      <c r="BO424" s="42"/>
      <c r="BP424" s="42"/>
      <c r="BR424" s="42">
        <f t="shared" si="142"/>
        <v>13503.699999999999</v>
      </c>
      <c r="BS424" s="43">
        <f t="shared" si="143"/>
        <v>4230.7795000000024</v>
      </c>
      <c r="BT424" s="42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  <c r="FM424" s="31"/>
      <c r="FN424" s="31"/>
      <c r="FO424" s="31"/>
      <c r="FP424" s="31"/>
      <c r="FQ424" s="31"/>
      <c r="FR424" s="31"/>
      <c r="FS424" s="31"/>
      <c r="FT424" s="31"/>
      <c r="FU424" s="31"/>
      <c r="FV424" s="31"/>
      <c r="FW424" s="31"/>
      <c r="FX424" s="31"/>
      <c r="FY424" s="31"/>
      <c r="FZ424" s="31"/>
      <c r="GA424" s="31"/>
      <c r="GB424" s="31"/>
      <c r="GC424" s="31"/>
      <c r="GD424" s="31"/>
      <c r="GE424" s="31"/>
      <c r="GF424" s="31"/>
      <c r="GG424" s="31"/>
      <c r="GH424" s="31"/>
      <c r="GI424" s="31"/>
      <c r="GJ424" s="31"/>
      <c r="GK424" s="31"/>
      <c r="GL424" s="31"/>
      <c r="GM424" s="31"/>
      <c r="GN424" s="31"/>
      <c r="GO424" s="31"/>
      <c r="GP424" s="31"/>
      <c r="GQ424" s="31"/>
      <c r="GR424" s="31"/>
      <c r="GS424" s="31"/>
      <c r="GT424" s="31"/>
      <c r="GU424" s="31"/>
      <c r="GV424" s="31"/>
      <c r="GW424" s="31"/>
      <c r="GX424" s="31"/>
      <c r="GY424" s="31"/>
      <c r="GZ424" s="31"/>
      <c r="HA424" s="31"/>
      <c r="HB424" s="31"/>
      <c r="HC424" s="31"/>
      <c r="HD424" s="31"/>
      <c r="HE424" s="31"/>
      <c r="HF424" s="31"/>
      <c r="HG424" s="31"/>
      <c r="HH424" s="31"/>
      <c r="HI424" s="31"/>
      <c r="HJ424" s="31"/>
      <c r="HK424" s="31"/>
      <c r="HL424" s="31"/>
      <c r="HM424" s="31"/>
      <c r="HN424" s="31"/>
      <c r="HO424" s="31"/>
      <c r="HP424" s="31"/>
      <c r="HQ424" s="31"/>
      <c r="HR424" s="31"/>
      <c r="HS424" s="31"/>
      <c r="HT424" s="31"/>
      <c r="HU424" s="31"/>
      <c r="HV424" s="31"/>
      <c r="HW424" s="31"/>
      <c r="HX424" s="31"/>
      <c r="HY424" s="31"/>
      <c r="HZ424" s="31"/>
      <c r="IA424" s="31"/>
      <c r="IB424" s="31"/>
      <c r="IC424" s="31"/>
      <c r="ID424" s="31"/>
      <c r="IE424" s="31"/>
      <c r="IF424" s="31"/>
      <c r="IG424" s="31"/>
      <c r="IH424" s="31"/>
      <c r="II424" s="31"/>
      <c r="IJ424" s="31"/>
      <c r="IK424" s="31"/>
      <c r="IL424" s="31"/>
      <c r="IM424" s="31"/>
      <c r="IN424" s="31"/>
      <c r="IO424" s="31"/>
      <c r="IP424" s="31"/>
      <c r="IQ424" s="31"/>
      <c r="IR424" s="31"/>
      <c r="IS424" s="31"/>
      <c r="IT424" s="31"/>
      <c r="IU424" s="31"/>
      <c r="IV424" s="31"/>
      <c r="IW424" s="31"/>
      <c r="IX424" s="31"/>
      <c r="IY424" s="31"/>
      <c r="IZ424" s="31"/>
      <c r="JA424" s="31"/>
      <c r="JB424" s="31"/>
      <c r="JC424" s="31"/>
      <c r="JD424" s="31"/>
      <c r="JE424" s="31"/>
      <c r="JF424" s="31"/>
      <c r="JG424" s="31"/>
      <c r="JH424" s="31"/>
      <c r="JI424" s="31"/>
      <c r="JJ424" s="31"/>
      <c r="JK424" s="31"/>
      <c r="JL424" s="31"/>
      <c r="JM424" s="31"/>
      <c r="JN424" s="31"/>
      <c r="JO424" s="31"/>
      <c r="JP424" s="31"/>
      <c r="JQ424" s="31"/>
      <c r="JR424" s="31"/>
      <c r="JS424" s="31"/>
      <c r="JT424" s="31"/>
      <c r="JU424" s="31"/>
      <c r="JV424" s="31"/>
      <c r="JW424" s="31"/>
      <c r="JX424" s="31"/>
      <c r="JY424" s="31"/>
      <c r="JZ424" s="31"/>
      <c r="KA424" s="31"/>
      <c r="KB424" s="31"/>
      <c r="KC424" s="31"/>
      <c r="KD424" s="31"/>
      <c r="KE424" s="31"/>
      <c r="KF424" s="31"/>
      <c r="KG424" s="31"/>
      <c r="KH424" s="31"/>
      <c r="KI424" s="31"/>
      <c r="KJ424" s="31"/>
      <c r="KK424" s="31"/>
      <c r="KL424" s="31"/>
      <c r="KM424" s="31"/>
      <c r="KN424" s="31"/>
      <c r="KO424" s="31"/>
      <c r="KP424" s="31"/>
      <c r="KQ424" s="31"/>
      <c r="KR424" s="31"/>
      <c r="KS424" s="31"/>
      <c r="KT424" s="31"/>
      <c r="KU424" s="31"/>
      <c r="KV424" s="31"/>
      <c r="KW424" s="31"/>
      <c r="KX424" s="31"/>
      <c r="KY424" s="31"/>
      <c r="KZ424" s="31"/>
      <c r="LA424" s="31"/>
      <c r="LB424" s="31"/>
      <c r="LC424" s="31"/>
      <c r="LD424" s="31"/>
      <c r="LE424" s="31"/>
      <c r="LF424" s="31"/>
      <c r="LG424" s="31"/>
      <c r="LH424" s="31"/>
      <c r="LI424" s="31"/>
      <c r="LJ424" s="31"/>
      <c r="LK424" s="31"/>
      <c r="LL424" s="31"/>
      <c r="LM424" s="31"/>
      <c r="LN424" s="31"/>
      <c r="LO424" s="31"/>
      <c r="LP424" s="31"/>
      <c r="LQ424" s="31"/>
      <c r="LR424" s="31"/>
      <c r="LS424" s="31"/>
      <c r="LT424" s="31"/>
      <c r="LU424" s="31"/>
      <c r="LV424" s="31"/>
      <c r="LW424" s="31"/>
      <c r="LX424" s="31"/>
      <c r="LY424" s="31"/>
      <c r="LZ424" s="31"/>
      <c r="MA424" s="31"/>
      <c r="MB424" s="31"/>
      <c r="MC424" s="31"/>
      <c r="MD424" s="31"/>
      <c r="ME424" s="31"/>
      <c r="MF424" s="31"/>
      <c r="MG424" s="31"/>
      <c r="MH424" s="31"/>
      <c r="MI424" s="31"/>
      <c r="MJ424" s="31"/>
      <c r="MK424" s="31"/>
      <c r="ML424" s="31"/>
      <c r="MM424" s="31"/>
      <c r="MN424" s="31"/>
      <c r="MO424" s="31"/>
      <c r="MP424" s="31"/>
      <c r="MQ424" s="31"/>
      <c r="MR424" s="31"/>
      <c r="MS424" s="31"/>
      <c r="MT424" s="31"/>
      <c r="MU424" s="31"/>
      <c r="MV424" s="31"/>
      <c r="MW424" s="31"/>
      <c r="MX424" s="31"/>
      <c r="MY424" s="31"/>
      <c r="MZ424" s="31"/>
      <c r="NA424" s="31"/>
      <c r="NB424" s="31"/>
      <c r="NC424" s="31"/>
      <c r="ND424" s="31"/>
      <c r="NE424" s="31"/>
      <c r="NF424" s="31"/>
      <c r="NG424" s="31"/>
      <c r="NH424" s="31"/>
      <c r="NI424" s="31"/>
      <c r="NJ424" s="31"/>
      <c r="NK424" s="31"/>
      <c r="NL424" s="31"/>
      <c r="NM424" s="31"/>
      <c r="NN424" s="31"/>
      <c r="NO424" s="31"/>
      <c r="NP424" s="31"/>
      <c r="NQ424" s="31"/>
      <c r="NR424" s="31"/>
      <c r="NS424" s="31"/>
      <c r="NT424" s="31"/>
      <c r="NU424" s="31"/>
      <c r="NV424" s="31"/>
      <c r="NW424" s="31"/>
      <c r="NX424" s="31"/>
      <c r="NY424" s="31"/>
      <c r="NZ424" s="31"/>
      <c r="OA424" s="31"/>
      <c r="OB424" s="31"/>
      <c r="OC424" s="31"/>
      <c r="OD424" s="31"/>
      <c r="OE424" s="31"/>
      <c r="OF424" s="31"/>
      <c r="OG424" s="31"/>
      <c r="OH424" s="31"/>
      <c r="OI424" s="31"/>
      <c r="OJ424" s="31"/>
      <c r="OK424" s="31"/>
      <c r="OL424" s="31"/>
      <c r="OM424" s="31"/>
      <c r="ON424" s="31"/>
      <c r="OO424" s="31"/>
      <c r="OP424" s="31"/>
      <c r="OQ424" s="31"/>
      <c r="OR424" s="31"/>
      <c r="OS424" s="31"/>
      <c r="OT424" s="31"/>
      <c r="OU424" s="31"/>
      <c r="OV424" s="31"/>
      <c r="OW424" s="31"/>
      <c r="OX424" s="31"/>
    </row>
    <row r="425" spans="2:414" s="25" customFormat="1" ht="15.6">
      <c r="B425" s="25" t="s">
        <v>989</v>
      </c>
      <c r="C425" s="27" t="s">
        <v>825</v>
      </c>
      <c r="D425" s="30" t="s">
        <v>489</v>
      </c>
      <c r="G425" s="42">
        <v>80</v>
      </c>
      <c r="H425" s="89">
        <v>26.109000000000002</v>
      </c>
      <c r="I425" s="38">
        <f t="shared" si="135"/>
        <v>2088.7200000000003</v>
      </c>
      <c r="K425" s="42">
        <v>80</v>
      </c>
      <c r="L425" s="90">
        <v>26.849599999999999</v>
      </c>
      <c r="M425" s="38">
        <f t="shared" si="136"/>
        <v>2147.9679999999998</v>
      </c>
      <c r="O425" s="42">
        <v>505</v>
      </c>
      <c r="P425" s="38">
        <v>26.728300000000001</v>
      </c>
      <c r="Q425" s="38">
        <f t="shared" si="137"/>
        <v>13497.791500000001</v>
      </c>
      <c r="R425" s="43">
        <f t="shared" si="132"/>
        <v>665</v>
      </c>
      <c r="S425" s="38">
        <f t="shared" si="138"/>
        <v>17734.479500000001</v>
      </c>
      <c r="T425" s="49">
        <v>240</v>
      </c>
      <c r="U425" s="42">
        <v>26.88</v>
      </c>
      <c r="V425" s="38">
        <f t="shared" si="146"/>
        <v>6451.2</v>
      </c>
      <c r="W425" s="42">
        <v>505</v>
      </c>
      <c r="X425" s="42">
        <v>26.79</v>
      </c>
      <c r="Y425" s="42">
        <f t="shared" si="144"/>
        <v>13528.949999999999</v>
      </c>
      <c r="Z425" s="42"/>
      <c r="AA425" s="42"/>
      <c r="AB425" s="42">
        <f t="shared" si="145"/>
        <v>0</v>
      </c>
      <c r="AD425" s="42"/>
      <c r="AE425" s="42"/>
      <c r="AF425" s="42">
        <f t="shared" si="147"/>
        <v>0</v>
      </c>
      <c r="AG425" s="42"/>
      <c r="AH425" s="42"/>
      <c r="AI425" s="42"/>
      <c r="AJ425" s="42">
        <f t="shared" si="134"/>
        <v>0</v>
      </c>
      <c r="AL425" s="42"/>
      <c r="AM425" s="42"/>
      <c r="AN425" s="42"/>
      <c r="AO425" s="44"/>
      <c r="AP425" s="42"/>
      <c r="AQ425" s="42"/>
      <c r="AR425" s="42"/>
      <c r="AU425" s="98"/>
      <c r="AV425" s="35"/>
      <c r="AW425" s="104"/>
      <c r="AX425" s="42"/>
      <c r="AY425" s="42"/>
      <c r="AZ425" s="42">
        <f t="shared" si="131"/>
        <v>0</v>
      </c>
      <c r="BA425" s="42"/>
      <c r="BB425" s="42"/>
      <c r="BC425" s="42"/>
      <c r="BD425" s="38">
        <f t="shared" si="139"/>
        <v>0</v>
      </c>
      <c r="BE425" s="42"/>
      <c r="BF425" s="42"/>
      <c r="BG425" s="42"/>
      <c r="BH425" s="38">
        <f t="shared" si="140"/>
        <v>0</v>
      </c>
      <c r="BI425" s="42"/>
      <c r="BJ425" s="42"/>
      <c r="BK425" s="42"/>
      <c r="BL425" s="38">
        <f t="shared" si="141"/>
        <v>0</v>
      </c>
      <c r="BM425" s="42"/>
      <c r="BN425" s="42"/>
      <c r="BO425" s="42"/>
      <c r="BP425" s="42"/>
      <c r="BR425" s="42">
        <f t="shared" si="142"/>
        <v>19980.149999999998</v>
      </c>
      <c r="BS425" s="43"/>
      <c r="BT425" s="42">
        <v>2245.67</v>
      </c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  <c r="FM425" s="31"/>
      <c r="FN425" s="31"/>
      <c r="FO425" s="31"/>
      <c r="FP425" s="31"/>
      <c r="FQ425" s="31"/>
      <c r="FR425" s="31"/>
      <c r="FS425" s="31"/>
      <c r="FT425" s="31"/>
      <c r="FU425" s="31"/>
      <c r="FV425" s="31"/>
      <c r="FW425" s="31"/>
      <c r="FX425" s="31"/>
      <c r="FY425" s="31"/>
      <c r="FZ425" s="31"/>
      <c r="GA425" s="31"/>
      <c r="GB425" s="31"/>
      <c r="GC425" s="31"/>
      <c r="GD425" s="31"/>
      <c r="GE425" s="31"/>
      <c r="GF425" s="31"/>
      <c r="GG425" s="31"/>
      <c r="GH425" s="31"/>
      <c r="GI425" s="31"/>
      <c r="GJ425" s="31"/>
      <c r="GK425" s="31"/>
      <c r="GL425" s="31"/>
      <c r="GM425" s="31"/>
      <c r="GN425" s="31"/>
      <c r="GO425" s="31"/>
      <c r="GP425" s="31"/>
      <c r="GQ425" s="31"/>
      <c r="GR425" s="31"/>
      <c r="GS425" s="31"/>
      <c r="GT425" s="31"/>
      <c r="GU425" s="31"/>
      <c r="GV425" s="31"/>
      <c r="GW425" s="31"/>
      <c r="GX425" s="31"/>
      <c r="GY425" s="31"/>
      <c r="GZ425" s="31"/>
      <c r="HA425" s="31"/>
      <c r="HB425" s="31"/>
      <c r="HC425" s="31"/>
      <c r="HD425" s="31"/>
      <c r="HE425" s="31"/>
      <c r="HF425" s="31"/>
      <c r="HG425" s="31"/>
      <c r="HH425" s="31"/>
      <c r="HI425" s="31"/>
      <c r="HJ425" s="31"/>
      <c r="HK425" s="31"/>
      <c r="HL425" s="31"/>
      <c r="HM425" s="31"/>
      <c r="HN425" s="31"/>
      <c r="HO425" s="31"/>
      <c r="HP425" s="31"/>
      <c r="HQ425" s="31"/>
      <c r="HR425" s="31"/>
      <c r="HS425" s="31"/>
      <c r="HT425" s="31"/>
      <c r="HU425" s="31"/>
      <c r="HV425" s="31"/>
      <c r="HW425" s="31"/>
      <c r="HX425" s="31"/>
      <c r="HY425" s="31"/>
      <c r="HZ425" s="31"/>
      <c r="IA425" s="31"/>
      <c r="IB425" s="31"/>
      <c r="IC425" s="31"/>
      <c r="ID425" s="31"/>
      <c r="IE425" s="31"/>
      <c r="IF425" s="31"/>
      <c r="IG425" s="31"/>
      <c r="IH425" s="31"/>
      <c r="II425" s="31"/>
      <c r="IJ425" s="31"/>
      <c r="IK425" s="31"/>
      <c r="IL425" s="31"/>
      <c r="IM425" s="31"/>
      <c r="IN425" s="31"/>
      <c r="IO425" s="31"/>
      <c r="IP425" s="31"/>
      <c r="IQ425" s="31"/>
      <c r="IR425" s="31"/>
      <c r="IS425" s="31"/>
      <c r="IT425" s="31"/>
      <c r="IU425" s="31"/>
      <c r="IV425" s="31"/>
      <c r="IW425" s="31"/>
      <c r="IX425" s="31"/>
      <c r="IY425" s="31"/>
      <c r="IZ425" s="31"/>
      <c r="JA425" s="31"/>
      <c r="JB425" s="31"/>
      <c r="JC425" s="31"/>
      <c r="JD425" s="31"/>
      <c r="JE425" s="31"/>
      <c r="JF425" s="31"/>
      <c r="JG425" s="31"/>
      <c r="JH425" s="31"/>
      <c r="JI425" s="31"/>
      <c r="JJ425" s="31"/>
      <c r="JK425" s="31"/>
      <c r="JL425" s="31"/>
      <c r="JM425" s="31"/>
      <c r="JN425" s="31"/>
      <c r="JO425" s="31"/>
      <c r="JP425" s="31"/>
      <c r="JQ425" s="31"/>
      <c r="JR425" s="31"/>
      <c r="JS425" s="31"/>
      <c r="JT425" s="31"/>
      <c r="JU425" s="31"/>
      <c r="JV425" s="31"/>
      <c r="JW425" s="31"/>
      <c r="JX425" s="31"/>
      <c r="JY425" s="31"/>
      <c r="JZ425" s="31"/>
      <c r="KA425" s="31"/>
      <c r="KB425" s="31"/>
      <c r="KC425" s="31"/>
      <c r="KD425" s="31"/>
      <c r="KE425" s="31"/>
      <c r="KF425" s="31"/>
      <c r="KG425" s="31"/>
      <c r="KH425" s="31"/>
      <c r="KI425" s="31"/>
      <c r="KJ425" s="31"/>
      <c r="KK425" s="31"/>
      <c r="KL425" s="31"/>
      <c r="KM425" s="31"/>
      <c r="KN425" s="31"/>
      <c r="KO425" s="31"/>
      <c r="KP425" s="31"/>
      <c r="KQ425" s="31"/>
      <c r="KR425" s="31"/>
      <c r="KS425" s="31"/>
      <c r="KT425" s="31"/>
      <c r="KU425" s="31"/>
      <c r="KV425" s="31"/>
      <c r="KW425" s="31"/>
      <c r="KX425" s="31"/>
      <c r="KY425" s="31"/>
      <c r="KZ425" s="31"/>
      <c r="LA425" s="31"/>
      <c r="LB425" s="31"/>
      <c r="LC425" s="31"/>
      <c r="LD425" s="31"/>
      <c r="LE425" s="31"/>
      <c r="LF425" s="31"/>
      <c r="LG425" s="31"/>
      <c r="LH425" s="31"/>
      <c r="LI425" s="31"/>
      <c r="LJ425" s="31"/>
      <c r="LK425" s="31"/>
      <c r="LL425" s="31"/>
      <c r="LM425" s="31"/>
      <c r="LN425" s="31"/>
      <c r="LO425" s="31"/>
      <c r="LP425" s="31"/>
      <c r="LQ425" s="31"/>
      <c r="LR425" s="31"/>
      <c r="LS425" s="31"/>
      <c r="LT425" s="31"/>
      <c r="LU425" s="31"/>
      <c r="LV425" s="31"/>
      <c r="LW425" s="31"/>
      <c r="LX425" s="31"/>
      <c r="LY425" s="31"/>
      <c r="LZ425" s="31"/>
      <c r="MA425" s="31"/>
      <c r="MB425" s="31"/>
      <c r="MC425" s="31"/>
      <c r="MD425" s="31"/>
      <c r="ME425" s="31"/>
      <c r="MF425" s="31"/>
      <c r="MG425" s="31"/>
      <c r="MH425" s="31"/>
      <c r="MI425" s="31"/>
      <c r="MJ425" s="31"/>
      <c r="MK425" s="31"/>
      <c r="ML425" s="31"/>
      <c r="MM425" s="31"/>
      <c r="MN425" s="31"/>
      <c r="MO425" s="31"/>
      <c r="MP425" s="31"/>
      <c r="MQ425" s="31"/>
      <c r="MR425" s="31"/>
      <c r="MS425" s="31"/>
      <c r="MT425" s="31"/>
      <c r="MU425" s="31"/>
      <c r="MV425" s="31"/>
      <c r="MW425" s="31"/>
      <c r="MX425" s="31"/>
      <c r="MY425" s="31"/>
      <c r="MZ425" s="31"/>
      <c r="NA425" s="31"/>
      <c r="NB425" s="31"/>
      <c r="NC425" s="31"/>
      <c r="ND425" s="31"/>
      <c r="NE425" s="31"/>
      <c r="NF425" s="31"/>
      <c r="NG425" s="31"/>
      <c r="NH425" s="31"/>
      <c r="NI425" s="31"/>
      <c r="NJ425" s="31"/>
      <c r="NK425" s="31"/>
      <c r="NL425" s="31"/>
      <c r="NM425" s="31"/>
      <c r="NN425" s="31"/>
      <c r="NO425" s="31"/>
      <c r="NP425" s="31"/>
      <c r="NQ425" s="31"/>
      <c r="NR425" s="31"/>
      <c r="NS425" s="31"/>
      <c r="NT425" s="31"/>
      <c r="NU425" s="31"/>
      <c r="NV425" s="31"/>
      <c r="NW425" s="31"/>
      <c r="NX425" s="31"/>
      <c r="NY425" s="31"/>
      <c r="NZ425" s="31"/>
      <c r="OA425" s="31"/>
      <c r="OB425" s="31"/>
      <c r="OC425" s="31"/>
      <c r="OD425" s="31"/>
      <c r="OE425" s="31"/>
      <c r="OF425" s="31"/>
      <c r="OG425" s="31"/>
      <c r="OH425" s="31"/>
      <c r="OI425" s="31"/>
      <c r="OJ425" s="31"/>
      <c r="OK425" s="31"/>
      <c r="OL425" s="31"/>
      <c r="OM425" s="31"/>
      <c r="ON425" s="31"/>
      <c r="OO425" s="31"/>
      <c r="OP425" s="31"/>
      <c r="OQ425" s="31"/>
      <c r="OR425" s="31"/>
      <c r="OS425" s="31"/>
      <c r="OT425" s="31"/>
      <c r="OU425" s="31"/>
      <c r="OV425" s="31"/>
      <c r="OW425" s="31"/>
      <c r="OX425" s="31"/>
    </row>
    <row r="426" spans="2:414" s="25" customFormat="1" ht="15.6">
      <c r="B426" s="25" t="s">
        <v>990</v>
      </c>
      <c r="C426" s="27" t="s">
        <v>991</v>
      </c>
      <c r="D426" s="30" t="s">
        <v>291</v>
      </c>
      <c r="G426" s="42">
        <v>80</v>
      </c>
      <c r="H426" s="89">
        <v>26.109000000000002</v>
      </c>
      <c r="I426" s="38">
        <f t="shared" si="135"/>
        <v>2088.7200000000003</v>
      </c>
      <c r="K426" s="42">
        <v>80</v>
      </c>
      <c r="L426" s="90">
        <v>26.849599999999999</v>
      </c>
      <c r="M426" s="38">
        <f t="shared" si="136"/>
        <v>2147.9679999999998</v>
      </c>
      <c r="O426" s="42">
        <v>505</v>
      </c>
      <c r="P426" s="38">
        <v>26.728300000000001</v>
      </c>
      <c r="Q426" s="38">
        <f t="shared" si="137"/>
        <v>13497.791500000001</v>
      </c>
      <c r="R426" s="43">
        <f t="shared" si="132"/>
        <v>665</v>
      </c>
      <c r="S426" s="38">
        <f t="shared" si="138"/>
        <v>17734.479500000001</v>
      </c>
      <c r="T426" s="49">
        <v>250</v>
      </c>
      <c r="U426" s="42">
        <v>26.816700000000001</v>
      </c>
      <c r="V426" s="38">
        <f t="shared" si="146"/>
        <v>6704.1750000000002</v>
      </c>
      <c r="W426" s="42">
        <v>510</v>
      </c>
      <c r="X426" s="42">
        <v>26.741299999999999</v>
      </c>
      <c r="Y426" s="42">
        <f t="shared" si="144"/>
        <v>13638.063</v>
      </c>
      <c r="Z426" s="42"/>
      <c r="AA426" s="42"/>
      <c r="AB426" s="42">
        <f t="shared" si="145"/>
        <v>0</v>
      </c>
      <c r="AD426" s="42"/>
      <c r="AE426" s="42"/>
      <c r="AF426" s="42">
        <f t="shared" si="147"/>
        <v>0</v>
      </c>
      <c r="AG426" s="42"/>
      <c r="AH426" s="42"/>
      <c r="AI426" s="42"/>
      <c r="AJ426" s="42">
        <f t="shared" si="134"/>
        <v>0</v>
      </c>
      <c r="AL426" s="42"/>
      <c r="AM426" s="42"/>
      <c r="AN426" s="42"/>
      <c r="AO426" s="44"/>
      <c r="AP426" s="42"/>
      <c r="AQ426" s="42"/>
      <c r="AR426" s="42"/>
      <c r="AU426" s="98"/>
      <c r="AV426" s="35"/>
      <c r="AW426" s="104"/>
      <c r="AX426" s="42"/>
      <c r="AY426" s="42"/>
      <c r="AZ426" s="42">
        <f t="shared" si="131"/>
        <v>0</v>
      </c>
      <c r="BA426" s="42"/>
      <c r="BB426" s="42"/>
      <c r="BC426" s="42"/>
      <c r="BD426" s="38">
        <f t="shared" si="139"/>
        <v>0</v>
      </c>
      <c r="BE426" s="42"/>
      <c r="BF426" s="42"/>
      <c r="BG426" s="42"/>
      <c r="BH426" s="38">
        <f t="shared" si="140"/>
        <v>0</v>
      </c>
      <c r="BI426" s="42"/>
      <c r="BJ426" s="42"/>
      <c r="BK426" s="42"/>
      <c r="BL426" s="38">
        <f t="shared" si="141"/>
        <v>0</v>
      </c>
      <c r="BM426" s="42"/>
      <c r="BN426" s="42"/>
      <c r="BO426" s="42"/>
      <c r="BP426" s="42"/>
      <c r="BR426" s="42">
        <f t="shared" si="142"/>
        <v>20342.238000000001</v>
      </c>
      <c r="BS426" s="43"/>
      <c r="BT426" s="42">
        <v>2607.7600000000002</v>
      </c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  <c r="FM426" s="31"/>
      <c r="FN426" s="31"/>
      <c r="FO426" s="31"/>
      <c r="FP426" s="31"/>
      <c r="FQ426" s="31"/>
      <c r="FR426" s="31"/>
      <c r="FS426" s="31"/>
      <c r="FT426" s="31"/>
      <c r="FU426" s="31"/>
      <c r="FV426" s="31"/>
      <c r="FW426" s="31"/>
      <c r="FX426" s="31"/>
      <c r="FY426" s="31"/>
      <c r="FZ426" s="31"/>
      <c r="GA426" s="31"/>
      <c r="GB426" s="31"/>
      <c r="GC426" s="31"/>
      <c r="GD426" s="31"/>
      <c r="GE426" s="31"/>
      <c r="GF426" s="31"/>
      <c r="GG426" s="31"/>
      <c r="GH426" s="31"/>
      <c r="GI426" s="31"/>
      <c r="GJ426" s="31"/>
      <c r="GK426" s="31"/>
      <c r="GL426" s="31"/>
      <c r="GM426" s="31"/>
      <c r="GN426" s="31"/>
      <c r="GO426" s="31"/>
      <c r="GP426" s="31"/>
      <c r="GQ426" s="31"/>
      <c r="GR426" s="31"/>
      <c r="GS426" s="31"/>
      <c r="GT426" s="31"/>
      <c r="GU426" s="31"/>
      <c r="GV426" s="31"/>
      <c r="GW426" s="31"/>
      <c r="GX426" s="31"/>
      <c r="GY426" s="31"/>
      <c r="GZ426" s="31"/>
      <c r="HA426" s="31"/>
      <c r="HB426" s="31"/>
      <c r="HC426" s="31"/>
      <c r="HD426" s="31"/>
      <c r="HE426" s="31"/>
      <c r="HF426" s="31"/>
      <c r="HG426" s="31"/>
      <c r="HH426" s="31"/>
      <c r="HI426" s="31"/>
      <c r="HJ426" s="31"/>
      <c r="HK426" s="31"/>
      <c r="HL426" s="31"/>
      <c r="HM426" s="31"/>
      <c r="HN426" s="31"/>
      <c r="HO426" s="31"/>
      <c r="HP426" s="31"/>
      <c r="HQ426" s="31"/>
      <c r="HR426" s="31"/>
      <c r="HS426" s="31"/>
      <c r="HT426" s="31"/>
      <c r="HU426" s="31"/>
      <c r="HV426" s="31"/>
      <c r="HW426" s="31"/>
      <c r="HX426" s="31"/>
      <c r="HY426" s="31"/>
      <c r="HZ426" s="31"/>
      <c r="IA426" s="31"/>
      <c r="IB426" s="31"/>
      <c r="IC426" s="31"/>
      <c r="ID426" s="31"/>
      <c r="IE426" s="31"/>
      <c r="IF426" s="31"/>
      <c r="IG426" s="31"/>
      <c r="IH426" s="31"/>
      <c r="II426" s="31"/>
      <c r="IJ426" s="31"/>
      <c r="IK426" s="31"/>
      <c r="IL426" s="31"/>
      <c r="IM426" s="31"/>
      <c r="IN426" s="31"/>
      <c r="IO426" s="31"/>
      <c r="IP426" s="31"/>
      <c r="IQ426" s="31"/>
      <c r="IR426" s="31"/>
      <c r="IS426" s="31"/>
      <c r="IT426" s="31"/>
      <c r="IU426" s="31"/>
      <c r="IV426" s="31"/>
      <c r="IW426" s="31"/>
      <c r="IX426" s="31"/>
      <c r="IY426" s="31"/>
      <c r="IZ426" s="31"/>
      <c r="JA426" s="31"/>
      <c r="JB426" s="31"/>
      <c r="JC426" s="31"/>
      <c r="JD426" s="31"/>
      <c r="JE426" s="31"/>
      <c r="JF426" s="31"/>
      <c r="JG426" s="31"/>
      <c r="JH426" s="31"/>
      <c r="JI426" s="31"/>
      <c r="JJ426" s="31"/>
      <c r="JK426" s="31"/>
      <c r="JL426" s="31"/>
      <c r="JM426" s="31"/>
      <c r="JN426" s="31"/>
      <c r="JO426" s="31"/>
      <c r="JP426" s="31"/>
      <c r="JQ426" s="31"/>
      <c r="JR426" s="31"/>
      <c r="JS426" s="31"/>
      <c r="JT426" s="31"/>
      <c r="JU426" s="31"/>
      <c r="JV426" s="31"/>
      <c r="JW426" s="31"/>
      <c r="JX426" s="31"/>
      <c r="JY426" s="31"/>
      <c r="JZ426" s="31"/>
      <c r="KA426" s="31"/>
      <c r="KB426" s="31"/>
      <c r="KC426" s="31"/>
      <c r="KD426" s="31"/>
      <c r="KE426" s="31"/>
      <c r="KF426" s="31"/>
      <c r="KG426" s="31"/>
      <c r="KH426" s="31"/>
      <c r="KI426" s="31"/>
      <c r="KJ426" s="31"/>
      <c r="KK426" s="31"/>
      <c r="KL426" s="31"/>
      <c r="KM426" s="31"/>
      <c r="KN426" s="31"/>
      <c r="KO426" s="31"/>
      <c r="KP426" s="31"/>
      <c r="KQ426" s="31"/>
      <c r="KR426" s="31"/>
      <c r="KS426" s="31"/>
      <c r="KT426" s="31"/>
      <c r="KU426" s="31"/>
      <c r="KV426" s="31"/>
      <c r="KW426" s="31"/>
      <c r="KX426" s="31"/>
      <c r="KY426" s="31"/>
      <c r="KZ426" s="31"/>
      <c r="LA426" s="31"/>
      <c r="LB426" s="31"/>
      <c r="LC426" s="31"/>
      <c r="LD426" s="31"/>
      <c r="LE426" s="31"/>
      <c r="LF426" s="31"/>
      <c r="LG426" s="31"/>
      <c r="LH426" s="31"/>
      <c r="LI426" s="31"/>
      <c r="LJ426" s="31"/>
      <c r="LK426" s="31"/>
      <c r="LL426" s="31"/>
      <c r="LM426" s="31"/>
      <c r="LN426" s="31"/>
      <c r="LO426" s="31"/>
      <c r="LP426" s="31"/>
      <c r="LQ426" s="31"/>
      <c r="LR426" s="31"/>
      <c r="LS426" s="31"/>
      <c r="LT426" s="31"/>
      <c r="LU426" s="31"/>
      <c r="LV426" s="31"/>
      <c r="LW426" s="31"/>
      <c r="LX426" s="31"/>
      <c r="LY426" s="31"/>
      <c r="LZ426" s="31"/>
      <c r="MA426" s="31"/>
      <c r="MB426" s="31"/>
      <c r="MC426" s="31"/>
      <c r="MD426" s="31"/>
      <c r="ME426" s="31"/>
      <c r="MF426" s="31"/>
      <c r="MG426" s="31"/>
      <c r="MH426" s="31"/>
      <c r="MI426" s="31"/>
      <c r="MJ426" s="31"/>
      <c r="MK426" s="31"/>
      <c r="ML426" s="31"/>
      <c r="MM426" s="31"/>
      <c r="MN426" s="31"/>
      <c r="MO426" s="31"/>
      <c r="MP426" s="31"/>
      <c r="MQ426" s="31"/>
      <c r="MR426" s="31"/>
      <c r="MS426" s="31"/>
      <c r="MT426" s="31"/>
      <c r="MU426" s="31"/>
      <c r="MV426" s="31"/>
      <c r="MW426" s="31"/>
      <c r="MX426" s="31"/>
      <c r="MY426" s="31"/>
      <c r="MZ426" s="31"/>
      <c r="NA426" s="31"/>
      <c r="NB426" s="31"/>
      <c r="NC426" s="31"/>
      <c r="ND426" s="31"/>
      <c r="NE426" s="31"/>
      <c r="NF426" s="31"/>
      <c r="NG426" s="31"/>
      <c r="NH426" s="31"/>
      <c r="NI426" s="31"/>
      <c r="NJ426" s="31"/>
      <c r="NK426" s="31"/>
      <c r="NL426" s="31"/>
      <c r="NM426" s="31"/>
      <c r="NN426" s="31"/>
      <c r="NO426" s="31"/>
      <c r="NP426" s="31"/>
      <c r="NQ426" s="31"/>
      <c r="NR426" s="31"/>
      <c r="NS426" s="31"/>
      <c r="NT426" s="31"/>
      <c r="NU426" s="31"/>
      <c r="NV426" s="31"/>
      <c r="NW426" s="31"/>
      <c r="NX426" s="31"/>
      <c r="NY426" s="31"/>
      <c r="NZ426" s="31"/>
      <c r="OA426" s="31"/>
      <c r="OB426" s="31"/>
      <c r="OC426" s="31"/>
      <c r="OD426" s="31"/>
      <c r="OE426" s="31"/>
      <c r="OF426" s="31"/>
      <c r="OG426" s="31"/>
      <c r="OH426" s="31"/>
      <c r="OI426" s="31"/>
      <c r="OJ426" s="31"/>
      <c r="OK426" s="31"/>
      <c r="OL426" s="31"/>
      <c r="OM426" s="31"/>
      <c r="ON426" s="31"/>
      <c r="OO426" s="31"/>
      <c r="OP426" s="31"/>
      <c r="OQ426" s="31"/>
      <c r="OR426" s="31"/>
      <c r="OS426" s="31"/>
      <c r="OT426" s="31"/>
      <c r="OU426" s="31"/>
      <c r="OV426" s="31"/>
      <c r="OW426" s="31"/>
      <c r="OX426" s="31"/>
    </row>
    <row r="427" spans="2:414" s="25" customFormat="1" ht="15.6">
      <c r="B427" s="25" t="s">
        <v>992</v>
      </c>
      <c r="C427" s="27" t="s">
        <v>993</v>
      </c>
      <c r="D427" s="30" t="s">
        <v>291</v>
      </c>
      <c r="G427" s="42">
        <v>80</v>
      </c>
      <c r="H427" s="89">
        <v>26.109000000000002</v>
      </c>
      <c r="I427" s="38">
        <f t="shared" si="135"/>
        <v>2088.7200000000003</v>
      </c>
      <c r="K427" s="42">
        <v>80</v>
      </c>
      <c r="L427" s="90">
        <v>26.849599999999999</v>
      </c>
      <c r="M427" s="38">
        <f t="shared" si="136"/>
        <v>2147.9679999999998</v>
      </c>
      <c r="O427" s="42">
        <v>505</v>
      </c>
      <c r="P427" s="38">
        <v>26.728300000000001</v>
      </c>
      <c r="Q427" s="38">
        <f t="shared" si="137"/>
        <v>13497.791500000001</v>
      </c>
      <c r="R427" s="43">
        <f t="shared" si="132"/>
        <v>665</v>
      </c>
      <c r="S427" s="38">
        <f t="shared" si="138"/>
        <v>17734.479500000001</v>
      </c>
      <c r="T427" s="49">
        <v>240</v>
      </c>
      <c r="U427" s="42">
        <v>26.82</v>
      </c>
      <c r="V427" s="38">
        <f t="shared" si="146"/>
        <v>6436.8</v>
      </c>
      <c r="W427" s="42">
        <v>505</v>
      </c>
      <c r="X427" s="42">
        <v>26.74</v>
      </c>
      <c r="Y427" s="42">
        <f t="shared" si="144"/>
        <v>13503.699999999999</v>
      </c>
      <c r="Z427" s="42"/>
      <c r="AA427" s="42"/>
      <c r="AB427" s="42">
        <f t="shared" si="145"/>
        <v>0</v>
      </c>
      <c r="AD427" s="42"/>
      <c r="AE427" s="42"/>
      <c r="AF427" s="42">
        <f t="shared" si="147"/>
        <v>0</v>
      </c>
      <c r="AG427" s="42"/>
      <c r="AH427" s="42"/>
      <c r="AI427" s="42"/>
      <c r="AJ427" s="42">
        <f t="shared" si="134"/>
        <v>0</v>
      </c>
      <c r="AL427" s="42"/>
      <c r="AM427" s="42"/>
      <c r="AN427" s="42"/>
      <c r="AO427" s="44"/>
      <c r="AP427" s="42"/>
      <c r="AQ427" s="42"/>
      <c r="AR427" s="42"/>
      <c r="AU427" s="98"/>
      <c r="AV427" s="35"/>
      <c r="AW427" s="104"/>
      <c r="AX427" s="42"/>
      <c r="AY427" s="42"/>
      <c r="AZ427" s="42">
        <f t="shared" si="131"/>
        <v>0</v>
      </c>
      <c r="BA427" s="42"/>
      <c r="BB427" s="42"/>
      <c r="BC427" s="42"/>
      <c r="BD427" s="38">
        <f t="shared" si="139"/>
        <v>0</v>
      </c>
      <c r="BE427" s="42"/>
      <c r="BF427" s="42"/>
      <c r="BG427" s="42"/>
      <c r="BH427" s="38">
        <f t="shared" si="140"/>
        <v>0</v>
      </c>
      <c r="BI427" s="42"/>
      <c r="BJ427" s="42"/>
      <c r="BK427" s="42"/>
      <c r="BL427" s="38">
        <f t="shared" si="141"/>
        <v>0</v>
      </c>
      <c r="BM427" s="42"/>
      <c r="BN427" s="42"/>
      <c r="BO427" s="42"/>
      <c r="BP427" s="42"/>
      <c r="BR427" s="42">
        <f t="shared" si="142"/>
        <v>19940.5</v>
      </c>
      <c r="BS427" s="43"/>
      <c r="BT427" s="42">
        <v>2206.02</v>
      </c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  <c r="FM427" s="31"/>
      <c r="FN427" s="31"/>
      <c r="FO427" s="31"/>
      <c r="FP427" s="31"/>
      <c r="FQ427" s="31"/>
      <c r="FR427" s="31"/>
      <c r="FS427" s="31"/>
      <c r="FT427" s="31"/>
      <c r="FU427" s="31"/>
      <c r="FV427" s="31"/>
      <c r="FW427" s="31"/>
      <c r="FX427" s="31"/>
      <c r="FY427" s="31"/>
      <c r="FZ427" s="31"/>
      <c r="GA427" s="31"/>
      <c r="GB427" s="31"/>
      <c r="GC427" s="31"/>
      <c r="GD427" s="31"/>
      <c r="GE427" s="31"/>
      <c r="GF427" s="31"/>
      <c r="GG427" s="31"/>
      <c r="GH427" s="31"/>
      <c r="GI427" s="31"/>
      <c r="GJ427" s="31"/>
      <c r="GK427" s="31"/>
      <c r="GL427" s="31"/>
      <c r="GM427" s="31"/>
      <c r="GN427" s="31"/>
      <c r="GO427" s="31"/>
      <c r="GP427" s="31"/>
      <c r="GQ427" s="31"/>
      <c r="GR427" s="31"/>
      <c r="GS427" s="31"/>
      <c r="GT427" s="31"/>
      <c r="GU427" s="31"/>
      <c r="GV427" s="31"/>
      <c r="GW427" s="31"/>
      <c r="GX427" s="31"/>
      <c r="GY427" s="31"/>
      <c r="GZ427" s="31"/>
      <c r="HA427" s="31"/>
      <c r="HB427" s="31"/>
      <c r="HC427" s="31"/>
      <c r="HD427" s="31"/>
      <c r="HE427" s="31"/>
      <c r="HF427" s="31"/>
      <c r="HG427" s="31"/>
      <c r="HH427" s="31"/>
      <c r="HI427" s="31"/>
      <c r="HJ427" s="31"/>
      <c r="HK427" s="31"/>
      <c r="HL427" s="31"/>
      <c r="HM427" s="31"/>
      <c r="HN427" s="31"/>
      <c r="HO427" s="31"/>
      <c r="HP427" s="31"/>
      <c r="HQ427" s="31"/>
      <c r="HR427" s="31"/>
      <c r="HS427" s="31"/>
      <c r="HT427" s="31"/>
      <c r="HU427" s="31"/>
      <c r="HV427" s="31"/>
      <c r="HW427" s="31"/>
      <c r="HX427" s="31"/>
      <c r="HY427" s="31"/>
      <c r="HZ427" s="31"/>
      <c r="IA427" s="31"/>
      <c r="IB427" s="31"/>
      <c r="IC427" s="31"/>
      <c r="ID427" s="31"/>
      <c r="IE427" s="31"/>
      <c r="IF427" s="31"/>
      <c r="IG427" s="31"/>
      <c r="IH427" s="31"/>
      <c r="II427" s="31"/>
      <c r="IJ427" s="31"/>
      <c r="IK427" s="31"/>
      <c r="IL427" s="31"/>
      <c r="IM427" s="31"/>
      <c r="IN427" s="31"/>
      <c r="IO427" s="31"/>
      <c r="IP427" s="31"/>
      <c r="IQ427" s="31"/>
      <c r="IR427" s="31"/>
      <c r="IS427" s="31"/>
      <c r="IT427" s="31"/>
      <c r="IU427" s="31"/>
      <c r="IV427" s="31"/>
      <c r="IW427" s="31"/>
      <c r="IX427" s="31"/>
      <c r="IY427" s="31"/>
      <c r="IZ427" s="31"/>
      <c r="JA427" s="31"/>
      <c r="JB427" s="31"/>
      <c r="JC427" s="31"/>
      <c r="JD427" s="31"/>
      <c r="JE427" s="31"/>
      <c r="JF427" s="31"/>
      <c r="JG427" s="31"/>
      <c r="JH427" s="31"/>
      <c r="JI427" s="31"/>
      <c r="JJ427" s="31"/>
      <c r="JK427" s="31"/>
      <c r="JL427" s="31"/>
      <c r="JM427" s="31"/>
      <c r="JN427" s="31"/>
      <c r="JO427" s="31"/>
      <c r="JP427" s="31"/>
      <c r="JQ427" s="31"/>
      <c r="JR427" s="31"/>
      <c r="JS427" s="31"/>
      <c r="JT427" s="31"/>
      <c r="JU427" s="31"/>
      <c r="JV427" s="31"/>
      <c r="JW427" s="31"/>
      <c r="JX427" s="31"/>
      <c r="JY427" s="31"/>
      <c r="JZ427" s="31"/>
      <c r="KA427" s="31"/>
      <c r="KB427" s="31"/>
      <c r="KC427" s="31"/>
      <c r="KD427" s="31"/>
      <c r="KE427" s="31"/>
      <c r="KF427" s="31"/>
      <c r="KG427" s="31"/>
      <c r="KH427" s="31"/>
      <c r="KI427" s="31"/>
      <c r="KJ427" s="31"/>
      <c r="KK427" s="31"/>
      <c r="KL427" s="31"/>
      <c r="KM427" s="31"/>
      <c r="KN427" s="31"/>
      <c r="KO427" s="31"/>
      <c r="KP427" s="31"/>
      <c r="KQ427" s="31"/>
      <c r="KR427" s="31"/>
      <c r="KS427" s="31"/>
      <c r="KT427" s="31"/>
      <c r="KU427" s="31"/>
      <c r="KV427" s="31"/>
      <c r="KW427" s="31"/>
      <c r="KX427" s="31"/>
      <c r="KY427" s="31"/>
      <c r="KZ427" s="31"/>
      <c r="LA427" s="31"/>
      <c r="LB427" s="31"/>
      <c r="LC427" s="31"/>
      <c r="LD427" s="31"/>
      <c r="LE427" s="31"/>
      <c r="LF427" s="31"/>
      <c r="LG427" s="31"/>
      <c r="LH427" s="31"/>
      <c r="LI427" s="31"/>
      <c r="LJ427" s="31"/>
      <c r="LK427" s="31"/>
      <c r="LL427" s="31"/>
      <c r="LM427" s="31"/>
      <c r="LN427" s="31"/>
      <c r="LO427" s="31"/>
      <c r="LP427" s="31"/>
      <c r="LQ427" s="31"/>
      <c r="LR427" s="31"/>
      <c r="LS427" s="31"/>
      <c r="LT427" s="31"/>
      <c r="LU427" s="31"/>
      <c r="LV427" s="31"/>
      <c r="LW427" s="31"/>
      <c r="LX427" s="31"/>
      <c r="LY427" s="31"/>
      <c r="LZ427" s="31"/>
      <c r="MA427" s="31"/>
      <c r="MB427" s="31"/>
      <c r="MC427" s="31"/>
      <c r="MD427" s="31"/>
      <c r="ME427" s="31"/>
      <c r="MF427" s="31"/>
      <c r="MG427" s="31"/>
      <c r="MH427" s="31"/>
      <c r="MI427" s="31"/>
      <c r="MJ427" s="31"/>
      <c r="MK427" s="31"/>
      <c r="ML427" s="31"/>
      <c r="MM427" s="31"/>
      <c r="MN427" s="31"/>
      <c r="MO427" s="31"/>
      <c r="MP427" s="31"/>
      <c r="MQ427" s="31"/>
      <c r="MR427" s="31"/>
      <c r="MS427" s="31"/>
      <c r="MT427" s="31"/>
      <c r="MU427" s="31"/>
      <c r="MV427" s="31"/>
      <c r="MW427" s="31"/>
      <c r="MX427" s="31"/>
      <c r="MY427" s="31"/>
      <c r="MZ427" s="31"/>
      <c r="NA427" s="31"/>
      <c r="NB427" s="31"/>
      <c r="NC427" s="31"/>
      <c r="ND427" s="31"/>
      <c r="NE427" s="31"/>
      <c r="NF427" s="31"/>
      <c r="NG427" s="31"/>
      <c r="NH427" s="31"/>
      <c r="NI427" s="31"/>
      <c r="NJ427" s="31"/>
      <c r="NK427" s="31"/>
      <c r="NL427" s="31"/>
      <c r="NM427" s="31"/>
      <c r="NN427" s="31"/>
      <c r="NO427" s="31"/>
      <c r="NP427" s="31"/>
      <c r="NQ427" s="31"/>
      <c r="NR427" s="31"/>
      <c r="NS427" s="31"/>
      <c r="NT427" s="31"/>
      <c r="NU427" s="31"/>
      <c r="NV427" s="31"/>
      <c r="NW427" s="31"/>
      <c r="NX427" s="31"/>
      <c r="NY427" s="31"/>
      <c r="NZ427" s="31"/>
      <c r="OA427" s="31"/>
      <c r="OB427" s="31"/>
      <c r="OC427" s="31"/>
      <c r="OD427" s="31"/>
      <c r="OE427" s="31"/>
      <c r="OF427" s="31"/>
      <c r="OG427" s="31"/>
      <c r="OH427" s="31"/>
      <c r="OI427" s="31"/>
      <c r="OJ427" s="31"/>
      <c r="OK427" s="31"/>
      <c r="OL427" s="31"/>
      <c r="OM427" s="31"/>
      <c r="ON427" s="31"/>
      <c r="OO427" s="31"/>
      <c r="OP427" s="31"/>
      <c r="OQ427" s="31"/>
      <c r="OR427" s="31"/>
      <c r="OS427" s="31"/>
      <c r="OT427" s="31"/>
      <c r="OU427" s="31"/>
      <c r="OV427" s="31"/>
      <c r="OW427" s="31"/>
      <c r="OX427" s="31"/>
    </row>
    <row r="428" spans="2:414" s="25" customFormat="1" ht="15.6">
      <c r="B428" s="25" t="s">
        <v>994</v>
      </c>
      <c r="C428" s="27" t="s">
        <v>903</v>
      </c>
      <c r="D428" s="30" t="s">
        <v>291</v>
      </c>
      <c r="G428" s="42">
        <v>80</v>
      </c>
      <c r="H428" s="89">
        <v>26.109000000000002</v>
      </c>
      <c r="I428" s="38">
        <f t="shared" si="135"/>
        <v>2088.7200000000003</v>
      </c>
      <c r="K428" s="42">
        <v>80</v>
      </c>
      <c r="L428" s="90">
        <v>26.849599999999999</v>
      </c>
      <c r="M428" s="38">
        <f t="shared" si="136"/>
        <v>2147.9679999999998</v>
      </c>
      <c r="O428" s="42">
        <v>505</v>
      </c>
      <c r="P428" s="38">
        <v>26.728300000000001</v>
      </c>
      <c r="Q428" s="38">
        <f t="shared" si="137"/>
        <v>13497.791500000001</v>
      </c>
      <c r="R428" s="43">
        <f t="shared" si="132"/>
        <v>665</v>
      </c>
      <c r="S428" s="38">
        <f t="shared" si="138"/>
        <v>17734.479500000001</v>
      </c>
      <c r="T428" s="49">
        <v>300</v>
      </c>
      <c r="U428" s="42">
        <v>26.6386</v>
      </c>
      <c r="V428" s="38">
        <f t="shared" si="146"/>
        <v>7991.58</v>
      </c>
      <c r="W428" s="42">
        <v>390</v>
      </c>
      <c r="X428" s="42">
        <v>26.74</v>
      </c>
      <c r="Y428" s="42">
        <f t="shared" si="144"/>
        <v>10428.599999999999</v>
      </c>
      <c r="Z428" s="42"/>
      <c r="AA428" s="42"/>
      <c r="AB428" s="42">
        <f t="shared" si="145"/>
        <v>0</v>
      </c>
      <c r="AD428" s="42"/>
      <c r="AE428" s="42"/>
      <c r="AF428" s="42">
        <f t="shared" si="147"/>
        <v>0</v>
      </c>
      <c r="AG428" s="42"/>
      <c r="AH428" s="42"/>
      <c r="AI428" s="42"/>
      <c r="AJ428" s="42">
        <f t="shared" si="134"/>
        <v>0</v>
      </c>
      <c r="AL428" s="42"/>
      <c r="AM428" s="42"/>
      <c r="AN428" s="42"/>
      <c r="AO428" s="44"/>
      <c r="AP428" s="42"/>
      <c r="AQ428" s="42"/>
      <c r="AR428" s="42"/>
      <c r="AU428" s="98"/>
      <c r="AV428" s="35"/>
      <c r="AW428" s="104"/>
      <c r="AX428" s="42"/>
      <c r="AY428" s="42"/>
      <c r="AZ428" s="42">
        <f t="shared" si="131"/>
        <v>0</v>
      </c>
      <c r="BA428" s="42"/>
      <c r="BB428" s="42"/>
      <c r="BC428" s="42"/>
      <c r="BD428" s="38">
        <f t="shared" si="139"/>
        <v>0</v>
      </c>
      <c r="BE428" s="42"/>
      <c r="BF428" s="42"/>
      <c r="BG428" s="42"/>
      <c r="BH428" s="38">
        <f t="shared" si="140"/>
        <v>0</v>
      </c>
      <c r="BI428" s="42"/>
      <c r="BJ428" s="42"/>
      <c r="BK428" s="42"/>
      <c r="BL428" s="38">
        <f t="shared" si="141"/>
        <v>0</v>
      </c>
      <c r="BM428" s="42"/>
      <c r="BN428" s="42"/>
      <c r="BO428" s="42"/>
      <c r="BP428" s="42"/>
      <c r="BR428" s="42">
        <f t="shared" si="142"/>
        <v>18420.18</v>
      </c>
      <c r="BS428" s="43"/>
      <c r="BT428" s="42">
        <v>685.7</v>
      </c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  <c r="FM428" s="31"/>
      <c r="FN428" s="31"/>
      <c r="FO428" s="31"/>
      <c r="FP428" s="31"/>
      <c r="FQ428" s="31"/>
      <c r="FR428" s="31"/>
      <c r="FS428" s="31"/>
      <c r="FT428" s="31"/>
      <c r="FU428" s="31"/>
      <c r="FV428" s="31"/>
      <c r="FW428" s="31"/>
      <c r="FX428" s="31"/>
      <c r="FY428" s="31"/>
      <c r="FZ428" s="31"/>
      <c r="GA428" s="31"/>
      <c r="GB428" s="31"/>
      <c r="GC428" s="31"/>
      <c r="GD428" s="31"/>
      <c r="GE428" s="31"/>
      <c r="GF428" s="31"/>
      <c r="GG428" s="31"/>
      <c r="GH428" s="31"/>
      <c r="GI428" s="31"/>
      <c r="GJ428" s="31"/>
      <c r="GK428" s="31"/>
      <c r="GL428" s="31"/>
      <c r="GM428" s="31"/>
      <c r="GN428" s="31"/>
      <c r="GO428" s="31"/>
      <c r="GP428" s="31"/>
      <c r="GQ428" s="31"/>
      <c r="GR428" s="31"/>
      <c r="GS428" s="31"/>
      <c r="GT428" s="31"/>
      <c r="GU428" s="31"/>
      <c r="GV428" s="31"/>
      <c r="GW428" s="31"/>
      <c r="GX428" s="31"/>
      <c r="GY428" s="31"/>
      <c r="GZ428" s="31"/>
      <c r="HA428" s="31"/>
      <c r="HB428" s="31"/>
      <c r="HC428" s="31"/>
      <c r="HD428" s="31"/>
      <c r="HE428" s="31"/>
      <c r="HF428" s="31"/>
      <c r="HG428" s="31"/>
      <c r="HH428" s="31"/>
      <c r="HI428" s="31"/>
      <c r="HJ428" s="31"/>
      <c r="HK428" s="31"/>
      <c r="HL428" s="31"/>
      <c r="HM428" s="31"/>
      <c r="HN428" s="31"/>
      <c r="HO428" s="31"/>
      <c r="HP428" s="31"/>
      <c r="HQ428" s="31"/>
      <c r="HR428" s="31"/>
      <c r="HS428" s="31"/>
      <c r="HT428" s="31"/>
      <c r="HU428" s="31"/>
      <c r="HV428" s="31"/>
      <c r="HW428" s="31"/>
      <c r="HX428" s="31"/>
      <c r="HY428" s="31"/>
      <c r="HZ428" s="31"/>
      <c r="IA428" s="31"/>
      <c r="IB428" s="31"/>
      <c r="IC428" s="31"/>
      <c r="ID428" s="31"/>
      <c r="IE428" s="31"/>
      <c r="IF428" s="31"/>
      <c r="IG428" s="31"/>
      <c r="IH428" s="31"/>
      <c r="II428" s="31"/>
      <c r="IJ428" s="31"/>
      <c r="IK428" s="31"/>
      <c r="IL428" s="31"/>
      <c r="IM428" s="31"/>
      <c r="IN428" s="31"/>
      <c r="IO428" s="31"/>
      <c r="IP428" s="31"/>
      <c r="IQ428" s="31"/>
      <c r="IR428" s="31"/>
      <c r="IS428" s="31"/>
      <c r="IT428" s="31"/>
      <c r="IU428" s="31"/>
      <c r="IV428" s="31"/>
      <c r="IW428" s="31"/>
      <c r="IX428" s="31"/>
      <c r="IY428" s="31"/>
      <c r="IZ428" s="31"/>
      <c r="JA428" s="31"/>
      <c r="JB428" s="31"/>
      <c r="JC428" s="31"/>
      <c r="JD428" s="31"/>
      <c r="JE428" s="31"/>
      <c r="JF428" s="31"/>
      <c r="JG428" s="31"/>
      <c r="JH428" s="31"/>
      <c r="JI428" s="31"/>
      <c r="JJ428" s="31"/>
      <c r="JK428" s="31"/>
      <c r="JL428" s="31"/>
      <c r="JM428" s="31"/>
      <c r="JN428" s="31"/>
      <c r="JO428" s="31"/>
      <c r="JP428" s="31"/>
      <c r="JQ428" s="31"/>
      <c r="JR428" s="31"/>
      <c r="JS428" s="31"/>
      <c r="JT428" s="31"/>
      <c r="JU428" s="31"/>
      <c r="JV428" s="31"/>
      <c r="JW428" s="31"/>
      <c r="JX428" s="31"/>
      <c r="JY428" s="31"/>
      <c r="JZ428" s="31"/>
      <c r="KA428" s="31"/>
      <c r="KB428" s="31"/>
      <c r="KC428" s="31"/>
      <c r="KD428" s="31"/>
      <c r="KE428" s="31"/>
      <c r="KF428" s="31"/>
      <c r="KG428" s="31"/>
      <c r="KH428" s="31"/>
      <c r="KI428" s="31"/>
      <c r="KJ428" s="31"/>
      <c r="KK428" s="31"/>
      <c r="KL428" s="31"/>
      <c r="KM428" s="31"/>
      <c r="KN428" s="31"/>
      <c r="KO428" s="31"/>
      <c r="KP428" s="31"/>
      <c r="KQ428" s="31"/>
      <c r="KR428" s="31"/>
      <c r="KS428" s="31"/>
      <c r="KT428" s="31"/>
      <c r="KU428" s="31"/>
      <c r="KV428" s="31"/>
      <c r="KW428" s="31"/>
      <c r="KX428" s="31"/>
      <c r="KY428" s="31"/>
      <c r="KZ428" s="31"/>
      <c r="LA428" s="31"/>
      <c r="LB428" s="31"/>
      <c r="LC428" s="31"/>
      <c r="LD428" s="31"/>
      <c r="LE428" s="31"/>
      <c r="LF428" s="31"/>
      <c r="LG428" s="31"/>
      <c r="LH428" s="31"/>
      <c r="LI428" s="31"/>
      <c r="LJ428" s="31"/>
      <c r="LK428" s="31"/>
      <c r="LL428" s="31"/>
      <c r="LM428" s="31"/>
      <c r="LN428" s="31"/>
      <c r="LO428" s="31"/>
      <c r="LP428" s="31"/>
      <c r="LQ428" s="31"/>
      <c r="LR428" s="31"/>
      <c r="LS428" s="31"/>
      <c r="LT428" s="31"/>
      <c r="LU428" s="31"/>
      <c r="LV428" s="31"/>
      <c r="LW428" s="31"/>
      <c r="LX428" s="31"/>
      <c r="LY428" s="31"/>
      <c r="LZ428" s="31"/>
      <c r="MA428" s="31"/>
      <c r="MB428" s="31"/>
      <c r="MC428" s="31"/>
      <c r="MD428" s="31"/>
      <c r="ME428" s="31"/>
      <c r="MF428" s="31"/>
      <c r="MG428" s="31"/>
      <c r="MH428" s="31"/>
      <c r="MI428" s="31"/>
      <c r="MJ428" s="31"/>
      <c r="MK428" s="31"/>
      <c r="ML428" s="31"/>
      <c r="MM428" s="31"/>
      <c r="MN428" s="31"/>
      <c r="MO428" s="31"/>
      <c r="MP428" s="31"/>
      <c r="MQ428" s="31"/>
      <c r="MR428" s="31"/>
      <c r="MS428" s="31"/>
      <c r="MT428" s="31"/>
      <c r="MU428" s="31"/>
      <c r="MV428" s="31"/>
      <c r="MW428" s="31"/>
      <c r="MX428" s="31"/>
      <c r="MY428" s="31"/>
      <c r="MZ428" s="31"/>
      <c r="NA428" s="31"/>
      <c r="NB428" s="31"/>
      <c r="NC428" s="31"/>
      <c r="ND428" s="31"/>
      <c r="NE428" s="31"/>
      <c r="NF428" s="31"/>
      <c r="NG428" s="31"/>
      <c r="NH428" s="31"/>
      <c r="NI428" s="31"/>
      <c r="NJ428" s="31"/>
      <c r="NK428" s="31"/>
      <c r="NL428" s="31"/>
      <c r="NM428" s="31"/>
      <c r="NN428" s="31"/>
      <c r="NO428" s="31"/>
      <c r="NP428" s="31"/>
      <c r="NQ428" s="31"/>
      <c r="NR428" s="31"/>
      <c r="NS428" s="31"/>
      <c r="NT428" s="31"/>
      <c r="NU428" s="31"/>
      <c r="NV428" s="31"/>
      <c r="NW428" s="31"/>
      <c r="NX428" s="31"/>
      <c r="NY428" s="31"/>
      <c r="NZ428" s="31"/>
      <c r="OA428" s="31"/>
      <c r="OB428" s="31"/>
      <c r="OC428" s="31"/>
      <c r="OD428" s="31"/>
      <c r="OE428" s="31"/>
      <c r="OF428" s="31"/>
      <c r="OG428" s="31"/>
      <c r="OH428" s="31"/>
      <c r="OI428" s="31"/>
      <c r="OJ428" s="31"/>
      <c r="OK428" s="31"/>
      <c r="OL428" s="31"/>
      <c r="OM428" s="31"/>
      <c r="ON428" s="31"/>
      <c r="OO428" s="31"/>
      <c r="OP428" s="31"/>
      <c r="OQ428" s="31"/>
      <c r="OR428" s="31"/>
      <c r="OS428" s="31"/>
      <c r="OT428" s="31"/>
      <c r="OU428" s="31"/>
      <c r="OV428" s="31"/>
      <c r="OW428" s="31"/>
      <c r="OX428" s="31"/>
    </row>
    <row r="429" spans="2:414" s="25" customFormat="1" ht="15.6">
      <c r="B429" s="25" t="s">
        <v>793</v>
      </c>
      <c r="C429" s="27" t="s">
        <v>148</v>
      </c>
      <c r="D429" s="30" t="s">
        <v>291</v>
      </c>
      <c r="G429" s="42">
        <v>80</v>
      </c>
      <c r="H429" s="89">
        <v>26.109000000000002</v>
      </c>
      <c r="I429" s="38">
        <f t="shared" si="135"/>
        <v>2088.7200000000003</v>
      </c>
      <c r="K429" s="42">
        <v>80</v>
      </c>
      <c r="L429" s="90">
        <v>26.849599999999999</v>
      </c>
      <c r="M429" s="38">
        <f t="shared" si="136"/>
        <v>2147.9679999999998</v>
      </c>
      <c r="O429" s="42">
        <v>505</v>
      </c>
      <c r="P429" s="38">
        <v>26.728300000000001</v>
      </c>
      <c r="Q429" s="38">
        <f t="shared" si="137"/>
        <v>13497.791500000001</v>
      </c>
      <c r="R429" s="43">
        <f t="shared" si="132"/>
        <v>665</v>
      </c>
      <c r="S429" s="38">
        <f t="shared" si="138"/>
        <v>17734.479500000001</v>
      </c>
      <c r="T429" s="49">
        <v>240</v>
      </c>
      <c r="U429" s="42">
        <v>26.766200000000001</v>
      </c>
      <c r="V429" s="38">
        <f t="shared" si="146"/>
        <v>6423.8879999999999</v>
      </c>
      <c r="W429" s="42">
        <v>505</v>
      </c>
      <c r="X429" s="42">
        <v>26.555099999999999</v>
      </c>
      <c r="Y429" s="42">
        <f t="shared" si="144"/>
        <v>13410.325499999999</v>
      </c>
      <c r="Z429" s="42"/>
      <c r="AA429" s="42"/>
      <c r="AB429" s="42">
        <f t="shared" si="145"/>
        <v>0</v>
      </c>
      <c r="AD429" s="42"/>
      <c r="AE429" s="42"/>
      <c r="AF429" s="42">
        <f t="shared" si="147"/>
        <v>0</v>
      </c>
      <c r="AG429" s="42"/>
      <c r="AH429" s="42"/>
      <c r="AI429" s="42"/>
      <c r="AJ429" s="42">
        <f t="shared" si="134"/>
        <v>0</v>
      </c>
      <c r="AL429" s="42"/>
      <c r="AM429" s="42"/>
      <c r="AN429" s="42"/>
      <c r="AO429" s="44"/>
      <c r="AP429" s="42"/>
      <c r="AQ429" s="42"/>
      <c r="AR429" s="42"/>
      <c r="AU429" s="98"/>
      <c r="AV429" s="35"/>
      <c r="AW429" s="104"/>
      <c r="AX429" s="42"/>
      <c r="AY429" s="42"/>
      <c r="AZ429" s="42">
        <f t="shared" si="131"/>
        <v>0</v>
      </c>
      <c r="BA429" s="42"/>
      <c r="BB429" s="42"/>
      <c r="BC429" s="42"/>
      <c r="BD429" s="38">
        <f t="shared" si="139"/>
        <v>0</v>
      </c>
      <c r="BE429" s="42"/>
      <c r="BF429" s="42"/>
      <c r="BG429" s="42"/>
      <c r="BH429" s="38">
        <f t="shared" si="140"/>
        <v>0</v>
      </c>
      <c r="BI429" s="42"/>
      <c r="BJ429" s="42"/>
      <c r="BK429" s="42"/>
      <c r="BL429" s="38">
        <f t="shared" si="141"/>
        <v>0</v>
      </c>
      <c r="BM429" s="42"/>
      <c r="BN429" s="42"/>
      <c r="BO429" s="42"/>
      <c r="BP429" s="42"/>
      <c r="BR429" s="42">
        <f t="shared" si="142"/>
        <v>19834.213499999998</v>
      </c>
      <c r="BS429" s="43"/>
      <c r="BT429" s="42">
        <v>2099.73</v>
      </c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  <c r="FM429" s="31"/>
      <c r="FN429" s="31"/>
      <c r="FO429" s="31"/>
      <c r="FP429" s="31"/>
      <c r="FQ429" s="31"/>
      <c r="FR429" s="31"/>
      <c r="FS429" s="31"/>
      <c r="FT429" s="31"/>
      <c r="FU429" s="31"/>
      <c r="FV429" s="31"/>
      <c r="FW429" s="31"/>
      <c r="FX429" s="31"/>
      <c r="FY429" s="31"/>
      <c r="FZ429" s="31"/>
      <c r="GA429" s="31"/>
      <c r="GB429" s="31"/>
      <c r="GC429" s="31"/>
      <c r="GD429" s="31"/>
      <c r="GE429" s="31"/>
      <c r="GF429" s="31"/>
      <c r="GG429" s="31"/>
      <c r="GH429" s="31"/>
      <c r="GI429" s="31"/>
      <c r="GJ429" s="31"/>
      <c r="GK429" s="31"/>
      <c r="GL429" s="31"/>
      <c r="GM429" s="31"/>
      <c r="GN429" s="31"/>
      <c r="GO429" s="31"/>
      <c r="GP429" s="31"/>
      <c r="GQ429" s="31"/>
      <c r="GR429" s="31"/>
      <c r="GS429" s="31"/>
      <c r="GT429" s="31"/>
      <c r="GU429" s="31"/>
      <c r="GV429" s="31"/>
      <c r="GW429" s="31"/>
      <c r="GX429" s="31"/>
      <c r="GY429" s="31"/>
      <c r="GZ429" s="31"/>
      <c r="HA429" s="31"/>
      <c r="HB429" s="31"/>
      <c r="HC429" s="31"/>
      <c r="HD429" s="31"/>
      <c r="HE429" s="31"/>
      <c r="HF429" s="31"/>
      <c r="HG429" s="31"/>
      <c r="HH429" s="31"/>
      <c r="HI429" s="31"/>
      <c r="HJ429" s="31"/>
      <c r="HK429" s="31"/>
      <c r="HL429" s="31"/>
      <c r="HM429" s="31"/>
      <c r="HN429" s="31"/>
      <c r="HO429" s="31"/>
      <c r="HP429" s="31"/>
      <c r="HQ429" s="31"/>
      <c r="HR429" s="31"/>
      <c r="HS429" s="31"/>
      <c r="HT429" s="31"/>
      <c r="HU429" s="31"/>
      <c r="HV429" s="31"/>
      <c r="HW429" s="31"/>
      <c r="HX429" s="31"/>
      <c r="HY429" s="31"/>
      <c r="HZ429" s="31"/>
      <c r="IA429" s="31"/>
      <c r="IB429" s="31"/>
      <c r="IC429" s="31"/>
      <c r="ID429" s="31"/>
      <c r="IE429" s="31"/>
      <c r="IF429" s="31"/>
      <c r="IG429" s="31"/>
      <c r="IH429" s="31"/>
      <c r="II429" s="31"/>
      <c r="IJ429" s="31"/>
      <c r="IK429" s="31"/>
      <c r="IL429" s="31"/>
      <c r="IM429" s="31"/>
      <c r="IN429" s="31"/>
      <c r="IO429" s="31"/>
      <c r="IP429" s="31"/>
      <c r="IQ429" s="31"/>
      <c r="IR429" s="31"/>
      <c r="IS429" s="31"/>
      <c r="IT429" s="31"/>
      <c r="IU429" s="31"/>
      <c r="IV429" s="31"/>
      <c r="IW429" s="31"/>
      <c r="IX429" s="31"/>
      <c r="IY429" s="31"/>
      <c r="IZ429" s="31"/>
      <c r="JA429" s="31"/>
      <c r="JB429" s="31"/>
      <c r="JC429" s="31"/>
      <c r="JD429" s="31"/>
      <c r="JE429" s="31"/>
      <c r="JF429" s="31"/>
      <c r="JG429" s="31"/>
      <c r="JH429" s="31"/>
      <c r="JI429" s="31"/>
      <c r="JJ429" s="31"/>
      <c r="JK429" s="31"/>
      <c r="JL429" s="31"/>
      <c r="JM429" s="31"/>
      <c r="JN429" s="31"/>
      <c r="JO429" s="31"/>
      <c r="JP429" s="31"/>
      <c r="JQ429" s="31"/>
      <c r="JR429" s="31"/>
      <c r="JS429" s="31"/>
      <c r="JT429" s="31"/>
      <c r="JU429" s="31"/>
      <c r="JV429" s="31"/>
      <c r="JW429" s="31"/>
      <c r="JX429" s="31"/>
      <c r="JY429" s="31"/>
      <c r="JZ429" s="31"/>
      <c r="KA429" s="31"/>
      <c r="KB429" s="31"/>
      <c r="KC429" s="31"/>
      <c r="KD429" s="31"/>
      <c r="KE429" s="31"/>
      <c r="KF429" s="31"/>
      <c r="KG429" s="31"/>
      <c r="KH429" s="31"/>
      <c r="KI429" s="31"/>
      <c r="KJ429" s="31"/>
      <c r="KK429" s="31"/>
      <c r="KL429" s="31"/>
      <c r="KM429" s="31"/>
      <c r="KN429" s="31"/>
      <c r="KO429" s="31"/>
      <c r="KP429" s="31"/>
      <c r="KQ429" s="31"/>
      <c r="KR429" s="31"/>
      <c r="KS429" s="31"/>
      <c r="KT429" s="31"/>
      <c r="KU429" s="31"/>
      <c r="KV429" s="31"/>
      <c r="KW429" s="31"/>
      <c r="KX429" s="31"/>
      <c r="KY429" s="31"/>
      <c r="KZ429" s="31"/>
      <c r="LA429" s="31"/>
      <c r="LB429" s="31"/>
      <c r="LC429" s="31"/>
      <c r="LD429" s="31"/>
      <c r="LE429" s="31"/>
      <c r="LF429" s="31"/>
      <c r="LG429" s="31"/>
      <c r="LH429" s="31"/>
      <c r="LI429" s="31"/>
      <c r="LJ429" s="31"/>
      <c r="LK429" s="31"/>
      <c r="LL429" s="31"/>
      <c r="LM429" s="31"/>
      <c r="LN429" s="31"/>
      <c r="LO429" s="31"/>
      <c r="LP429" s="31"/>
      <c r="LQ429" s="31"/>
      <c r="LR429" s="31"/>
      <c r="LS429" s="31"/>
      <c r="LT429" s="31"/>
      <c r="LU429" s="31"/>
      <c r="LV429" s="31"/>
      <c r="LW429" s="31"/>
      <c r="LX429" s="31"/>
      <c r="LY429" s="31"/>
      <c r="LZ429" s="31"/>
      <c r="MA429" s="31"/>
      <c r="MB429" s="31"/>
      <c r="MC429" s="31"/>
      <c r="MD429" s="31"/>
      <c r="ME429" s="31"/>
      <c r="MF429" s="31"/>
      <c r="MG429" s="31"/>
      <c r="MH429" s="31"/>
      <c r="MI429" s="31"/>
      <c r="MJ429" s="31"/>
      <c r="MK429" s="31"/>
      <c r="ML429" s="31"/>
      <c r="MM429" s="31"/>
      <c r="MN429" s="31"/>
      <c r="MO429" s="31"/>
      <c r="MP429" s="31"/>
      <c r="MQ429" s="31"/>
      <c r="MR429" s="31"/>
      <c r="MS429" s="31"/>
      <c r="MT429" s="31"/>
      <c r="MU429" s="31"/>
      <c r="MV429" s="31"/>
      <c r="MW429" s="31"/>
      <c r="MX429" s="31"/>
      <c r="MY429" s="31"/>
      <c r="MZ429" s="31"/>
      <c r="NA429" s="31"/>
      <c r="NB429" s="31"/>
      <c r="NC429" s="31"/>
      <c r="ND429" s="31"/>
      <c r="NE429" s="31"/>
      <c r="NF429" s="31"/>
      <c r="NG429" s="31"/>
      <c r="NH429" s="31"/>
      <c r="NI429" s="31"/>
      <c r="NJ429" s="31"/>
      <c r="NK429" s="31"/>
      <c r="NL429" s="31"/>
      <c r="NM429" s="31"/>
      <c r="NN429" s="31"/>
      <c r="NO429" s="31"/>
      <c r="NP429" s="31"/>
      <c r="NQ429" s="31"/>
      <c r="NR429" s="31"/>
      <c r="NS429" s="31"/>
      <c r="NT429" s="31"/>
      <c r="NU429" s="31"/>
      <c r="NV429" s="31"/>
      <c r="NW429" s="31"/>
      <c r="NX429" s="31"/>
      <c r="NY429" s="31"/>
      <c r="NZ429" s="31"/>
      <c r="OA429" s="31"/>
      <c r="OB429" s="31"/>
      <c r="OC429" s="31"/>
      <c r="OD429" s="31"/>
      <c r="OE429" s="31"/>
      <c r="OF429" s="31"/>
      <c r="OG429" s="31"/>
      <c r="OH429" s="31"/>
      <c r="OI429" s="31"/>
      <c r="OJ429" s="31"/>
      <c r="OK429" s="31"/>
      <c r="OL429" s="31"/>
      <c r="OM429" s="31"/>
      <c r="ON429" s="31"/>
      <c r="OO429" s="31"/>
      <c r="OP429" s="31"/>
      <c r="OQ429" s="31"/>
      <c r="OR429" s="31"/>
      <c r="OS429" s="31"/>
      <c r="OT429" s="31"/>
      <c r="OU429" s="31"/>
      <c r="OV429" s="31"/>
      <c r="OW429" s="31"/>
      <c r="OX429" s="31"/>
    </row>
    <row r="430" spans="2:414" s="25" customFormat="1" ht="15.6">
      <c r="B430" s="25" t="s">
        <v>580</v>
      </c>
      <c r="C430" s="27" t="s">
        <v>581</v>
      </c>
      <c r="D430" s="30" t="s">
        <v>291</v>
      </c>
      <c r="G430" s="42">
        <v>80</v>
      </c>
      <c r="H430" s="89">
        <v>26.109000000000002</v>
      </c>
      <c r="I430" s="38">
        <f t="shared" si="135"/>
        <v>2088.7200000000003</v>
      </c>
      <c r="K430" s="42">
        <v>80</v>
      </c>
      <c r="L430" s="90">
        <v>26.849599999999999</v>
      </c>
      <c r="M430" s="38">
        <f t="shared" si="136"/>
        <v>2147.9679999999998</v>
      </c>
      <c r="O430" s="42">
        <v>505</v>
      </c>
      <c r="P430" s="38">
        <v>26.728300000000001</v>
      </c>
      <c r="Q430" s="38">
        <f t="shared" si="137"/>
        <v>13497.791500000001</v>
      </c>
      <c r="R430" s="43">
        <f t="shared" si="132"/>
        <v>665</v>
      </c>
      <c r="S430" s="38">
        <f t="shared" si="138"/>
        <v>17734.479500000001</v>
      </c>
      <c r="T430" s="49">
        <v>250</v>
      </c>
      <c r="U430" s="42">
        <v>26.991800000000001</v>
      </c>
      <c r="V430" s="38">
        <f t="shared" si="146"/>
        <v>6747.9500000000007</v>
      </c>
      <c r="W430" s="42">
        <v>505</v>
      </c>
      <c r="X430" s="42">
        <v>26.732500000000002</v>
      </c>
      <c r="Y430" s="42">
        <f t="shared" si="144"/>
        <v>13499.9125</v>
      </c>
      <c r="Z430" s="42"/>
      <c r="AA430" s="42"/>
      <c r="AB430" s="42">
        <f t="shared" si="145"/>
        <v>0</v>
      </c>
      <c r="AD430" s="42"/>
      <c r="AE430" s="42"/>
      <c r="AF430" s="42">
        <f t="shared" si="147"/>
        <v>0</v>
      </c>
      <c r="AG430" s="42"/>
      <c r="AH430" s="42"/>
      <c r="AI430" s="42"/>
      <c r="AJ430" s="42">
        <f t="shared" si="134"/>
        <v>0</v>
      </c>
      <c r="AL430" s="42"/>
      <c r="AM430" s="42"/>
      <c r="AN430" s="42"/>
      <c r="AO430" s="44"/>
      <c r="AP430" s="42"/>
      <c r="AQ430" s="42"/>
      <c r="AR430" s="42"/>
      <c r="AU430" s="98"/>
      <c r="AV430" s="35"/>
      <c r="AW430" s="104"/>
      <c r="AX430" s="42"/>
      <c r="AY430" s="42"/>
      <c r="AZ430" s="42">
        <f t="shared" si="131"/>
        <v>0</v>
      </c>
      <c r="BA430" s="42"/>
      <c r="BB430" s="42"/>
      <c r="BC430" s="42"/>
      <c r="BD430" s="38">
        <f t="shared" si="139"/>
        <v>0</v>
      </c>
      <c r="BE430" s="42"/>
      <c r="BF430" s="42"/>
      <c r="BG430" s="42"/>
      <c r="BH430" s="38">
        <f t="shared" si="140"/>
        <v>0</v>
      </c>
      <c r="BI430" s="42"/>
      <c r="BJ430" s="42"/>
      <c r="BK430" s="42"/>
      <c r="BL430" s="38">
        <f t="shared" si="141"/>
        <v>0</v>
      </c>
      <c r="BM430" s="42"/>
      <c r="BN430" s="42"/>
      <c r="BO430" s="42"/>
      <c r="BP430" s="42"/>
      <c r="BR430" s="42">
        <f t="shared" si="142"/>
        <v>20247.862500000003</v>
      </c>
      <c r="BS430" s="43"/>
      <c r="BT430" s="42">
        <v>2513.38</v>
      </c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  <c r="FM430" s="31"/>
      <c r="FN430" s="31"/>
      <c r="FO430" s="31"/>
      <c r="FP430" s="31"/>
      <c r="FQ430" s="31"/>
      <c r="FR430" s="31"/>
      <c r="FS430" s="31"/>
      <c r="FT430" s="31"/>
      <c r="FU430" s="31"/>
      <c r="FV430" s="31"/>
      <c r="FW430" s="31"/>
      <c r="FX430" s="31"/>
      <c r="FY430" s="31"/>
      <c r="FZ430" s="31"/>
      <c r="GA430" s="31"/>
      <c r="GB430" s="31"/>
      <c r="GC430" s="31"/>
      <c r="GD430" s="31"/>
      <c r="GE430" s="31"/>
      <c r="GF430" s="31"/>
      <c r="GG430" s="31"/>
      <c r="GH430" s="31"/>
      <c r="GI430" s="31"/>
      <c r="GJ430" s="31"/>
      <c r="GK430" s="31"/>
      <c r="GL430" s="31"/>
      <c r="GM430" s="31"/>
      <c r="GN430" s="31"/>
      <c r="GO430" s="31"/>
      <c r="GP430" s="31"/>
      <c r="GQ430" s="31"/>
      <c r="GR430" s="31"/>
      <c r="GS430" s="31"/>
      <c r="GT430" s="31"/>
      <c r="GU430" s="31"/>
      <c r="GV430" s="31"/>
      <c r="GW430" s="31"/>
      <c r="GX430" s="31"/>
      <c r="GY430" s="31"/>
      <c r="GZ430" s="31"/>
      <c r="HA430" s="31"/>
      <c r="HB430" s="31"/>
      <c r="HC430" s="31"/>
      <c r="HD430" s="31"/>
      <c r="HE430" s="31"/>
      <c r="HF430" s="31"/>
      <c r="HG430" s="31"/>
      <c r="HH430" s="31"/>
      <c r="HI430" s="31"/>
      <c r="HJ430" s="31"/>
      <c r="HK430" s="31"/>
      <c r="HL430" s="31"/>
      <c r="HM430" s="31"/>
      <c r="HN430" s="31"/>
      <c r="HO430" s="31"/>
      <c r="HP430" s="31"/>
      <c r="HQ430" s="31"/>
      <c r="HR430" s="31"/>
      <c r="HS430" s="31"/>
      <c r="HT430" s="31"/>
      <c r="HU430" s="31"/>
      <c r="HV430" s="31"/>
      <c r="HW430" s="31"/>
      <c r="HX430" s="31"/>
      <c r="HY430" s="31"/>
      <c r="HZ430" s="31"/>
      <c r="IA430" s="31"/>
      <c r="IB430" s="31"/>
      <c r="IC430" s="31"/>
      <c r="ID430" s="31"/>
      <c r="IE430" s="31"/>
      <c r="IF430" s="31"/>
      <c r="IG430" s="31"/>
      <c r="IH430" s="31"/>
      <c r="II430" s="31"/>
      <c r="IJ430" s="31"/>
      <c r="IK430" s="31"/>
      <c r="IL430" s="31"/>
      <c r="IM430" s="31"/>
      <c r="IN430" s="31"/>
      <c r="IO430" s="31"/>
      <c r="IP430" s="31"/>
      <c r="IQ430" s="31"/>
      <c r="IR430" s="31"/>
      <c r="IS430" s="31"/>
      <c r="IT430" s="31"/>
      <c r="IU430" s="31"/>
      <c r="IV430" s="31"/>
      <c r="IW430" s="31"/>
      <c r="IX430" s="31"/>
      <c r="IY430" s="31"/>
      <c r="IZ430" s="31"/>
      <c r="JA430" s="31"/>
      <c r="JB430" s="31"/>
      <c r="JC430" s="31"/>
      <c r="JD430" s="31"/>
      <c r="JE430" s="31"/>
      <c r="JF430" s="31"/>
      <c r="JG430" s="31"/>
      <c r="JH430" s="31"/>
      <c r="JI430" s="31"/>
      <c r="JJ430" s="31"/>
      <c r="JK430" s="31"/>
      <c r="JL430" s="31"/>
      <c r="JM430" s="31"/>
      <c r="JN430" s="31"/>
      <c r="JO430" s="31"/>
      <c r="JP430" s="31"/>
      <c r="JQ430" s="31"/>
      <c r="JR430" s="31"/>
      <c r="JS430" s="31"/>
      <c r="JT430" s="31"/>
      <c r="JU430" s="31"/>
      <c r="JV430" s="31"/>
      <c r="JW430" s="31"/>
      <c r="JX430" s="31"/>
      <c r="JY430" s="31"/>
      <c r="JZ430" s="31"/>
      <c r="KA430" s="31"/>
      <c r="KB430" s="31"/>
      <c r="KC430" s="31"/>
      <c r="KD430" s="31"/>
      <c r="KE430" s="31"/>
      <c r="KF430" s="31"/>
      <c r="KG430" s="31"/>
      <c r="KH430" s="31"/>
      <c r="KI430" s="31"/>
      <c r="KJ430" s="31"/>
      <c r="KK430" s="31"/>
      <c r="KL430" s="31"/>
      <c r="KM430" s="31"/>
      <c r="KN430" s="31"/>
      <c r="KO430" s="31"/>
      <c r="KP430" s="31"/>
      <c r="KQ430" s="31"/>
      <c r="KR430" s="31"/>
      <c r="KS430" s="31"/>
      <c r="KT430" s="31"/>
      <c r="KU430" s="31"/>
      <c r="KV430" s="31"/>
      <c r="KW430" s="31"/>
      <c r="KX430" s="31"/>
      <c r="KY430" s="31"/>
      <c r="KZ430" s="31"/>
      <c r="LA430" s="31"/>
      <c r="LB430" s="31"/>
      <c r="LC430" s="31"/>
      <c r="LD430" s="31"/>
      <c r="LE430" s="31"/>
      <c r="LF430" s="31"/>
      <c r="LG430" s="31"/>
      <c r="LH430" s="31"/>
      <c r="LI430" s="31"/>
      <c r="LJ430" s="31"/>
      <c r="LK430" s="31"/>
      <c r="LL430" s="31"/>
      <c r="LM430" s="31"/>
      <c r="LN430" s="31"/>
      <c r="LO430" s="31"/>
      <c r="LP430" s="31"/>
      <c r="LQ430" s="31"/>
      <c r="LR430" s="31"/>
      <c r="LS430" s="31"/>
      <c r="LT430" s="31"/>
      <c r="LU430" s="31"/>
      <c r="LV430" s="31"/>
      <c r="LW430" s="31"/>
      <c r="LX430" s="31"/>
      <c r="LY430" s="31"/>
      <c r="LZ430" s="31"/>
      <c r="MA430" s="31"/>
      <c r="MB430" s="31"/>
      <c r="MC430" s="31"/>
      <c r="MD430" s="31"/>
      <c r="ME430" s="31"/>
      <c r="MF430" s="31"/>
      <c r="MG430" s="31"/>
      <c r="MH430" s="31"/>
      <c r="MI430" s="31"/>
      <c r="MJ430" s="31"/>
      <c r="MK430" s="31"/>
      <c r="ML430" s="31"/>
      <c r="MM430" s="31"/>
      <c r="MN430" s="31"/>
      <c r="MO430" s="31"/>
      <c r="MP430" s="31"/>
      <c r="MQ430" s="31"/>
      <c r="MR430" s="31"/>
      <c r="MS430" s="31"/>
      <c r="MT430" s="31"/>
      <c r="MU430" s="31"/>
      <c r="MV430" s="31"/>
      <c r="MW430" s="31"/>
      <c r="MX430" s="31"/>
      <c r="MY430" s="31"/>
      <c r="MZ430" s="31"/>
      <c r="NA430" s="31"/>
      <c r="NB430" s="31"/>
      <c r="NC430" s="31"/>
      <c r="ND430" s="31"/>
      <c r="NE430" s="31"/>
      <c r="NF430" s="31"/>
      <c r="NG430" s="31"/>
      <c r="NH430" s="31"/>
      <c r="NI430" s="31"/>
      <c r="NJ430" s="31"/>
      <c r="NK430" s="31"/>
      <c r="NL430" s="31"/>
      <c r="NM430" s="31"/>
      <c r="NN430" s="31"/>
      <c r="NO430" s="31"/>
      <c r="NP430" s="31"/>
      <c r="NQ430" s="31"/>
      <c r="NR430" s="31"/>
      <c r="NS430" s="31"/>
      <c r="NT430" s="31"/>
      <c r="NU430" s="31"/>
      <c r="NV430" s="31"/>
      <c r="NW430" s="31"/>
      <c r="NX430" s="31"/>
      <c r="NY430" s="31"/>
      <c r="NZ430" s="31"/>
      <c r="OA430" s="31"/>
      <c r="OB430" s="31"/>
      <c r="OC430" s="31"/>
      <c r="OD430" s="31"/>
      <c r="OE430" s="31"/>
      <c r="OF430" s="31"/>
      <c r="OG430" s="31"/>
      <c r="OH430" s="31"/>
      <c r="OI430" s="31"/>
      <c r="OJ430" s="31"/>
      <c r="OK430" s="31"/>
      <c r="OL430" s="31"/>
      <c r="OM430" s="31"/>
      <c r="ON430" s="31"/>
      <c r="OO430" s="31"/>
      <c r="OP430" s="31"/>
      <c r="OQ430" s="31"/>
      <c r="OR430" s="31"/>
      <c r="OS430" s="31"/>
      <c r="OT430" s="31"/>
      <c r="OU430" s="31"/>
      <c r="OV430" s="31"/>
      <c r="OW430" s="31"/>
      <c r="OX430" s="31"/>
    </row>
    <row r="431" spans="2:414" s="25" customFormat="1" ht="15.6">
      <c r="B431" s="25" t="s">
        <v>843</v>
      </c>
      <c r="C431" s="27" t="s">
        <v>185</v>
      </c>
      <c r="D431" s="30" t="s">
        <v>291</v>
      </c>
      <c r="G431" s="42">
        <v>80</v>
      </c>
      <c r="H431" s="89">
        <v>26.109000000000002</v>
      </c>
      <c r="I431" s="38">
        <f t="shared" si="135"/>
        <v>2088.7200000000003</v>
      </c>
      <c r="K431" s="42">
        <v>80</v>
      </c>
      <c r="L431" s="90">
        <v>26.849599999999999</v>
      </c>
      <c r="M431" s="38">
        <f t="shared" si="136"/>
        <v>2147.9679999999998</v>
      </c>
      <c r="O431" s="42">
        <v>505</v>
      </c>
      <c r="P431" s="38">
        <v>26.728300000000001</v>
      </c>
      <c r="Q431" s="38">
        <f t="shared" si="137"/>
        <v>13497.791500000001</v>
      </c>
      <c r="R431" s="43">
        <f t="shared" si="132"/>
        <v>665</v>
      </c>
      <c r="S431" s="38">
        <f t="shared" si="138"/>
        <v>17734.479500000001</v>
      </c>
      <c r="T431" s="49">
        <v>240</v>
      </c>
      <c r="U431" s="42">
        <v>26.555099999999999</v>
      </c>
      <c r="V431" s="38">
        <f t="shared" si="146"/>
        <v>6373.2240000000002</v>
      </c>
      <c r="W431" s="42">
        <v>665</v>
      </c>
      <c r="X431" s="42">
        <v>26.56</v>
      </c>
      <c r="Y431" s="42">
        <f t="shared" si="144"/>
        <v>17662.399999999998</v>
      </c>
      <c r="Z431" s="42"/>
      <c r="AA431" s="42"/>
      <c r="AB431" s="42">
        <f t="shared" si="145"/>
        <v>0</v>
      </c>
      <c r="AD431" s="42"/>
      <c r="AE431" s="42"/>
      <c r="AF431" s="42">
        <f t="shared" si="147"/>
        <v>0</v>
      </c>
      <c r="AG431" s="42"/>
      <c r="AH431" s="42"/>
      <c r="AI431" s="42"/>
      <c r="AJ431" s="42">
        <f t="shared" si="134"/>
        <v>0</v>
      </c>
      <c r="AL431" s="42"/>
      <c r="AM431" s="42"/>
      <c r="AN431" s="42"/>
      <c r="AO431" s="44"/>
      <c r="AP431" s="42"/>
      <c r="AQ431" s="42"/>
      <c r="AR431" s="42"/>
      <c r="AU431" s="98"/>
      <c r="AV431" s="35"/>
      <c r="AW431" s="104"/>
      <c r="AX431" s="42"/>
      <c r="AY431" s="42"/>
      <c r="AZ431" s="42">
        <f t="shared" si="131"/>
        <v>0</v>
      </c>
      <c r="BA431" s="42"/>
      <c r="BB431" s="42"/>
      <c r="BC431" s="42"/>
      <c r="BD431" s="38">
        <f t="shared" si="139"/>
        <v>0</v>
      </c>
      <c r="BE431" s="42"/>
      <c r="BF431" s="42"/>
      <c r="BG431" s="42"/>
      <c r="BH431" s="38">
        <f t="shared" si="140"/>
        <v>0</v>
      </c>
      <c r="BI431" s="42"/>
      <c r="BJ431" s="42"/>
      <c r="BK431" s="42"/>
      <c r="BL431" s="38">
        <f t="shared" si="141"/>
        <v>0</v>
      </c>
      <c r="BM431" s="42"/>
      <c r="BN431" s="42"/>
      <c r="BO431" s="42"/>
      <c r="BP431" s="42"/>
      <c r="BR431" s="42">
        <f t="shared" si="142"/>
        <v>24035.623999999996</v>
      </c>
      <c r="BS431" s="43"/>
      <c r="BT431" s="42">
        <v>6301.14</v>
      </c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  <c r="FM431" s="31"/>
      <c r="FN431" s="31"/>
      <c r="FO431" s="31"/>
      <c r="FP431" s="31"/>
      <c r="FQ431" s="31"/>
      <c r="FR431" s="31"/>
      <c r="FS431" s="31"/>
      <c r="FT431" s="31"/>
      <c r="FU431" s="31"/>
      <c r="FV431" s="31"/>
      <c r="FW431" s="31"/>
      <c r="FX431" s="31"/>
      <c r="FY431" s="31"/>
      <c r="FZ431" s="31"/>
      <c r="GA431" s="31"/>
      <c r="GB431" s="31"/>
      <c r="GC431" s="31"/>
      <c r="GD431" s="31"/>
      <c r="GE431" s="31"/>
      <c r="GF431" s="31"/>
      <c r="GG431" s="31"/>
      <c r="GH431" s="31"/>
      <c r="GI431" s="31"/>
      <c r="GJ431" s="31"/>
      <c r="GK431" s="31"/>
      <c r="GL431" s="31"/>
      <c r="GM431" s="31"/>
      <c r="GN431" s="31"/>
      <c r="GO431" s="31"/>
      <c r="GP431" s="31"/>
      <c r="GQ431" s="31"/>
      <c r="GR431" s="31"/>
      <c r="GS431" s="31"/>
      <c r="GT431" s="31"/>
      <c r="GU431" s="31"/>
      <c r="GV431" s="31"/>
      <c r="GW431" s="31"/>
      <c r="GX431" s="31"/>
      <c r="GY431" s="31"/>
      <c r="GZ431" s="31"/>
      <c r="HA431" s="31"/>
      <c r="HB431" s="31"/>
      <c r="HC431" s="31"/>
      <c r="HD431" s="31"/>
      <c r="HE431" s="31"/>
      <c r="HF431" s="31"/>
      <c r="HG431" s="31"/>
      <c r="HH431" s="31"/>
      <c r="HI431" s="31"/>
      <c r="HJ431" s="31"/>
      <c r="HK431" s="31"/>
      <c r="HL431" s="31"/>
      <c r="HM431" s="31"/>
      <c r="HN431" s="31"/>
      <c r="HO431" s="31"/>
      <c r="HP431" s="31"/>
      <c r="HQ431" s="31"/>
      <c r="HR431" s="31"/>
      <c r="HS431" s="31"/>
      <c r="HT431" s="31"/>
      <c r="HU431" s="31"/>
      <c r="HV431" s="31"/>
      <c r="HW431" s="31"/>
      <c r="HX431" s="31"/>
      <c r="HY431" s="31"/>
      <c r="HZ431" s="31"/>
      <c r="IA431" s="31"/>
      <c r="IB431" s="31"/>
      <c r="IC431" s="31"/>
      <c r="ID431" s="31"/>
      <c r="IE431" s="31"/>
      <c r="IF431" s="31"/>
      <c r="IG431" s="31"/>
      <c r="IH431" s="31"/>
      <c r="II431" s="31"/>
      <c r="IJ431" s="31"/>
      <c r="IK431" s="31"/>
      <c r="IL431" s="31"/>
      <c r="IM431" s="31"/>
      <c r="IN431" s="31"/>
      <c r="IO431" s="31"/>
      <c r="IP431" s="31"/>
      <c r="IQ431" s="31"/>
      <c r="IR431" s="31"/>
      <c r="IS431" s="31"/>
      <c r="IT431" s="31"/>
      <c r="IU431" s="31"/>
      <c r="IV431" s="31"/>
      <c r="IW431" s="31"/>
      <c r="IX431" s="31"/>
      <c r="IY431" s="31"/>
      <c r="IZ431" s="31"/>
      <c r="JA431" s="31"/>
      <c r="JB431" s="31"/>
      <c r="JC431" s="31"/>
      <c r="JD431" s="31"/>
      <c r="JE431" s="31"/>
      <c r="JF431" s="31"/>
      <c r="JG431" s="31"/>
      <c r="JH431" s="31"/>
      <c r="JI431" s="31"/>
      <c r="JJ431" s="31"/>
      <c r="JK431" s="31"/>
      <c r="JL431" s="31"/>
      <c r="JM431" s="31"/>
      <c r="JN431" s="31"/>
      <c r="JO431" s="31"/>
      <c r="JP431" s="31"/>
      <c r="JQ431" s="31"/>
      <c r="JR431" s="31"/>
      <c r="JS431" s="31"/>
      <c r="JT431" s="31"/>
      <c r="JU431" s="31"/>
      <c r="JV431" s="31"/>
      <c r="JW431" s="31"/>
      <c r="JX431" s="31"/>
      <c r="JY431" s="31"/>
      <c r="JZ431" s="31"/>
      <c r="KA431" s="31"/>
      <c r="KB431" s="31"/>
      <c r="KC431" s="31"/>
      <c r="KD431" s="31"/>
      <c r="KE431" s="31"/>
      <c r="KF431" s="31"/>
      <c r="KG431" s="31"/>
      <c r="KH431" s="31"/>
      <c r="KI431" s="31"/>
      <c r="KJ431" s="31"/>
      <c r="KK431" s="31"/>
      <c r="KL431" s="31"/>
      <c r="KM431" s="31"/>
      <c r="KN431" s="31"/>
      <c r="KO431" s="31"/>
      <c r="KP431" s="31"/>
      <c r="KQ431" s="31"/>
      <c r="KR431" s="31"/>
      <c r="KS431" s="31"/>
      <c r="KT431" s="31"/>
      <c r="KU431" s="31"/>
      <c r="KV431" s="31"/>
      <c r="KW431" s="31"/>
      <c r="KX431" s="31"/>
      <c r="KY431" s="31"/>
      <c r="KZ431" s="31"/>
      <c r="LA431" s="31"/>
      <c r="LB431" s="31"/>
      <c r="LC431" s="31"/>
      <c r="LD431" s="31"/>
      <c r="LE431" s="31"/>
      <c r="LF431" s="31"/>
      <c r="LG431" s="31"/>
      <c r="LH431" s="31"/>
      <c r="LI431" s="31"/>
      <c r="LJ431" s="31"/>
      <c r="LK431" s="31"/>
      <c r="LL431" s="31"/>
      <c r="LM431" s="31"/>
      <c r="LN431" s="31"/>
      <c r="LO431" s="31"/>
      <c r="LP431" s="31"/>
      <c r="LQ431" s="31"/>
      <c r="LR431" s="31"/>
      <c r="LS431" s="31"/>
      <c r="LT431" s="31"/>
      <c r="LU431" s="31"/>
      <c r="LV431" s="31"/>
      <c r="LW431" s="31"/>
      <c r="LX431" s="31"/>
      <c r="LY431" s="31"/>
      <c r="LZ431" s="31"/>
      <c r="MA431" s="31"/>
      <c r="MB431" s="31"/>
      <c r="MC431" s="31"/>
      <c r="MD431" s="31"/>
      <c r="ME431" s="31"/>
      <c r="MF431" s="31"/>
      <c r="MG431" s="31"/>
      <c r="MH431" s="31"/>
      <c r="MI431" s="31"/>
      <c r="MJ431" s="31"/>
      <c r="MK431" s="31"/>
      <c r="ML431" s="31"/>
      <c r="MM431" s="31"/>
      <c r="MN431" s="31"/>
      <c r="MO431" s="31"/>
      <c r="MP431" s="31"/>
      <c r="MQ431" s="31"/>
      <c r="MR431" s="31"/>
      <c r="MS431" s="31"/>
      <c r="MT431" s="31"/>
      <c r="MU431" s="31"/>
      <c r="MV431" s="31"/>
      <c r="MW431" s="31"/>
      <c r="MX431" s="31"/>
      <c r="MY431" s="31"/>
      <c r="MZ431" s="31"/>
      <c r="NA431" s="31"/>
      <c r="NB431" s="31"/>
      <c r="NC431" s="31"/>
      <c r="ND431" s="31"/>
      <c r="NE431" s="31"/>
      <c r="NF431" s="31"/>
      <c r="NG431" s="31"/>
      <c r="NH431" s="31"/>
      <c r="NI431" s="31"/>
      <c r="NJ431" s="31"/>
      <c r="NK431" s="31"/>
      <c r="NL431" s="31"/>
      <c r="NM431" s="31"/>
      <c r="NN431" s="31"/>
      <c r="NO431" s="31"/>
      <c r="NP431" s="31"/>
      <c r="NQ431" s="31"/>
      <c r="NR431" s="31"/>
      <c r="NS431" s="31"/>
      <c r="NT431" s="31"/>
      <c r="NU431" s="31"/>
      <c r="NV431" s="31"/>
      <c r="NW431" s="31"/>
      <c r="NX431" s="31"/>
      <c r="NY431" s="31"/>
      <c r="NZ431" s="31"/>
      <c r="OA431" s="31"/>
      <c r="OB431" s="31"/>
      <c r="OC431" s="31"/>
      <c r="OD431" s="31"/>
      <c r="OE431" s="31"/>
      <c r="OF431" s="31"/>
      <c r="OG431" s="31"/>
      <c r="OH431" s="31"/>
      <c r="OI431" s="31"/>
      <c r="OJ431" s="31"/>
      <c r="OK431" s="31"/>
      <c r="OL431" s="31"/>
      <c r="OM431" s="31"/>
      <c r="ON431" s="31"/>
      <c r="OO431" s="31"/>
      <c r="OP431" s="31"/>
      <c r="OQ431" s="31"/>
      <c r="OR431" s="31"/>
      <c r="OS431" s="31"/>
      <c r="OT431" s="31"/>
      <c r="OU431" s="31"/>
      <c r="OV431" s="31"/>
      <c r="OW431" s="31"/>
      <c r="OX431" s="31"/>
    </row>
    <row r="432" spans="2:414" s="25" customFormat="1" ht="15.6">
      <c r="B432" s="25" t="s">
        <v>681</v>
      </c>
      <c r="C432" s="27" t="s">
        <v>680</v>
      </c>
      <c r="D432" s="30" t="s">
        <v>291</v>
      </c>
      <c r="G432" s="42">
        <v>80</v>
      </c>
      <c r="H432" s="89">
        <v>26.109000000000002</v>
      </c>
      <c r="I432" s="38">
        <f t="shared" si="135"/>
        <v>2088.7200000000003</v>
      </c>
      <c r="K432" s="42">
        <v>80</v>
      </c>
      <c r="L432" s="90">
        <v>26.849599999999999</v>
      </c>
      <c r="M432" s="38">
        <f t="shared" si="136"/>
        <v>2147.9679999999998</v>
      </c>
      <c r="O432" s="42">
        <v>505</v>
      </c>
      <c r="P432" s="38">
        <v>26.728300000000001</v>
      </c>
      <c r="Q432" s="38">
        <f t="shared" si="137"/>
        <v>13497.791500000001</v>
      </c>
      <c r="R432" s="43">
        <f t="shared" si="132"/>
        <v>665</v>
      </c>
      <c r="S432" s="38">
        <f t="shared" si="138"/>
        <v>17734.479500000001</v>
      </c>
      <c r="T432" s="49">
        <v>240</v>
      </c>
      <c r="U432" s="42">
        <v>26.82</v>
      </c>
      <c r="V432" s="38">
        <f t="shared" si="146"/>
        <v>6436.8</v>
      </c>
      <c r="W432" s="42">
        <v>505</v>
      </c>
      <c r="X432" s="42">
        <v>26.56</v>
      </c>
      <c r="Y432" s="42">
        <f t="shared" si="144"/>
        <v>13412.8</v>
      </c>
      <c r="Z432" s="42"/>
      <c r="AA432" s="42"/>
      <c r="AB432" s="42">
        <f t="shared" si="145"/>
        <v>0</v>
      </c>
      <c r="AD432" s="42"/>
      <c r="AE432" s="42"/>
      <c r="AF432" s="42">
        <f t="shared" si="147"/>
        <v>0</v>
      </c>
      <c r="AG432" s="42"/>
      <c r="AH432" s="42"/>
      <c r="AI432" s="42"/>
      <c r="AJ432" s="42">
        <f t="shared" si="134"/>
        <v>0</v>
      </c>
      <c r="AL432" s="42"/>
      <c r="AM432" s="42"/>
      <c r="AN432" s="42"/>
      <c r="AO432" s="44"/>
      <c r="AP432" s="42"/>
      <c r="AQ432" s="42"/>
      <c r="AR432" s="42"/>
      <c r="AU432" s="98"/>
      <c r="AV432" s="35"/>
      <c r="AW432" s="104"/>
      <c r="AX432" s="42"/>
      <c r="AY432" s="42"/>
      <c r="AZ432" s="42">
        <f t="shared" si="131"/>
        <v>0</v>
      </c>
      <c r="BA432" s="42"/>
      <c r="BB432" s="42"/>
      <c r="BC432" s="42"/>
      <c r="BD432" s="38">
        <f t="shared" si="139"/>
        <v>0</v>
      </c>
      <c r="BE432" s="42"/>
      <c r="BF432" s="42"/>
      <c r="BG432" s="42"/>
      <c r="BH432" s="38">
        <f t="shared" si="140"/>
        <v>0</v>
      </c>
      <c r="BI432" s="42"/>
      <c r="BJ432" s="42"/>
      <c r="BK432" s="42"/>
      <c r="BL432" s="38">
        <f t="shared" si="141"/>
        <v>0</v>
      </c>
      <c r="BM432" s="42"/>
      <c r="BN432" s="42"/>
      <c r="BO432" s="42"/>
      <c r="BP432" s="42"/>
      <c r="BR432" s="42">
        <f t="shared" si="142"/>
        <v>19849.599999999999</v>
      </c>
      <c r="BS432" s="43"/>
      <c r="BT432" s="42">
        <v>2115.12</v>
      </c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  <c r="FM432" s="31"/>
      <c r="FN432" s="31"/>
      <c r="FO432" s="31"/>
      <c r="FP432" s="31"/>
      <c r="FQ432" s="31"/>
      <c r="FR432" s="31"/>
      <c r="FS432" s="31"/>
      <c r="FT432" s="31"/>
      <c r="FU432" s="31"/>
      <c r="FV432" s="31"/>
      <c r="FW432" s="31"/>
      <c r="FX432" s="31"/>
      <c r="FY432" s="31"/>
      <c r="FZ432" s="31"/>
      <c r="GA432" s="31"/>
      <c r="GB432" s="31"/>
      <c r="GC432" s="31"/>
      <c r="GD432" s="31"/>
      <c r="GE432" s="31"/>
      <c r="GF432" s="31"/>
      <c r="GG432" s="31"/>
      <c r="GH432" s="31"/>
      <c r="GI432" s="31"/>
      <c r="GJ432" s="31"/>
      <c r="GK432" s="31"/>
      <c r="GL432" s="31"/>
      <c r="GM432" s="31"/>
      <c r="GN432" s="31"/>
      <c r="GO432" s="31"/>
      <c r="GP432" s="31"/>
      <c r="GQ432" s="31"/>
      <c r="GR432" s="31"/>
      <c r="GS432" s="31"/>
      <c r="GT432" s="31"/>
      <c r="GU432" s="31"/>
      <c r="GV432" s="31"/>
      <c r="GW432" s="31"/>
      <c r="GX432" s="31"/>
      <c r="GY432" s="31"/>
      <c r="GZ432" s="31"/>
      <c r="HA432" s="31"/>
      <c r="HB432" s="31"/>
      <c r="HC432" s="31"/>
      <c r="HD432" s="31"/>
      <c r="HE432" s="31"/>
      <c r="HF432" s="31"/>
      <c r="HG432" s="31"/>
      <c r="HH432" s="31"/>
      <c r="HI432" s="31"/>
      <c r="HJ432" s="31"/>
      <c r="HK432" s="31"/>
      <c r="HL432" s="31"/>
      <c r="HM432" s="31"/>
      <c r="HN432" s="31"/>
      <c r="HO432" s="31"/>
      <c r="HP432" s="31"/>
      <c r="HQ432" s="31"/>
      <c r="HR432" s="31"/>
      <c r="HS432" s="31"/>
      <c r="HT432" s="31"/>
      <c r="HU432" s="31"/>
      <c r="HV432" s="31"/>
      <c r="HW432" s="31"/>
      <c r="HX432" s="31"/>
      <c r="HY432" s="31"/>
      <c r="HZ432" s="31"/>
      <c r="IA432" s="31"/>
      <c r="IB432" s="31"/>
      <c r="IC432" s="31"/>
      <c r="ID432" s="31"/>
      <c r="IE432" s="31"/>
      <c r="IF432" s="31"/>
      <c r="IG432" s="31"/>
      <c r="IH432" s="31"/>
      <c r="II432" s="31"/>
      <c r="IJ432" s="31"/>
      <c r="IK432" s="31"/>
      <c r="IL432" s="31"/>
      <c r="IM432" s="31"/>
      <c r="IN432" s="31"/>
      <c r="IO432" s="31"/>
      <c r="IP432" s="31"/>
      <c r="IQ432" s="31"/>
      <c r="IR432" s="31"/>
      <c r="IS432" s="31"/>
      <c r="IT432" s="31"/>
      <c r="IU432" s="31"/>
      <c r="IV432" s="31"/>
      <c r="IW432" s="31"/>
      <c r="IX432" s="31"/>
      <c r="IY432" s="31"/>
      <c r="IZ432" s="31"/>
      <c r="JA432" s="31"/>
      <c r="JB432" s="31"/>
      <c r="JC432" s="31"/>
      <c r="JD432" s="31"/>
      <c r="JE432" s="31"/>
      <c r="JF432" s="31"/>
      <c r="JG432" s="31"/>
      <c r="JH432" s="31"/>
      <c r="JI432" s="31"/>
      <c r="JJ432" s="31"/>
      <c r="JK432" s="31"/>
      <c r="JL432" s="31"/>
      <c r="JM432" s="31"/>
      <c r="JN432" s="31"/>
      <c r="JO432" s="31"/>
      <c r="JP432" s="31"/>
      <c r="JQ432" s="31"/>
      <c r="JR432" s="31"/>
      <c r="JS432" s="31"/>
      <c r="JT432" s="31"/>
      <c r="JU432" s="31"/>
      <c r="JV432" s="31"/>
      <c r="JW432" s="31"/>
      <c r="JX432" s="31"/>
      <c r="JY432" s="31"/>
      <c r="JZ432" s="31"/>
      <c r="KA432" s="31"/>
      <c r="KB432" s="31"/>
      <c r="KC432" s="31"/>
      <c r="KD432" s="31"/>
      <c r="KE432" s="31"/>
      <c r="KF432" s="31"/>
      <c r="KG432" s="31"/>
      <c r="KH432" s="31"/>
      <c r="KI432" s="31"/>
      <c r="KJ432" s="31"/>
      <c r="KK432" s="31"/>
      <c r="KL432" s="31"/>
      <c r="KM432" s="31"/>
      <c r="KN432" s="31"/>
      <c r="KO432" s="31"/>
      <c r="KP432" s="31"/>
      <c r="KQ432" s="31"/>
      <c r="KR432" s="31"/>
      <c r="KS432" s="31"/>
      <c r="KT432" s="31"/>
      <c r="KU432" s="31"/>
      <c r="KV432" s="31"/>
      <c r="KW432" s="31"/>
      <c r="KX432" s="31"/>
      <c r="KY432" s="31"/>
      <c r="KZ432" s="31"/>
      <c r="LA432" s="31"/>
      <c r="LB432" s="31"/>
      <c r="LC432" s="31"/>
      <c r="LD432" s="31"/>
      <c r="LE432" s="31"/>
      <c r="LF432" s="31"/>
      <c r="LG432" s="31"/>
      <c r="LH432" s="31"/>
      <c r="LI432" s="31"/>
      <c r="LJ432" s="31"/>
      <c r="LK432" s="31"/>
      <c r="LL432" s="31"/>
      <c r="LM432" s="31"/>
      <c r="LN432" s="31"/>
      <c r="LO432" s="31"/>
      <c r="LP432" s="31"/>
      <c r="LQ432" s="31"/>
      <c r="LR432" s="31"/>
      <c r="LS432" s="31"/>
      <c r="LT432" s="31"/>
      <c r="LU432" s="31"/>
      <c r="LV432" s="31"/>
      <c r="LW432" s="31"/>
      <c r="LX432" s="31"/>
      <c r="LY432" s="31"/>
      <c r="LZ432" s="31"/>
      <c r="MA432" s="31"/>
      <c r="MB432" s="31"/>
      <c r="MC432" s="31"/>
      <c r="MD432" s="31"/>
      <c r="ME432" s="31"/>
      <c r="MF432" s="31"/>
      <c r="MG432" s="31"/>
      <c r="MH432" s="31"/>
      <c r="MI432" s="31"/>
      <c r="MJ432" s="31"/>
      <c r="MK432" s="31"/>
      <c r="ML432" s="31"/>
      <c r="MM432" s="31"/>
      <c r="MN432" s="31"/>
      <c r="MO432" s="31"/>
      <c r="MP432" s="31"/>
      <c r="MQ432" s="31"/>
      <c r="MR432" s="31"/>
      <c r="MS432" s="31"/>
      <c r="MT432" s="31"/>
      <c r="MU432" s="31"/>
      <c r="MV432" s="31"/>
      <c r="MW432" s="31"/>
      <c r="MX432" s="31"/>
      <c r="MY432" s="31"/>
      <c r="MZ432" s="31"/>
      <c r="NA432" s="31"/>
      <c r="NB432" s="31"/>
      <c r="NC432" s="31"/>
      <c r="ND432" s="31"/>
      <c r="NE432" s="31"/>
      <c r="NF432" s="31"/>
      <c r="NG432" s="31"/>
      <c r="NH432" s="31"/>
      <c r="NI432" s="31"/>
      <c r="NJ432" s="31"/>
      <c r="NK432" s="31"/>
      <c r="NL432" s="31"/>
      <c r="NM432" s="31"/>
      <c r="NN432" s="31"/>
      <c r="NO432" s="31"/>
      <c r="NP432" s="31"/>
      <c r="NQ432" s="31"/>
      <c r="NR432" s="31"/>
      <c r="NS432" s="31"/>
      <c r="NT432" s="31"/>
      <c r="NU432" s="31"/>
      <c r="NV432" s="31"/>
      <c r="NW432" s="31"/>
      <c r="NX432" s="31"/>
      <c r="NY432" s="31"/>
      <c r="NZ432" s="31"/>
      <c r="OA432" s="31"/>
      <c r="OB432" s="31"/>
      <c r="OC432" s="31"/>
      <c r="OD432" s="31"/>
      <c r="OE432" s="31"/>
      <c r="OF432" s="31"/>
      <c r="OG432" s="31"/>
      <c r="OH432" s="31"/>
      <c r="OI432" s="31"/>
      <c r="OJ432" s="31"/>
      <c r="OK432" s="31"/>
      <c r="OL432" s="31"/>
      <c r="OM432" s="31"/>
      <c r="ON432" s="31"/>
      <c r="OO432" s="31"/>
      <c r="OP432" s="31"/>
      <c r="OQ432" s="31"/>
      <c r="OR432" s="31"/>
      <c r="OS432" s="31"/>
      <c r="OT432" s="31"/>
      <c r="OU432" s="31"/>
      <c r="OV432" s="31"/>
      <c r="OW432" s="31"/>
      <c r="OX432" s="31"/>
    </row>
    <row r="433" spans="2:414" s="25" customFormat="1" ht="15.6">
      <c r="B433" s="25" t="s">
        <v>595</v>
      </c>
      <c r="C433" s="27" t="s">
        <v>995</v>
      </c>
      <c r="D433" s="30" t="s">
        <v>291</v>
      </c>
      <c r="G433" s="42">
        <v>80</v>
      </c>
      <c r="H433" s="89">
        <v>26.109000000000002</v>
      </c>
      <c r="I433" s="38">
        <f t="shared" si="135"/>
        <v>2088.7200000000003</v>
      </c>
      <c r="K433" s="42">
        <v>80</v>
      </c>
      <c r="L433" s="90">
        <v>26.849599999999999</v>
      </c>
      <c r="M433" s="38">
        <f t="shared" si="136"/>
        <v>2147.9679999999998</v>
      </c>
      <c r="O433" s="42">
        <v>505</v>
      </c>
      <c r="P433" s="38">
        <v>26.728300000000001</v>
      </c>
      <c r="Q433" s="38">
        <f t="shared" si="137"/>
        <v>13497.791500000001</v>
      </c>
      <c r="R433" s="43">
        <f t="shared" si="132"/>
        <v>665</v>
      </c>
      <c r="S433" s="38">
        <f t="shared" si="138"/>
        <v>17734.479500000001</v>
      </c>
      <c r="T433" s="49">
        <v>240</v>
      </c>
      <c r="U433" s="42">
        <v>26.768699999999999</v>
      </c>
      <c r="V433" s="38">
        <f t="shared" si="146"/>
        <v>6424.4879999999994</v>
      </c>
      <c r="W433" s="42">
        <v>390</v>
      </c>
      <c r="X433" s="42">
        <v>26.77</v>
      </c>
      <c r="Y433" s="42">
        <f t="shared" si="144"/>
        <v>10440.299999999999</v>
      </c>
      <c r="Z433" s="42"/>
      <c r="AA433" s="42"/>
      <c r="AB433" s="42">
        <f t="shared" si="145"/>
        <v>0</v>
      </c>
      <c r="AD433" s="42"/>
      <c r="AE433" s="42"/>
      <c r="AF433" s="42">
        <f t="shared" si="147"/>
        <v>0</v>
      </c>
      <c r="AG433" s="42"/>
      <c r="AH433" s="42"/>
      <c r="AI433" s="42"/>
      <c r="AJ433" s="42">
        <f t="shared" si="134"/>
        <v>0</v>
      </c>
      <c r="AL433" s="42"/>
      <c r="AM433" s="42"/>
      <c r="AN433" s="42"/>
      <c r="AO433" s="44"/>
      <c r="AP433" s="42"/>
      <c r="AQ433" s="42"/>
      <c r="AR433" s="42"/>
      <c r="AU433" s="98"/>
      <c r="AV433" s="35"/>
      <c r="AW433" s="104"/>
      <c r="AX433" s="42"/>
      <c r="AY433" s="42"/>
      <c r="AZ433" s="42">
        <f t="shared" si="131"/>
        <v>0</v>
      </c>
      <c r="BA433" s="42"/>
      <c r="BB433" s="42"/>
      <c r="BC433" s="42"/>
      <c r="BD433" s="38">
        <f t="shared" si="139"/>
        <v>0</v>
      </c>
      <c r="BE433" s="42"/>
      <c r="BF433" s="42"/>
      <c r="BG433" s="42"/>
      <c r="BH433" s="38">
        <f t="shared" si="140"/>
        <v>0</v>
      </c>
      <c r="BI433" s="42"/>
      <c r="BJ433" s="42"/>
      <c r="BK433" s="42"/>
      <c r="BL433" s="38">
        <f t="shared" si="141"/>
        <v>0</v>
      </c>
      <c r="BM433" s="42"/>
      <c r="BN433" s="42"/>
      <c r="BO433" s="42"/>
      <c r="BP433" s="42"/>
      <c r="BR433" s="42">
        <f t="shared" si="142"/>
        <v>16864.788</v>
      </c>
      <c r="BS433" s="43">
        <f t="shared" si="143"/>
        <v>869.69150000000081</v>
      </c>
      <c r="BT433" s="42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  <c r="FM433" s="31"/>
      <c r="FN433" s="31"/>
      <c r="FO433" s="31"/>
      <c r="FP433" s="31"/>
      <c r="FQ433" s="31"/>
      <c r="FR433" s="31"/>
      <c r="FS433" s="31"/>
      <c r="FT433" s="31"/>
      <c r="FU433" s="31"/>
      <c r="FV433" s="31"/>
      <c r="FW433" s="31"/>
      <c r="FX433" s="31"/>
      <c r="FY433" s="31"/>
      <c r="FZ433" s="31"/>
      <c r="GA433" s="31"/>
      <c r="GB433" s="31"/>
      <c r="GC433" s="31"/>
      <c r="GD433" s="31"/>
      <c r="GE433" s="31"/>
      <c r="GF433" s="31"/>
      <c r="GG433" s="31"/>
      <c r="GH433" s="31"/>
      <c r="GI433" s="31"/>
      <c r="GJ433" s="31"/>
      <c r="GK433" s="31"/>
      <c r="GL433" s="31"/>
      <c r="GM433" s="31"/>
      <c r="GN433" s="31"/>
      <c r="GO433" s="31"/>
      <c r="GP433" s="31"/>
      <c r="GQ433" s="31"/>
      <c r="GR433" s="31"/>
      <c r="GS433" s="31"/>
      <c r="GT433" s="31"/>
      <c r="GU433" s="31"/>
      <c r="GV433" s="31"/>
      <c r="GW433" s="31"/>
      <c r="GX433" s="31"/>
      <c r="GY433" s="31"/>
      <c r="GZ433" s="31"/>
      <c r="HA433" s="31"/>
      <c r="HB433" s="31"/>
      <c r="HC433" s="31"/>
      <c r="HD433" s="31"/>
      <c r="HE433" s="31"/>
      <c r="HF433" s="31"/>
      <c r="HG433" s="31"/>
      <c r="HH433" s="31"/>
      <c r="HI433" s="31"/>
      <c r="HJ433" s="31"/>
      <c r="HK433" s="31"/>
      <c r="HL433" s="31"/>
      <c r="HM433" s="31"/>
      <c r="HN433" s="31"/>
      <c r="HO433" s="31"/>
      <c r="HP433" s="31"/>
      <c r="HQ433" s="31"/>
      <c r="HR433" s="31"/>
      <c r="HS433" s="31"/>
      <c r="HT433" s="31"/>
      <c r="HU433" s="31"/>
      <c r="HV433" s="31"/>
      <c r="HW433" s="31"/>
      <c r="HX433" s="31"/>
      <c r="HY433" s="31"/>
      <c r="HZ433" s="31"/>
      <c r="IA433" s="31"/>
      <c r="IB433" s="31"/>
      <c r="IC433" s="31"/>
      <c r="ID433" s="31"/>
      <c r="IE433" s="31"/>
      <c r="IF433" s="31"/>
      <c r="IG433" s="31"/>
      <c r="IH433" s="31"/>
      <c r="II433" s="31"/>
      <c r="IJ433" s="31"/>
      <c r="IK433" s="31"/>
      <c r="IL433" s="31"/>
      <c r="IM433" s="31"/>
      <c r="IN433" s="31"/>
      <c r="IO433" s="31"/>
      <c r="IP433" s="31"/>
      <c r="IQ433" s="31"/>
      <c r="IR433" s="31"/>
      <c r="IS433" s="31"/>
      <c r="IT433" s="31"/>
      <c r="IU433" s="31"/>
      <c r="IV433" s="31"/>
      <c r="IW433" s="31"/>
      <c r="IX433" s="31"/>
      <c r="IY433" s="31"/>
      <c r="IZ433" s="31"/>
      <c r="JA433" s="31"/>
      <c r="JB433" s="31"/>
      <c r="JC433" s="31"/>
      <c r="JD433" s="31"/>
      <c r="JE433" s="31"/>
      <c r="JF433" s="31"/>
      <c r="JG433" s="31"/>
      <c r="JH433" s="31"/>
      <c r="JI433" s="31"/>
      <c r="JJ433" s="31"/>
      <c r="JK433" s="31"/>
      <c r="JL433" s="31"/>
      <c r="JM433" s="31"/>
      <c r="JN433" s="31"/>
      <c r="JO433" s="31"/>
      <c r="JP433" s="31"/>
      <c r="JQ433" s="31"/>
      <c r="JR433" s="31"/>
      <c r="JS433" s="31"/>
      <c r="JT433" s="31"/>
      <c r="JU433" s="31"/>
      <c r="JV433" s="31"/>
      <c r="JW433" s="31"/>
      <c r="JX433" s="31"/>
      <c r="JY433" s="31"/>
      <c r="JZ433" s="31"/>
      <c r="KA433" s="31"/>
      <c r="KB433" s="31"/>
      <c r="KC433" s="31"/>
      <c r="KD433" s="31"/>
      <c r="KE433" s="31"/>
      <c r="KF433" s="31"/>
      <c r="KG433" s="31"/>
      <c r="KH433" s="31"/>
      <c r="KI433" s="31"/>
      <c r="KJ433" s="31"/>
      <c r="KK433" s="31"/>
      <c r="KL433" s="31"/>
      <c r="KM433" s="31"/>
      <c r="KN433" s="31"/>
      <c r="KO433" s="31"/>
      <c r="KP433" s="31"/>
      <c r="KQ433" s="31"/>
      <c r="KR433" s="31"/>
      <c r="KS433" s="31"/>
      <c r="KT433" s="31"/>
      <c r="KU433" s="31"/>
      <c r="KV433" s="31"/>
      <c r="KW433" s="31"/>
      <c r="KX433" s="31"/>
      <c r="KY433" s="31"/>
      <c r="KZ433" s="31"/>
      <c r="LA433" s="31"/>
      <c r="LB433" s="31"/>
      <c r="LC433" s="31"/>
      <c r="LD433" s="31"/>
      <c r="LE433" s="31"/>
      <c r="LF433" s="31"/>
      <c r="LG433" s="31"/>
      <c r="LH433" s="31"/>
      <c r="LI433" s="31"/>
      <c r="LJ433" s="31"/>
      <c r="LK433" s="31"/>
      <c r="LL433" s="31"/>
      <c r="LM433" s="31"/>
      <c r="LN433" s="31"/>
      <c r="LO433" s="31"/>
      <c r="LP433" s="31"/>
      <c r="LQ433" s="31"/>
      <c r="LR433" s="31"/>
      <c r="LS433" s="31"/>
      <c r="LT433" s="31"/>
      <c r="LU433" s="31"/>
      <c r="LV433" s="31"/>
      <c r="LW433" s="31"/>
      <c r="LX433" s="31"/>
      <c r="LY433" s="31"/>
      <c r="LZ433" s="31"/>
      <c r="MA433" s="31"/>
      <c r="MB433" s="31"/>
      <c r="MC433" s="31"/>
      <c r="MD433" s="31"/>
      <c r="ME433" s="31"/>
      <c r="MF433" s="31"/>
      <c r="MG433" s="31"/>
      <c r="MH433" s="31"/>
      <c r="MI433" s="31"/>
      <c r="MJ433" s="31"/>
      <c r="MK433" s="31"/>
      <c r="ML433" s="31"/>
      <c r="MM433" s="31"/>
      <c r="MN433" s="31"/>
      <c r="MO433" s="31"/>
      <c r="MP433" s="31"/>
      <c r="MQ433" s="31"/>
      <c r="MR433" s="31"/>
      <c r="MS433" s="31"/>
      <c r="MT433" s="31"/>
      <c r="MU433" s="31"/>
      <c r="MV433" s="31"/>
      <c r="MW433" s="31"/>
      <c r="MX433" s="31"/>
      <c r="MY433" s="31"/>
      <c r="MZ433" s="31"/>
      <c r="NA433" s="31"/>
      <c r="NB433" s="31"/>
      <c r="NC433" s="31"/>
      <c r="ND433" s="31"/>
      <c r="NE433" s="31"/>
      <c r="NF433" s="31"/>
      <c r="NG433" s="31"/>
      <c r="NH433" s="31"/>
      <c r="NI433" s="31"/>
      <c r="NJ433" s="31"/>
      <c r="NK433" s="31"/>
      <c r="NL433" s="31"/>
      <c r="NM433" s="31"/>
      <c r="NN433" s="31"/>
      <c r="NO433" s="31"/>
      <c r="NP433" s="31"/>
      <c r="NQ433" s="31"/>
      <c r="NR433" s="31"/>
      <c r="NS433" s="31"/>
      <c r="NT433" s="31"/>
      <c r="NU433" s="31"/>
      <c r="NV433" s="31"/>
      <c r="NW433" s="31"/>
      <c r="NX433" s="31"/>
      <c r="NY433" s="31"/>
      <c r="NZ433" s="31"/>
      <c r="OA433" s="31"/>
      <c r="OB433" s="31"/>
      <c r="OC433" s="31"/>
      <c r="OD433" s="31"/>
      <c r="OE433" s="31"/>
      <c r="OF433" s="31"/>
      <c r="OG433" s="31"/>
      <c r="OH433" s="31"/>
      <c r="OI433" s="31"/>
      <c r="OJ433" s="31"/>
      <c r="OK433" s="31"/>
      <c r="OL433" s="31"/>
      <c r="OM433" s="31"/>
      <c r="ON433" s="31"/>
      <c r="OO433" s="31"/>
      <c r="OP433" s="31"/>
      <c r="OQ433" s="31"/>
      <c r="OR433" s="31"/>
      <c r="OS433" s="31"/>
      <c r="OT433" s="31"/>
      <c r="OU433" s="31"/>
      <c r="OV433" s="31"/>
      <c r="OW433" s="31"/>
      <c r="OX433" s="31"/>
    </row>
    <row r="434" spans="2:414" s="25" customFormat="1" ht="15.6">
      <c r="B434" s="25" t="s">
        <v>930</v>
      </c>
      <c r="C434" s="27" t="s">
        <v>333</v>
      </c>
      <c r="D434" s="30" t="s">
        <v>291</v>
      </c>
      <c r="G434" s="42">
        <v>80</v>
      </c>
      <c r="H434" s="89">
        <v>26.109000000000002</v>
      </c>
      <c r="I434" s="38">
        <f t="shared" si="135"/>
        <v>2088.7200000000003</v>
      </c>
      <c r="K434" s="42">
        <v>80</v>
      </c>
      <c r="L434" s="90">
        <v>26.849599999999999</v>
      </c>
      <c r="M434" s="38">
        <f t="shared" si="136"/>
        <v>2147.9679999999998</v>
      </c>
      <c r="O434" s="42">
        <v>505</v>
      </c>
      <c r="P434" s="38">
        <v>26.728300000000001</v>
      </c>
      <c r="Q434" s="38">
        <f t="shared" si="137"/>
        <v>13497.791500000001</v>
      </c>
      <c r="R434" s="43">
        <f t="shared" si="132"/>
        <v>665</v>
      </c>
      <c r="S434" s="38">
        <f t="shared" si="138"/>
        <v>17734.479500000001</v>
      </c>
      <c r="T434" s="49">
        <v>240</v>
      </c>
      <c r="U434" s="42">
        <v>26.766200000000001</v>
      </c>
      <c r="V434" s="38">
        <f t="shared" si="146"/>
        <v>6423.8879999999999</v>
      </c>
      <c r="W434" s="42">
        <v>505</v>
      </c>
      <c r="X434" s="42">
        <v>26.729700000000001</v>
      </c>
      <c r="Y434" s="42">
        <f t="shared" si="144"/>
        <v>13498.4985</v>
      </c>
      <c r="Z434" s="42"/>
      <c r="AA434" s="42"/>
      <c r="AB434" s="42">
        <f t="shared" si="145"/>
        <v>0</v>
      </c>
      <c r="AD434" s="42"/>
      <c r="AE434" s="42"/>
      <c r="AF434" s="42">
        <f t="shared" si="147"/>
        <v>0</v>
      </c>
      <c r="AG434" s="42"/>
      <c r="AH434" s="42"/>
      <c r="AI434" s="42"/>
      <c r="AJ434" s="42">
        <f t="shared" si="134"/>
        <v>0</v>
      </c>
      <c r="AL434" s="42"/>
      <c r="AM434" s="42"/>
      <c r="AN434" s="42"/>
      <c r="AO434" s="44"/>
      <c r="AP434" s="42"/>
      <c r="AQ434" s="42"/>
      <c r="AR434" s="42"/>
      <c r="AU434" s="98"/>
      <c r="AV434" s="35"/>
      <c r="AW434" s="104"/>
      <c r="AX434" s="42"/>
      <c r="AY434" s="42"/>
      <c r="AZ434" s="42">
        <f t="shared" si="131"/>
        <v>0</v>
      </c>
      <c r="BA434" s="42"/>
      <c r="BB434" s="42"/>
      <c r="BC434" s="42"/>
      <c r="BD434" s="38">
        <f t="shared" si="139"/>
        <v>0</v>
      </c>
      <c r="BE434" s="42"/>
      <c r="BF434" s="42"/>
      <c r="BG434" s="42"/>
      <c r="BH434" s="38">
        <f t="shared" si="140"/>
        <v>0</v>
      </c>
      <c r="BI434" s="42"/>
      <c r="BJ434" s="42"/>
      <c r="BK434" s="42"/>
      <c r="BL434" s="38">
        <f t="shared" si="141"/>
        <v>0</v>
      </c>
      <c r="BM434" s="42"/>
      <c r="BN434" s="42"/>
      <c r="BO434" s="42"/>
      <c r="BP434" s="42"/>
      <c r="BR434" s="42">
        <f t="shared" si="142"/>
        <v>19922.386500000001</v>
      </c>
      <c r="BS434" s="43"/>
      <c r="BT434" s="35">
        <v>2187.91</v>
      </c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  <c r="FM434" s="31"/>
      <c r="FN434" s="31"/>
      <c r="FO434" s="31"/>
      <c r="FP434" s="31"/>
      <c r="FQ434" s="31"/>
      <c r="FR434" s="31"/>
      <c r="FS434" s="31"/>
      <c r="FT434" s="31"/>
      <c r="FU434" s="31"/>
      <c r="FV434" s="31"/>
      <c r="FW434" s="31"/>
      <c r="FX434" s="31"/>
      <c r="FY434" s="31"/>
      <c r="FZ434" s="31"/>
      <c r="GA434" s="31"/>
      <c r="GB434" s="31"/>
      <c r="GC434" s="31"/>
      <c r="GD434" s="31"/>
      <c r="GE434" s="31"/>
      <c r="GF434" s="31"/>
      <c r="GG434" s="31"/>
      <c r="GH434" s="31"/>
      <c r="GI434" s="31"/>
      <c r="GJ434" s="31"/>
      <c r="GK434" s="31"/>
      <c r="GL434" s="31"/>
      <c r="GM434" s="31"/>
      <c r="GN434" s="31"/>
      <c r="GO434" s="31"/>
      <c r="GP434" s="31"/>
      <c r="GQ434" s="31"/>
      <c r="GR434" s="31"/>
      <c r="GS434" s="31"/>
      <c r="GT434" s="31"/>
      <c r="GU434" s="31"/>
      <c r="GV434" s="31"/>
      <c r="GW434" s="31"/>
      <c r="GX434" s="31"/>
      <c r="GY434" s="31"/>
      <c r="GZ434" s="31"/>
      <c r="HA434" s="31"/>
      <c r="HB434" s="31"/>
      <c r="HC434" s="31"/>
      <c r="HD434" s="31"/>
      <c r="HE434" s="31"/>
      <c r="HF434" s="31"/>
      <c r="HG434" s="31"/>
      <c r="HH434" s="31"/>
      <c r="HI434" s="31"/>
      <c r="HJ434" s="31"/>
      <c r="HK434" s="31"/>
      <c r="HL434" s="31"/>
      <c r="HM434" s="31"/>
      <c r="HN434" s="31"/>
      <c r="HO434" s="31"/>
      <c r="HP434" s="31"/>
      <c r="HQ434" s="31"/>
      <c r="HR434" s="31"/>
      <c r="HS434" s="31"/>
      <c r="HT434" s="31"/>
      <c r="HU434" s="31"/>
      <c r="HV434" s="31"/>
      <c r="HW434" s="31"/>
      <c r="HX434" s="31"/>
      <c r="HY434" s="31"/>
      <c r="HZ434" s="31"/>
      <c r="IA434" s="31"/>
      <c r="IB434" s="31"/>
      <c r="IC434" s="31"/>
      <c r="ID434" s="31"/>
      <c r="IE434" s="31"/>
      <c r="IF434" s="31"/>
      <c r="IG434" s="31"/>
      <c r="IH434" s="31"/>
      <c r="II434" s="31"/>
      <c r="IJ434" s="31"/>
      <c r="IK434" s="31"/>
      <c r="IL434" s="31"/>
      <c r="IM434" s="31"/>
      <c r="IN434" s="31"/>
      <c r="IO434" s="31"/>
      <c r="IP434" s="31"/>
      <c r="IQ434" s="31"/>
      <c r="IR434" s="31"/>
      <c r="IS434" s="31"/>
      <c r="IT434" s="31"/>
      <c r="IU434" s="31"/>
      <c r="IV434" s="31"/>
      <c r="IW434" s="31"/>
      <c r="IX434" s="31"/>
      <c r="IY434" s="31"/>
      <c r="IZ434" s="31"/>
      <c r="JA434" s="31"/>
      <c r="JB434" s="31"/>
      <c r="JC434" s="31"/>
      <c r="JD434" s="31"/>
      <c r="JE434" s="31"/>
      <c r="JF434" s="31"/>
      <c r="JG434" s="31"/>
      <c r="JH434" s="31"/>
      <c r="JI434" s="31"/>
      <c r="JJ434" s="31"/>
      <c r="JK434" s="31"/>
      <c r="JL434" s="31"/>
      <c r="JM434" s="31"/>
      <c r="JN434" s="31"/>
      <c r="JO434" s="31"/>
      <c r="JP434" s="31"/>
      <c r="JQ434" s="31"/>
      <c r="JR434" s="31"/>
      <c r="JS434" s="31"/>
      <c r="JT434" s="31"/>
      <c r="JU434" s="31"/>
      <c r="JV434" s="31"/>
      <c r="JW434" s="31"/>
      <c r="JX434" s="31"/>
      <c r="JY434" s="31"/>
      <c r="JZ434" s="31"/>
      <c r="KA434" s="31"/>
      <c r="KB434" s="31"/>
      <c r="KC434" s="31"/>
      <c r="KD434" s="31"/>
      <c r="KE434" s="31"/>
      <c r="KF434" s="31"/>
      <c r="KG434" s="31"/>
      <c r="KH434" s="31"/>
      <c r="KI434" s="31"/>
      <c r="KJ434" s="31"/>
      <c r="KK434" s="31"/>
      <c r="KL434" s="31"/>
      <c r="KM434" s="31"/>
      <c r="KN434" s="31"/>
      <c r="KO434" s="31"/>
      <c r="KP434" s="31"/>
      <c r="KQ434" s="31"/>
      <c r="KR434" s="31"/>
      <c r="KS434" s="31"/>
      <c r="KT434" s="31"/>
      <c r="KU434" s="31"/>
      <c r="KV434" s="31"/>
      <c r="KW434" s="31"/>
      <c r="KX434" s="31"/>
      <c r="KY434" s="31"/>
      <c r="KZ434" s="31"/>
      <c r="LA434" s="31"/>
      <c r="LB434" s="31"/>
      <c r="LC434" s="31"/>
      <c r="LD434" s="31"/>
      <c r="LE434" s="31"/>
      <c r="LF434" s="31"/>
      <c r="LG434" s="31"/>
      <c r="LH434" s="31"/>
      <c r="LI434" s="31"/>
      <c r="LJ434" s="31"/>
      <c r="LK434" s="31"/>
      <c r="LL434" s="31"/>
      <c r="LM434" s="31"/>
      <c r="LN434" s="31"/>
      <c r="LO434" s="31"/>
      <c r="LP434" s="31"/>
      <c r="LQ434" s="31"/>
      <c r="LR434" s="31"/>
      <c r="LS434" s="31"/>
      <c r="LT434" s="31"/>
      <c r="LU434" s="31"/>
      <c r="LV434" s="31"/>
      <c r="LW434" s="31"/>
      <c r="LX434" s="31"/>
      <c r="LY434" s="31"/>
      <c r="LZ434" s="31"/>
      <c r="MA434" s="31"/>
      <c r="MB434" s="31"/>
      <c r="MC434" s="31"/>
      <c r="MD434" s="31"/>
      <c r="ME434" s="31"/>
      <c r="MF434" s="31"/>
      <c r="MG434" s="31"/>
      <c r="MH434" s="31"/>
      <c r="MI434" s="31"/>
      <c r="MJ434" s="31"/>
      <c r="MK434" s="31"/>
      <c r="ML434" s="31"/>
      <c r="MM434" s="31"/>
      <c r="MN434" s="31"/>
      <c r="MO434" s="31"/>
      <c r="MP434" s="31"/>
      <c r="MQ434" s="31"/>
      <c r="MR434" s="31"/>
      <c r="MS434" s="31"/>
      <c r="MT434" s="31"/>
      <c r="MU434" s="31"/>
      <c r="MV434" s="31"/>
      <c r="MW434" s="31"/>
      <c r="MX434" s="31"/>
      <c r="MY434" s="31"/>
      <c r="MZ434" s="31"/>
      <c r="NA434" s="31"/>
      <c r="NB434" s="31"/>
      <c r="NC434" s="31"/>
      <c r="ND434" s="31"/>
      <c r="NE434" s="31"/>
      <c r="NF434" s="31"/>
      <c r="NG434" s="31"/>
      <c r="NH434" s="31"/>
      <c r="NI434" s="31"/>
      <c r="NJ434" s="31"/>
      <c r="NK434" s="31"/>
      <c r="NL434" s="31"/>
      <c r="NM434" s="31"/>
      <c r="NN434" s="31"/>
      <c r="NO434" s="31"/>
      <c r="NP434" s="31"/>
      <c r="NQ434" s="31"/>
      <c r="NR434" s="31"/>
      <c r="NS434" s="31"/>
      <c r="NT434" s="31"/>
      <c r="NU434" s="31"/>
      <c r="NV434" s="31"/>
      <c r="NW434" s="31"/>
      <c r="NX434" s="31"/>
      <c r="NY434" s="31"/>
      <c r="NZ434" s="31"/>
      <c r="OA434" s="31"/>
      <c r="OB434" s="31"/>
      <c r="OC434" s="31"/>
      <c r="OD434" s="31"/>
      <c r="OE434" s="31"/>
      <c r="OF434" s="31"/>
      <c r="OG434" s="31"/>
      <c r="OH434" s="31"/>
      <c r="OI434" s="31"/>
      <c r="OJ434" s="31"/>
      <c r="OK434" s="31"/>
      <c r="OL434" s="31"/>
      <c r="OM434" s="31"/>
      <c r="ON434" s="31"/>
      <c r="OO434" s="31"/>
      <c r="OP434" s="31"/>
      <c r="OQ434" s="31"/>
      <c r="OR434" s="31"/>
      <c r="OS434" s="31"/>
      <c r="OT434" s="31"/>
      <c r="OU434" s="31"/>
      <c r="OV434" s="31"/>
      <c r="OW434" s="31"/>
      <c r="OX434" s="31"/>
    </row>
    <row r="435" spans="2:414" s="25" customFormat="1" ht="15.6">
      <c r="B435" s="25" t="s">
        <v>830</v>
      </c>
      <c r="C435" s="27" t="s">
        <v>455</v>
      </c>
      <c r="D435" s="30" t="s">
        <v>291</v>
      </c>
      <c r="G435" s="42">
        <v>80</v>
      </c>
      <c r="H435" s="89">
        <v>26.109000000000002</v>
      </c>
      <c r="I435" s="38">
        <f t="shared" si="135"/>
        <v>2088.7200000000003</v>
      </c>
      <c r="K435" s="42">
        <v>80</v>
      </c>
      <c r="L435" s="90">
        <v>26.849599999999999</v>
      </c>
      <c r="M435" s="38">
        <f t="shared" si="136"/>
        <v>2147.9679999999998</v>
      </c>
      <c r="O435" s="42">
        <v>505</v>
      </c>
      <c r="P435" s="38">
        <v>26.728300000000001</v>
      </c>
      <c r="Q435" s="38">
        <f t="shared" si="137"/>
        <v>13497.791500000001</v>
      </c>
      <c r="R435" s="43">
        <f t="shared" si="132"/>
        <v>665</v>
      </c>
      <c r="S435" s="38">
        <f t="shared" si="138"/>
        <v>17734.479500000001</v>
      </c>
      <c r="T435" s="49">
        <v>240</v>
      </c>
      <c r="U435" s="42">
        <v>26.550999999999998</v>
      </c>
      <c r="V435" s="38">
        <f t="shared" si="146"/>
        <v>6372.24</v>
      </c>
      <c r="W435" s="42">
        <v>505</v>
      </c>
      <c r="X435" s="42">
        <v>26.55</v>
      </c>
      <c r="Y435" s="42">
        <f t="shared" si="144"/>
        <v>13407.75</v>
      </c>
      <c r="Z435" s="42"/>
      <c r="AA435" s="42"/>
      <c r="AB435" s="42">
        <f t="shared" si="145"/>
        <v>0</v>
      </c>
      <c r="AD435" s="42"/>
      <c r="AE435" s="42"/>
      <c r="AF435" s="42">
        <f t="shared" si="147"/>
        <v>0</v>
      </c>
      <c r="AG435" s="42"/>
      <c r="AH435" s="42"/>
      <c r="AI435" s="42"/>
      <c r="AJ435" s="42">
        <f t="shared" si="134"/>
        <v>0</v>
      </c>
      <c r="AL435" s="42"/>
      <c r="AM435" s="42"/>
      <c r="AN435" s="42"/>
      <c r="AO435" s="44"/>
      <c r="AP435" s="42"/>
      <c r="AQ435" s="42"/>
      <c r="AR435" s="42"/>
      <c r="AU435" s="98"/>
      <c r="AV435" s="35"/>
      <c r="AW435" s="104"/>
      <c r="AX435" s="42"/>
      <c r="AY435" s="42"/>
      <c r="AZ435" s="42">
        <f t="shared" si="131"/>
        <v>0</v>
      </c>
      <c r="BA435" s="42"/>
      <c r="BB435" s="42"/>
      <c r="BC435" s="42"/>
      <c r="BD435" s="38">
        <f t="shared" si="139"/>
        <v>0</v>
      </c>
      <c r="BE435" s="42"/>
      <c r="BF435" s="42"/>
      <c r="BG435" s="42"/>
      <c r="BH435" s="38">
        <f t="shared" si="140"/>
        <v>0</v>
      </c>
      <c r="BI435" s="42"/>
      <c r="BJ435" s="42"/>
      <c r="BK435" s="42"/>
      <c r="BL435" s="38">
        <f t="shared" si="141"/>
        <v>0</v>
      </c>
      <c r="BM435" s="42"/>
      <c r="BN435" s="42"/>
      <c r="BO435" s="42"/>
      <c r="BP435" s="42"/>
      <c r="BR435" s="42">
        <f t="shared" si="142"/>
        <v>19779.989999999998</v>
      </c>
      <c r="BS435" s="43"/>
      <c r="BT435" s="35">
        <v>2045.51</v>
      </c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  <c r="FM435" s="31"/>
      <c r="FN435" s="31"/>
      <c r="FO435" s="31"/>
      <c r="FP435" s="31"/>
      <c r="FQ435" s="31"/>
      <c r="FR435" s="31"/>
      <c r="FS435" s="31"/>
      <c r="FT435" s="31"/>
      <c r="FU435" s="31"/>
      <c r="FV435" s="31"/>
      <c r="FW435" s="31"/>
      <c r="FX435" s="31"/>
      <c r="FY435" s="31"/>
      <c r="FZ435" s="31"/>
      <c r="GA435" s="31"/>
      <c r="GB435" s="31"/>
      <c r="GC435" s="31"/>
      <c r="GD435" s="31"/>
      <c r="GE435" s="31"/>
      <c r="GF435" s="31"/>
      <c r="GG435" s="31"/>
      <c r="GH435" s="31"/>
      <c r="GI435" s="31"/>
      <c r="GJ435" s="31"/>
      <c r="GK435" s="31"/>
      <c r="GL435" s="31"/>
      <c r="GM435" s="31"/>
      <c r="GN435" s="31"/>
      <c r="GO435" s="31"/>
      <c r="GP435" s="31"/>
      <c r="GQ435" s="31"/>
      <c r="GR435" s="31"/>
      <c r="GS435" s="31"/>
      <c r="GT435" s="31"/>
      <c r="GU435" s="31"/>
      <c r="GV435" s="31"/>
      <c r="GW435" s="31"/>
      <c r="GX435" s="31"/>
      <c r="GY435" s="31"/>
      <c r="GZ435" s="31"/>
      <c r="HA435" s="31"/>
      <c r="HB435" s="31"/>
      <c r="HC435" s="31"/>
      <c r="HD435" s="31"/>
      <c r="HE435" s="31"/>
      <c r="HF435" s="31"/>
      <c r="HG435" s="31"/>
      <c r="HH435" s="31"/>
      <c r="HI435" s="31"/>
      <c r="HJ435" s="31"/>
      <c r="HK435" s="31"/>
      <c r="HL435" s="31"/>
      <c r="HM435" s="31"/>
      <c r="HN435" s="31"/>
      <c r="HO435" s="31"/>
      <c r="HP435" s="31"/>
      <c r="HQ435" s="31"/>
      <c r="HR435" s="31"/>
      <c r="HS435" s="31"/>
      <c r="HT435" s="31"/>
      <c r="HU435" s="31"/>
      <c r="HV435" s="31"/>
      <c r="HW435" s="31"/>
      <c r="HX435" s="31"/>
      <c r="HY435" s="31"/>
      <c r="HZ435" s="31"/>
      <c r="IA435" s="31"/>
      <c r="IB435" s="31"/>
      <c r="IC435" s="31"/>
      <c r="ID435" s="31"/>
      <c r="IE435" s="31"/>
      <c r="IF435" s="31"/>
      <c r="IG435" s="31"/>
      <c r="IH435" s="31"/>
      <c r="II435" s="31"/>
      <c r="IJ435" s="31"/>
      <c r="IK435" s="31"/>
      <c r="IL435" s="31"/>
      <c r="IM435" s="31"/>
      <c r="IN435" s="31"/>
      <c r="IO435" s="31"/>
      <c r="IP435" s="31"/>
      <c r="IQ435" s="31"/>
      <c r="IR435" s="31"/>
      <c r="IS435" s="31"/>
      <c r="IT435" s="31"/>
      <c r="IU435" s="31"/>
      <c r="IV435" s="31"/>
      <c r="IW435" s="31"/>
      <c r="IX435" s="31"/>
      <c r="IY435" s="31"/>
      <c r="IZ435" s="31"/>
      <c r="JA435" s="31"/>
      <c r="JB435" s="31"/>
      <c r="JC435" s="31"/>
      <c r="JD435" s="31"/>
      <c r="JE435" s="31"/>
      <c r="JF435" s="31"/>
      <c r="JG435" s="31"/>
      <c r="JH435" s="31"/>
      <c r="JI435" s="31"/>
      <c r="JJ435" s="31"/>
      <c r="JK435" s="31"/>
      <c r="JL435" s="31"/>
      <c r="JM435" s="31"/>
      <c r="JN435" s="31"/>
      <c r="JO435" s="31"/>
      <c r="JP435" s="31"/>
      <c r="JQ435" s="31"/>
      <c r="JR435" s="31"/>
      <c r="JS435" s="31"/>
      <c r="JT435" s="31"/>
      <c r="JU435" s="31"/>
      <c r="JV435" s="31"/>
      <c r="JW435" s="31"/>
      <c r="JX435" s="31"/>
      <c r="JY435" s="31"/>
      <c r="JZ435" s="31"/>
      <c r="KA435" s="31"/>
      <c r="KB435" s="31"/>
      <c r="KC435" s="31"/>
      <c r="KD435" s="31"/>
      <c r="KE435" s="31"/>
      <c r="KF435" s="31"/>
      <c r="KG435" s="31"/>
      <c r="KH435" s="31"/>
      <c r="KI435" s="31"/>
      <c r="KJ435" s="31"/>
      <c r="KK435" s="31"/>
      <c r="KL435" s="31"/>
      <c r="KM435" s="31"/>
      <c r="KN435" s="31"/>
      <c r="KO435" s="31"/>
      <c r="KP435" s="31"/>
      <c r="KQ435" s="31"/>
      <c r="KR435" s="31"/>
      <c r="KS435" s="31"/>
      <c r="KT435" s="31"/>
      <c r="KU435" s="31"/>
      <c r="KV435" s="31"/>
      <c r="KW435" s="31"/>
      <c r="KX435" s="31"/>
      <c r="KY435" s="31"/>
      <c r="KZ435" s="31"/>
      <c r="LA435" s="31"/>
      <c r="LB435" s="31"/>
      <c r="LC435" s="31"/>
      <c r="LD435" s="31"/>
      <c r="LE435" s="31"/>
      <c r="LF435" s="31"/>
      <c r="LG435" s="31"/>
      <c r="LH435" s="31"/>
      <c r="LI435" s="31"/>
      <c r="LJ435" s="31"/>
      <c r="LK435" s="31"/>
      <c r="LL435" s="31"/>
      <c r="LM435" s="31"/>
      <c r="LN435" s="31"/>
      <c r="LO435" s="31"/>
      <c r="LP435" s="31"/>
      <c r="LQ435" s="31"/>
      <c r="LR435" s="31"/>
      <c r="LS435" s="31"/>
      <c r="LT435" s="31"/>
      <c r="LU435" s="31"/>
      <c r="LV435" s="31"/>
      <c r="LW435" s="31"/>
      <c r="LX435" s="31"/>
      <c r="LY435" s="31"/>
      <c r="LZ435" s="31"/>
      <c r="MA435" s="31"/>
      <c r="MB435" s="31"/>
      <c r="MC435" s="31"/>
      <c r="MD435" s="31"/>
      <c r="ME435" s="31"/>
      <c r="MF435" s="31"/>
      <c r="MG435" s="31"/>
      <c r="MH435" s="31"/>
      <c r="MI435" s="31"/>
      <c r="MJ435" s="31"/>
      <c r="MK435" s="31"/>
      <c r="ML435" s="31"/>
      <c r="MM435" s="31"/>
      <c r="MN435" s="31"/>
      <c r="MO435" s="31"/>
      <c r="MP435" s="31"/>
      <c r="MQ435" s="31"/>
      <c r="MR435" s="31"/>
      <c r="MS435" s="31"/>
      <c r="MT435" s="31"/>
      <c r="MU435" s="31"/>
      <c r="MV435" s="31"/>
      <c r="MW435" s="31"/>
      <c r="MX435" s="31"/>
      <c r="MY435" s="31"/>
      <c r="MZ435" s="31"/>
      <c r="NA435" s="31"/>
      <c r="NB435" s="31"/>
      <c r="NC435" s="31"/>
      <c r="ND435" s="31"/>
      <c r="NE435" s="31"/>
      <c r="NF435" s="31"/>
      <c r="NG435" s="31"/>
      <c r="NH435" s="31"/>
      <c r="NI435" s="31"/>
      <c r="NJ435" s="31"/>
      <c r="NK435" s="31"/>
      <c r="NL435" s="31"/>
      <c r="NM435" s="31"/>
      <c r="NN435" s="31"/>
      <c r="NO435" s="31"/>
      <c r="NP435" s="31"/>
      <c r="NQ435" s="31"/>
      <c r="NR435" s="31"/>
      <c r="NS435" s="31"/>
      <c r="NT435" s="31"/>
      <c r="NU435" s="31"/>
      <c r="NV435" s="31"/>
      <c r="NW435" s="31"/>
      <c r="NX435" s="31"/>
      <c r="NY435" s="31"/>
      <c r="NZ435" s="31"/>
      <c r="OA435" s="31"/>
      <c r="OB435" s="31"/>
      <c r="OC435" s="31"/>
      <c r="OD435" s="31"/>
      <c r="OE435" s="31"/>
      <c r="OF435" s="31"/>
      <c r="OG435" s="31"/>
      <c r="OH435" s="31"/>
      <c r="OI435" s="31"/>
      <c r="OJ435" s="31"/>
      <c r="OK435" s="31"/>
      <c r="OL435" s="31"/>
      <c r="OM435" s="31"/>
      <c r="ON435" s="31"/>
      <c r="OO435" s="31"/>
      <c r="OP435" s="31"/>
      <c r="OQ435" s="31"/>
      <c r="OR435" s="31"/>
      <c r="OS435" s="31"/>
      <c r="OT435" s="31"/>
      <c r="OU435" s="31"/>
      <c r="OV435" s="31"/>
      <c r="OW435" s="31"/>
      <c r="OX435" s="31"/>
    </row>
    <row r="436" spans="2:414" s="25" customFormat="1" ht="15.6">
      <c r="B436" s="25" t="s">
        <v>996</v>
      </c>
      <c r="C436" s="27" t="s">
        <v>997</v>
      </c>
      <c r="D436" s="30" t="s">
        <v>291</v>
      </c>
      <c r="G436" s="42">
        <v>80</v>
      </c>
      <c r="H436" s="89">
        <v>26.109000000000002</v>
      </c>
      <c r="I436" s="38">
        <f t="shared" si="135"/>
        <v>2088.7200000000003</v>
      </c>
      <c r="K436" s="42">
        <v>80</v>
      </c>
      <c r="L436" s="90">
        <v>26.849599999999999</v>
      </c>
      <c r="M436" s="38">
        <f t="shared" si="136"/>
        <v>2147.9679999999998</v>
      </c>
      <c r="O436" s="42">
        <v>505</v>
      </c>
      <c r="P436" s="38">
        <v>26.728300000000001</v>
      </c>
      <c r="Q436" s="38">
        <f t="shared" si="137"/>
        <v>13497.791500000001</v>
      </c>
      <c r="R436" s="43">
        <f t="shared" si="132"/>
        <v>665</v>
      </c>
      <c r="S436" s="38">
        <f t="shared" si="138"/>
        <v>17734.479500000001</v>
      </c>
      <c r="T436" s="49">
        <v>240</v>
      </c>
      <c r="U436" s="42">
        <v>26.677399999999999</v>
      </c>
      <c r="V436" s="38">
        <f t="shared" si="146"/>
        <v>6402.576</v>
      </c>
      <c r="W436" s="42">
        <v>505</v>
      </c>
      <c r="X436" s="42">
        <v>26.575199999999999</v>
      </c>
      <c r="Y436" s="42">
        <f t="shared" si="144"/>
        <v>13420.475999999999</v>
      </c>
      <c r="Z436" s="42"/>
      <c r="AA436" s="42"/>
      <c r="AB436" s="42">
        <f t="shared" si="145"/>
        <v>0</v>
      </c>
      <c r="AD436" s="42"/>
      <c r="AE436" s="42"/>
      <c r="AF436" s="42">
        <f t="shared" si="147"/>
        <v>0</v>
      </c>
      <c r="AG436" s="42"/>
      <c r="AH436" s="42"/>
      <c r="AI436" s="42"/>
      <c r="AJ436" s="42">
        <f t="shared" si="134"/>
        <v>0</v>
      </c>
      <c r="AL436" s="42"/>
      <c r="AM436" s="42"/>
      <c r="AN436" s="42"/>
      <c r="AO436" s="44"/>
      <c r="AP436" s="42"/>
      <c r="AQ436" s="42"/>
      <c r="AR436" s="42"/>
      <c r="AU436" s="98"/>
      <c r="AV436" s="35"/>
      <c r="AW436" s="104"/>
      <c r="AX436" s="42"/>
      <c r="AY436" s="42"/>
      <c r="AZ436" s="42">
        <f t="shared" si="131"/>
        <v>0</v>
      </c>
      <c r="BA436" s="42"/>
      <c r="BB436" s="42"/>
      <c r="BC436" s="42"/>
      <c r="BD436" s="38">
        <f t="shared" si="139"/>
        <v>0</v>
      </c>
      <c r="BE436" s="42"/>
      <c r="BF436" s="42"/>
      <c r="BG436" s="42"/>
      <c r="BH436" s="38">
        <f t="shared" si="140"/>
        <v>0</v>
      </c>
      <c r="BI436" s="42"/>
      <c r="BJ436" s="42"/>
      <c r="BK436" s="42"/>
      <c r="BL436" s="38">
        <f t="shared" si="141"/>
        <v>0</v>
      </c>
      <c r="BM436" s="42"/>
      <c r="BN436" s="42"/>
      <c r="BO436" s="42"/>
      <c r="BP436" s="42"/>
      <c r="BR436" s="42">
        <f t="shared" si="142"/>
        <v>19823.052</v>
      </c>
      <c r="BS436" s="43"/>
      <c r="BT436" s="35">
        <v>2088.5700000000002</v>
      </c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  <c r="FM436" s="31"/>
      <c r="FN436" s="31"/>
      <c r="FO436" s="31"/>
      <c r="FP436" s="31"/>
      <c r="FQ436" s="31"/>
      <c r="FR436" s="31"/>
      <c r="FS436" s="31"/>
      <c r="FT436" s="31"/>
      <c r="FU436" s="31"/>
      <c r="FV436" s="31"/>
      <c r="FW436" s="31"/>
      <c r="FX436" s="31"/>
      <c r="FY436" s="31"/>
      <c r="FZ436" s="31"/>
      <c r="GA436" s="31"/>
      <c r="GB436" s="31"/>
      <c r="GC436" s="31"/>
      <c r="GD436" s="31"/>
      <c r="GE436" s="31"/>
      <c r="GF436" s="31"/>
      <c r="GG436" s="31"/>
      <c r="GH436" s="31"/>
      <c r="GI436" s="31"/>
      <c r="GJ436" s="31"/>
      <c r="GK436" s="31"/>
      <c r="GL436" s="31"/>
      <c r="GM436" s="31"/>
      <c r="GN436" s="31"/>
      <c r="GO436" s="31"/>
      <c r="GP436" s="31"/>
      <c r="GQ436" s="31"/>
      <c r="GR436" s="31"/>
      <c r="GS436" s="31"/>
      <c r="GT436" s="31"/>
      <c r="GU436" s="31"/>
      <c r="GV436" s="31"/>
      <c r="GW436" s="31"/>
      <c r="GX436" s="31"/>
      <c r="GY436" s="31"/>
      <c r="GZ436" s="31"/>
      <c r="HA436" s="31"/>
      <c r="HB436" s="31"/>
      <c r="HC436" s="31"/>
      <c r="HD436" s="31"/>
      <c r="HE436" s="31"/>
      <c r="HF436" s="31"/>
      <c r="HG436" s="31"/>
      <c r="HH436" s="31"/>
      <c r="HI436" s="31"/>
      <c r="HJ436" s="31"/>
      <c r="HK436" s="31"/>
      <c r="HL436" s="31"/>
      <c r="HM436" s="31"/>
      <c r="HN436" s="31"/>
      <c r="HO436" s="31"/>
      <c r="HP436" s="31"/>
      <c r="HQ436" s="31"/>
      <c r="HR436" s="31"/>
      <c r="HS436" s="31"/>
      <c r="HT436" s="31"/>
      <c r="HU436" s="31"/>
      <c r="HV436" s="31"/>
      <c r="HW436" s="31"/>
      <c r="HX436" s="31"/>
      <c r="HY436" s="31"/>
      <c r="HZ436" s="31"/>
      <c r="IA436" s="31"/>
      <c r="IB436" s="31"/>
      <c r="IC436" s="31"/>
      <c r="ID436" s="31"/>
      <c r="IE436" s="31"/>
      <c r="IF436" s="31"/>
      <c r="IG436" s="31"/>
      <c r="IH436" s="31"/>
      <c r="II436" s="31"/>
      <c r="IJ436" s="31"/>
      <c r="IK436" s="31"/>
      <c r="IL436" s="31"/>
      <c r="IM436" s="31"/>
      <c r="IN436" s="31"/>
      <c r="IO436" s="31"/>
      <c r="IP436" s="31"/>
      <c r="IQ436" s="31"/>
      <c r="IR436" s="31"/>
      <c r="IS436" s="31"/>
      <c r="IT436" s="31"/>
      <c r="IU436" s="31"/>
      <c r="IV436" s="31"/>
      <c r="IW436" s="31"/>
      <c r="IX436" s="31"/>
      <c r="IY436" s="31"/>
      <c r="IZ436" s="31"/>
      <c r="JA436" s="31"/>
      <c r="JB436" s="31"/>
      <c r="JC436" s="31"/>
      <c r="JD436" s="31"/>
      <c r="JE436" s="31"/>
      <c r="JF436" s="31"/>
      <c r="JG436" s="31"/>
      <c r="JH436" s="31"/>
      <c r="JI436" s="31"/>
      <c r="JJ436" s="31"/>
      <c r="JK436" s="31"/>
      <c r="JL436" s="31"/>
      <c r="JM436" s="31"/>
      <c r="JN436" s="31"/>
      <c r="JO436" s="31"/>
      <c r="JP436" s="31"/>
      <c r="JQ436" s="31"/>
      <c r="JR436" s="31"/>
      <c r="JS436" s="31"/>
      <c r="JT436" s="31"/>
      <c r="JU436" s="31"/>
      <c r="JV436" s="31"/>
      <c r="JW436" s="31"/>
      <c r="JX436" s="31"/>
      <c r="JY436" s="31"/>
      <c r="JZ436" s="31"/>
      <c r="KA436" s="31"/>
      <c r="KB436" s="31"/>
      <c r="KC436" s="31"/>
      <c r="KD436" s="31"/>
      <c r="KE436" s="31"/>
      <c r="KF436" s="31"/>
      <c r="KG436" s="31"/>
      <c r="KH436" s="31"/>
      <c r="KI436" s="31"/>
      <c r="KJ436" s="31"/>
      <c r="KK436" s="31"/>
      <c r="KL436" s="31"/>
      <c r="KM436" s="31"/>
      <c r="KN436" s="31"/>
      <c r="KO436" s="31"/>
      <c r="KP436" s="31"/>
      <c r="KQ436" s="31"/>
      <c r="KR436" s="31"/>
      <c r="KS436" s="31"/>
      <c r="KT436" s="31"/>
      <c r="KU436" s="31"/>
      <c r="KV436" s="31"/>
      <c r="KW436" s="31"/>
      <c r="KX436" s="31"/>
      <c r="KY436" s="31"/>
      <c r="KZ436" s="31"/>
      <c r="LA436" s="31"/>
      <c r="LB436" s="31"/>
      <c r="LC436" s="31"/>
      <c r="LD436" s="31"/>
      <c r="LE436" s="31"/>
      <c r="LF436" s="31"/>
      <c r="LG436" s="31"/>
      <c r="LH436" s="31"/>
      <c r="LI436" s="31"/>
      <c r="LJ436" s="31"/>
      <c r="LK436" s="31"/>
      <c r="LL436" s="31"/>
      <c r="LM436" s="31"/>
      <c r="LN436" s="31"/>
      <c r="LO436" s="31"/>
      <c r="LP436" s="31"/>
      <c r="LQ436" s="31"/>
      <c r="LR436" s="31"/>
      <c r="LS436" s="31"/>
      <c r="LT436" s="31"/>
      <c r="LU436" s="31"/>
      <c r="LV436" s="31"/>
      <c r="LW436" s="31"/>
      <c r="LX436" s="31"/>
      <c r="LY436" s="31"/>
      <c r="LZ436" s="31"/>
      <c r="MA436" s="31"/>
      <c r="MB436" s="31"/>
      <c r="MC436" s="31"/>
      <c r="MD436" s="31"/>
      <c r="ME436" s="31"/>
      <c r="MF436" s="31"/>
      <c r="MG436" s="31"/>
      <c r="MH436" s="31"/>
      <c r="MI436" s="31"/>
      <c r="MJ436" s="31"/>
      <c r="MK436" s="31"/>
      <c r="ML436" s="31"/>
      <c r="MM436" s="31"/>
      <c r="MN436" s="31"/>
      <c r="MO436" s="31"/>
      <c r="MP436" s="31"/>
      <c r="MQ436" s="31"/>
      <c r="MR436" s="31"/>
      <c r="MS436" s="31"/>
      <c r="MT436" s="31"/>
      <c r="MU436" s="31"/>
      <c r="MV436" s="31"/>
      <c r="MW436" s="31"/>
      <c r="MX436" s="31"/>
      <c r="MY436" s="31"/>
      <c r="MZ436" s="31"/>
      <c r="NA436" s="31"/>
      <c r="NB436" s="31"/>
      <c r="NC436" s="31"/>
      <c r="ND436" s="31"/>
      <c r="NE436" s="31"/>
      <c r="NF436" s="31"/>
      <c r="NG436" s="31"/>
      <c r="NH436" s="31"/>
      <c r="NI436" s="31"/>
      <c r="NJ436" s="31"/>
      <c r="NK436" s="31"/>
      <c r="NL436" s="31"/>
      <c r="NM436" s="31"/>
      <c r="NN436" s="31"/>
      <c r="NO436" s="31"/>
      <c r="NP436" s="31"/>
      <c r="NQ436" s="31"/>
      <c r="NR436" s="31"/>
      <c r="NS436" s="31"/>
      <c r="NT436" s="31"/>
      <c r="NU436" s="31"/>
      <c r="NV436" s="31"/>
      <c r="NW436" s="31"/>
      <c r="NX436" s="31"/>
      <c r="NY436" s="31"/>
      <c r="NZ436" s="31"/>
      <c r="OA436" s="31"/>
      <c r="OB436" s="31"/>
      <c r="OC436" s="31"/>
      <c r="OD436" s="31"/>
      <c r="OE436" s="31"/>
      <c r="OF436" s="31"/>
      <c r="OG436" s="31"/>
      <c r="OH436" s="31"/>
      <c r="OI436" s="31"/>
      <c r="OJ436" s="31"/>
      <c r="OK436" s="31"/>
      <c r="OL436" s="31"/>
      <c r="OM436" s="31"/>
      <c r="ON436" s="31"/>
      <c r="OO436" s="31"/>
      <c r="OP436" s="31"/>
      <c r="OQ436" s="31"/>
      <c r="OR436" s="31"/>
      <c r="OS436" s="31"/>
      <c r="OT436" s="31"/>
      <c r="OU436" s="31"/>
      <c r="OV436" s="31"/>
      <c r="OW436" s="31"/>
      <c r="OX436" s="31"/>
    </row>
    <row r="437" spans="2:414" s="25" customFormat="1" ht="15.6">
      <c r="B437" s="25" t="s">
        <v>998</v>
      </c>
      <c r="C437" s="27" t="s">
        <v>644</v>
      </c>
      <c r="D437" s="30" t="s">
        <v>291</v>
      </c>
      <c r="G437" s="42">
        <v>80</v>
      </c>
      <c r="H437" s="89">
        <v>26.109000000000002</v>
      </c>
      <c r="I437" s="38">
        <f t="shared" si="135"/>
        <v>2088.7200000000003</v>
      </c>
      <c r="K437" s="42">
        <v>80</v>
      </c>
      <c r="L437" s="90">
        <v>26.849599999999999</v>
      </c>
      <c r="M437" s="38">
        <f t="shared" si="136"/>
        <v>2147.9679999999998</v>
      </c>
      <c r="O437" s="42">
        <v>505</v>
      </c>
      <c r="P437" s="38">
        <v>26.728300000000001</v>
      </c>
      <c r="Q437" s="38">
        <f t="shared" si="137"/>
        <v>13497.791500000001</v>
      </c>
      <c r="R437" s="43">
        <f t="shared" si="132"/>
        <v>665</v>
      </c>
      <c r="S437" s="38">
        <f t="shared" si="138"/>
        <v>17734.479500000001</v>
      </c>
      <c r="T437" s="49">
        <v>240</v>
      </c>
      <c r="U437" s="42">
        <v>26.431899999999999</v>
      </c>
      <c r="V437" s="38">
        <f t="shared" si="146"/>
        <v>6343.6559999999999</v>
      </c>
      <c r="W437" s="42">
        <v>505</v>
      </c>
      <c r="X437" s="42">
        <v>26.569700000000001</v>
      </c>
      <c r="Y437" s="42">
        <f t="shared" si="144"/>
        <v>13417.6985</v>
      </c>
      <c r="Z437" s="42"/>
      <c r="AA437" s="42"/>
      <c r="AB437" s="42">
        <f t="shared" si="145"/>
        <v>0</v>
      </c>
      <c r="AD437" s="42"/>
      <c r="AE437" s="42"/>
      <c r="AF437" s="42">
        <f t="shared" si="147"/>
        <v>0</v>
      </c>
      <c r="AG437" s="42"/>
      <c r="AH437" s="42"/>
      <c r="AI437" s="42"/>
      <c r="AJ437" s="42">
        <f t="shared" si="134"/>
        <v>0</v>
      </c>
      <c r="AL437" s="42"/>
      <c r="AM437" s="42"/>
      <c r="AN437" s="42"/>
      <c r="AO437" s="44"/>
      <c r="AP437" s="42"/>
      <c r="AQ437" s="42"/>
      <c r="AR437" s="42"/>
      <c r="AU437" s="98"/>
      <c r="AV437" s="35"/>
      <c r="AW437" s="104"/>
      <c r="AX437" s="42"/>
      <c r="AY437" s="42"/>
      <c r="AZ437" s="42">
        <f t="shared" si="131"/>
        <v>0</v>
      </c>
      <c r="BA437" s="42"/>
      <c r="BB437" s="42"/>
      <c r="BC437" s="42"/>
      <c r="BD437" s="38">
        <f t="shared" si="139"/>
        <v>0</v>
      </c>
      <c r="BE437" s="42"/>
      <c r="BF437" s="42"/>
      <c r="BG437" s="42"/>
      <c r="BH437" s="38">
        <f t="shared" si="140"/>
        <v>0</v>
      </c>
      <c r="BI437" s="42"/>
      <c r="BJ437" s="42"/>
      <c r="BK437" s="42"/>
      <c r="BL437" s="38">
        <f t="shared" si="141"/>
        <v>0</v>
      </c>
      <c r="BM437" s="42"/>
      <c r="BN437" s="42"/>
      <c r="BO437" s="42"/>
      <c r="BP437" s="42"/>
      <c r="BR437" s="42">
        <f t="shared" si="142"/>
        <v>19761.354500000001</v>
      </c>
      <c r="BS437" s="43"/>
      <c r="BT437" s="35">
        <v>2026.88</v>
      </c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  <c r="FM437" s="31"/>
      <c r="FN437" s="31"/>
      <c r="FO437" s="31"/>
      <c r="FP437" s="31"/>
      <c r="FQ437" s="31"/>
      <c r="FR437" s="31"/>
      <c r="FS437" s="31"/>
      <c r="FT437" s="31"/>
      <c r="FU437" s="31"/>
      <c r="FV437" s="31"/>
      <c r="FW437" s="31"/>
      <c r="FX437" s="31"/>
      <c r="FY437" s="31"/>
      <c r="FZ437" s="31"/>
      <c r="GA437" s="31"/>
      <c r="GB437" s="31"/>
      <c r="GC437" s="31"/>
      <c r="GD437" s="31"/>
      <c r="GE437" s="31"/>
      <c r="GF437" s="31"/>
      <c r="GG437" s="31"/>
      <c r="GH437" s="31"/>
      <c r="GI437" s="31"/>
      <c r="GJ437" s="31"/>
      <c r="GK437" s="31"/>
      <c r="GL437" s="31"/>
      <c r="GM437" s="31"/>
      <c r="GN437" s="31"/>
      <c r="GO437" s="31"/>
      <c r="GP437" s="31"/>
      <c r="GQ437" s="31"/>
      <c r="GR437" s="31"/>
      <c r="GS437" s="31"/>
      <c r="GT437" s="31"/>
      <c r="GU437" s="31"/>
      <c r="GV437" s="31"/>
      <c r="GW437" s="31"/>
      <c r="GX437" s="31"/>
      <c r="GY437" s="31"/>
      <c r="GZ437" s="31"/>
      <c r="HA437" s="31"/>
      <c r="HB437" s="31"/>
      <c r="HC437" s="31"/>
      <c r="HD437" s="31"/>
      <c r="HE437" s="31"/>
      <c r="HF437" s="31"/>
      <c r="HG437" s="31"/>
      <c r="HH437" s="31"/>
      <c r="HI437" s="31"/>
      <c r="HJ437" s="31"/>
      <c r="HK437" s="31"/>
      <c r="HL437" s="31"/>
      <c r="HM437" s="31"/>
      <c r="HN437" s="31"/>
      <c r="HO437" s="31"/>
      <c r="HP437" s="31"/>
      <c r="HQ437" s="31"/>
      <c r="HR437" s="31"/>
      <c r="HS437" s="31"/>
      <c r="HT437" s="31"/>
      <c r="HU437" s="31"/>
      <c r="HV437" s="31"/>
      <c r="HW437" s="31"/>
      <c r="HX437" s="31"/>
      <c r="HY437" s="31"/>
      <c r="HZ437" s="31"/>
      <c r="IA437" s="31"/>
      <c r="IB437" s="31"/>
      <c r="IC437" s="31"/>
      <c r="ID437" s="31"/>
      <c r="IE437" s="31"/>
      <c r="IF437" s="31"/>
      <c r="IG437" s="31"/>
      <c r="IH437" s="31"/>
      <c r="II437" s="31"/>
      <c r="IJ437" s="31"/>
      <c r="IK437" s="31"/>
      <c r="IL437" s="31"/>
      <c r="IM437" s="31"/>
      <c r="IN437" s="31"/>
      <c r="IO437" s="31"/>
      <c r="IP437" s="31"/>
      <c r="IQ437" s="31"/>
      <c r="IR437" s="31"/>
      <c r="IS437" s="31"/>
      <c r="IT437" s="31"/>
      <c r="IU437" s="31"/>
      <c r="IV437" s="31"/>
      <c r="IW437" s="31"/>
      <c r="IX437" s="31"/>
      <c r="IY437" s="31"/>
      <c r="IZ437" s="31"/>
      <c r="JA437" s="31"/>
      <c r="JB437" s="31"/>
      <c r="JC437" s="31"/>
      <c r="JD437" s="31"/>
      <c r="JE437" s="31"/>
      <c r="JF437" s="31"/>
      <c r="JG437" s="31"/>
      <c r="JH437" s="31"/>
      <c r="JI437" s="31"/>
      <c r="JJ437" s="31"/>
      <c r="JK437" s="31"/>
      <c r="JL437" s="31"/>
      <c r="JM437" s="31"/>
      <c r="JN437" s="31"/>
      <c r="JO437" s="31"/>
      <c r="JP437" s="31"/>
      <c r="JQ437" s="31"/>
      <c r="JR437" s="31"/>
      <c r="JS437" s="31"/>
      <c r="JT437" s="31"/>
      <c r="JU437" s="31"/>
      <c r="JV437" s="31"/>
      <c r="JW437" s="31"/>
      <c r="JX437" s="31"/>
      <c r="JY437" s="31"/>
      <c r="JZ437" s="31"/>
      <c r="KA437" s="31"/>
      <c r="KB437" s="31"/>
      <c r="KC437" s="31"/>
      <c r="KD437" s="31"/>
      <c r="KE437" s="31"/>
      <c r="KF437" s="31"/>
      <c r="KG437" s="31"/>
      <c r="KH437" s="31"/>
      <c r="KI437" s="31"/>
      <c r="KJ437" s="31"/>
      <c r="KK437" s="31"/>
      <c r="KL437" s="31"/>
      <c r="KM437" s="31"/>
      <c r="KN437" s="31"/>
      <c r="KO437" s="31"/>
      <c r="KP437" s="31"/>
      <c r="KQ437" s="31"/>
      <c r="KR437" s="31"/>
      <c r="KS437" s="31"/>
      <c r="KT437" s="31"/>
      <c r="KU437" s="31"/>
      <c r="KV437" s="31"/>
      <c r="KW437" s="31"/>
      <c r="KX437" s="31"/>
      <c r="KY437" s="31"/>
      <c r="KZ437" s="31"/>
      <c r="LA437" s="31"/>
      <c r="LB437" s="31"/>
      <c r="LC437" s="31"/>
      <c r="LD437" s="31"/>
      <c r="LE437" s="31"/>
      <c r="LF437" s="31"/>
      <c r="LG437" s="31"/>
      <c r="LH437" s="31"/>
      <c r="LI437" s="31"/>
      <c r="LJ437" s="31"/>
      <c r="LK437" s="31"/>
      <c r="LL437" s="31"/>
      <c r="LM437" s="31"/>
      <c r="LN437" s="31"/>
      <c r="LO437" s="31"/>
      <c r="LP437" s="31"/>
      <c r="LQ437" s="31"/>
      <c r="LR437" s="31"/>
      <c r="LS437" s="31"/>
      <c r="LT437" s="31"/>
      <c r="LU437" s="31"/>
      <c r="LV437" s="31"/>
      <c r="LW437" s="31"/>
      <c r="LX437" s="31"/>
      <c r="LY437" s="31"/>
      <c r="LZ437" s="31"/>
      <c r="MA437" s="31"/>
      <c r="MB437" s="31"/>
      <c r="MC437" s="31"/>
      <c r="MD437" s="31"/>
      <c r="ME437" s="31"/>
      <c r="MF437" s="31"/>
      <c r="MG437" s="31"/>
      <c r="MH437" s="31"/>
      <c r="MI437" s="31"/>
      <c r="MJ437" s="31"/>
      <c r="MK437" s="31"/>
      <c r="ML437" s="31"/>
      <c r="MM437" s="31"/>
      <c r="MN437" s="31"/>
      <c r="MO437" s="31"/>
      <c r="MP437" s="31"/>
      <c r="MQ437" s="31"/>
      <c r="MR437" s="31"/>
      <c r="MS437" s="31"/>
      <c r="MT437" s="31"/>
      <c r="MU437" s="31"/>
      <c r="MV437" s="31"/>
      <c r="MW437" s="31"/>
      <c r="MX437" s="31"/>
      <c r="MY437" s="31"/>
      <c r="MZ437" s="31"/>
      <c r="NA437" s="31"/>
      <c r="NB437" s="31"/>
      <c r="NC437" s="31"/>
      <c r="ND437" s="31"/>
      <c r="NE437" s="31"/>
      <c r="NF437" s="31"/>
      <c r="NG437" s="31"/>
      <c r="NH437" s="31"/>
      <c r="NI437" s="31"/>
      <c r="NJ437" s="31"/>
      <c r="NK437" s="31"/>
      <c r="NL437" s="31"/>
      <c r="NM437" s="31"/>
      <c r="NN437" s="31"/>
      <c r="NO437" s="31"/>
      <c r="NP437" s="31"/>
      <c r="NQ437" s="31"/>
      <c r="NR437" s="31"/>
      <c r="NS437" s="31"/>
      <c r="NT437" s="31"/>
      <c r="NU437" s="31"/>
      <c r="NV437" s="31"/>
      <c r="NW437" s="31"/>
      <c r="NX437" s="31"/>
      <c r="NY437" s="31"/>
      <c r="NZ437" s="31"/>
      <c r="OA437" s="31"/>
      <c r="OB437" s="31"/>
      <c r="OC437" s="31"/>
      <c r="OD437" s="31"/>
      <c r="OE437" s="31"/>
      <c r="OF437" s="31"/>
      <c r="OG437" s="31"/>
      <c r="OH437" s="31"/>
      <c r="OI437" s="31"/>
      <c r="OJ437" s="31"/>
      <c r="OK437" s="31"/>
      <c r="OL437" s="31"/>
      <c r="OM437" s="31"/>
      <c r="ON437" s="31"/>
      <c r="OO437" s="31"/>
      <c r="OP437" s="31"/>
      <c r="OQ437" s="31"/>
      <c r="OR437" s="31"/>
      <c r="OS437" s="31"/>
      <c r="OT437" s="31"/>
      <c r="OU437" s="31"/>
      <c r="OV437" s="31"/>
      <c r="OW437" s="31"/>
      <c r="OX437" s="31"/>
    </row>
    <row r="438" spans="2:414" s="25" customFormat="1" ht="15.6">
      <c r="B438" s="25" t="s">
        <v>183</v>
      </c>
      <c r="C438" s="27" t="s">
        <v>140</v>
      </c>
      <c r="D438" s="30" t="s">
        <v>291</v>
      </c>
      <c r="G438" s="42">
        <v>80</v>
      </c>
      <c r="H438" s="89">
        <v>26.109000000000002</v>
      </c>
      <c r="I438" s="38">
        <f t="shared" si="135"/>
        <v>2088.7200000000003</v>
      </c>
      <c r="K438" s="42">
        <v>80</v>
      </c>
      <c r="L438" s="90">
        <v>26.849599999999999</v>
      </c>
      <c r="M438" s="38">
        <f t="shared" si="136"/>
        <v>2147.9679999999998</v>
      </c>
      <c r="O438" s="42">
        <v>505</v>
      </c>
      <c r="P438" s="38">
        <v>26.728300000000001</v>
      </c>
      <c r="Q438" s="38">
        <f t="shared" si="137"/>
        <v>13497.791500000001</v>
      </c>
      <c r="R438" s="43">
        <f t="shared" si="132"/>
        <v>665</v>
      </c>
      <c r="S438" s="38">
        <f t="shared" si="138"/>
        <v>17734.479500000001</v>
      </c>
      <c r="T438" s="49">
        <v>240</v>
      </c>
      <c r="U438" s="42">
        <v>26.788399999999999</v>
      </c>
      <c r="V438" s="38">
        <f t="shared" si="146"/>
        <v>6429.2159999999994</v>
      </c>
      <c r="W438" s="42">
        <v>505</v>
      </c>
      <c r="X438" s="42">
        <v>26.7165</v>
      </c>
      <c r="Y438" s="42">
        <f t="shared" si="144"/>
        <v>13491.8325</v>
      </c>
      <c r="Z438" s="42"/>
      <c r="AA438" s="42"/>
      <c r="AB438" s="42">
        <f t="shared" si="145"/>
        <v>0</v>
      </c>
      <c r="AD438" s="42"/>
      <c r="AE438" s="42"/>
      <c r="AF438" s="42">
        <f t="shared" si="147"/>
        <v>0</v>
      </c>
      <c r="AG438" s="42"/>
      <c r="AH438" s="42"/>
      <c r="AI438" s="42"/>
      <c r="AJ438" s="42">
        <f t="shared" si="134"/>
        <v>0</v>
      </c>
      <c r="AL438" s="42"/>
      <c r="AM438" s="42"/>
      <c r="AN438" s="42"/>
      <c r="AO438" s="44"/>
      <c r="AP438" s="42"/>
      <c r="AQ438" s="42"/>
      <c r="AR438" s="42"/>
      <c r="AU438" s="98"/>
      <c r="AV438" s="35"/>
      <c r="AW438" s="104"/>
      <c r="AX438" s="42"/>
      <c r="AY438" s="42"/>
      <c r="AZ438" s="42">
        <f t="shared" si="131"/>
        <v>0</v>
      </c>
      <c r="BA438" s="42"/>
      <c r="BB438" s="42"/>
      <c r="BC438" s="42"/>
      <c r="BD438" s="38">
        <f t="shared" si="139"/>
        <v>0</v>
      </c>
      <c r="BE438" s="42"/>
      <c r="BF438" s="42"/>
      <c r="BG438" s="42"/>
      <c r="BH438" s="38">
        <f t="shared" si="140"/>
        <v>0</v>
      </c>
      <c r="BI438" s="42"/>
      <c r="BJ438" s="42"/>
      <c r="BK438" s="42"/>
      <c r="BL438" s="38">
        <f t="shared" si="141"/>
        <v>0</v>
      </c>
      <c r="BM438" s="42"/>
      <c r="BN438" s="42"/>
      <c r="BO438" s="42"/>
      <c r="BP438" s="42"/>
      <c r="BR438" s="42">
        <f t="shared" si="142"/>
        <v>19921.048500000001</v>
      </c>
      <c r="BS438" s="43"/>
      <c r="BT438" s="35">
        <v>2186.5700000000002</v>
      </c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  <c r="FM438" s="31"/>
      <c r="FN438" s="31"/>
      <c r="FO438" s="31"/>
      <c r="FP438" s="31"/>
      <c r="FQ438" s="31"/>
      <c r="FR438" s="31"/>
      <c r="FS438" s="31"/>
      <c r="FT438" s="31"/>
      <c r="FU438" s="31"/>
      <c r="FV438" s="31"/>
      <c r="FW438" s="31"/>
      <c r="FX438" s="31"/>
      <c r="FY438" s="31"/>
      <c r="FZ438" s="31"/>
      <c r="GA438" s="31"/>
      <c r="GB438" s="31"/>
      <c r="GC438" s="31"/>
      <c r="GD438" s="31"/>
      <c r="GE438" s="31"/>
      <c r="GF438" s="31"/>
      <c r="GG438" s="31"/>
      <c r="GH438" s="31"/>
      <c r="GI438" s="31"/>
      <c r="GJ438" s="31"/>
      <c r="GK438" s="31"/>
      <c r="GL438" s="31"/>
      <c r="GM438" s="31"/>
      <c r="GN438" s="31"/>
      <c r="GO438" s="31"/>
      <c r="GP438" s="31"/>
      <c r="GQ438" s="31"/>
      <c r="GR438" s="31"/>
      <c r="GS438" s="31"/>
      <c r="GT438" s="31"/>
      <c r="GU438" s="31"/>
      <c r="GV438" s="31"/>
      <c r="GW438" s="31"/>
      <c r="GX438" s="31"/>
      <c r="GY438" s="31"/>
      <c r="GZ438" s="31"/>
      <c r="HA438" s="31"/>
      <c r="HB438" s="31"/>
      <c r="HC438" s="31"/>
      <c r="HD438" s="31"/>
      <c r="HE438" s="31"/>
      <c r="HF438" s="31"/>
      <c r="HG438" s="31"/>
      <c r="HH438" s="31"/>
      <c r="HI438" s="31"/>
      <c r="HJ438" s="31"/>
      <c r="HK438" s="31"/>
      <c r="HL438" s="31"/>
      <c r="HM438" s="31"/>
      <c r="HN438" s="31"/>
      <c r="HO438" s="31"/>
      <c r="HP438" s="31"/>
      <c r="HQ438" s="31"/>
      <c r="HR438" s="31"/>
      <c r="HS438" s="31"/>
      <c r="HT438" s="31"/>
      <c r="HU438" s="31"/>
      <c r="HV438" s="31"/>
      <c r="HW438" s="31"/>
      <c r="HX438" s="31"/>
      <c r="HY438" s="31"/>
      <c r="HZ438" s="31"/>
      <c r="IA438" s="31"/>
      <c r="IB438" s="31"/>
      <c r="IC438" s="31"/>
      <c r="ID438" s="31"/>
      <c r="IE438" s="31"/>
      <c r="IF438" s="31"/>
      <c r="IG438" s="31"/>
      <c r="IH438" s="31"/>
      <c r="II438" s="31"/>
      <c r="IJ438" s="31"/>
      <c r="IK438" s="31"/>
      <c r="IL438" s="31"/>
      <c r="IM438" s="31"/>
      <c r="IN438" s="31"/>
      <c r="IO438" s="31"/>
      <c r="IP438" s="31"/>
      <c r="IQ438" s="31"/>
      <c r="IR438" s="31"/>
      <c r="IS438" s="31"/>
      <c r="IT438" s="31"/>
      <c r="IU438" s="31"/>
      <c r="IV438" s="31"/>
      <c r="IW438" s="31"/>
      <c r="IX438" s="31"/>
      <c r="IY438" s="31"/>
      <c r="IZ438" s="31"/>
      <c r="JA438" s="31"/>
      <c r="JB438" s="31"/>
      <c r="JC438" s="31"/>
      <c r="JD438" s="31"/>
      <c r="JE438" s="31"/>
      <c r="JF438" s="31"/>
      <c r="JG438" s="31"/>
      <c r="JH438" s="31"/>
      <c r="JI438" s="31"/>
      <c r="JJ438" s="31"/>
      <c r="JK438" s="31"/>
      <c r="JL438" s="31"/>
      <c r="JM438" s="31"/>
      <c r="JN438" s="31"/>
      <c r="JO438" s="31"/>
      <c r="JP438" s="31"/>
      <c r="JQ438" s="31"/>
      <c r="JR438" s="31"/>
      <c r="JS438" s="31"/>
      <c r="JT438" s="31"/>
      <c r="JU438" s="31"/>
      <c r="JV438" s="31"/>
      <c r="JW438" s="31"/>
      <c r="JX438" s="31"/>
      <c r="JY438" s="31"/>
      <c r="JZ438" s="31"/>
      <c r="KA438" s="31"/>
      <c r="KB438" s="31"/>
      <c r="KC438" s="31"/>
      <c r="KD438" s="31"/>
      <c r="KE438" s="31"/>
      <c r="KF438" s="31"/>
      <c r="KG438" s="31"/>
      <c r="KH438" s="31"/>
      <c r="KI438" s="31"/>
      <c r="KJ438" s="31"/>
      <c r="KK438" s="31"/>
      <c r="KL438" s="31"/>
      <c r="KM438" s="31"/>
      <c r="KN438" s="31"/>
      <c r="KO438" s="31"/>
      <c r="KP438" s="31"/>
      <c r="KQ438" s="31"/>
      <c r="KR438" s="31"/>
      <c r="KS438" s="31"/>
      <c r="KT438" s="31"/>
      <c r="KU438" s="31"/>
      <c r="KV438" s="31"/>
      <c r="KW438" s="31"/>
      <c r="KX438" s="31"/>
      <c r="KY438" s="31"/>
      <c r="KZ438" s="31"/>
      <c r="LA438" s="31"/>
      <c r="LB438" s="31"/>
      <c r="LC438" s="31"/>
      <c r="LD438" s="31"/>
      <c r="LE438" s="31"/>
      <c r="LF438" s="31"/>
      <c r="LG438" s="31"/>
      <c r="LH438" s="31"/>
      <c r="LI438" s="31"/>
      <c r="LJ438" s="31"/>
      <c r="LK438" s="31"/>
      <c r="LL438" s="31"/>
      <c r="LM438" s="31"/>
      <c r="LN438" s="31"/>
      <c r="LO438" s="31"/>
      <c r="LP438" s="31"/>
      <c r="LQ438" s="31"/>
      <c r="LR438" s="31"/>
      <c r="LS438" s="31"/>
      <c r="LT438" s="31"/>
      <c r="LU438" s="31"/>
      <c r="LV438" s="31"/>
      <c r="LW438" s="31"/>
      <c r="LX438" s="31"/>
      <c r="LY438" s="31"/>
      <c r="LZ438" s="31"/>
      <c r="MA438" s="31"/>
      <c r="MB438" s="31"/>
      <c r="MC438" s="31"/>
      <c r="MD438" s="31"/>
      <c r="ME438" s="31"/>
      <c r="MF438" s="31"/>
      <c r="MG438" s="31"/>
      <c r="MH438" s="31"/>
      <c r="MI438" s="31"/>
      <c r="MJ438" s="31"/>
      <c r="MK438" s="31"/>
      <c r="ML438" s="31"/>
      <c r="MM438" s="31"/>
      <c r="MN438" s="31"/>
      <c r="MO438" s="31"/>
      <c r="MP438" s="31"/>
      <c r="MQ438" s="31"/>
      <c r="MR438" s="31"/>
      <c r="MS438" s="31"/>
      <c r="MT438" s="31"/>
      <c r="MU438" s="31"/>
      <c r="MV438" s="31"/>
      <c r="MW438" s="31"/>
      <c r="MX438" s="31"/>
      <c r="MY438" s="31"/>
      <c r="MZ438" s="31"/>
      <c r="NA438" s="31"/>
      <c r="NB438" s="31"/>
      <c r="NC438" s="31"/>
      <c r="ND438" s="31"/>
      <c r="NE438" s="31"/>
      <c r="NF438" s="31"/>
      <c r="NG438" s="31"/>
      <c r="NH438" s="31"/>
      <c r="NI438" s="31"/>
      <c r="NJ438" s="31"/>
      <c r="NK438" s="31"/>
      <c r="NL438" s="31"/>
      <c r="NM438" s="31"/>
      <c r="NN438" s="31"/>
      <c r="NO438" s="31"/>
      <c r="NP438" s="31"/>
      <c r="NQ438" s="31"/>
      <c r="NR438" s="31"/>
      <c r="NS438" s="31"/>
      <c r="NT438" s="31"/>
      <c r="NU438" s="31"/>
      <c r="NV438" s="31"/>
      <c r="NW438" s="31"/>
      <c r="NX438" s="31"/>
      <c r="NY438" s="31"/>
      <c r="NZ438" s="31"/>
      <c r="OA438" s="31"/>
      <c r="OB438" s="31"/>
      <c r="OC438" s="31"/>
      <c r="OD438" s="31"/>
      <c r="OE438" s="31"/>
      <c r="OF438" s="31"/>
      <c r="OG438" s="31"/>
      <c r="OH438" s="31"/>
      <c r="OI438" s="31"/>
      <c r="OJ438" s="31"/>
      <c r="OK438" s="31"/>
      <c r="OL438" s="31"/>
      <c r="OM438" s="31"/>
      <c r="ON438" s="31"/>
      <c r="OO438" s="31"/>
      <c r="OP438" s="31"/>
      <c r="OQ438" s="31"/>
      <c r="OR438" s="31"/>
      <c r="OS438" s="31"/>
      <c r="OT438" s="31"/>
      <c r="OU438" s="31"/>
      <c r="OV438" s="31"/>
      <c r="OW438" s="31"/>
      <c r="OX438" s="31"/>
    </row>
    <row r="439" spans="2:414" s="25" customFormat="1" ht="15.6">
      <c r="B439" s="25" t="s">
        <v>495</v>
      </c>
      <c r="C439" s="27" t="s">
        <v>999</v>
      </c>
      <c r="D439" s="30" t="s">
        <v>291</v>
      </c>
      <c r="G439" s="42">
        <v>80</v>
      </c>
      <c r="H439" s="89">
        <v>26.109000000000002</v>
      </c>
      <c r="I439" s="38">
        <f t="shared" si="135"/>
        <v>2088.7200000000003</v>
      </c>
      <c r="K439" s="42">
        <v>80</v>
      </c>
      <c r="L439" s="90">
        <v>26.849599999999999</v>
      </c>
      <c r="M439" s="38">
        <f t="shared" si="136"/>
        <v>2147.9679999999998</v>
      </c>
      <c r="O439" s="42">
        <v>505</v>
      </c>
      <c r="P439" s="38">
        <v>26.728300000000001</v>
      </c>
      <c r="Q439" s="38">
        <f t="shared" si="137"/>
        <v>13497.791500000001</v>
      </c>
      <c r="R439" s="43">
        <f t="shared" si="132"/>
        <v>665</v>
      </c>
      <c r="S439" s="38">
        <f t="shared" si="138"/>
        <v>17734.479500000001</v>
      </c>
      <c r="T439" s="49">
        <v>240</v>
      </c>
      <c r="U439" s="42">
        <v>26.79</v>
      </c>
      <c r="V439" s="38">
        <f t="shared" si="146"/>
        <v>6429.5999999999995</v>
      </c>
      <c r="W439" s="42">
        <v>505</v>
      </c>
      <c r="X439" s="42">
        <v>26.72</v>
      </c>
      <c r="Y439" s="42">
        <f t="shared" si="144"/>
        <v>13493.599999999999</v>
      </c>
      <c r="Z439" s="42"/>
      <c r="AA439" s="42"/>
      <c r="AB439" s="42">
        <f t="shared" si="145"/>
        <v>0</v>
      </c>
      <c r="AD439" s="42"/>
      <c r="AE439" s="42"/>
      <c r="AF439" s="42">
        <f t="shared" si="147"/>
        <v>0</v>
      </c>
      <c r="AG439" s="42"/>
      <c r="AH439" s="42"/>
      <c r="AI439" s="42"/>
      <c r="AJ439" s="42">
        <f t="shared" si="134"/>
        <v>0</v>
      </c>
      <c r="AL439" s="42"/>
      <c r="AM439" s="42"/>
      <c r="AN439" s="42"/>
      <c r="AO439" s="44"/>
      <c r="AP439" s="42"/>
      <c r="AQ439" s="42"/>
      <c r="AR439" s="42"/>
      <c r="AU439" s="98"/>
      <c r="AV439" s="35"/>
      <c r="AW439" s="104"/>
      <c r="AX439" s="42"/>
      <c r="AY439" s="42"/>
      <c r="AZ439" s="42">
        <f t="shared" si="131"/>
        <v>0</v>
      </c>
      <c r="BA439" s="42"/>
      <c r="BB439" s="42"/>
      <c r="BC439" s="42"/>
      <c r="BD439" s="38">
        <f t="shared" si="139"/>
        <v>0</v>
      </c>
      <c r="BE439" s="42"/>
      <c r="BF439" s="42"/>
      <c r="BG439" s="42"/>
      <c r="BH439" s="38">
        <f t="shared" si="140"/>
        <v>0</v>
      </c>
      <c r="BI439" s="42"/>
      <c r="BJ439" s="42"/>
      <c r="BK439" s="42"/>
      <c r="BL439" s="38">
        <f t="shared" si="141"/>
        <v>0</v>
      </c>
      <c r="BM439" s="42"/>
      <c r="BN439" s="42"/>
      <c r="BO439" s="42"/>
      <c r="BP439" s="42"/>
      <c r="BR439" s="42">
        <f t="shared" si="142"/>
        <v>19923.199999999997</v>
      </c>
      <c r="BS439" s="43"/>
      <c r="BT439" s="35">
        <v>2188.7199999999998</v>
      </c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  <c r="FM439" s="31"/>
      <c r="FN439" s="31"/>
      <c r="FO439" s="31"/>
      <c r="FP439" s="31"/>
      <c r="FQ439" s="31"/>
      <c r="FR439" s="31"/>
      <c r="FS439" s="31"/>
      <c r="FT439" s="31"/>
      <c r="FU439" s="31"/>
      <c r="FV439" s="31"/>
      <c r="FW439" s="31"/>
      <c r="FX439" s="31"/>
      <c r="FY439" s="31"/>
      <c r="FZ439" s="31"/>
      <c r="GA439" s="31"/>
      <c r="GB439" s="31"/>
      <c r="GC439" s="31"/>
      <c r="GD439" s="31"/>
      <c r="GE439" s="31"/>
      <c r="GF439" s="31"/>
      <c r="GG439" s="31"/>
      <c r="GH439" s="31"/>
      <c r="GI439" s="31"/>
      <c r="GJ439" s="31"/>
      <c r="GK439" s="31"/>
      <c r="GL439" s="31"/>
      <c r="GM439" s="31"/>
      <c r="GN439" s="31"/>
      <c r="GO439" s="31"/>
      <c r="GP439" s="31"/>
      <c r="GQ439" s="31"/>
      <c r="GR439" s="31"/>
      <c r="GS439" s="31"/>
      <c r="GT439" s="31"/>
      <c r="GU439" s="31"/>
      <c r="GV439" s="31"/>
      <c r="GW439" s="31"/>
      <c r="GX439" s="31"/>
      <c r="GY439" s="31"/>
      <c r="GZ439" s="31"/>
      <c r="HA439" s="31"/>
      <c r="HB439" s="31"/>
      <c r="HC439" s="31"/>
      <c r="HD439" s="31"/>
      <c r="HE439" s="31"/>
      <c r="HF439" s="31"/>
      <c r="HG439" s="31"/>
      <c r="HH439" s="31"/>
      <c r="HI439" s="31"/>
      <c r="HJ439" s="31"/>
      <c r="HK439" s="31"/>
      <c r="HL439" s="31"/>
      <c r="HM439" s="31"/>
      <c r="HN439" s="31"/>
      <c r="HO439" s="31"/>
      <c r="HP439" s="31"/>
      <c r="HQ439" s="31"/>
      <c r="HR439" s="31"/>
      <c r="HS439" s="31"/>
      <c r="HT439" s="31"/>
      <c r="HU439" s="31"/>
      <c r="HV439" s="31"/>
      <c r="HW439" s="31"/>
      <c r="HX439" s="31"/>
      <c r="HY439" s="31"/>
      <c r="HZ439" s="31"/>
      <c r="IA439" s="31"/>
      <c r="IB439" s="31"/>
      <c r="IC439" s="31"/>
      <c r="ID439" s="31"/>
      <c r="IE439" s="31"/>
      <c r="IF439" s="31"/>
      <c r="IG439" s="31"/>
      <c r="IH439" s="31"/>
      <c r="II439" s="31"/>
      <c r="IJ439" s="31"/>
      <c r="IK439" s="31"/>
      <c r="IL439" s="31"/>
      <c r="IM439" s="31"/>
      <c r="IN439" s="31"/>
      <c r="IO439" s="31"/>
      <c r="IP439" s="31"/>
      <c r="IQ439" s="31"/>
      <c r="IR439" s="31"/>
      <c r="IS439" s="31"/>
      <c r="IT439" s="31"/>
      <c r="IU439" s="31"/>
      <c r="IV439" s="31"/>
      <c r="IW439" s="31"/>
      <c r="IX439" s="31"/>
      <c r="IY439" s="31"/>
      <c r="IZ439" s="31"/>
      <c r="JA439" s="31"/>
      <c r="JB439" s="31"/>
      <c r="JC439" s="31"/>
      <c r="JD439" s="31"/>
      <c r="JE439" s="31"/>
      <c r="JF439" s="31"/>
      <c r="JG439" s="31"/>
      <c r="JH439" s="31"/>
      <c r="JI439" s="31"/>
      <c r="JJ439" s="31"/>
      <c r="JK439" s="31"/>
      <c r="JL439" s="31"/>
      <c r="JM439" s="31"/>
      <c r="JN439" s="31"/>
      <c r="JO439" s="31"/>
      <c r="JP439" s="31"/>
      <c r="JQ439" s="31"/>
      <c r="JR439" s="31"/>
      <c r="JS439" s="31"/>
      <c r="JT439" s="31"/>
      <c r="JU439" s="31"/>
      <c r="JV439" s="31"/>
      <c r="JW439" s="31"/>
      <c r="JX439" s="31"/>
      <c r="JY439" s="31"/>
      <c r="JZ439" s="31"/>
      <c r="KA439" s="31"/>
      <c r="KB439" s="31"/>
      <c r="KC439" s="31"/>
      <c r="KD439" s="31"/>
      <c r="KE439" s="31"/>
      <c r="KF439" s="31"/>
      <c r="KG439" s="31"/>
      <c r="KH439" s="31"/>
      <c r="KI439" s="31"/>
      <c r="KJ439" s="31"/>
      <c r="KK439" s="31"/>
      <c r="KL439" s="31"/>
      <c r="KM439" s="31"/>
      <c r="KN439" s="31"/>
      <c r="KO439" s="31"/>
      <c r="KP439" s="31"/>
      <c r="KQ439" s="31"/>
      <c r="KR439" s="31"/>
      <c r="KS439" s="31"/>
      <c r="KT439" s="31"/>
      <c r="KU439" s="31"/>
      <c r="KV439" s="31"/>
      <c r="KW439" s="31"/>
      <c r="KX439" s="31"/>
      <c r="KY439" s="31"/>
      <c r="KZ439" s="31"/>
      <c r="LA439" s="31"/>
      <c r="LB439" s="31"/>
      <c r="LC439" s="31"/>
      <c r="LD439" s="31"/>
      <c r="LE439" s="31"/>
      <c r="LF439" s="31"/>
      <c r="LG439" s="31"/>
      <c r="LH439" s="31"/>
      <c r="LI439" s="31"/>
      <c r="LJ439" s="31"/>
      <c r="LK439" s="31"/>
      <c r="LL439" s="31"/>
      <c r="LM439" s="31"/>
      <c r="LN439" s="31"/>
      <c r="LO439" s="31"/>
      <c r="LP439" s="31"/>
      <c r="LQ439" s="31"/>
      <c r="LR439" s="31"/>
      <c r="LS439" s="31"/>
      <c r="LT439" s="31"/>
      <c r="LU439" s="31"/>
      <c r="LV439" s="31"/>
      <c r="LW439" s="31"/>
      <c r="LX439" s="31"/>
      <c r="LY439" s="31"/>
      <c r="LZ439" s="31"/>
      <c r="MA439" s="31"/>
      <c r="MB439" s="31"/>
      <c r="MC439" s="31"/>
      <c r="MD439" s="31"/>
      <c r="ME439" s="31"/>
      <c r="MF439" s="31"/>
      <c r="MG439" s="31"/>
      <c r="MH439" s="31"/>
      <c r="MI439" s="31"/>
      <c r="MJ439" s="31"/>
      <c r="MK439" s="31"/>
      <c r="ML439" s="31"/>
      <c r="MM439" s="31"/>
      <c r="MN439" s="31"/>
      <c r="MO439" s="31"/>
      <c r="MP439" s="31"/>
      <c r="MQ439" s="31"/>
      <c r="MR439" s="31"/>
      <c r="MS439" s="31"/>
      <c r="MT439" s="31"/>
      <c r="MU439" s="31"/>
      <c r="MV439" s="31"/>
      <c r="MW439" s="31"/>
      <c r="MX439" s="31"/>
      <c r="MY439" s="31"/>
      <c r="MZ439" s="31"/>
      <c r="NA439" s="31"/>
      <c r="NB439" s="31"/>
      <c r="NC439" s="31"/>
      <c r="ND439" s="31"/>
      <c r="NE439" s="31"/>
      <c r="NF439" s="31"/>
      <c r="NG439" s="31"/>
      <c r="NH439" s="31"/>
      <c r="NI439" s="31"/>
      <c r="NJ439" s="31"/>
      <c r="NK439" s="31"/>
      <c r="NL439" s="31"/>
      <c r="NM439" s="31"/>
      <c r="NN439" s="31"/>
      <c r="NO439" s="31"/>
      <c r="NP439" s="31"/>
      <c r="NQ439" s="31"/>
      <c r="NR439" s="31"/>
      <c r="NS439" s="31"/>
      <c r="NT439" s="31"/>
      <c r="NU439" s="31"/>
      <c r="NV439" s="31"/>
      <c r="NW439" s="31"/>
      <c r="NX439" s="31"/>
      <c r="NY439" s="31"/>
      <c r="NZ439" s="31"/>
      <c r="OA439" s="31"/>
      <c r="OB439" s="31"/>
      <c r="OC439" s="31"/>
      <c r="OD439" s="31"/>
      <c r="OE439" s="31"/>
      <c r="OF439" s="31"/>
      <c r="OG439" s="31"/>
      <c r="OH439" s="31"/>
      <c r="OI439" s="31"/>
      <c r="OJ439" s="31"/>
      <c r="OK439" s="31"/>
      <c r="OL439" s="31"/>
      <c r="OM439" s="31"/>
      <c r="ON439" s="31"/>
      <c r="OO439" s="31"/>
      <c r="OP439" s="31"/>
      <c r="OQ439" s="31"/>
      <c r="OR439" s="31"/>
      <c r="OS439" s="31"/>
      <c r="OT439" s="31"/>
      <c r="OU439" s="31"/>
      <c r="OV439" s="31"/>
      <c r="OW439" s="31"/>
      <c r="OX439" s="31"/>
    </row>
    <row r="440" spans="2:414" s="25" customFormat="1" ht="15.6">
      <c r="B440" s="25" t="s">
        <v>640</v>
      </c>
      <c r="C440" s="27" t="s">
        <v>639</v>
      </c>
      <c r="D440" s="30" t="s">
        <v>465</v>
      </c>
      <c r="G440" s="42">
        <v>80</v>
      </c>
      <c r="H440" s="89">
        <v>26.109000000000002</v>
      </c>
      <c r="I440" s="38">
        <f t="shared" si="135"/>
        <v>2088.7200000000003</v>
      </c>
      <c r="K440" s="42">
        <v>80</v>
      </c>
      <c r="L440" s="90">
        <v>26.849599999999999</v>
      </c>
      <c r="M440" s="38">
        <f t="shared" si="136"/>
        <v>2147.9679999999998</v>
      </c>
      <c r="O440" s="42">
        <v>505</v>
      </c>
      <c r="P440" s="38">
        <v>26.728300000000001</v>
      </c>
      <c r="Q440" s="38">
        <f t="shared" si="137"/>
        <v>13497.791500000001</v>
      </c>
      <c r="R440" s="43">
        <f t="shared" si="132"/>
        <v>665</v>
      </c>
      <c r="S440" s="38">
        <f t="shared" si="138"/>
        <v>17734.479500000001</v>
      </c>
      <c r="T440" s="49">
        <v>240</v>
      </c>
      <c r="U440" s="42">
        <v>26.79</v>
      </c>
      <c r="V440" s="38">
        <f t="shared" si="146"/>
        <v>6429.5999999999995</v>
      </c>
      <c r="W440" s="42">
        <v>505</v>
      </c>
      <c r="X440" s="42">
        <v>26.72</v>
      </c>
      <c r="Y440" s="42">
        <f t="shared" si="144"/>
        <v>13493.599999999999</v>
      </c>
      <c r="Z440" s="42"/>
      <c r="AA440" s="42"/>
      <c r="AB440" s="42">
        <f t="shared" si="145"/>
        <v>0</v>
      </c>
      <c r="AD440" s="42"/>
      <c r="AE440" s="42"/>
      <c r="AF440" s="42">
        <f t="shared" si="147"/>
        <v>0</v>
      </c>
      <c r="AG440" s="42"/>
      <c r="AH440" s="42"/>
      <c r="AI440" s="42"/>
      <c r="AJ440" s="42">
        <f t="shared" si="134"/>
        <v>0</v>
      </c>
      <c r="AL440" s="42"/>
      <c r="AM440" s="42"/>
      <c r="AN440" s="42"/>
      <c r="AO440" s="44"/>
      <c r="AP440" s="42"/>
      <c r="AQ440" s="42"/>
      <c r="AR440" s="42"/>
      <c r="AU440" s="98"/>
      <c r="AV440" s="35"/>
      <c r="AW440" s="104"/>
      <c r="AX440" s="42"/>
      <c r="AY440" s="42"/>
      <c r="AZ440" s="42">
        <f t="shared" si="131"/>
        <v>0</v>
      </c>
      <c r="BA440" s="42"/>
      <c r="BB440" s="42"/>
      <c r="BC440" s="42"/>
      <c r="BD440" s="38">
        <f t="shared" si="139"/>
        <v>0</v>
      </c>
      <c r="BE440" s="42"/>
      <c r="BF440" s="42"/>
      <c r="BG440" s="42"/>
      <c r="BH440" s="38">
        <f t="shared" si="140"/>
        <v>0</v>
      </c>
      <c r="BI440" s="42"/>
      <c r="BJ440" s="42"/>
      <c r="BK440" s="42"/>
      <c r="BL440" s="38">
        <f t="shared" si="141"/>
        <v>0</v>
      </c>
      <c r="BM440" s="42"/>
      <c r="BN440" s="42"/>
      <c r="BO440" s="42"/>
      <c r="BP440" s="42"/>
      <c r="BR440" s="42">
        <f t="shared" si="142"/>
        <v>19923.199999999997</v>
      </c>
      <c r="BS440" s="43"/>
      <c r="BT440" s="35">
        <v>2188.7199999999998</v>
      </c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  <c r="FM440" s="31"/>
      <c r="FN440" s="31"/>
      <c r="FO440" s="31"/>
      <c r="FP440" s="31"/>
      <c r="FQ440" s="31"/>
      <c r="FR440" s="31"/>
      <c r="FS440" s="31"/>
      <c r="FT440" s="31"/>
      <c r="FU440" s="31"/>
      <c r="FV440" s="31"/>
      <c r="FW440" s="31"/>
      <c r="FX440" s="31"/>
      <c r="FY440" s="31"/>
      <c r="FZ440" s="31"/>
      <c r="GA440" s="31"/>
      <c r="GB440" s="31"/>
      <c r="GC440" s="31"/>
      <c r="GD440" s="31"/>
      <c r="GE440" s="31"/>
      <c r="GF440" s="31"/>
      <c r="GG440" s="31"/>
      <c r="GH440" s="31"/>
      <c r="GI440" s="31"/>
      <c r="GJ440" s="31"/>
      <c r="GK440" s="31"/>
      <c r="GL440" s="31"/>
      <c r="GM440" s="31"/>
      <c r="GN440" s="31"/>
      <c r="GO440" s="31"/>
      <c r="GP440" s="31"/>
      <c r="GQ440" s="31"/>
      <c r="GR440" s="31"/>
      <c r="GS440" s="31"/>
      <c r="GT440" s="31"/>
      <c r="GU440" s="31"/>
      <c r="GV440" s="31"/>
      <c r="GW440" s="31"/>
      <c r="GX440" s="31"/>
      <c r="GY440" s="31"/>
      <c r="GZ440" s="31"/>
      <c r="HA440" s="31"/>
      <c r="HB440" s="31"/>
      <c r="HC440" s="31"/>
      <c r="HD440" s="31"/>
      <c r="HE440" s="31"/>
      <c r="HF440" s="31"/>
      <c r="HG440" s="31"/>
      <c r="HH440" s="31"/>
      <c r="HI440" s="31"/>
      <c r="HJ440" s="31"/>
      <c r="HK440" s="31"/>
      <c r="HL440" s="31"/>
      <c r="HM440" s="31"/>
      <c r="HN440" s="31"/>
      <c r="HO440" s="31"/>
      <c r="HP440" s="31"/>
      <c r="HQ440" s="31"/>
      <c r="HR440" s="31"/>
      <c r="HS440" s="31"/>
      <c r="HT440" s="31"/>
      <c r="HU440" s="31"/>
      <c r="HV440" s="31"/>
      <c r="HW440" s="31"/>
      <c r="HX440" s="31"/>
      <c r="HY440" s="31"/>
      <c r="HZ440" s="31"/>
      <c r="IA440" s="31"/>
      <c r="IB440" s="31"/>
      <c r="IC440" s="31"/>
      <c r="ID440" s="31"/>
      <c r="IE440" s="31"/>
      <c r="IF440" s="31"/>
      <c r="IG440" s="31"/>
      <c r="IH440" s="31"/>
      <c r="II440" s="31"/>
      <c r="IJ440" s="31"/>
      <c r="IK440" s="31"/>
      <c r="IL440" s="31"/>
      <c r="IM440" s="31"/>
      <c r="IN440" s="31"/>
      <c r="IO440" s="31"/>
      <c r="IP440" s="31"/>
      <c r="IQ440" s="31"/>
      <c r="IR440" s="31"/>
      <c r="IS440" s="31"/>
      <c r="IT440" s="31"/>
      <c r="IU440" s="31"/>
      <c r="IV440" s="31"/>
      <c r="IW440" s="31"/>
      <c r="IX440" s="31"/>
      <c r="IY440" s="31"/>
      <c r="IZ440" s="31"/>
      <c r="JA440" s="31"/>
      <c r="JB440" s="31"/>
      <c r="JC440" s="31"/>
      <c r="JD440" s="31"/>
      <c r="JE440" s="31"/>
      <c r="JF440" s="31"/>
      <c r="JG440" s="31"/>
      <c r="JH440" s="31"/>
      <c r="JI440" s="31"/>
      <c r="JJ440" s="31"/>
      <c r="JK440" s="31"/>
      <c r="JL440" s="31"/>
      <c r="JM440" s="31"/>
      <c r="JN440" s="31"/>
      <c r="JO440" s="31"/>
      <c r="JP440" s="31"/>
      <c r="JQ440" s="31"/>
      <c r="JR440" s="31"/>
      <c r="JS440" s="31"/>
      <c r="JT440" s="31"/>
      <c r="JU440" s="31"/>
      <c r="JV440" s="31"/>
      <c r="JW440" s="31"/>
      <c r="JX440" s="31"/>
      <c r="JY440" s="31"/>
      <c r="JZ440" s="31"/>
      <c r="KA440" s="31"/>
      <c r="KB440" s="31"/>
      <c r="KC440" s="31"/>
      <c r="KD440" s="31"/>
      <c r="KE440" s="31"/>
      <c r="KF440" s="31"/>
      <c r="KG440" s="31"/>
      <c r="KH440" s="31"/>
      <c r="KI440" s="31"/>
      <c r="KJ440" s="31"/>
      <c r="KK440" s="31"/>
      <c r="KL440" s="31"/>
      <c r="KM440" s="31"/>
      <c r="KN440" s="31"/>
      <c r="KO440" s="31"/>
      <c r="KP440" s="31"/>
      <c r="KQ440" s="31"/>
      <c r="KR440" s="31"/>
      <c r="KS440" s="31"/>
      <c r="KT440" s="31"/>
      <c r="KU440" s="31"/>
      <c r="KV440" s="31"/>
      <c r="KW440" s="31"/>
      <c r="KX440" s="31"/>
      <c r="KY440" s="31"/>
      <c r="KZ440" s="31"/>
      <c r="LA440" s="31"/>
      <c r="LB440" s="31"/>
      <c r="LC440" s="31"/>
      <c r="LD440" s="31"/>
      <c r="LE440" s="31"/>
      <c r="LF440" s="31"/>
      <c r="LG440" s="31"/>
      <c r="LH440" s="31"/>
      <c r="LI440" s="31"/>
      <c r="LJ440" s="31"/>
      <c r="LK440" s="31"/>
      <c r="LL440" s="31"/>
      <c r="LM440" s="31"/>
      <c r="LN440" s="31"/>
      <c r="LO440" s="31"/>
      <c r="LP440" s="31"/>
      <c r="LQ440" s="31"/>
      <c r="LR440" s="31"/>
      <c r="LS440" s="31"/>
      <c r="LT440" s="31"/>
      <c r="LU440" s="31"/>
      <c r="LV440" s="31"/>
      <c r="LW440" s="31"/>
      <c r="LX440" s="31"/>
      <c r="LY440" s="31"/>
      <c r="LZ440" s="31"/>
      <c r="MA440" s="31"/>
      <c r="MB440" s="31"/>
      <c r="MC440" s="31"/>
      <c r="MD440" s="31"/>
      <c r="ME440" s="31"/>
      <c r="MF440" s="31"/>
      <c r="MG440" s="31"/>
      <c r="MH440" s="31"/>
      <c r="MI440" s="31"/>
      <c r="MJ440" s="31"/>
      <c r="MK440" s="31"/>
      <c r="ML440" s="31"/>
      <c r="MM440" s="31"/>
      <c r="MN440" s="31"/>
      <c r="MO440" s="31"/>
      <c r="MP440" s="31"/>
      <c r="MQ440" s="31"/>
      <c r="MR440" s="31"/>
      <c r="MS440" s="31"/>
      <c r="MT440" s="31"/>
      <c r="MU440" s="31"/>
      <c r="MV440" s="31"/>
      <c r="MW440" s="31"/>
      <c r="MX440" s="31"/>
      <c r="MY440" s="31"/>
      <c r="MZ440" s="31"/>
      <c r="NA440" s="31"/>
      <c r="NB440" s="31"/>
      <c r="NC440" s="31"/>
      <c r="ND440" s="31"/>
      <c r="NE440" s="31"/>
      <c r="NF440" s="31"/>
      <c r="NG440" s="31"/>
      <c r="NH440" s="31"/>
      <c r="NI440" s="31"/>
      <c r="NJ440" s="31"/>
      <c r="NK440" s="31"/>
      <c r="NL440" s="31"/>
      <c r="NM440" s="31"/>
      <c r="NN440" s="31"/>
      <c r="NO440" s="31"/>
      <c r="NP440" s="31"/>
      <c r="NQ440" s="31"/>
      <c r="NR440" s="31"/>
      <c r="NS440" s="31"/>
      <c r="NT440" s="31"/>
      <c r="NU440" s="31"/>
      <c r="NV440" s="31"/>
      <c r="NW440" s="31"/>
      <c r="NX440" s="31"/>
      <c r="NY440" s="31"/>
      <c r="NZ440" s="31"/>
      <c r="OA440" s="31"/>
      <c r="OB440" s="31"/>
      <c r="OC440" s="31"/>
      <c r="OD440" s="31"/>
      <c r="OE440" s="31"/>
      <c r="OF440" s="31"/>
      <c r="OG440" s="31"/>
      <c r="OH440" s="31"/>
      <c r="OI440" s="31"/>
      <c r="OJ440" s="31"/>
      <c r="OK440" s="31"/>
      <c r="OL440" s="31"/>
      <c r="OM440" s="31"/>
      <c r="ON440" s="31"/>
      <c r="OO440" s="31"/>
      <c r="OP440" s="31"/>
      <c r="OQ440" s="31"/>
      <c r="OR440" s="31"/>
      <c r="OS440" s="31"/>
      <c r="OT440" s="31"/>
      <c r="OU440" s="31"/>
      <c r="OV440" s="31"/>
      <c r="OW440" s="31"/>
      <c r="OX440" s="31"/>
    </row>
    <row r="441" spans="2:414" s="25" customFormat="1" ht="15.6">
      <c r="B441" s="25" t="s">
        <v>1000</v>
      </c>
      <c r="C441" s="27" t="s">
        <v>676</v>
      </c>
      <c r="D441" s="30" t="s">
        <v>465</v>
      </c>
      <c r="G441" s="42">
        <v>80</v>
      </c>
      <c r="H441" s="89">
        <v>26.109000000000002</v>
      </c>
      <c r="I441" s="38">
        <f t="shared" si="135"/>
        <v>2088.7200000000003</v>
      </c>
      <c r="K441" s="42">
        <v>80</v>
      </c>
      <c r="L441" s="90">
        <v>26.849599999999999</v>
      </c>
      <c r="M441" s="38">
        <f t="shared" si="136"/>
        <v>2147.9679999999998</v>
      </c>
      <c r="O441" s="42">
        <v>505</v>
      </c>
      <c r="P441" s="38">
        <v>26.728300000000001</v>
      </c>
      <c r="Q441" s="38">
        <f t="shared" si="137"/>
        <v>13497.791500000001</v>
      </c>
      <c r="R441" s="43">
        <f t="shared" si="132"/>
        <v>665</v>
      </c>
      <c r="S441" s="38">
        <f t="shared" si="138"/>
        <v>17734.479500000001</v>
      </c>
      <c r="T441" s="49">
        <v>240</v>
      </c>
      <c r="U441" s="42">
        <v>26.79</v>
      </c>
      <c r="V441" s="38">
        <f t="shared" si="146"/>
        <v>6429.5999999999995</v>
      </c>
      <c r="W441" s="42">
        <v>505</v>
      </c>
      <c r="X441" s="42">
        <v>26.72</v>
      </c>
      <c r="Y441" s="42">
        <f t="shared" si="144"/>
        <v>13493.599999999999</v>
      </c>
      <c r="Z441" s="42"/>
      <c r="AA441" s="42"/>
      <c r="AB441" s="42">
        <f t="shared" si="145"/>
        <v>0</v>
      </c>
      <c r="AD441" s="42"/>
      <c r="AE441" s="42"/>
      <c r="AF441" s="42">
        <f t="shared" si="147"/>
        <v>0</v>
      </c>
      <c r="AG441" s="42"/>
      <c r="AH441" s="42"/>
      <c r="AI441" s="42"/>
      <c r="AJ441" s="42">
        <f t="shared" si="134"/>
        <v>0</v>
      </c>
      <c r="AL441" s="42"/>
      <c r="AM441" s="42"/>
      <c r="AN441" s="42"/>
      <c r="AO441" s="44"/>
      <c r="AP441" s="42"/>
      <c r="AQ441" s="42"/>
      <c r="AR441" s="42"/>
      <c r="AU441" s="98"/>
      <c r="AV441" s="35"/>
      <c r="AW441" s="104"/>
      <c r="AX441" s="42"/>
      <c r="AY441" s="42"/>
      <c r="AZ441" s="42">
        <f t="shared" si="131"/>
        <v>0</v>
      </c>
      <c r="BA441" s="42"/>
      <c r="BB441" s="42"/>
      <c r="BC441" s="42"/>
      <c r="BD441" s="38">
        <f t="shared" si="139"/>
        <v>0</v>
      </c>
      <c r="BE441" s="42"/>
      <c r="BF441" s="42"/>
      <c r="BG441" s="42"/>
      <c r="BH441" s="38">
        <f t="shared" si="140"/>
        <v>0</v>
      </c>
      <c r="BI441" s="42"/>
      <c r="BJ441" s="42"/>
      <c r="BK441" s="42"/>
      <c r="BL441" s="38">
        <f t="shared" si="141"/>
        <v>0</v>
      </c>
      <c r="BM441" s="42"/>
      <c r="BN441" s="42"/>
      <c r="BO441" s="42"/>
      <c r="BP441" s="42"/>
      <c r="BR441" s="42">
        <f t="shared" si="142"/>
        <v>19923.199999999997</v>
      </c>
      <c r="BS441" s="43"/>
      <c r="BT441" s="35">
        <v>2188.7199999999998</v>
      </c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  <c r="FM441" s="31"/>
      <c r="FN441" s="31"/>
      <c r="FO441" s="31"/>
      <c r="FP441" s="31"/>
      <c r="FQ441" s="31"/>
      <c r="FR441" s="31"/>
      <c r="FS441" s="31"/>
      <c r="FT441" s="31"/>
      <c r="FU441" s="31"/>
      <c r="FV441" s="31"/>
      <c r="FW441" s="31"/>
      <c r="FX441" s="31"/>
      <c r="FY441" s="31"/>
      <c r="FZ441" s="31"/>
      <c r="GA441" s="31"/>
      <c r="GB441" s="31"/>
      <c r="GC441" s="31"/>
      <c r="GD441" s="31"/>
      <c r="GE441" s="31"/>
      <c r="GF441" s="31"/>
      <c r="GG441" s="31"/>
      <c r="GH441" s="31"/>
      <c r="GI441" s="31"/>
      <c r="GJ441" s="31"/>
      <c r="GK441" s="31"/>
      <c r="GL441" s="31"/>
      <c r="GM441" s="31"/>
      <c r="GN441" s="31"/>
      <c r="GO441" s="31"/>
      <c r="GP441" s="31"/>
      <c r="GQ441" s="31"/>
      <c r="GR441" s="31"/>
      <c r="GS441" s="31"/>
      <c r="GT441" s="31"/>
      <c r="GU441" s="31"/>
      <c r="GV441" s="31"/>
      <c r="GW441" s="31"/>
      <c r="GX441" s="31"/>
      <c r="GY441" s="31"/>
      <c r="GZ441" s="31"/>
      <c r="HA441" s="31"/>
      <c r="HB441" s="31"/>
      <c r="HC441" s="31"/>
      <c r="HD441" s="31"/>
      <c r="HE441" s="31"/>
      <c r="HF441" s="31"/>
      <c r="HG441" s="31"/>
      <c r="HH441" s="31"/>
      <c r="HI441" s="31"/>
      <c r="HJ441" s="31"/>
      <c r="HK441" s="31"/>
      <c r="HL441" s="31"/>
      <c r="HM441" s="31"/>
      <c r="HN441" s="31"/>
      <c r="HO441" s="31"/>
      <c r="HP441" s="31"/>
      <c r="HQ441" s="31"/>
      <c r="HR441" s="31"/>
      <c r="HS441" s="31"/>
      <c r="HT441" s="31"/>
      <c r="HU441" s="31"/>
      <c r="HV441" s="31"/>
      <c r="HW441" s="31"/>
      <c r="HX441" s="31"/>
      <c r="HY441" s="31"/>
      <c r="HZ441" s="31"/>
      <c r="IA441" s="31"/>
      <c r="IB441" s="31"/>
      <c r="IC441" s="31"/>
      <c r="ID441" s="31"/>
      <c r="IE441" s="31"/>
      <c r="IF441" s="31"/>
      <c r="IG441" s="31"/>
      <c r="IH441" s="31"/>
      <c r="II441" s="31"/>
      <c r="IJ441" s="31"/>
      <c r="IK441" s="31"/>
      <c r="IL441" s="31"/>
      <c r="IM441" s="31"/>
      <c r="IN441" s="31"/>
      <c r="IO441" s="31"/>
      <c r="IP441" s="31"/>
      <c r="IQ441" s="31"/>
      <c r="IR441" s="31"/>
      <c r="IS441" s="31"/>
      <c r="IT441" s="31"/>
      <c r="IU441" s="31"/>
      <c r="IV441" s="31"/>
      <c r="IW441" s="31"/>
      <c r="IX441" s="31"/>
      <c r="IY441" s="31"/>
      <c r="IZ441" s="31"/>
      <c r="JA441" s="31"/>
      <c r="JB441" s="31"/>
      <c r="JC441" s="31"/>
      <c r="JD441" s="31"/>
      <c r="JE441" s="31"/>
      <c r="JF441" s="31"/>
      <c r="JG441" s="31"/>
      <c r="JH441" s="31"/>
      <c r="JI441" s="31"/>
      <c r="JJ441" s="31"/>
      <c r="JK441" s="31"/>
      <c r="JL441" s="31"/>
      <c r="JM441" s="31"/>
      <c r="JN441" s="31"/>
      <c r="JO441" s="31"/>
      <c r="JP441" s="31"/>
      <c r="JQ441" s="31"/>
      <c r="JR441" s="31"/>
      <c r="JS441" s="31"/>
      <c r="JT441" s="31"/>
      <c r="JU441" s="31"/>
      <c r="JV441" s="31"/>
      <c r="JW441" s="31"/>
      <c r="JX441" s="31"/>
      <c r="JY441" s="31"/>
      <c r="JZ441" s="31"/>
      <c r="KA441" s="31"/>
      <c r="KB441" s="31"/>
      <c r="KC441" s="31"/>
      <c r="KD441" s="31"/>
      <c r="KE441" s="31"/>
      <c r="KF441" s="31"/>
      <c r="KG441" s="31"/>
      <c r="KH441" s="31"/>
      <c r="KI441" s="31"/>
      <c r="KJ441" s="31"/>
      <c r="KK441" s="31"/>
      <c r="KL441" s="31"/>
      <c r="KM441" s="31"/>
      <c r="KN441" s="31"/>
      <c r="KO441" s="31"/>
      <c r="KP441" s="31"/>
      <c r="KQ441" s="31"/>
      <c r="KR441" s="31"/>
      <c r="KS441" s="31"/>
      <c r="KT441" s="31"/>
      <c r="KU441" s="31"/>
      <c r="KV441" s="31"/>
      <c r="KW441" s="31"/>
      <c r="KX441" s="31"/>
      <c r="KY441" s="31"/>
      <c r="KZ441" s="31"/>
      <c r="LA441" s="31"/>
      <c r="LB441" s="31"/>
      <c r="LC441" s="31"/>
      <c r="LD441" s="31"/>
      <c r="LE441" s="31"/>
      <c r="LF441" s="31"/>
      <c r="LG441" s="31"/>
      <c r="LH441" s="31"/>
      <c r="LI441" s="31"/>
      <c r="LJ441" s="31"/>
      <c r="LK441" s="31"/>
      <c r="LL441" s="31"/>
      <c r="LM441" s="31"/>
      <c r="LN441" s="31"/>
      <c r="LO441" s="31"/>
      <c r="LP441" s="31"/>
      <c r="LQ441" s="31"/>
      <c r="LR441" s="31"/>
      <c r="LS441" s="31"/>
      <c r="LT441" s="31"/>
      <c r="LU441" s="31"/>
      <c r="LV441" s="31"/>
      <c r="LW441" s="31"/>
      <c r="LX441" s="31"/>
      <c r="LY441" s="31"/>
      <c r="LZ441" s="31"/>
      <c r="MA441" s="31"/>
      <c r="MB441" s="31"/>
      <c r="MC441" s="31"/>
      <c r="MD441" s="31"/>
      <c r="ME441" s="31"/>
      <c r="MF441" s="31"/>
      <c r="MG441" s="31"/>
      <c r="MH441" s="31"/>
      <c r="MI441" s="31"/>
      <c r="MJ441" s="31"/>
      <c r="MK441" s="31"/>
      <c r="ML441" s="31"/>
      <c r="MM441" s="31"/>
      <c r="MN441" s="31"/>
      <c r="MO441" s="31"/>
      <c r="MP441" s="31"/>
      <c r="MQ441" s="31"/>
      <c r="MR441" s="31"/>
      <c r="MS441" s="31"/>
      <c r="MT441" s="31"/>
      <c r="MU441" s="31"/>
      <c r="MV441" s="31"/>
      <c r="MW441" s="31"/>
      <c r="MX441" s="31"/>
      <c r="MY441" s="31"/>
      <c r="MZ441" s="31"/>
      <c r="NA441" s="31"/>
      <c r="NB441" s="31"/>
      <c r="NC441" s="31"/>
      <c r="ND441" s="31"/>
      <c r="NE441" s="31"/>
      <c r="NF441" s="31"/>
      <c r="NG441" s="31"/>
      <c r="NH441" s="31"/>
      <c r="NI441" s="31"/>
      <c r="NJ441" s="31"/>
      <c r="NK441" s="31"/>
      <c r="NL441" s="31"/>
      <c r="NM441" s="31"/>
      <c r="NN441" s="31"/>
      <c r="NO441" s="31"/>
      <c r="NP441" s="31"/>
      <c r="NQ441" s="31"/>
      <c r="NR441" s="31"/>
      <c r="NS441" s="31"/>
      <c r="NT441" s="31"/>
      <c r="NU441" s="31"/>
      <c r="NV441" s="31"/>
      <c r="NW441" s="31"/>
      <c r="NX441" s="31"/>
      <c r="NY441" s="31"/>
      <c r="NZ441" s="31"/>
      <c r="OA441" s="31"/>
      <c r="OB441" s="31"/>
      <c r="OC441" s="31"/>
      <c r="OD441" s="31"/>
      <c r="OE441" s="31"/>
      <c r="OF441" s="31"/>
      <c r="OG441" s="31"/>
      <c r="OH441" s="31"/>
      <c r="OI441" s="31"/>
      <c r="OJ441" s="31"/>
      <c r="OK441" s="31"/>
      <c r="OL441" s="31"/>
      <c r="OM441" s="31"/>
      <c r="ON441" s="31"/>
      <c r="OO441" s="31"/>
      <c r="OP441" s="31"/>
      <c r="OQ441" s="31"/>
      <c r="OR441" s="31"/>
      <c r="OS441" s="31"/>
      <c r="OT441" s="31"/>
      <c r="OU441" s="31"/>
      <c r="OV441" s="31"/>
      <c r="OW441" s="31"/>
      <c r="OX441" s="31"/>
    </row>
    <row r="442" spans="2:414" s="25" customFormat="1" ht="15.6">
      <c r="B442" s="25" t="s">
        <v>774</v>
      </c>
      <c r="C442" s="27" t="s">
        <v>605</v>
      </c>
      <c r="D442" s="30" t="s">
        <v>465</v>
      </c>
      <c r="G442" s="42">
        <v>80</v>
      </c>
      <c r="H442" s="89">
        <v>26.109000000000002</v>
      </c>
      <c r="I442" s="38">
        <f t="shared" si="135"/>
        <v>2088.7200000000003</v>
      </c>
      <c r="K442" s="42">
        <v>80</v>
      </c>
      <c r="L442" s="90">
        <v>26.849599999999999</v>
      </c>
      <c r="M442" s="38">
        <f t="shared" si="136"/>
        <v>2147.9679999999998</v>
      </c>
      <c r="O442" s="42">
        <v>505</v>
      </c>
      <c r="P442" s="38">
        <v>26.728300000000001</v>
      </c>
      <c r="Q442" s="38">
        <f t="shared" si="137"/>
        <v>13497.791500000001</v>
      </c>
      <c r="R442" s="43">
        <f t="shared" si="132"/>
        <v>665</v>
      </c>
      <c r="S442" s="38">
        <f t="shared" si="138"/>
        <v>17734.479500000001</v>
      </c>
      <c r="T442" s="49">
        <v>240</v>
      </c>
      <c r="U442" s="42">
        <v>26.79</v>
      </c>
      <c r="V442" s="38">
        <f t="shared" si="146"/>
        <v>6429.5999999999995</v>
      </c>
      <c r="W442" s="42">
        <v>505</v>
      </c>
      <c r="X442" s="42">
        <v>26.73</v>
      </c>
      <c r="Y442" s="42">
        <f t="shared" si="144"/>
        <v>13498.65</v>
      </c>
      <c r="Z442" s="42"/>
      <c r="AA442" s="42"/>
      <c r="AB442" s="42">
        <f t="shared" si="145"/>
        <v>0</v>
      </c>
      <c r="AD442" s="42"/>
      <c r="AE442" s="42"/>
      <c r="AF442" s="42">
        <f t="shared" si="147"/>
        <v>0</v>
      </c>
      <c r="AG442" s="42"/>
      <c r="AH442" s="42"/>
      <c r="AI442" s="42"/>
      <c r="AJ442" s="42">
        <f t="shared" si="134"/>
        <v>0</v>
      </c>
      <c r="AL442" s="42"/>
      <c r="AM442" s="42"/>
      <c r="AN442" s="42"/>
      <c r="AO442" s="44"/>
      <c r="AP442" s="42"/>
      <c r="AQ442" s="42"/>
      <c r="AR442" s="42"/>
      <c r="AU442" s="98"/>
      <c r="AV442" s="35"/>
      <c r="AW442" s="104"/>
      <c r="AX442" s="42"/>
      <c r="AY442" s="42"/>
      <c r="AZ442" s="42">
        <f t="shared" ref="AZ442:AZ505" si="148">AX442*AY442</f>
        <v>0</v>
      </c>
      <c r="BA442" s="42"/>
      <c r="BB442" s="42"/>
      <c r="BC442" s="42"/>
      <c r="BD442" s="38">
        <f t="shared" si="139"/>
        <v>0</v>
      </c>
      <c r="BE442" s="42"/>
      <c r="BF442" s="42"/>
      <c r="BG442" s="42"/>
      <c r="BH442" s="38">
        <f t="shared" si="140"/>
        <v>0</v>
      </c>
      <c r="BI442" s="42"/>
      <c r="BJ442" s="42"/>
      <c r="BK442" s="42"/>
      <c r="BL442" s="38">
        <f t="shared" si="141"/>
        <v>0</v>
      </c>
      <c r="BM442" s="42"/>
      <c r="BN442" s="42"/>
      <c r="BO442" s="42"/>
      <c r="BP442" s="42"/>
      <c r="BR442" s="42">
        <f t="shared" si="142"/>
        <v>19928.25</v>
      </c>
      <c r="BS442" s="43"/>
      <c r="BT442" s="35">
        <v>2193.77</v>
      </c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  <c r="FM442" s="31"/>
      <c r="FN442" s="31"/>
      <c r="FO442" s="31"/>
      <c r="FP442" s="31"/>
      <c r="FQ442" s="31"/>
      <c r="FR442" s="31"/>
      <c r="FS442" s="31"/>
      <c r="FT442" s="31"/>
      <c r="FU442" s="31"/>
      <c r="FV442" s="31"/>
      <c r="FW442" s="31"/>
      <c r="FX442" s="31"/>
      <c r="FY442" s="31"/>
      <c r="FZ442" s="31"/>
      <c r="GA442" s="31"/>
      <c r="GB442" s="31"/>
      <c r="GC442" s="31"/>
      <c r="GD442" s="31"/>
      <c r="GE442" s="31"/>
      <c r="GF442" s="31"/>
      <c r="GG442" s="31"/>
      <c r="GH442" s="31"/>
      <c r="GI442" s="31"/>
      <c r="GJ442" s="31"/>
      <c r="GK442" s="31"/>
      <c r="GL442" s="31"/>
      <c r="GM442" s="31"/>
      <c r="GN442" s="31"/>
      <c r="GO442" s="31"/>
      <c r="GP442" s="31"/>
      <c r="GQ442" s="31"/>
      <c r="GR442" s="31"/>
      <c r="GS442" s="31"/>
      <c r="GT442" s="31"/>
      <c r="GU442" s="31"/>
      <c r="GV442" s="31"/>
      <c r="GW442" s="31"/>
      <c r="GX442" s="31"/>
      <c r="GY442" s="31"/>
      <c r="GZ442" s="31"/>
      <c r="HA442" s="31"/>
      <c r="HB442" s="31"/>
      <c r="HC442" s="31"/>
      <c r="HD442" s="31"/>
      <c r="HE442" s="31"/>
      <c r="HF442" s="31"/>
      <c r="HG442" s="31"/>
      <c r="HH442" s="31"/>
      <c r="HI442" s="31"/>
      <c r="HJ442" s="31"/>
      <c r="HK442" s="31"/>
      <c r="HL442" s="31"/>
      <c r="HM442" s="31"/>
      <c r="HN442" s="31"/>
      <c r="HO442" s="31"/>
      <c r="HP442" s="31"/>
      <c r="HQ442" s="31"/>
      <c r="HR442" s="31"/>
      <c r="HS442" s="31"/>
      <c r="HT442" s="31"/>
      <c r="HU442" s="31"/>
      <c r="HV442" s="31"/>
      <c r="HW442" s="31"/>
      <c r="HX442" s="31"/>
      <c r="HY442" s="31"/>
      <c r="HZ442" s="31"/>
      <c r="IA442" s="31"/>
      <c r="IB442" s="31"/>
      <c r="IC442" s="31"/>
      <c r="ID442" s="31"/>
      <c r="IE442" s="31"/>
      <c r="IF442" s="31"/>
      <c r="IG442" s="31"/>
      <c r="IH442" s="31"/>
      <c r="II442" s="31"/>
      <c r="IJ442" s="31"/>
      <c r="IK442" s="31"/>
      <c r="IL442" s="31"/>
      <c r="IM442" s="31"/>
      <c r="IN442" s="31"/>
      <c r="IO442" s="31"/>
      <c r="IP442" s="31"/>
      <c r="IQ442" s="31"/>
      <c r="IR442" s="31"/>
      <c r="IS442" s="31"/>
      <c r="IT442" s="31"/>
      <c r="IU442" s="31"/>
      <c r="IV442" s="31"/>
      <c r="IW442" s="31"/>
      <c r="IX442" s="31"/>
      <c r="IY442" s="31"/>
      <c r="IZ442" s="31"/>
      <c r="JA442" s="31"/>
      <c r="JB442" s="31"/>
      <c r="JC442" s="31"/>
      <c r="JD442" s="31"/>
      <c r="JE442" s="31"/>
      <c r="JF442" s="31"/>
      <c r="JG442" s="31"/>
      <c r="JH442" s="31"/>
      <c r="JI442" s="31"/>
      <c r="JJ442" s="31"/>
      <c r="JK442" s="31"/>
      <c r="JL442" s="31"/>
      <c r="JM442" s="31"/>
      <c r="JN442" s="31"/>
      <c r="JO442" s="31"/>
      <c r="JP442" s="31"/>
      <c r="JQ442" s="31"/>
      <c r="JR442" s="31"/>
      <c r="JS442" s="31"/>
      <c r="JT442" s="31"/>
      <c r="JU442" s="31"/>
      <c r="JV442" s="31"/>
      <c r="JW442" s="31"/>
      <c r="JX442" s="31"/>
      <c r="JY442" s="31"/>
      <c r="JZ442" s="31"/>
      <c r="KA442" s="31"/>
      <c r="KB442" s="31"/>
      <c r="KC442" s="31"/>
      <c r="KD442" s="31"/>
      <c r="KE442" s="31"/>
      <c r="KF442" s="31"/>
      <c r="KG442" s="31"/>
      <c r="KH442" s="31"/>
      <c r="KI442" s="31"/>
      <c r="KJ442" s="31"/>
      <c r="KK442" s="31"/>
      <c r="KL442" s="31"/>
      <c r="KM442" s="31"/>
      <c r="KN442" s="31"/>
      <c r="KO442" s="31"/>
      <c r="KP442" s="31"/>
      <c r="KQ442" s="31"/>
      <c r="KR442" s="31"/>
      <c r="KS442" s="31"/>
      <c r="KT442" s="31"/>
      <c r="KU442" s="31"/>
      <c r="KV442" s="31"/>
      <c r="KW442" s="31"/>
      <c r="KX442" s="31"/>
      <c r="KY442" s="31"/>
      <c r="KZ442" s="31"/>
      <c r="LA442" s="31"/>
      <c r="LB442" s="31"/>
      <c r="LC442" s="31"/>
      <c r="LD442" s="31"/>
      <c r="LE442" s="31"/>
      <c r="LF442" s="31"/>
      <c r="LG442" s="31"/>
      <c r="LH442" s="31"/>
      <c r="LI442" s="31"/>
      <c r="LJ442" s="31"/>
      <c r="LK442" s="31"/>
      <c r="LL442" s="31"/>
      <c r="LM442" s="31"/>
      <c r="LN442" s="31"/>
      <c r="LO442" s="31"/>
      <c r="LP442" s="31"/>
      <c r="LQ442" s="31"/>
      <c r="LR442" s="31"/>
      <c r="LS442" s="31"/>
      <c r="LT442" s="31"/>
      <c r="LU442" s="31"/>
      <c r="LV442" s="31"/>
      <c r="LW442" s="31"/>
      <c r="LX442" s="31"/>
      <c r="LY442" s="31"/>
      <c r="LZ442" s="31"/>
      <c r="MA442" s="31"/>
      <c r="MB442" s="31"/>
      <c r="MC442" s="31"/>
      <c r="MD442" s="31"/>
      <c r="ME442" s="31"/>
      <c r="MF442" s="31"/>
      <c r="MG442" s="31"/>
      <c r="MH442" s="31"/>
      <c r="MI442" s="31"/>
      <c r="MJ442" s="31"/>
      <c r="MK442" s="31"/>
      <c r="ML442" s="31"/>
      <c r="MM442" s="31"/>
      <c r="MN442" s="31"/>
      <c r="MO442" s="31"/>
      <c r="MP442" s="31"/>
      <c r="MQ442" s="31"/>
      <c r="MR442" s="31"/>
      <c r="MS442" s="31"/>
      <c r="MT442" s="31"/>
      <c r="MU442" s="31"/>
      <c r="MV442" s="31"/>
      <c r="MW442" s="31"/>
      <c r="MX442" s="31"/>
      <c r="MY442" s="31"/>
      <c r="MZ442" s="31"/>
      <c r="NA442" s="31"/>
      <c r="NB442" s="31"/>
      <c r="NC442" s="31"/>
      <c r="ND442" s="31"/>
      <c r="NE442" s="31"/>
      <c r="NF442" s="31"/>
      <c r="NG442" s="31"/>
      <c r="NH442" s="31"/>
      <c r="NI442" s="31"/>
      <c r="NJ442" s="31"/>
      <c r="NK442" s="31"/>
      <c r="NL442" s="31"/>
      <c r="NM442" s="31"/>
      <c r="NN442" s="31"/>
      <c r="NO442" s="31"/>
      <c r="NP442" s="31"/>
      <c r="NQ442" s="31"/>
      <c r="NR442" s="31"/>
      <c r="NS442" s="31"/>
      <c r="NT442" s="31"/>
      <c r="NU442" s="31"/>
      <c r="NV442" s="31"/>
      <c r="NW442" s="31"/>
      <c r="NX442" s="31"/>
      <c r="NY442" s="31"/>
      <c r="NZ442" s="31"/>
      <c r="OA442" s="31"/>
      <c r="OB442" s="31"/>
      <c r="OC442" s="31"/>
      <c r="OD442" s="31"/>
      <c r="OE442" s="31"/>
      <c r="OF442" s="31"/>
      <c r="OG442" s="31"/>
      <c r="OH442" s="31"/>
      <c r="OI442" s="31"/>
      <c r="OJ442" s="31"/>
      <c r="OK442" s="31"/>
      <c r="OL442" s="31"/>
      <c r="OM442" s="31"/>
      <c r="ON442" s="31"/>
      <c r="OO442" s="31"/>
      <c r="OP442" s="31"/>
      <c r="OQ442" s="31"/>
      <c r="OR442" s="31"/>
      <c r="OS442" s="31"/>
      <c r="OT442" s="31"/>
      <c r="OU442" s="31"/>
      <c r="OV442" s="31"/>
      <c r="OW442" s="31"/>
      <c r="OX442" s="31"/>
    </row>
    <row r="443" spans="2:414" s="25" customFormat="1" ht="15.6">
      <c r="B443" s="25" t="s">
        <v>907</v>
      </c>
      <c r="C443" s="27" t="s">
        <v>19</v>
      </c>
      <c r="D443" s="30" t="s">
        <v>465</v>
      </c>
      <c r="G443" s="42">
        <v>80</v>
      </c>
      <c r="H443" s="89">
        <v>26.109000000000002</v>
      </c>
      <c r="I443" s="38">
        <f t="shared" si="135"/>
        <v>2088.7200000000003</v>
      </c>
      <c r="K443" s="42">
        <v>80</v>
      </c>
      <c r="L443" s="90">
        <v>26.849599999999999</v>
      </c>
      <c r="M443" s="38">
        <f t="shared" si="136"/>
        <v>2147.9679999999998</v>
      </c>
      <c r="O443" s="42">
        <v>505</v>
      </c>
      <c r="P443" s="38">
        <v>26.728300000000001</v>
      </c>
      <c r="Q443" s="38">
        <f t="shared" si="137"/>
        <v>13497.791500000001</v>
      </c>
      <c r="R443" s="43">
        <f t="shared" si="132"/>
        <v>665</v>
      </c>
      <c r="S443" s="38">
        <f t="shared" si="138"/>
        <v>17734.479500000001</v>
      </c>
      <c r="T443" s="49">
        <v>240</v>
      </c>
      <c r="U443" s="42">
        <v>26.79</v>
      </c>
      <c r="V443" s="38">
        <f t="shared" si="146"/>
        <v>6429.5999999999995</v>
      </c>
      <c r="W443" s="42">
        <v>505</v>
      </c>
      <c r="X443" s="42">
        <v>26.73</v>
      </c>
      <c r="Y443" s="42">
        <f t="shared" si="144"/>
        <v>13498.65</v>
      </c>
      <c r="Z443" s="42"/>
      <c r="AA443" s="42"/>
      <c r="AB443" s="42">
        <f t="shared" si="145"/>
        <v>0</v>
      </c>
      <c r="AD443" s="42"/>
      <c r="AE443" s="42"/>
      <c r="AF443" s="42">
        <f t="shared" si="147"/>
        <v>0</v>
      </c>
      <c r="AG443" s="42"/>
      <c r="AH443" s="42"/>
      <c r="AI443" s="42"/>
      <c r="AJ443" s="42">
        <f t="shared" si="134"/>
        <v>0</v>
      </c>
      <c r="AL443" s="42"/>
      <c r="AM443" s="42"/>
      <c r="AN443" s="42"/>
      <c r="AO443" s="44"/>
      <c r="AP443" s="42"/>
      <c r="AQ443" s="42"/>
      <c r="AR443" s="42"/>
      <c r="AU443" s="98"/>
      <c r="AV443" s="35"/>
      <c r="AW443" s="104"/>
      <c r="AX443" s="42"/>
      <c r="AY443" s="42"/>
      <c r="AZ443" s="42">
        <f t="shared" si="148"/>
        <v>0</v>
      </c>
      <c r="BA443" s="42"/>
      <c r="BB443" s="42"/>
      <c r="BC443" s="42"/>
      <c r="BD443" s="38">
        <f t="shared" si="139"/>
        <v>0</v>
      </c>
      <c r="BE443" s="42"/>
      <c r="BF443" s="42"/>
      <c r="BG443" s="42"/>
      <c r="BH443" s="38">
        <f t="shared" si="140"/>
        <v>0</v>
      </c>
      <c r="BI443" s="42"/>
      <c r="BJ443" s="42"/>
      <c r="BK443" s="42"/>
      <c r="BL443" s="38">
        <f t="shared" si="141"/>
        <v>0</v>
      </c>
      <c r="BM443" s="42"/>
      <c r="BN443" s="42"/>
      <c r="BO443" s="42"/>
      <c r="BP443" s="42"/>
      <c r="BR443" s="42">
        <f t="shared" si="142"/>
        <v>19928.25</v>
      </c>
      <c r="BS443" s="43"/>
      <c r="BT443" s="35">
        <v>2193.77</v>
      </c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  <c r="FM443" s="31"/>
      <c r="FN443" s="31"/>
      <c r="FO443" s="31"/>
      <c r="FP443" s="31"/>
      <c r="FQ443" s="31"/>
      <c r="FR443" s="31"/>
      <c r="FS443" s="31"/>
      <c r="FT443" s="31"/>
      <c r="FU443" s="31"/>
      <c r="FV443" s="31"/>
      <c r="FW443" s="31"/>
      <c r="FX443" s="31"/>
      <c r="FY443" s="31"/>
      <c r="FZ443" s="31"/>
      <c r="GA443" s="31"/>
      <c r="GB443" s="31"/>
      <c r="GC443" s="31"/>
      <c r="GD443" s="31"/>
      <c r="GE443" s="31"/>
      <c r="GF443" s="31"/>
      <c r="GG443" s="31"/>
      <c r="GH443" s="31"/>
      <c r="GI443" s="31"/>
      <c r="GJ443" s="31"/>
      <c r="GK443" s="31"/>
      <c r="GL443" s="31"/>
      <c r="GM443" s="31"/>
      <c r="GN443" s="31"/>
      <c r="GO443" s="31"/>
      <c r="GP443" s="31"/>
      <c r="GQ443" s="31"/>
      <c r="GR443" s="31"/>
      <c r="GS443" s="31"/>
      <c r="GT443" s="31"/>
      <c r="GU443" s="31"/>
      <c r="GV443" s="31"/>
      <c r="GW443" s="31"/>
      <c r="GX443" s="31"/>
      <c r="GY443" s="31"/>
      <c r="GZ443" s="31"/>
      <c r="HA443" s="31"/>
      <c r="HB443" s="31"/>
      <c r="HC443" s="31"/>
      <c r="HD443" s="31"/>
      <c r="HE443" s="31"/>
      <c r="HF443" s="31"/>
      <c r="HG443" s="31"/>
      <c r="HH443" s="31"/>
      <c r="HI443" s="31"/>
      <c r="HJ443" s="31"/>
      <c r="HK443" s="31"/>
      <c r="HL443" s="31"/>
      <c r="HM443" s="31"/>
      <c r="HN443" s="31"/>
      <c r="HO443" s="31"/>
      <c r="HP443" s="31"/>
      <c r="HQ443" s="31"/>
      <c r="HR443" s="31"/>
      <c r="HS443" s="31"/>
      <c r="HT443" s="31"/>
      <c r="HU443" s="31"/>
      <c r="HV443" s="31"/>
      <c r="HW443" s="31"/>
      <c r="HX443" s="31"/>
      <c r="HY443" s="31"/>
      <c r="HZ443" s="31"/>
      <c r="IA443" s="31"/>
      <c r="IB443" s="31"/>
      <c r="IC443" s="31"/>
      <c r="ID443" s="31"/>
      <c r="IE443" s="31"/>
      <c r="IF443" s="31"/>
      <c r="IG443" s="31"/>
      <c r="IH443" s="31"/>
      <c r="II443" s="31"/>
      <c r="IJ443" s="31"/>
      <c r="IK443" s="31"/>
      <c r="IL443" s="31"/>
      <c r="IM443" s="31"/>
      <c r="IN443" s="31"/>
      <c r="IO443" s="31"/>
      <c r="IP443" s="31"/>
      <c r="IQ443" s="31"/>
      <c r="IR443" s="31"/>
      <c r="IS443" s="31"/>
      <c r="IT443" s="31"/>
      <c r="IU443" s="31"/>
      <c r="IV443" s="31"/>
      <c r="IW443" s="31"/>
      <c r="IX443" s="31"/>
      <c r="IY443" s="31"/>
      <c r="IZ443" s="31"/>
      <c r="JA443" s="31"/>
      <c r="JB443" s="31"/>
      <c r="JC443" s="31"/>
      <c r="JD443" s="31"/>
      <c r="JE443" s="31"/>
      <c r="JF443" s="31"/>
      <c r="JG443" s="31"/>
      <c r="JH443" s="31"/>
      <c r="JI443" s="31"/>
      <c r="JJ443" s="31"/>
      <c r="JK443" s="31"/>
      <c r="JL443" s="31"/>
      <c r="JM443" s="31"/>
      <c r="JN443" s="31"/>
      <c r="JO443" s="31"/>
      <c r="JP443" s="31"/>
      <c r="JQ443" s="31"/>
      <c r="JR443" s="31"/>
      <c r="JS443" s="31"/>
      <c r="JT443" s="31"/>
      <c r="JU443" s="31"/>
      <c r="JV443" s="31"/>
      <c r="JW443" s="31"/>
      <c r="JX443" s="31"/>
      <c r="JY443" s="31"/>
      <c r="JZ443" s="31"/>
      <c r="KA443" s="31"/>
      <c r="KB443" s="31"/>
      <c r="KC443" s="31"/>
      <c r="KD443" s="31"/>
      <c r="KE443" s="31"/>
      <c r="KF443" s="31"/>
      <c r="KG443" s="31"/>
      <c r="KH443" s="31"/>
      <c r="KI443" s="31"/>
      <c r="KJ443" s="31"/>
      <c r="KK443" s="31"/>
      <c r="KL443" s="31"/>
      <c r="KM443" s="31"/>
      <c r="KN443" s="31"/>
      <c r="KO443" s="31"/>
      <c r="KP443" s="31"/>
      <c r="KQ443" s="31"/>
      <c r="KR443" s="31"/>
      <c r="KS443" s="31"/>
      <c r="KT443" s="31"/>
      <c r="KU443" s="31"/>
      <c r="KV443" s="31"/>
      <c r="KW443" s="31"/>
      <c r="KX443" s="31"/>
      <c r="KY443" s="31"/>
      <c r="KZ443" s="31"/>
      <c r="LA443" s="31"/>
      <c r="LB443" s="31"/>
      <c r="LC443" s="31"/>
      <c r="LD443" s="31"/>
      <c r="LE443" s="31"/>
      <c r="LF443" s="31"/>
      <c r="LG443" s="31"/>
      <c r="LH443" s="31"/>
      <c r="LI443" s="31"/>
      <c r="LJ443" s="31"/>
      <c r="LK443" s="31"/>
      <c r="LL443" s="31"/>
      <c r="LM443" s="31"/>
      <c r="LN443" s="31"/>
      <c r="LO443" s="31"/>
      <c r="LP443" s="31"/>
      <c r="LQ443" s="31"/>
      <c r="LR443" s="31"/>
      <c r="LS443" s="31"/>
      <c r="LT443" s="31"/>
      <c r="LU443" s="31"/>
      <c r="LV443" s="31"/>
      <c r="LW443" s="31"/>
      <c r="LX443" s="31"/>
      <c r="LY443" s="31"/>
      <c r="LZ443" s="31"/>
      <c r="MA443" s="31"/>
      <c r="MB443" s="31"/>
      <c r="MC443" s="31"/>
      <c r="MD443" s="31"/>
      <c r="ME443" s="31"/>
      <c r="MF443" s="31"/>
      <c r="MG443" s="31"/>
      <c r="MH443" s="31"/>
      <c r="MI443" s="31"/>
      <c r="MJ443" s="31"/>
      <c r="MK443" s="31"/>
      <c r="ML443" s="31"/>
      <c r="MM443" s="31"/>
      <c r="MN443" s="31"/>
      <c r="MO443" s="31"/>
      <c r="MP443" s="31"/>
      <c r="MQ443" s="31"/>
      <c r="MR443" s="31"/>
      <c r="MS443" s="31"/>
      <c r="MT443" s="31"/>
      <c r="MU443" s="31"/>
      <c r="MV443" s="31"/>
      <c r="MW443" s="31"/>
      <c r="MX443" s="31"/>
      <c r="MY443" s="31"/>
      <c r="MZ443" s="31"/>
      <c r="NA443" s="31"/>
      <c r="NB443" s="31"/>
      <c r="NC443" s="31"/>
      <c r="ND443" s="31"/>
      <c r="NE443" s="31"/>
      <c r="NF443" s="31"/>
      <c r="NG443" s="31"/>
      <c r="NH443" s="31"/>
      <c r="NI443" s="31"/>
      <c r="NJ443" s="31"/>
      <c r="NK443" s="31"/>
      <c r="NL443" s="31"/>
      <c r="NM443" s="31"/>
      <c r="NN443" s="31"/>
      <c r="NO443" s="31"/>
      <c r="NP443" s="31"/>
      <c r="NQ443" s="31"/>
      <c r="NR443" s="31"/>
      <c r="NS443" s="31"/>
      <c r="NT443" s="31"/>
      <c r="NU443" s="31"/>
      <c r="NV443" s="31"/>
      <c r="NW443" s="31"/>
      <c r="NX443" s="31"/>
      <c r="NY443" s="31"/>
      <c r="NZ443" s="31"/>
      <c r="OA443" s="31"/>
      <c r="OB443" s="31"/>
      <c r="OC443" s="31"/>
      <c r="OD443" s="31"/>
      <c r="OE443" s="31"/>
      <c r="OF443" s="31"/>
      <c r="OG443" s="31"/>
      <c r="OH443" s="31"/>
      <c r="OI443" s="31"/>
      <c r="OJ443" s="31"/>
      <c r="OK443" s="31"/>
      <c r="OL443" s="31"/>
      <c r="OM443" s="31"/>
      <c r="ON443" s="31"/>
      <c r="OO443" s="31"/>
      <c r="OP443" s="31"/>
      <c r="OQ443" s="31"/>
      <c r="OR443" s="31"/>
      <c r="OS443" s="31"/>
      <c r="OT443" s="31"/>
      <c r="OU443" s="31"/>
      <c r="OV443" s="31"/>
      <c r="OW443" s="31"/>
      <c r="OX443" s="31"/>
    </row>
    <row r="444" spans="2:414" s="25" customFormat="1" ht="15.6">
      <c r="B444" s="51" t="s">
        <v>146</v>
      </c>
      <c r="C444" s="27" t="s">
        <v>146</v>
      </c>
      <c r="D444" s="30" t="s">
        <v>465</v>
      </c>
      <c r="G444" s="42">
        <v>80</v>
      </c>
      <c r="H444" s="89">
        <v>26.109000000000002</v>
      </c>
      <c r="I444" s="38">
        <f t="shared" si="135"/>
        <v>2088.7200000000003</v>
      </c>
      <c r="K444" s="42">
        <v>80</v>
      </c>
      <c r="L444" s="90">
        <v>26.849599999999999</v>
      </c>
      <c r="M444" s="38">
        <f t="shared" si="136"/>
        <v>2147.9679999999998</v>
      </c>
      <c r="O444" s="42">
        <v>505</v>
      </c>
      <c r="P444" s="38">
        <v>26.728300000000001</v>
      </c>
      <c r="Q444" s="38">
        <f t="shared" si="137"/>
        <v>13497.791500000001</v>
      </c>
      <c r="R444" s="43">
        <f t="shared" si="132"/>
        <v>665</v>
      </c>
      <c r="S444" s="38">
        <f t="shared" si="138"/>
        <v>17734.479500000001</v>
      </c>
      <c r="T444" s="52">
        <v>240</v>
      </c>
      <c r="U444" s="48">
        <v>26.79</v>
      </c>
      <c r="V444" s="38">
        <f t="shared" si="146"/>
        <v>6429.5999999999995</v>
      </c>
      <c r="W444" s="48">
        <v>505</v>
      </c>
      <c r="X444" s="48">
        <v>26.677399999999999</v>
      </c>
      <c r="Y444" s="42">
        <f t="shared" si="144"/>
        <v>13472.087</v>
      </c>
      <c r="AB444" s="42">
        <f t="shared" si="145"/>
        <v>0</v>
      </c>
      <c r="AF444" s="42">
        <f t="shared" si="147"/>
        <v>0</v>
      </c>
      <c r="AJ444" s="42">
        <f t="shared" si="134"/>
        <v>0</v>
      </c>
      <c r="AU444" s="98"/>
      <c r="AV444" s="35"/>
      <c r="AW444" s="77"/>
      <c r="AZ444" s="42">
        <f t="shared" si="148"/>
        <v>0</v>
      </c>
      <c r="BD444" s="38">
        <f t="shared" si="139"/>
        <v>0</v>
      </c>
      <c r="BH444" s="38">
        <f t="shared" si="140"/>
        <v>0</v>
      </c>
      <c r="BL444" s="38">
        <f t="shared" si="141"/>
        <v>0</v>
      </c>
      <c r="BR444" s="42">
        <f t="shared" si="142"/>
        <v>19901.686999999998</v>
      </c>
      <c r="BS444" s="43"/>
      <c r="BT444" s="35">
        <v>2167.21</v>
      </c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  <c r="FM444" s="31"/>
      <c r="FN444" s="31"/>
      <c r="FO444" s="31"/>
      <c r="FP444" s="31"/>
      <c r="FQ444" s="31"/>
      <c r="FR444" s="31"/>
      <c r="FS444" s="31"/>
      <c r="FT444" s="31"/>
      <c r="FU444" s="31"/>
      <c r="FV444" s="31"/>
      <c r="FW444" s="31"/>
      <c r="FX444" s="31"/>
      <c r="FY444" s="31"/>
      <c r="FZ444" s="31"/>
      <c r="GA444" s="31"/>
      <c r="GB444" s="31"/>
      <c r="GC444" s="31"/>
      <c r="GD444" s="31"/>
      <c r="GE444" s="31"/>
      <c r="GF444" s="31"/>
      <c r="GG444" s="31"/>
      <c r="GH444" s="31"/>
      <c r="GI444" s="31"/>
      <c r="GJ444" s="31"/>
      <c r="GK444" s="31"/>
      <c r="GL444" s="31"/>
      <c r="GM444" s="31"/>
      <c r="GN444" s="31"/>
      <c r="GO444" s="31"/>
      <c r="GP444" s="31"/>
      <c r="GQ444" s="31"/>
      <c r="GR444" s="31"/>
      <c r="GS444" s="31"/>
      <c r="GT444" s="31"/>
      <c r="GU444" s="31"/>
      <c r="GV444" s="31"/>
      <c r="GW444" s="31"/>
      <c r="GX444" s="31"/>
      <c r="GY444" s="31"/>
      <c r="GZ444" s="31"/>
      <c r="HA444" s="31"/>
      <c r="HB444" s="31"/>
      <c r="HC444" s="31"/>
      <c r="HD444" s="31"/>
      <c r="HE444" s="31"/>
      <c r="HF444" s="31"/>
      <c r="HG444" s="31"/>
      <c r="HH444" s="31"/>
      <c r="HI444" s="31"/>
      <c r="HJ444" s="31"/>
      <c r="HK444" s="31"/>
      <c r="HL444" s="31"/>
      <c r="HM444" s="31"/>
      <c r="HN444" s="31"/>
      <c r="HO444" s="31"/>
      <c r="HP444" s="31"/>
      <c r="HQ444" s="31"/>
      <c r="HR444" s="31"/>
      <c r="HS444" s="31"/>
      <c r="HT444" s="31"/>
      <c r="HU444" s="31"/>
      <c r="HV444" s="31"/>
      <c r="HW444" s="31"/>
      <c r="HX444" s="31"/>
      <c r="HY444" s="31"/>
      <c r="HZ444" s="31"/>
      <c r="IA444" s="31"/>
      <c r="IB444" s="31"/>
      <c r="IC444" s="31"/>
      <c r="ID444" s="31"/>
      <c r="IE444" s="31"/>
      <c r="IF444" s="31"/>
      <c r="IG444" s="31"/>
      <c r="IH444" s="31"/>
      <c r="II444" s="31"/>
      <c r="IJ444" s="31"/>
      <c r="IK444" s="31"/>
      <c r="IL444" s="31"/>
      <c r="IM444" s="31"/>
      <c r="IN444" s="31"/>
      <c r="IO444" s="31"/>
      <c r="IP444" s="31"/>
      <c r="IQ444" s="31"/>
      <c r="IR444" s="31"/>
      <c r="IS444" s="31"/>
      <c r="IT444" s="31"/>
      <c r="IU444" s="31"/>
      <c r="IV444" s="31"/>
      <c r="IW444" s="31"/>
      <c r="IX444" s="31"/>
      <c r="IY444" s="31"/>
      <c r="IZ444" s="31"/>
      <c r="JA444" s="31"/>
      <c r="JB444" s="31"/>
      <c r="JC444" s="31"/>
      <c r="JD444" s="31"/>
      <c r="JE444" s="31"/>
      <c r="JF444" s="31"/>
      <c r="JG444" s="31"/>
      <c r="JH444" s="31"/>
      <c r="JI444" s="31"/>
      <c r="JJ444" s="31"/>
      <c r="JK444" s="31"/>
      <c r="JL444" s="31"/>
      <c r="JM444" s="31"/>
      <c r="JN444" s="31"/>
      <c r="JO444" s="31"/>
      <c r="JP444" s="31"/>
      <c r="JQ444" s="31"/>
      <c r="JR444" s="31"/>
      <c r="JS444" s="31"/>
      <c r="JT444" s="31"/>
      <c r="JU444" s="31"/>
      <c r="JV444" s="31"/>
      <c r="JW444" s="31"/>
      <c r="JX444" s="31"/>
      <c r="JY444" s="31"/>
      <c r="JZ444" s="31"/>
      <c r="KA444" s="31"/>
      <c r="KB444" s="31"/>
      <c r="KC444" s="31"/>
      <c r="KD444" s="31"/>
      <c r="KE444" s="31"/>
      <c r="KF444" s="31"/>
      <c r="KG444" s="31"/>
      <c r="KH444" s="31"/>
      <c r="KI444" s="31"/>
      <c r="KJ444" s="31"/>
      <c r="KK444" s="31"/>
      <c r="KL444" s="31"/>
      <c r="KM444" s="31"/>
      <c r="KN444" s="31"/>
      <c r="KO444" s="31"/>
      <c r="KP444" s="31"/>
      <c r="KQ444" s="31"/>
      <c r="KR444" s="31"/>
      <c r="KS444" s="31"/>
      <c r="KT444" s="31"/>
      <c r="KU444" s="31"/>
      <c r="KV444" s="31"/>
      <c r="KW444" s="31"/>
      <c r="KX444" s="31"/>
      <c r="KY444" s="31"/>
      <c r="KZ444" s="31"/>
      <c r="LA444" s="31"/>
      <c r="LB444" s="31"/>
      <c r="LC444" s="31"/>
      <c r="LD444" s="31"/>
      <c r="LE444" s="31"/>
      <c r="LF444" s="31"/>
      <c r="LG444" s="31"/>
      <c r="LH444" s="31"/>
      <c r="LI444" s="31"/>
      <c r="LJ444" s="31"/>
      <c r="LK444" s="31"/>
      <c r="LL444" s="31"/>
      <c r="LM444" s="31"/>
      <c r="LN444" s="31"/>
      <c r="LO444" s="31"/>
      <c r="LP444" s="31"/>
      <c r="LQ444" s="31"/>
      <c r="LR444" s="31"/>
      <c r="LS444" s="31"/>
      <c r="LT444" s="31"/>
      <c r="LU444" s="31"/>
      <c r="LV444" s="31"/>
      <c r="LW444" s="31"/>
      <c r="LX444" s="31"/>
      <c r="LY444" s="31"/>
      <c r="LZ444" s="31"/>
      <c r="MA444" s="31"/>
      <c r="MB444" s="31"/>
      <c r="MC444" s="31"/>
      <c r="MD444" s="31"/>
      <c r="ME444" s="31"/>
      <c r="MF444" s="31"/>
      <c r="MG444" s="31"/>
      <c r="MH444" s="31"/>
      <c r="MI444" s="31"/>
      <c r="MJ444" s="31"/>
      <c r="MK444" s="31"/>
      <c r="ML444" s="31"/>
      <c r="MM444" s="31"/>
      <c r="MN444" s="31"/>
      <c r="MO444" s="31"/>
      <c r="MP444" s="31"/>
      <c r="MQ444" s="31"/>
      <c r="MR444" s="31"/>
      <c r="MS444" s="31"/>
      <c r="MT444" s="31"/>
      <c r="MU444" s="31"/>
      <c r="MV444" s="31"/>
      <c r="MW444" s="31"/>
      <c r="MX444" s="31"/>
      <c r="MY444" s="31"/>
      <c r="MZ444" s="31"/>
      <c r="NA444" s="31"/>
      <c r="NB444" s="31"/>
      <c r="NC444" s="31"/>
      <c r="ND444" s="31"/>
      <c r="NE444" s="31"/>
      <c r="NF444" s="31"/>
      <c r="NG444" s="31"/>
      <c r="NH444" s="31"/>
      <c r="NI444" s="31"/>
      <c r="NJ444" s="31"/>
      <c r="NK444" s="31"/>
      <c r="NL444" s="31"/>
      <c r="NM444" s="31"/>
      <c r="NN444" s="31"/>
      <c r="NO444" s="31"/>
      <c r="NP444" s="31"/>
      <c r="NQ444" s="31"/>
      <c r="NR444" s="31"/>
      <c r="NS444" s="31"/>
      <c r="NT444" s="31"/>
      <c r="NU444" s="31"/>
      <c r="NV444" s="31"/>
      <c r="NW444" s="31"/>
      <c r="NX444" s="31"/>
      <c r="NY444" s="31"/>
      <c r="NZ444" s="31"/>
      <c r="OA444" s="31"/>
      <c r="OB444" s="31"/>
      <c r="OC444" s="31"/>
      <c r="OD444" s="31"/>
      <c r="OE444" s="31"/>
      <c r="OF444" s="31"/>
      <c r="OG444" s="31"/>
      <c r="OH444" s="31"/>
      <c r="OI444" s="31"/>
      <c r="OJ444" s="31"/>
      <c r="OK444" s="31"/>
      <c r="OL444" s="31"/>
      <c r="OM444" s="31"/>
      <c r="ON444" s="31"/>
      <c r="OO444" s="31"/>
      <c r="OP444" s="31"/>
      <c r="OQ444" s="31"/>
      <c r="OR444" s="31"/>
      <c r="OS444" s="31"/>
      <c r="OT444" s="31"/>
      <c r="OU444" s="31"/>
      <c r="OV444" s="31"/>
      <c r="OW444" s="31"/>
      <c r="OX444" s="31"/>
    </row>
    <row r="445" spans="2:414" s="25" customFormat="1" ht="15.6">
      <c r="B445" s="51" t="s">
        <v>655</v>
      </c>
      <c r="C445" s="27" t="s">
        <v>654</v>
      </c>
      <c r="D445" s="30" t="s">
        <v>465</v>
      </c>
      <c r="G445" s="42">
        <v>80</v>
      </c>
      <c r="H445" s="89">
        <v>26.109000000000002</v>
      </c>
      <c r="I445" s="38">
        <f t="shared" si="135"/>
        <v>2088.7200000000003</v>
      </c>
      <c r="K445" s="42">
        <v>80</v>
      </c>
      <c r="L445" s="90">
        <v>26.849599999999999</v>
      </c>
      <c r="M445" s="38">
        <f t="shared" si="136"/>
        <v>2147.9679999999998</v>
      </c>
      <c r="O445" s="42">
        <v>505</v>
      </c>
      <c r="P445" s="38">
        <v>26.728300000000001</v>
      </c>
      <c r="Q445" s="38">
        <f t="shared" si="137"/>
        <v>13497.791500000001</v>
      </c>
      <c r="R445" s="43">
        <f t="shared" si="132"/>
        <v>665</v>
      </c>
      <c r="S445" s="38">
        <f t="shared" si="138"/>
        <v>17734.479500000001</v>
      </c>
      <c r="T445" s="52">
        <v>240</v>
      </c>
      <c r="U445" s="48">
        <v>26.4879</v>
      </c>
      <c r="V445" s="38">
        <f t="shared" si="146"/>
        <v>6357.0959999999995</v>
      </c>
      <c r="W445" s="48">
        <v>505</v>
      </c>
      <c r="X445" s="48">
        <v>26.768699999999999</v>
      </c>
      <c r="Y445" s="42">
        <f t="shared" si="144"/>
        <v>13518.193499999999</v>
      </c>
      <c r="AB445" s="42">
        <f t="shared" si="145"/>
        <v>0</v>
      </c>
      <c r="AF445" s="42">
        <f t="shared" si="147"/>
        <v>0</v>
      </c>
      <c r="AJ445" s="42">
        <f t="shared" si="134"/>
        <v>0</v>
      </c>
      <c r="AU445" s="98"/>
      <c r="AV445" s="35"/>
      <c r="AW445" s="77"/>
      <c r="AZ445" s="42">
        <f t="shared" si="148"/>
        <v>0</v>
      </c>
      <c r="BD445" s="38">
        <f t="shared" si="139"/>
        <v>0</v>
      </c>
      <c r="BH445" s="38">
        <f t="shared" si="140"/>
        <v>0</v>
      </c>
      <c r="BL445" s="38">
        <f t="shared" si="141"/>
        <v>0</v>
      </c>
      <c r="BR445" s="42">
        <f t="shared" si="142"/>
        <v>19875.289499999999</v>
      </c>
      <c r="BS445" s="43"/>
      <c r="BT445" s="35">
        <v>2140.81</v>
      </c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  <c r="FM445" s="31"/>
      <c r="FN445" s="31"/>
      <c r="FO445" s="31"/>
      <c r="FP445" s="31"/>
      <c r="FQ445" s="31"/>
      <c r="FR445" s="31"/>
      <c r="FS445" s="31"/>
      <c r="FT445" s="31"/>
      <c r="FU445" s="31"/>
      <c r="FV445" s="31"/>
      <c r="FW445" s="31"/>
      <c r="FX445" s="31"/>
      <c r="FY445" s="31"/>
      <c r="FZ445" s="31"/>
      <c r="GA445" s="31"/>
      <c r="GB445" s="31"/>
      <c r="GC445" s="31"/>
      <c r="GD445" s="31"/>
      <c r="GE445" s="31"/>
      <c r="GF445" s="31"/>
      <c r="GG445" s="31"/>
      <c r="GH445" s="31"/>
      <c r="GI445" s="31"/>
      <c r="GJ445" s="31"/>
      <c r="GK445" s="31"/>
      <c r="GL445" s="31"/>
      <c r="GM445" s="31"/>
      <c r="GN445" s="31"/>
      <c r="GO445" s="31"/>
      <c r="GP445" s="31"/>
      <c r="GQ445" s="31"/>
      <c r="GR445" s="31"/>
      <c r="GS445" s="31"/>
      <c r="GT445" s="31"/>
      <c r="GU445" s="31"/>
      <c r="GV445" s="31"/>
      <c r="GW445" s="31"/>
      <c r="GX445" s="31"/>
      <c r="GY445" s="31"/>
      <c r="GZ445" s="31"/>
      <c r="HA445" s="31"/>
      <c r="HB445" s="31"/>
      <c r="HC445" s="31"/>
      <c r="HD445" s="31"/>
      <c r="HE445" s="31"/>
      <c r="HF445" s="31"/>
      <c r="HG445" s="31"/>
      <c r="HH445" s="31"/>
      <c r="HI445" s="31"/>
      <c r="HJ445" s="31"/>
      <c r="HK445" s="31"/>
      <c r="HL445" s="31"/>
      <c r="HM445" s="31"/>
      <c r="HN445" s="31"/>
      <c r="HO445" s="31"/>
      <c r="HP445" s="31"/>
      <c r="HQ445" s="31"/>
      <c r="HR445" s="31"/>
      <c r="HS445" s="31"/>
      <c r="HT445" s="31"/>
      <c r="HU445" s="31"/>
      <c r="HV445" s="31"/>
      <c r="HW445" s="31"/>
      <c r="HX445" s="31"/>
      <c r="HY445" s="31"/>
      <c r="HZ445" s="31"/>
      <c r="IA445" s="31"/>
      <c r="IB445" s="31"/>
      <c r="IC445" s="31"/>
      <c r="ID445" s="31"/>
      <c r="IE445" s="31"/>
      <c r="IF445" s="31"/>
      <c r="IG445" s="31"/>
      <c r="IH445" s="31"/>
      <c r="II445" s="31"/>
      <c r="IJ445" s="31"/>
      <c r="IK445" s="31"/>
      <c r="IL445" s="31"/>
      <c r="IM445" s="31"/>
      <c r="IN445" s="31"/>
      <c r="IO445" s="31"/>
      <c r="IP445" s="31"/>
      <c r="IQ445" s="31"/>
      <c r="IR445" s="31"/>
      <c r="IS445" s="31"/>
      <c r="IT445" s="31"/>
      <c r="IU445" s="31"/>
      <c r="IV445" s="31"/>
      <c r="IW445" s="31"/>
      <c r="IX445" s="31"/>
      <c r="IY445" s="31"/>
      <c r="IZ445" s="31"/>
      <c r="JA445" s="31"/>
      <c r="JB445" s="31"/>
      <c r="JC445" s="31"/>
      <c r="JD445" s="31"/>
      <c r="JE445" s="31"/>
      <c r="JF445" s="31"/>
      <c r="JG445" s="31"/>
      <c r="JH445" s="31"/>
      <c r="JI445" s="31"/>
      <c r="JJ445" s="31"/>
      <c r="JK445" s="31"/>
      <c r="JL445" s="31"/>
      <c r="JM445" s="31"/>
      <c r="JN445" s="31"/>
      <c r="JO445" s="31"/>
      <c r="JP445" s="31"/>
      <c r="JQ445" s="31"/>
      <c r="JR445" s="31"/>
      <c r="JS445" s="31"/>
      <c r="JT445" s="31"/>
      <c r="JU445" s="31"/>
      <c r="JV445" s="31"/>
      <c r="JW445" s="31"/>
      <c r="JX445" s="31"/>
      <c r="JY445" s="31"/>
      <c r="JZ445" s="31"/>
      <c r="KA445" s="31"/>
      <c r="KB445" s="31"/>
      <c r="KC445" s="31"/>
      <c r="KD445" s="31"/>
      <c r="KE445" s="31"/>
      <c r="KF445" s="31"/>
      <c r="KG445" s="31"/>
      <c r="KH445" s="31"/>
      <c r="KI445" s="31"/>
      <c r="KJ445" s="31"/>
      <c r="KK445" s="31"/>
      <c r="KL445" s="31"/>
      <c r="KM445" s="31"/>
      <c r="KN445" s="31"/>
      <c r="KO445" s="31"/>
      <c r="KP445" s="31"/>
      <c r="KQ445" s="31"/>
      <c r="KR445" s="31"/>
      <c r="KS445" s="31"/>
      <c r="KT445" s="31"/>
      <c r="KU445" s="31"/>
      <c r="KV445" s="31"/>
      <c r="KW445" s="31"/>
      <c r="KX445" s="31"/>
      <c r="KY445" s="31"/>
      <c r="KZ445" s="31"/>
      <c r="LA445" s="31"/>
      <c r="LB445" s="31"/>
      <c r="LC445" s="31"/>
      <c r="LD445" s="31"/>
      <c r="LE445" s="31"/>
      <c r="LF445" s="31"/>
      <c r="LG445" s="31"/>
      <c r="LH445" s="31"/>
      <c r="LI445" s="31"/>
      <c r="LJ445" s="31"/>
      <c r="LK445" s="31"/>
      <c r="LL445" s="31"/>
      <c r="LM445" s="31"/>
      <c r="LN445" s="31"/>
      <c r="LO445" s="31"/>
      <c r="LP445" s="31"/>
      <c r="LQ445" s="31"/>
      <c r="LR445" s="31"/>
      <c r="LS445" s="31"/>
      <c r="LT445" s="31"/>
      <c r="LU445" s="31"/>
      <c r="LV445" s="31"/>
      <c r="LW445" s="31"/>
      <c r="LX445" s="31"/>
      <c r="LY445" s="31"/>
      <c r="LZ445" s="31"/>
      <c r="MA445" s="31"/>
      <c r="MB445" s="31"/>
      <c r="MC445" s="31"/>
      <c r="MD445" s="31"/>
      <c r="ME445" s="31"/>
      <c r="MF445" s="31"/>
      <c r="MG445" s="31"/>
      <c r="MH445" s="31"/>
      <c r="MI445" s="31"/>
      <c r="MJ445" s="31"/>
      <c r="MK445" s="31"/>
      <c r="ML445" s="31"/>
      <c r="MM445" s="31"/>
      <c r="MN445" s="31"/>
      <c r="MO445" s="31"/>
      <c r="MP445" s="31"/>
      <c r="MQ445" s="31"/>
      <c r="MR445" s="31"/>
      <c r="MS445" s="31"/>
      <c r="MT445" s="31"/>
      <c r="MU445" s="31"/>
      <c r="MV445" s="31"/>
      <c r="MW445" s="31"/>
      <c r="MX445" s="31"/>
      <c r="MY445" s="31"/>
      <c r="MZ445" s="31"/>
      <c r="NA445" s="31"/>
      <c r="NB445" s="31"/>
      <c r="NC445" s="31"/>
      <c r="ND445" s="31"/>
      <c r="NE445" s="31"/>
      <c r="NF445" s="31"/>
      <c r="NG445" s="31"/>
      <c r="NH445" s="31"/>
      <c r="NI445" s="31"/>
      <c r="NJ445" s="31"/>
      <c r="NK445" s="31"/>
      <c r="NL445" s="31"/>
      <c r="NM445" s="31"/>
      <c r="NN445" s="31"/>
      <c r="NO445" s="31"/>
      <c r="NP445" s="31"/>
      <c r="NQ445" s="31"/>
      <c r="NR445" s="31"/>
      <c r="NS445" s="31"/>
      <c r="NT445" s="31"/>
      <c r="NU445" s="31"/>
      <c r="NV445" s="31"/>
      <c r="NW445" s="31"/>
      <c r="NX445" s="31"/>
      <c r="NY445" s="31"/>
      <c r="NZ445" s="31"/>
      <c r="OA445" s="31"/>
      <c r="OB445" s="31"/>
      <c r="OC445" s="31"/>
      <c r="OD445" s="31"/>
      <c r="OE445" s="31"/>
      <c r="OF445" s="31"/>
      <c r="OG445" s="31"/>
      <c r="OH445" s="31"/>
      <c r="OI445" s="31"/>
      <c r="OJ445" s="31"/>
      <c r="OK445" s="31"/>
      <c r="OL445" s="31"/>
      <c r="OM445" s="31"/>
      <c r="ON445" s="31"/>
      <c r="OO445" s="31"/>
      <c r="OP445" s="31"/>
      <c r="OQ445" s="31"/>
      <c r="OR445" s="31"/>
      <c r="OS445" s="31"/>
      <c r="OT445" s="31"/>
      <c r="OU445" s="31"/>
      <c r="OV445" s="31"/>
      <c r="OW445" s="31"/>
      <c r="OX445" s="31"/>
    </row>
    <row r="446" spans="2:414" s="25" customFormat="1" ht="15.6">
      <c r="B446" s="51" t="s">
        <v>873</v>
      </c>
      <c r="C446" s="27" t="s">
        <v>737</v>
      </c>
      <c r="D446" s="30" t="s">
        <v>465</v>
      </c>
      <c r="G446" s="42">
        <v>80</v>
      </c>
      <c r="H446" s="89">
        <v>26.109000000000002</v>
      </c>
      <c r="I446" s="38">
        <f t="shared" si="135"/>
        <v>2088.7200000000003</v>
      </c>
      <c r="K446" s="42">
        <v>80</v>
      </c>
      <c r="L446" s="90">
        <v>26.849599999999999</v>
      </c>
      <c r="M446" s="38">
        <f t="shared" si="136"/>
        <v>2147.9679999999998</v>
      </c>
      <c r="O446" s="42">
        <v>505</v>
      </c>
      <c r="P446" s="38">
        <v>26.728300000000001</v>
      </c>
      <c r="Q446" s="38">
        <f t="shared" si="137"/>
        <v>13497.791500000001</v>
      </c>
      <c r="R446" s="43">
        <f t="shared" si="132"/>
        <v>665</v>
      </c>
      <c r="S446" s="38">
        <f t="shared" si="138"/>
        <v>17734.479500000001</v>
      </c>
      <c r="T446" s="52">
        <v>240</v>
      </c>
      <c r="U446" s="48">
        <v>26.564699999999998</v>
      </c>
      <c r="V446" s="38">
        <f t="shared" si="146"/>
        <v>6375.5279999999993</v>
      </c>
      <c r="W446" s="48">
        <v>505</v>
      </c>
      <c r="X446" s="48">
        <v>26.766200000000001</v>
      </c>
      <c r="Y446" s="42">
        <f t="shared" si="144"/>
        <v>13516.931</v>
      </c>
      <c r="AB446" s="42">
        <f t="shared" si="145"/>
        <v>0</v>
      </c>
      <c r="AF446" s="42">
        <f t="shared" si="147"/>
        <v>0</v>
      </c>
      <c r="AJ446" s="42">
        <f t="shared" si="134"/>
        <v>0</v>
      </c>
      <c r="AU446" s="98"/>
      <c r="AV446" s="35"/>
      <c r="AW446" s="77"/>
      <c r="AZ446" s="42">
        <f t="shared" si="148"/>
        <v>0</v>
      </c>
      <c r="BD446" s="38">
        <f t="shared" si="139"/>
        <v>0</v>
      </c>
      <c r="BH446" s="38">
        <f t="shared" si="140"/>
        <v>0</v>
      </c>
      <c r="BL446" s="38">
        <f t="shared" si="141"/>
        <v>0</v>
      </c>
      <c r="BR446" s="42">
        <f t="shared" si="142"/>
        <v>19892.458999999999</v>
      </c>
      <c r="BS446" s="43"/>
      <c r="BT446" s="35">
        <v>2157.98</v>
      </c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  <c r="FM446" s="31"/>
      <c r="FN446" s="31"/>
      <c r="FO446" s="31"/>
      <c r="FP446" s="31"/>
      <c r="FQ446" s="31"/>
      <c r="FR446" s="31"/>
      <c r="FS446" s="31"/>
      <c r="FT446" s="31"/>
      <c r="FU446" s="31"/>
      <c r="FV446" s="31"/>
      <c r="FW446" s="31"/>
      <c r="FX446" s="31"/>
      <c r="FY446" s="31"/>
      <c r="FZ446" s="31"/>
      <c r="GA446" s="31"/>
      <c r="GB446" s="31"/>
      <c r="GC446" s="31"/>
      <c r="GD446" s="31"/>
      <c r="GE446" s="31"/>
      <c r="GF446" s="31"/>
      <c r="GG446" s="31"/>
      <c r="GH446" s="31"/>
      <c r="GI446" s="31"/>
      <c r="GJ446" s="31"/>
      <c r="GK446" s="31"/>
      <c r="GL446" s="31"/>
      <c r="GM446" s="31"/>
      <c r="GN446" s="31"/>
      <c r="GO446" s="31"/>
      <c r="GP446" s="31"/>
      <c r="GQ446" s="31"/>
      <c r="GR446" s="31"/>
      <c r="GS446" s="31"/>
      <c r="GT446" s="31"/>
      <c r="GU446" s="31"/>
      <c r="GV446" s="31"/>
      <c r="GW446" s="31"/>
      <c r="GX446" s="31"/>
      <c r="GY446" s="31"/>
      <c r="GZ446" s="31"/>
      <c r="HA446" s="31"/>
      <c r="HB446" s="31"/>
      <c r="HC446" s="31"/>
      <c r="HD446" s="31"/>
      <c r="HE446" s="31"/>
      <c r="HF446" s="31"/>
      <c r="HG446" s="31"/>
      <c r="HH446" s="31"/>
      <c r="HI446" s="31"/>
      <c r="HJ446" s="31"/>
      <c r="HK446" s="31"/>
      <c r="HL446" s="31"/>
      <c r="HM446" s="31"/>
      <c r="HN446" s="31"/>
      <c r="HO446" s="31"/>
      <c r="HP446" s="31"/>
      <c r="HQ446" s="31"/>
      <c r="HR446" s="31"/>
      <c r="HS446" s="31"/>
      <c r="HT446" s="31"/>
      <c r="HU446" s="31"/>
      <c r="HV446" s="31"/>
      <c r="HW446" s="31"/>
      <c r="HX446" s="31"/>
      <c r="HY446" s="31"/>
      <c r="HZ446" s="31"/>
      <c r="IA446" s="31"/>
      <c r="IB446" s="31"/>
      <c r="IC446" s="31"/>
      <c r="ID446" s="31"/>
      <c r="IE446" s="31"/>
      <c r="IF446" s="31"/>
      <c r="IG446" s="31"/>
      <c r="IH446" s="31"/>
      <c r="II446" s="31"/>
      <c r="IJ446" s="31"/>
      <c r="IK446" s="31"/>
      <c r="IL446" s="31"/>
      <c r="IM446" s="31"/>
      <c r="IN446" s="31"/>
      <c r="IO446" s="31"/>
      <c r="IP446" s="31"/>
      <c r="IQ446" s="31"/>
      <c r="IR446" s="31"/>
      <c r="IS446" s="31"/>
      <c r="IT446" s="31"/>
      <c r="IU446" s="31"/>
      <c r="IV446" s="31"/>
      <c r="IW446" s="31"/>
      <c r="IX446" s="31"/>
      <c r="IY446" s="31"/>
      <c r="IZ446" s="31"/>
      <c r="JA446" s="31"/>
      <c r="JB446" s="31"/>
      <c r="JC446" s="31"/>
      <c r="JD446" s="31"/>
      <c r="JE446" s="31"/>
      <c r="JF446" s="31"/>
      <c r="JG446" s="31"/>
      <c r="JH446" s="31"/>
      <c r="JI446" s="31"/>
      <c r="JJ446" s="31"/>
      <c r="JK446" s="31"/>
      <c r="JL446" s="31"/>
      <c r="JM446" s="31"/>
      <c r="JN446" s="31"/>
      <c r="JO446" s="31"/>
      <c r="JP446" s="31"/>
      <c r="JQ446" s="31"/>
      <c r="JR446" s="31"/>
      <c r="JS446" s="31"/>
      <c r="JT446" s="31"/>
      <c r="JU446" s="31"/>
      <c r="JV446" s="31"/>
      <c r="JW446" s="31"/>
      <c r="JX446" s="31"/>
      <c r="JY446" s="31"/>
      <c r="JZ446" s="31"/>
      <c r="KA446" s="31"/>
      <c r="KB446" s="31"/>
      <c r="KC446" s="31"/>
      <c r="KD446" s="31"/>
      <c r="KE446" s="31"/>
      <c r="KF446" s="31"/>
      <c r="KG446" s="31"/>
      <c r="KH446" s="31"/>
      <c r="KI446" s="31"/>
      <c r="KJ446" s="31"/>
      <c r="KK446" s="31"/>
      <c r="KL446" s="31"/>
      <c r="KM446" s="31"/>
      <c r="KN446" s="31"/>
      <c r="KO446" s="31"/>
      <c r="KP446" s="31"/>
      <c r="KQ446" s="31"/>
      <c r="KR446" s="31"/>
      <c r="KS446" s="31"/>
      <c r="KT446" s="31"/>
      <c r="KU446" s="31"/>
      <c r="KV446" s="31"/>
      <c r="KW446" s="31"/>
      <c r="KX446" s="31"/>
      <c r="KY446" s="31"/>
      <c r="KZ446" s="31"/>
      <c r="LA446" s="31"/>
      <c r="LB446" s="31"/>
      <c r="LC446" s="31"/>
      <c r="LD446" s="31"/>
      <c r="LE446" s="31"/>
      <c r="LF446" s="31"/>
      <c r="LG446" s="31"/>
      <c r="LH446" s="31"/>
      <c r="LI446" s="31"/>
      <c r="LJ446" s="31"/>
      <c r="LK446" s="31"/>
      <c r="LL446" s="31"/>
      <c r="LM446" s="31"/>
      <c r="LN446" s="31"/>
      <c r="LO446" s="31"/>
      <c r="LP446" s="31"/>
      <c r="LQ446" s="31"/>
      <c r="LR446" s="31"/>
      <c r="LS446" s="31"/>
      <c r="LT446" s="31"/>
      <c r="LU446" s="31"/>
      <c r="LV446" s="31"/>
      <c r="LW446" s="31"/>
      <c r="LX446" s="31"/>
      <c r="LY446" s="31"/>
      <c r="LZ446" s="31"/>
      <c r="MA446" s="31"/>
      <c r="MB446" s="31"/>
      <c r="MC446" s="31"/>
      <c r="MD446" s="31"/>
      <c r="ME446" s="31"/>
      <c r="MF446" s="31"/>
      <c r="MG446" s="31"/>
      <c r="MH446" s="31"/>
      <c r="MI446" s="31"/>
      <c r="MJ446" s="31"/>
      <c r="MK446" s="31"/>
      <c r="ML446" s="31"/>
      <c r="MM446" s="31"/>
      <c r="MN446" s="31"/>
      <c r="MO446" s="31"/>
      <c r="MP446" s="31"/>
      <c r="MQ446" s="31"/>
      <c r="MR446" s="31"/>
      <c r="MS446" s="31"/>
      <c r="MT446" s="31"/>
      <c r="MU446" s="31"/>
      <c r="MV446" s="31"/>
      <c r="MW446" s="31"/>
      <c r="MX446" s="31"/>
      <c r="MY446" s="31"/>
      <c r="MZ446" s="31"/>
      <c r="NA446" s="31"/>
      <c r="NB446" s="31"/>
      <c r="NC446" s="31"/>
      <c r="ND446" s="31"/>
      <c r="NE446" s="31"/>
      <c r="NF446" s="31"/>
      <c r="NG446" s="31"/>
      <c r="NH446" s="31"/>
      <c r="NI446" s="31"/>
      <c r="NJ446" s="31"/>
      <c r="NK446" s="31"/>
      <c r="NL446" s="31"/>
      <c r="NM446" s="31"/>
      <c r="NN446" s="31"/>
      <c r="NO446" s="31"/>
      <c r="NP446" s="31"/>
      <c r="NQ446" s="31"/>
      <c r="NR446" s="31"/>
      <c r="NS446" s="31"/>
      <c r="NT446" s="31"/>
      <c r="NU446" s="31"/>
      <c r="NV446" s="31"/>
      <c r="NW446" s="31"/>
      <c r="NX446" s="31"/>
      <c r="NY446" s="31"/>
      <c r="NZ446" s="31"/>
      <c r="OA446" s="31"/>
      <c r="OB446" s="31"/>
      <c r="OC446" s="31"/>
      <c r="OD446" s="31"/>
      <c r="OE446" s="31"/>
      <c r="OF446" s="31"/>
      <c r="OG446" s="31"/>
      <c r="OH446" s="31"/>
      <c r="OI446" s="31"/>
      <c r="OJ446" s="31"/>
      <c r="OK446" s="31"/>
      <c r="OL446" s="31"/>
      <c r="OM446" s="31"/>
      <c r="ON446" s="31"/>
      <c r="OO446" s="31"/>
      <c r="OP446" s="31"/>
      <c r="OQ446" s="31"/>
      <c r="OR446" s="31"/>
      <c r="OS446" s="31"/>
      <c r="OT446" s="31"/>
      <c r="OU446" s="31"/>
      <c r="OV446" s="31"/>
      <c r="OW446" s="31"/>
      <c r="OX446" s="31"/>
    </row>
    <row r="447" spans="2:414" s="25" customFormat="1" ht="15.6">
      <c r="B447" s="51" t="s">
        <v>678</v>
      </c>
      <c r="C447" s="27" t="s">
        <v>679</v>
      </c>
      <c r="D447" s="30" t="s">
        <v>465</v>
      </c>
      <c r="G447" s="42">
        <v>80</v>
      </c>
      <c r="H447" s="89">
        <v>26.109000000000002</v>
      </c>
      <c r="I447" s="38">
        <f t="shared" si="135"/>
        <v>2088.7200000000003</v>
      </c>
      <c r="K447" s="42">
        <v>80</v>
      </c>
      <c r="L447" s="90">
        <v>26.849599999999999</v>
      </c>
      <c r="M447" s="38">
        <f t="shared" si="136"/>
        <v>2147.9679999999998</v>
      </c>
      <c r="O447" s="42">
        <v>505</v>
      </c>
      <c r="P447" s="38">
        <v>26.728300000000001</v>
      </c>
      <c r="Q447" s="38">
        <f t="shared" si="137"/>
        <v>13497.791500000001</v>
      </c>
      <c r="R447" s="43">
        <f t="shared" si="132"/>
        <v>665</v>
      </c>
      <c r="S447" s="38">
        <f t="shared" si="138"/>
        <v>17734.479500000001</v>
      </c>
      <c r="T447" s="52">
        <v>240</v>
      </c>
      <c r="U447" s="48">
        <v>26.732500000000002</v>
      </c>
      <c r="V447" s="38">
        <f t="shared" si="146"/>
        <v>6415.8</v>
      </c>
      <c r="W447" s="48">
        <v>505</v>
      </c>
      <c r="X447" s="48">
        <v>26.73</v>
      </c>
      <c r="Y447" s="42">
        <f t="shared" si="144"/>
        <v>13498.65</v>
      </c>
      <c r="AB447" s="42">
        <f t="shared" si="145"/>
        <v>0</v>
      </c>
      <c r="AF447" s="42">
        <f t="shared" si="147"/>
        <v>0</v>
      </c>
      <c r="AJ447" s="42">
        <f t="shared" si="134"/>
        <v>0</v>
      </c>
      <c r="AU447" s="98"/>
      <c r="AV447" s="35"/>
      <c r="AW447" s="77"/>
      <c r="AZ447" s="42">
        <f t="shared" si="148"/>
        <v>0</v>
      </c>
      <c r="BD447" s="38">
        <f t="shared" si="139"/>
        <v>0</v>
      </c>
      <c r="BH447" s="38">
        <f t="shared" si="140"/>
        <v>0</v>
      </c>
      <c r="BL447" s="38">
        <f t="shared" si="141"/>
        <v>0</v>
      </c>
      <c r="BR447" s="42">
        <f t="shared" si="142"/>
        <v>19914.45</v>
      </c>
      <c r="BS447" s="43"/>
      <c r="BT447" s="35">
        <v>2179.9699999999998</v>
      </c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  <c r="FM447" s="31"/>
      <c r="FN447" s="31"/>
      <c r="FO447" s="31"/>
      <c r="FP447" s="31"/>
      <c r="FQ447" s="31"/>
      <c r="FR447" s="31"/>
      <c r="FS447" s="31"/>
      <c r="FT447" s="31"/>
      <c r="FU447" s="31"/>
      <c r="FV447" s="31"/>
      <c r="FW447" s="31"/>
      <c r="FX447" s="31"/>
      <c r="FY447" s="31"/>
      <c r="FZ447" s="31"/>
      <c r="GA447" s="31"/>
      <c r="GB447" s="31"/>
      <c r="GC447" s="31"/>
      <c r="GD447" s="31"/>
      <c r="GE447" s="31"/>
      <c r="GF447" s="31"/>
      <c r="GG447" s="31"/>
      <c r="GH447" s="31"/>
      <c r="GI447" s="31"/>
      <c r="GJ447" s="31"/>
      <c r="GK447" s="31"/>
      <c r="GL447" s="31"/>
      <c r="GM447" s="31"/>
      <c r="GN447" s="31"/>
      <c r="GO447" s="31"/>
      <c r="GP447" s="31"/>
      <c r="GQ447" s="31"/>
      <c r="GR447" s="31"/>
      <c r="GS447" s="31"/>
      <c r="GT447" s="31"/>
      <c r="GU447" s="31"/>
      <c r="GV447" s="31"/>
      <c r="GW447" s="31"/>
      <c r="GX447" s="31"/>
      <c r="GY447" s="31"/>
      <c r="GZ447" s="31"/>
      <c r="HA447" s="31"/>
      <c r="HB447" s="31"/>
      <c r="HC447" s="31"/>
      <c r="HD447" s="31"/>
      <c r="HE447" s="31"/>
      <c r="HF447" s="31"/>
      <c r="HG447" s="31"/>
      <c r="HH447" s="31"/>
      <c r="HI447" s="31"/>
      <c r="HJ447" s="31"/>
      <c r="HK447" s="31"/>
      <c r="HL447" s="31"/>
      <c r="HM447" s="31"/>
      <c r="HN447" s="31"/>
      <c r="HO447" s="31"/>
      <c r="HP447" s="31"/>
      <c r="HQ447" s="31"/>
      <c r="HR447" s="31"/>
      <c r="HS447" s="31"/>
      <c r="HT447" s="31"/>
      <c r="HU447" s="31"/>
      <c r="HV447" s="31"/>
      <c r="HW447" s="31"/>
      <c r="HX447" s="31"/>
      <c r="HY447" s="31"/>
      <c r="HZ447" s="31"/>
      <c r="IA447" s="31"/>
      <c r="IB447" s="31"/>
      <c r="IC447" s="31"/>
      <c r="ID447" s="31"/>
      <c r="IE447" s="31"/>
      <c r="IF447" s="31"/>
      <c r="IG447" s="31"/>
      <c r="IH447" s="31"/>
      <c r="II447" s="31"/>
      <c r="IJ447" s="31"/>
      <c r="IK447" s="31"/>
      <c r="IL447" s="31"/>
      <c r="IM447" s="31"/>
      <c r="IN447" s="31"/>
      <c r="IO447" s="31"/>
      <c r="IP447" s="31"/>
      <c r="IQ447" s="31"/>
      <c r="IR447" s="31"/>
      <c r="IS447" s="31"/>
      <c r="IT447" s="31"/>
      <c r="IU447" s="31"/>
      <c r="IV447" s="31"/>
      <c r="IW447" s="31"/>
      <c r="IX447" s="31"/>
      <c r="IY447" s="31"/>
      <c r="IZ447" s="31"/>
      <c r="JA447" s="31"/>
      <c r="JB447" s="31"/>
      <c r="JC447" s="31"/>
      <c r="JD447" s="31"/>
      <c r="JE447" s="31"/>
      <c r="JF447" s="31"/>
      <c r="JG447" s="31"/>
      <c r="JH447" s="31"/>
      <c r="JI447" s="31"/>
      <c r="JJ447" s="31"/>
      <c r="JK447" s="31"/>
      <c r="JL447" s="31"/>
      <c r="JM447" s="31"/>
      <c r="JN447" s="31"/>
      <c r="JO447" s="31"/>
      <c r="JP447" s="31"/>
      <c r="JQ447" s="31"/>
      <c r="JR447" s="31"/>
      <c r="JS447" s="31"/>
      <c r="JT447" s="31"/>
      <c r="JU447" s="31"/>
      <c r="JV447" s="31"/>
      <c r="JW447" s="31"/>
      <c r="JX447" s="31"/>
      <c r="JY447" s="31"/>
      <c r="JZ447" s="31"/>
      <c r="KA447" s="31"/>
      <c r="KB447" s="31"/>
      <c r="KC447" s="31"/>
      <c r="KD447" s="31"/>
      <c r="KE447" s="31"/>
      <c r="KF447" s="31"/>
      <c r="KG447" s="31"/>
      <c r="KH447" s="31"/>
      <c r="KI447" s="31"/>
      <c r="KJ447" s="31"/>
      <c r="KK447" s="31"/>
      <c r="KL447" s="31"/>
      <c r="KM447" s="31"/>
      <c r="KN447" s="31"/>
      <c r="KO447" s="31"/>
      <c r="KP447" s="31"/>
      <c r="KQ447" s="31"/>
      <c r="KR447" s="31"/>
      <c r="KS447" s="31"/>
      <c r="KT447" s="31"/>
      <c r="KU447" s="31"/>
      <c r="KV447" s="31"/>
      <c r="KW447" s="31"/>
      <c r="KX447" s="31"/>
      <c r="KY447" s="31"/>
      <c r="KZ447" s="31"/>
      <c r="LA447" s="31"/>
      <c r="LB447" s="31"/>
      <c r="LC447" s="31"/>
      <c r="LD447" s="31"/>
      <c r="LE447" s="31"/>
      <c r="LF447" s="31"/>
      <c r="LG447" s="31"/>
      <c r="LH447" s="31"/>
      <c r="LI447" s="31"/>
      <c r="LJ447" s="31"/>
      <c r="LK447" s="31"/>
      <c r="LL447" s="31"/>
      <c r="LM447" s="31"/>
      <c r="LN447" s="31"/>
      <c r="LO447" s="31"/>
      <c r="LP447" s="31"/>
      <c r="LQ447" s="31"/>
      <c r="LR447" s="31"/>
      <c r="LS447" s="31"/>
      <c r="LT447" s="31"/>
      <c r="LU447" s="31"/>
      <c r="LV447" s="31"/>
      <c r="LW447" s="31"/>
      <c r="LX447" s="31"/>
      <c r="LY447" s="31"/>
      <c r="LZ447" s="31"/>
      <c r="MA447" s="31"/>
      <c r="MB447" s="31"/>
      <c r="MC447" s="31"/>
      <c r="MD447" s="31"/>
      <c r="ME447" s="31"/>
      <c r="MF447" s="31"/>
      <c r="MG447" s="31"/>
      <c r="MH447" s="31"/>
      <c r="MI447" s="31"/>
      <c r="MJ447" s="31"/>
      <c r="MK447" s="31"/>
      <c r="ML447" s="31"/>
      <c r="MM447" s="31"/>
      <c r="MN447" s="31"/>
      <c r="MO447" s="31"/>
      <c r="MP447" s="31"/>
      <c r="MQ447" s="31"/>
      <c r="MR447" s="31"/>
      <c r="MS447" s="31"/>
      <c r="MT447" s="31"/>
      <c r="MU447" s="31"/>
      <c r="MV447" s="31"/>
      <c r="MW447" s="31"/>
      <c r="MX447" s="31"/>
      <c r="MY447" s="31"/>
      <c r="MZ447" s="31"/>
      <c r="NA447" s="31"/>
      <c r="NB447" s="31"/>
      <c r="NC447" s="31"/>
      <c r="ND447" s="31"/>
      <c r="NE447" s="31"/>
      <c r="NF447" s="31"/>
      <c r="NG447" s="31"/>
      <c r="NH447" s="31"/>
      <c r="NI447" s="31"/>
      <c r="NJ447" s="31"/>
      <c r="NK447" s="31"/>
      <c r="NL447" s="31"/>
      <c r="NM447" s="31"/>
      <c r="NN447" s="31"/>
      <c r="NO447" s="31"/>
      <c r="NP447" s="31"/>
      <c r="NQ447" s="31"/>
      <c r="NR447" s="31"/>
      <c r="NS447" s="31"/>
      <c r="NT447" s="31"/>
      <c r="NU447" s="31"/>
      <c r="NV447" s="31"/>
      <c r="NW447" s="31"/>
      <c r="NX447" s="31"/>
      <c r="NY447" s="31"/>
      <c r="NZ447" s="31"/>
      <c r="OA447" s="31"/>
      <c r="OB447" s="31"/>
      <c r="OC447" s="31"/>
      <c r="OD447" s="31"/>
      <c r="OE447" s="31"/>
      <c r="OF447" s="31"/>
      <c r="OG447" s="31"/>
      <c r="OH447" s="31"/>
      <c r="OI447" s="31"/>
      <c r="OJ447" s="31"/>
      <c r="OK447" s="31"/>
      <c r="OL447" s="31"/>
      <c r="OM447" s="31"/>
      <c r="ON447" s="31"/>
      <c r="OO447" s="31"/>
      <c r="OP447" s="31"/>
      <c r="OQ447" s="31"/>
      <c r="OR447" s="31"/>
      <c r="OS447" s="31"/>
      <c r="OT447" s="31"/>
      <c r="OU447" s="31"/>
      <c r="OV447" s="31"/>
      <c r="OW447" s="31"/>
      <c r="OX447" s="31"/>
    </row>
    <row r="448" spans="2:414" s="25" customFormat="1" ht="15.6">
      <c r="B448" s="51" t="s">
        <v>546</v>
      </c>
      <c r="C448" s="27" t="s">
        <v>880</v>
      </c>
      <c r="D448" s="30" t="s">
        <v>465</v>
      </c>
      <c r="G448" s="42">
        <v>80</v>
      </c>
      <c r="H448" s="89">
        <v>26.109000000000002</v>
      </c>
      <c r="I448" s="38">
        <f t="shared" si="135"/>
        <v>2088.7200000000003</v>
      </c>
      <c r="K448" s="42">
        <v>80</v>
      </c>
      <c r="L448" s="90">
        <v>26.849599999999999</v>
      </c>
      <c r="M448" s="38">
        <f t="shared" si="136"/>
        <v>2147.9679999999998</v>
      </c>
      <c r="O448" s="42">
        <v>505</v>
      </c>
      <c r="P448" s="38">
        <v>26.728300000000001</v>
      </c>
      <c r="Q448" s="38">
        <f t="shared" si="137"/>
        <v>13497.791500000001</v>
      </c>
      <c r="R448" s="43">
        <f t="shared" si="132"/>
        <v>665</v>
      </c>
      <c r="S448" s="38">
        <f t="shared" si="138"/>
        <v>17734.479500000001</v>
      </c>
      <c r="T448" s="52">
        <v>240</v>
      </c>
      <c r="U448" s="48">
        <v>26.73</v>
      </c>
      <c r="V448" s="38">
        <f t="shared" si="146"/>
        <v>6415.2</v>
      </c>
      <c r="W448" s="48">
        <v>505</v>
      </c>
      <c r="X448" s="48">
        <v>26.73</v>
      </c>
      <c r="Y448" s="42">
        <f t="shared" si="144"/>
        <v>13498.65</v>
      </c>
      <c r="AB448" s="42">
        <f t="shared" si="145"/>
        <v>0</v>
      </c>
      <c r="AF448" s="42">
        <f t="shared" si="147"/>
        <v>0</v>
      </c>
      <c r="AJ448" s="42">
        <f t="shared" si="134"/>
        <v>0</v>
      </c>
      <c r="AU448" s="98"/>
      <c r="AV448" s="35"/>
      <c r="AW448" s="77"/>
      <c r="AZ448" s="42">
        <f t="shared" si="148"/>
        <v>0</v>
      </c>
      <c r="BD448" s="38">
        <f t="shared" si="139"/>
        <v>0</v>
      </c>
      <c r="BH448" s="38">
        <f t="shared" si="140"/>
        <v>0</v>
      </c>
      <c r="BL448" s="38">
        <f t="shared" si="141"/>
        <v>0</v>
      </c>
      <c r="BR448" s="42">
        <f t="shared" si="142"/>
        <v>19913.849999999999</v>
      </c>
      <c r="BS448" s="43"/>
      <c r="BT448" s="35">
        <v>2179.37</v>
      </c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  <c r="FM448" s="31"/>
      <c r="FN448" s="31"/>
      <c r="FO448" s="31"/>
      <c r="FP448" s="31"/>
      <c r="FQ448" s="31"/>
      <c r="FR448" s="31"/>
      <c r="FS448" s="31"/>
      <c r="FT448" s="31"/>
      <c r="FU448" s="31"/>
      <c r="FV448" s="31"/>
      <c r="FW448" s="31"/>
      <c r="FX448" s="31"/>
      <c r="FY448" s="31"/>
      <c r="FZ448" s="31"/>
      <c r="GA448" s="31"/>
      <c r="GB448" s="31"/>
      <c r="GC448" s="31"/>
      <c r="GD448" s="31"/>
      <c r="GE448" s="31"/>
      <c r="GF448" s="31"/>
      <c r="GG448" s="31"/>
      <c r="GH448" s="31"/>
      <c r="GI448" s="31"/>
      <c r="GJ448" s="31"/>
      <c r="GK448" s="31"/>
      <c r="GL448" s="31"/>
      <c r="GM448" s="31"/>
      <c r="GN448" s="31"/>
      <c r="GO448" s="31"/>
      <c r="GP448" s="31"/>
      <c r="GQ448" s="31"/>
      <c r="GR448" s="31"/>
      <c r="GS448" s="31"/>
      <c r="GT448" s="31"/>
      <c r="GU448" s="31"/>
      <c r="GV448" s="31"/>
      <c r="GW448" s="31"/>
      <c r="GX448" s="31"/>
      <c r="GY448" s="31"/>
      <c r="GZ448" s="31"/>
      <c r="HA448" s="31"/>
      <c r="HB448" s="31"/>
      <c r="HC448" s="31"/>
      <c r="HD448" s="31"/>
      <c r="HE448" s="31"/>
      <c r="HF448" s="31"/>
      <c r="HG448" s="31"/>
      <c r="HH448" s="31"/>
      <c r="HI448" s="31"/>
      <c r="HJ448" s="31"/>
      <c r="HK448" s="31"/>
      <c r="HL448" s="31"/>
      <c r="HM448" s="31"/>
      <c r="HN448" s="31"/>
      <c r="HO448" s="31"/>
      <c r="HP448" s="31"/>
      <c r="HQ448" s="31"/>
      <c r="HR448" s="31"/>
      <c r="HS448" s="31"/>
      <c r="HT448" s="31"/>
      <c r="HU448" s="31"/>
      <c r="HV448" s="31"/>
      <c r="HW448" s="31"/>
      <c r="HX448" s="31"/>
      <c r="HY448" s="31"/>
      <c r="HZ448" s="31"/>
      <c r="IA448" s="31"/>
      <c r="IB448" s="31"/>
      <c r="IC448" s="31"/>
      <c r="ID448" s="31"/>
      <c r="IE448" s="31"/>
      <c r="IF448" s="31"/>
      <c r="IG448" s="31"/>
      <c r="IH448" s="31"/>
      <c r="II448" s="31"/>
      <c r="IJ448" s="31"/>
      <c r="IK448" s="31"/>
      <c r="IL448" s="31"/>
      <c r="IM448" s="31"/>
      <c r="IN448" s="31"/>
      <c r="IO448" s="31"/>
      <c r="IP448" s="31"/>
      <c r="IQ448" s="31"/>
      <c r="IR448" s="31"/>
      <c r="IS448" s="31"/>
      <c r="IT448" s="31"/>
      <c r="IU448" s="31"/>
      <c r="IV448" s="31"/>
      <c r="IW448" s="31"/>
      <c r="IX448" s="31"/>
      <c r="IY448" s="31"/>
      <c r="IZ448" s="31"/>
      <c r="JA448" s="31"/>
      <c r="JB448" s="31"/>
      <c r="JC448" s="31"/>
      <c r="JD448" s="31"/>
      <c r="JE448" s="31"/>
      <c r="JF448" s="31"/>
      <c r="JG448" s="31"/>
      <c r="JH448" s="31"/>
      <c r="JI448" s="31"/>
      <c r="JJ448" s="31"/>
      <c r="JK448" s="31"/>
      <c r="JL448" s="31"/>
      <c r="JM448" s="31"/>
      <c r="JN448" s="31"/>
      <c r="JO448" s="31"/>
      <c r="JP448" s="31"/>
      <c r="JQ448" s="31"/>
      <c r="JR448" s="31"/>
      <c r="JS448" s="31"/>
      <c r="JT448" s="31"/>
      <c r="JU448" s="31"/>
      <c r="JV448" s="31"/>
      <c r="JW448" s="31"/>
      <c r="JX448" s="31"/>
      <c r="JY448" s="31"/>
      <c r="JZ448" s="31"/>
      <c r="KA448" s="31"/>
      <c r="KB448" s="31"/>
      <c r="KC448" s="31"/>
      <c r="KD448" s="31"/>
      <c r="KE448" s="31"/>
      <c r="KF448" s="31"/>
      <c r="KG448" s="31"/>
      <c r="KH448" s="31"/>
      <c r="KI448" s="31"/>
      <c r="KJ448" s="31"/>
      <c r="KK448" s="31"/>
      <c r="KL448" s="31"/>
      <c r="KM448" s="31"/>
      <c r="KN448" s="31"/>
      <c r="KO448" s="31"/>
      <c r="KP448" s="31"/>
      <c r="KQ448" s="31"/>
      <c r="KR448" s="31"/>
      <c r="KS448" s="31"/>
      <c r="KT448" s="31"/>
      <c r="KU448" s="31"/>
      <c r="KV448" s="31"/>
      <c r="KW448" s="31"/>
      <c r="KX448" s="31"/>
      <c r="KY448" s="31"/>
      <c r="KZ448" s="31"/>
      <c r="LA448" s="31"/>
      <c r="LB448" s="31"/>
      <c r="LC448" s="31"/>
      <c r="LD448" s="31"/>
      <c r="LE448" s="31"/>
      <c r="LF448" s="31"/>
      <c r="LG448" s="31"/>
      <c r="LH448" s="31"/>
      <c r="LI448" s="31"/>
      <c r="LJ448" s="31"/>
      <c r="LK448" s="31"/>
      <c r="LL448" s="31"/>
      <c r="LM448" s="31"/>
      <c r="LN448" s="31"/>
      <c r="LO448" s="31"/>
      <c r="LP448" s="31"/>
      <c r="LQ448" s="31"/>
      <c r="LR448" s="31"/>
      <c r="LS448" s="31"/>
      <c r="LT448" s="31"/>
      <c r="LU448" s="31"/>
      <c r="LV448" s="31"/>
      <c r="LW448" s="31"/>
      <c r="LX448" s="31"/>
      <c r="LY448" s="31"/>
      <c r="LZ448" s="31"/>
      <c r="MA448" s="31"/>
      <c r="MB448" s="31"/>
      <c r="MC448" s="31"/>
      <c r="MD448" s="31"/>
      <c r="ME448" s="31"/>
      <c r="MF448" s="31"/>
      <c r="MG448" s="31"/>
      <c r="MH448" s="31"/>
      <c r="MI448" s="31"/>
      <c r="MJ448" s="31"/>
      <c r="MK448" s="31"/>
      <c r="ML448" s="31"/>
      <c r="MM448" s="31"/>
      <c r="MN448" s="31"/>
      <c r="MO448" s="31"/>
      <c r="MP448" s="31"/>
      <c r="MQ448" s="31"/>
      <c r="MR448" s="31"/>
      <c r="MS448" s="31"/>
      <c r="MT448" s="31"/>
      <c r="MU448" s="31"/>
      <c r="MV448" s="31"/>
      <c r="MW448" s="31"/>
      <c r="MX448" s="31"/>
      <c r="MY448" s="31"/>
      <c r="MZ448" s="31"/>
      <c r="NA448" s="31"/>
      <c r="NB448" s="31"/>
      <c r="NC448" s="31"/>
      <c r="ND448" s="31"/>
      <c r="NE448" s="31"/>
      <c r="NF448" s="31"/>
      <c r="NG448" s="31"/>
      <c r="NH448" s="31"/>
      <c r="NI448" s="31"/>
      <c r="NJ448" s="31"/>
      <c r="NK448" s="31"/>
      <c r="NL448" s="31"/>
      <c r="NM448" s="31"/>
      <c r="NN448" s="31"/>
      <c r="NO448" s="31"/>
      <c r="NP448" s="31"/>
      <c r="NQ448" s="31"/>
      <c r="NR448" s="31"/>
      <c r="NS448" s="31"/>
      <c r="NT448" s="31"/>
      <c r="NU448" s="31"/>
      <c r="NV448" s="31"/>
      <c r="NW448" s="31"/>
      <c r="NX448" s="31"/>
      <c r="NY448" s="31"/>
      <c r="NZ448" s="31"/>
      <c r="OA448" s="31"/>
      <c r="OB448" s="31"/>
      <c r="OC448" s="31"/>
      <c r="OD448" s="31"/>
      <c r="OE448" s="31"/>
      <c r="OF448" s="31"/>
      <c r="OG448" s="31"/>
      <c r="OH448" s="31"/>
      <c r="OI448" s="31"/>
      <c r="OJ448" s="31"/>
      <c r="OK448" s="31"/>
      <c r="OL448" s="31"/>
      <c r="OM448" s="31"/>
      <c r="ON448" s="31"/>
      <c r="OO448" s="31"/>
      <c r="OP448" s="31"/>
      <c r="OQ448" s="31"/>
      <c r="OR448" s="31"/>
      <c r="OS448" s="31"/>
      <c r="OT448" s="31"/>
      <c r="OU448" s="31"/>
      <c r="OV448" s="31"/>
      <c r="OW448" s="31"/>
      <c r="OX448" s="31"/>
    </row>
    <row r="449" spans="2:414" s="25" customFormat="1" ht="15.6">
      <c r="B449" s="51" t="s">
        <v>814</v>
      </c>
      <c r="C449" s="27" t="s">
        <v>815</v>
      </c>
      <c r="D449" s="30" t="s">
        <v>465</v>
      </c>
      <c r="G449" s="42">
        <v>80</v>
      </c>
      <c r="H449" s="89">
        <v>26.109000000000002</v>
      </c>
      <c r="I449" s="38">
        <f t="shared" si="135"/>
        <v>2088.7200000000003</v>
      </c>
      <c r="K449" s="42">
        <v>80</v>
      </c>
      <c r="L449" s="90">
        <v>26.849599999999999</v>
      </c>
      <c r="M449" s="38">
        <f t="shared" si="136"/>
        <v>2147.9679999999998</v>
      </c>
      <c r="O449" s="42">
        <v>505</v>
      </c>
      <c r="P449" s="38">
        <v>26.728300000000001</v>
      </c>
      <c r="Q449" s="38">
        <f t="shared" si="137"/>
        <v>13497.791500000001</v>
      </c>
      <c r="R449" s="43">
        <f t="shared" si="132"/>
        <v>665</v>
      </c>
      <c r="S449" s="38">
        <f t="shared" si="138"/>
        <v>17734.479500000001</v>
      </c>
      <c r="T449" s="52">
        <v>240</v>
      </c>
      <c r="U449" s="48">
        <v>26.7164</v>
      </c>
      <c r="V449" s="38">
        <f t="shared" si="146"/>
        <v>6411.9359999999997</v>
      </c>
      <c r="W449" s="48">
        <v>505</v>
      </c>
      <c r="X449" s="48">
        <v>26.728999999999999</v>
      </c>
      <c r="Y449" s="42">
        <f t="shared" si="144"/>
        <v>13498.145</v>
      </c>
      <c r="AB449" s="42">
        <f t="shared" si="145"/>
        <v>0</v>
      </c>
      <c r="AF449" s="42">
        <f t="shared" si="147"/>
        <v>0</v>
      </c>
      <c r="AJ449" s="42">
        <f t="shared" si="134"/>
        <v>0</v>
      </c>
      <c r="AU449" s="98"/>
      <c r="AV449" s="35"/>
      <c r="AW449" s="77"/>
      <c r="AZ449" s="42">
        <f t="shared" si="148"/>
        <v>0</v>
      </c>
      <c r="BD449" s="38">
        <f t="shared" si="139"/>
        <v>0</v>
      </c>
      <c r="BH449" s="38">
        <f t="shared" si="140"/>
        <v>0</v>
      </c>
      <c r="BL449" s="38">
        <f t="shared" si="141"/>
        <v>0</v>
      </c>
      <c r="BR449" s="42">
        <f t="shared" si="142"/>
        <v>19910.080999999998</v>
      </c>
      <c r="BS449" s="43"/>
      <c r="BT449" s="35">
        <v>2175.6</v>
      </c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  <c r="FM449" s="31"/>
      <c r="FN449" s="31"/>
      <c r="FO449" s="31"/>
      <c r="FP449" s="31"/>
      <c r="FQ449" s="31"/>
      <c r="FR449" s="31"/>
      <c r="FS449" s="31"/>
      <c r="FT449" s="31"/>
      <c r="FU449" s="31"/>
      <c r="FV449" s="31"/>
      <c r="FW449" s="31"/>
      <c r="FX449" s="31"/>
      <c r="FY449" s="31"/>
      <c r="FZ449" s="31"/>
      <c r="GA449" s="31"/>
      <c r="GB449" s="31"/>
      <c r="GC449" s="31"/>
      <c r="GD449" s="31"/>
      <c r="GE449" s="31"/>
      <c r="GF449" s="31"/>
      <c r="GG449" s="31"/>
      <c r="GH449" s="31"/>
      <c r="GI449" s="31"/>
      <c r="GJ449" s="31"/>
      <c r="GK449" s="31"/>
      <c r="GL449" s="31"/>
      <c r="GM449" s="31"/>
      <c r="GN449" s="31"/>
      <c r="GO449" s="31"/>
      <c r="GP449" s="31"/>
      <c r="GQ449" s="31"/>
      <c r="GR449" s="31"/>
      <c r="GS449" s="31"/>
      <c r="GT449" s="31"/>
      <c r="GU449" s="31"/>
      <c r="GV449" s="31"/>
      <c r="GW449" s="31"/>
      <c r="GX449" s="31"/>
      <c r="GY449" s="31"/>
      <c r="GZ449" s="31"/>
      <c r="HA449" s="31"/>
      <c r="HB449" s="31"/>
      <c r="HC449" s="31"/>
      <c r="HD449" s="31"/>
      <c r="HE449" s="31"/>
      <c r="HF449" s="31"/>
      <c r="HG449" s="31"/>
      <c r="HH449" s="31"/>
      <c r="HI449" s="31"/>
      <c r="HJ449" s="31"/>
      <c r="HK449" s="31"/>
      <c r="HL449" s="31"/>
      <c r="HM449" s="31"/>
      <c r="HN449" s="31"/>
      <c r="HO449" s="31"/>
      <c r="HP449" s="31"/>
      <c r="HQ449" s="31"/>
      <c r="HR449" s="31"/>
      <c r="HS449" s="31"/>
      <c r="HT449" s="31"/>
      <c r="HU449" s="31"/>
      <c r="HV449" s="31"/>
      <c r="HW449" s="31"/>
      <c r="HX449" s="31"/>
      <c r="HY449" s="31"/>
      <c r="HZ449" s="31"/>
      <c r="IA449" s="31"/>
      <c r="IB449" s="31"/>
      <c r="IC449" s="31"/>
      <c r="ID449" s="31"/>
      <c r="IE449" s="31"/>
      <c r="IF449" s="31"/>
      <c r="IG449" s="31"/>
      <c r="IH449" s="31"/>
      <c r="II449" s="31"/>
      <c r="IJ449" s="31"/>
      <c r="IK449" s="31"/>
      <c r="IL449" s="31"/>
      <c r="IM449" s="31"/>
      <c r="IN449" s="31"/>
      <c r="IO449" s="31"/>
      <c r="IP449" s="31"/>
      <c r="IQ449" s="31"/>
      <c r="IR449" s="31"/>
      <c r="IS449" s="31"/>
      <c r="IT449" s="31"/>
      <c r="IU449" s="31"/>
      <c r="IV449" s="31"/>
      <c r="IW449" s="31"/>
      <c r="IX449" s="31"/>
      <c r="IY449" s="31"/>
      <c r="IZ449" s="31"/>
      <c r="JA449" s="31"/>
      <c r="JB449" s="31"/>
      <c r="JC449" s="31"/>
      <c r="JD449" s="31"/>
      <c r="JE449" s="31"/>
      <c r="JF449" s="31"/>
      <c r="JG449" s="31"/>
      <c r="JH449" s="31"/>
      <c r="JI449" s="31"/>
      <c r="JJ449" s="31"/>
      <c r="JK449" s="31"/>
      <c r="JL449" s="31"/>
      <c r="JM449" s="31"/>
      <c r="JN449" s="31"/>
      <c r="JO449" s="31"/>
      <c r="JP449" s="31"/>
      <c r="JQ449" s="31"/>
      <c r="JR449" s="31"/>
      <c r="JS449" s="31"/>
      <c r="JT449" s="31"/>
      <c r="JU449" s="31"/>
      <c r="JV449" s="31"/>
      <c r="JW449" s="31"/>
      <c r="JX449" s="31"/>
      <c r="JY449" s="31"/>
      <c r="JZ449" s="31"/>
      <c r="KA449" s="31"/>
      <c r="KB449" s="31"/>
      <c r="KC449" s="31"/>
      <c r="KD449" s="31"/>
      <c r="KE449" s="31"/>
      <c r="KF449" s="31"/>
      <c r="KG449" s="31"/>
      <c r="KH449" s="31"/>
      <c r="KI449" s="31"/>
      <c r="KJ449" s="31"/>
      <c r="KK449" s="31"/>
      <c r="KL449" s="31"/>
      <c r="KM449" s="31"/>
      <c r="KN449" s="31"/>
      <c r="KO449" s="31"/>
      <c r="KP449" s="31"/>
      <c r="KQ449" s="31"/>
      <c r="KR449" s="31"/>
      <c r="KS449" s="31"/>
      <c r="KT449" s="31"/>
      <c r="KU449" s="31"/>
      <c r="KV449" s="31"/>
      <c r="KW449" s="31"/>
      <c r="KX449" s="31"/>
      <c r="KY449" s="31"/>
      <c r="KZ449" s="31"/>
      <c r="LA449" s="31"/>
      <c r="LB449" s="31"/>
      <c r="LC449" s="31"/>
      <c r="LD449" s="31"/>
      <c r="LE449" s="31"/>
      <c r="LF449" s="31"/>
      <c r="LG449" s="31"/>
      <c r="LH449" s="31"/>
      <c r="LI449" s="31"/>
      <c r="LJ449" s="31"/>
      <c r="LK449" s="31"/>
      <c r="LL449" s="31"/>
      <c r="LM449" s="31"/>
      <c r="LN449" s="31"/>
      <c r="LO449" s="31"/>
      <c r="LP449" s="31"/>
      <c r="LQ449" s="31"/>
      <c r="LR449" s="31"/>
      <c r="LS449" s="31"/>
      <c r="LT449" s="31"/>
      <c r="LU449" s="31"/>
      <c r="LV449" s="31"/>
      <c r="LW449" s="31"/>
      <c r="LX449" s="31"/>
      <c r="LY449" s="31"/>
      <c r="LZ449" s="31"/>
      <c r="MA449" s="31"/>
      <c r="MB449" s="31"/>
      <c r="MC449" s="31"/>
      <c r="MD449" s="31"/>
      <c r="ME449" s="31"/>
      <c r="MF449" s="31"/>
      <c r="MG449" s="31"/>
      <c r="MH449" s="31"/>
      <c r="MI449" s="31"/>
      <c r="MJ449" s="31"/>
      <c r="MK449" s="31"/>
      <c r="ML449" s="31"/>
      <c r="MM449" s="31"/>
      <c r="MN449" s="31"/>
      <c r="MO449" s="31"/>
      <c r="MP449" s="31"/>
      <c r="MQ449" s="31"/>
      <c r="MR449" s="31"/>
      <c r="MS449" s="31"/>
      <c r="MT449" s="31"/>
      <c r="MU449" s="31"/>
      <c r="MV449" s="31"/>
      <c r="MW449" s="31"/>
      <c r="MX449" s="31"/>
      <c r="MY449" s="31"/>
      <c r="MZ449" s="31"/>
      <c r="NA449" s="31"/>
      <c r="NB449" s="31"/>
      <c r="NC449" s="31"/>
      <c r="ND449" s="31"/>
      <c r="NE449" s="31"/>
      <c r="NF449" s="31"/>
      <c r="NG449" s="31"/>
      <c r="NH449" s="31"/>
      <c r="NI449" s="31"/>
      <c r="NJ449" s="31"/>
      <c r="NK449" s="31"/>
      <c r="NL449" s="31"/>
      <c r="NM449" s="31"/>
      <c r="NN449" s="31"/>
      <c r="NO449" s="31"/>
      <c r="NP449" s="31"/>
      <c r="NQ449" s="31"/>
      <c r="NR449" s="31"/>
      <c r="NS449" s="31"/>
      <c r="NT449" s="31"/>
      <c r="NU449" s="31"/>
      <c r="NV449" s="31"/>
      <c r="NW449" s="31"/>
      <c r="NX449" s="31"/>
      <c r="NY449" s="31"/>
      <c r="NZ449" s="31"/>
      <c r="OA449" s="31"/>
      <c r="OB449" s="31"/>
      <c r="OC449" s="31"/>
      <c r="OD449" s="31"/>
      <c r="OE449" s="31"/>
      <c r="OF449" s="31"/>
      <c r="OG449" s="31"/>
      <c r="OH449" s="31"/>
      <c r="OI449" s="31"/>
      <c r="OJ449" s="31"/>
      <c r="OK449" s="31"/>
      <c r="OL449" s="31"/>
      <c r="OM449" s="31"/>
      <c r="ON449" s="31"/>
      <c r="OO449" s="31"/>
      <c r="OP449" s="31"/>
      <c r="OQ449" s="31"/>
      <c r="OR449" s="31"/>
      <c r="OS449" s="31"/>
      <c r="OT449" s="31"/>
      <c r="OU449" s="31"/>
      <c r="OV449" s="31"/>
      <c r="OW449" s="31"/>
      <c r="OX449" s="31"/>
    </row>
    <row r="450" spans="2:414" s="25" customFormat="1" ht="15.6">
      <c r="B450" s="51" t="s">
        <v>652</v>
      </c>
      <c r="C450" s="27" t="s">
        <v>25</v>
      </c>
      <c r="D450" s="30" t="s">
        <v>465</v>
      </c>
      <c r="G450" s="42">
        <v>80</v>
      </c>
      <c r="H450" s="89">
        <v>26.109000000000002</v>
      </c>
      <c r="I450" s="38">
        <f t="shared" si="135"/>
        <v>2088.7200000000003</v>
      </c>
      <c r="K450" s="42">
        <v>80</v>
      </c>
      <c r="L450" s="90">
        <v>26.849599999999999</v>
      </c>
      <c r="M450" s="38">
        <f t="shared" si="136"/>
        <v>2147.9679999999998</v>
      </c>
      <c r="O450" s="42">
        <v>505</v>
      </c>
      <c r="P450" s="38">
        <v>26.728300000000001</v>
      </c>
      <c r="Q450" s="38">
        <f t="shared" si="137"/>
        <v>13497.791500000001</v>
      </c>
      <c r="R450" s="43">
        <f t="shared" si="132"/>
        <v>665</v>
      </c>
      <c r="S450" s="38">
        <f t="shared" si="138"/>
        <v>17734.479500000001</v>
      </c>
      <c r="T450" s="52">
        <v>251</v>
      </c>
      <c r="U450" s="48">
        <v>26.677399999999999</v>
      </c>
      <c r="V450" s="38">
        <f t="shared" si="146"/>
        <v>6696.0273999999999</v>
      </c>
      <c r="W450" s="48">
        <v>505</v>
      </c>
      <c r="X450" s="48">
        <v>26.68</v>
      </c>
      <c r="Y450" s="42">
        <f t="shared" si="144"/>
        <v>13473.4</v>
      </c>
      <c r="AB450" s="42">
        <f t="shared" si="145"/>
        <v>0</v>
      </c>
      <c r="AF450" s="42">
        <f t="shared" si="147"/>
        <v>0</v>
      </c>
      <c r="AJ450" s="42">
        <f t="shared" si="134"/>
        <v>0</v>
      </c>
      <c r="AU450" s="98"/>
      <c r="AV450" s="35"/>
      <c r="AW450" s="77"/>
      <c r="AZ450" s="42">
        <f t="shared" si="148"/>
        <v>0</v>
      </c>
      <c r="BD450" s="38">
        <f t="shared" si="139"/>
        <v>0</v>
      </c>
      <c r="BH450" s="38">
        <f t="shared" si="140"/>
        <v>0</v>
      </c>
      <c r="BL450" s="38">
        <f t="shared" si="141"/>
        <v>0</v>
      </c>
      <c r="BR450" s="42">
        <f t="shared" si="142"/>
        <v>20169.4274</v>
      </c>
      <c r="BS450" s="43"/>
      <c r="BT450" s="35">
        <v>2434.9499999999998</v>
      </c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  <c r="FM450" s="31"/>
      <c r="FN450" s="31"/>
      <c r="FO450" s="31"/>
      <c r="FP450" s="31"/>
      <c r="FQ450" s="31"/>
      <c r="FR450" s="31"/>
      <c r="FS450" s="31"/>
      <c r="FT450" s="31"/>
      <c r="FU450" s="31"/>
      <c r="FV450" s="31"/>
      <c r="FW450" s="31"/>
      <c r="FX450" s="31"/>
      <c r="FY450" s="31"/>
      <c r="FZ450" s="31"/>
      <c r="GA450" s="31"/>
      <c r="GB450" s="31"/>
      <c r="GC450" s="31"/>
      <c r="GD450" s="31"/>
      <c r="GE450" s="31"/>
      <c r="GF450" s="31"/>
      <c r="GG450" s="31"/>
      <c r="GH450" s="31"/>
      <c r="GI450" s="31"/>
      <c r="GJ450" s="31"/>
      <c r="GK450" s="31"/>
      <c r="GL450" s="31"/>
      <c r="GM450" s="31"/>
      <c r="GN450" s="31"/>
      <c r="GO450" s="31"/>
      <c r="GP450" s="31"/>
      <c r="GQ450" s="31"/>
      <c r="GR450" s="31"/>
      <c r="GS450" s="31"/>
      <c r="GT450" s="31"/>
      <c r="GU450" s="31"/>
      <c r="GV450" s="31"/>
      <c r="GW450" s="31"/>
      <c r="GX450" s="31"/>
      <c r="GY450" s="31"/>
      <c r="GZ450" s="31"/>
      <c r="HA450" s="31"/>
      <c r="HB450" s="31"/>
      <c r="HC450" s="31"/>
      <c r="HD450" s="31"/>
      <c r="HE450" s="31"/>
      <c r="HF450" s="31"/>
      <c r="HG450" s="31"/>
      <c r="HH450" s="31"/>
      <c r="HI450" s="31"/>
      <c r="HJ450" s="31"/>
      <c r="HK450" s="31"/>
      <c r="HL450" s="31"/>
      <c r="HM450" s="31"/>
      <c r="HN450" s="31"/>
      <c r="HO450" s="31"/>
      <c r="HP450" s="31"/>
      <c r="HQ450" s="31"/>
      <c r="HR450" s="31"/>
      <c r="HS450" s="31"/>
      <c r="HT450" s="31"/>
      <c r="HU450" s="31"/>
      <c r="HV450" s="31"/>
      <c r="HW450" s="31"/>
      <c r="HX450" s="31"/>
      <c r="HY450" s="31"/>
      <c r="HZ450" s="31"/>
      <c r="IA450" s="31"/>
      <c r="IB450" s="31"/>
      <c r="IC450" s="31"/>
      <c r="ID450" s="31"/>
      <c r="IE450" s="31"/>
      <c r="IF450" s="31"/>
      <c r="IG450" s="31"/>
      <c r="IH450" s="31"/>
      <c r="II450" s="31"/>
      <c r="IJ450" s="31"/>
      <c r="IK450" s="31"/>
      <c r="IL450" s="31"/>
      <c r="IM450" s="31"/>
      <c r="IN450" s="31"/>
      <c r="IO450" s="31"/>
      <c r="IP450" s="31"/>
      <c r="IQ450" s="31"/>
      <c r="IR450" s="31"/>
      <c r="IS450" s="31"/>
      <c r="IT450" s="31"/>
      <c r="IU450" s="31"/>
      <c r="IV450" s="31"/>
      <c r="IW450" s="31"/>
      <c r="IX450" s="31"/>
      <c r="IY450" s="31"/>
      <c r="IZ450" s="31"/>
      <c r="JA450" s="31"/>
      <c r="JB450" s="31"/>
      <c r="JC450" s="31"/>
      <c r="JD450" s="31"/>
      <c r="JE450" s="31"/>
      <c r="JF450" s="31"/>
      <c r="JG450" s="31"/>
      <c r="JH450" s="31"/>
      <c r="JI450" s="31"/>
      <c r="JJ450" s="31"/>
      <c r="JK450" s="31"/>
      <c r="JL450" s="31"/>
      <c r="JM450" s="31"/>
      <c r="JN450" s="31"/>
      <c r="JO450" s="31"/>
      <c r="JP450" s="31"/>
      <c r="JQ450" s="31"/>
      <c r="JR450" s="31"/>
      <c r="JS450" s="31"/>
      <c r="JT450" s="31"/>
      <c r="JU450" s="31"/>
      <c r="JV450" s="31"/>
      <c r="JW450" s="31"/>
      <c r="JX450" s="31"/>
      <c r="JY450" s="31"/>
      <c r="JZ450" s="31"/>
      <c r="KA450" s="31"/>
      <c r="KB450" s="31"/>
      <c r="KC450" s="31"/>
      <c r="KD450" s="31"/>
      <c r="KE450" s="31"/>
      <c r="KF450" s="31"/>
      <c r="KG450" s="31"/>
      <c r="KH450" s="31"/>
      <c r="KI450" s="31"/>
      <c r="KJ450" s="31"/>
      <c r="KK450" s="31"/>
      <c r="KL450" s="31"/>
      <c r="KM450" s="31"/>
      <c r="KN450" s="31"/>
      <c r="KO450" s="31"/>
      <c r="KP450" s="31"/>
      <c r="KQ450" s="31"/>
      <c r="KR450" s="31"/>
      <c r="KS450" s="31"/>
      <c r="KT450" s="31"/>
      <c r="KU450" s="31"/>
      <c r="KV450" s="31"/>
      <c r="KW450" s="31"/>
      <c r="KX450" s="31"/>
      <c r="KY450" s="31"/>
      <c r="KZ450" s="31"/>
      <c r="LA450" s="31"/>
      <c r="LB450" s="31"/>
      <c r="LC450" s="31"/>
      <c r="LD450" s="31"/>
      <c r="LE450" s="31"/>
      <c r="LF450" s="31"/>
      <c r="LG450" s="31"/>
      <c r="LH450" s="31"/>
      <c r="LI450" s="31"/>
      <c r="LJ450" s="31"/>
      <c r="LK450" s="31"/>
      <c r="LL450" s="31"/>
      <c r="LM450" s="31"/>
      <c r="LN450" s="31"/>
      <c r="LO450" s="31"/>
      <c r="LP450" s="31"/>
      <c r="LQ450" s="31"/>
      <c r="LR450" s="31"/>
      <c r="LS450" s="31"/>
      <c r="LT450" s="31"/>
      <c r="LU450" s="31"/>
      <c r="LV450" s="31"/>
      <c r="LW450" s="31"/>
      <c r="LX450" s="31"/>
      <c r="LY450" s="31"/>
      <c r="LZ450" s="31"/>
      <c r="MA450" s="31"/>
      <c r="MB450" s="31"/>
      <c r="MC450" s="31"/>
      <c r="MD450" s="31"/>
      <c r="ME450" s="31"/>
      <c r="MF450" s="31"/>
      <c r="MG450" s="31"/>
      <c r="MH450" s="31"/>
      <c r="MI450" s="31"/>
      <c r="MJ450" s="31"/>
      <c r="MK450" s="31"/>
      <c r="ML450" s="31"/>
      <c r="MM450" s="31"/>
      <c r="MN450" s="31"/>
      <c r="MO450" s="31"/>
      <c r="MP450" s="31"/>
      <c r="MQ450" s="31"/>
      <c r="MR450" s="31"/>
      <c r="MS450" s="31"/>
      <c r="MT450" s="31"/>
      <c r="MU450" s="31"/>
      <c r="MV450" s="31"/>
      <c r="MW450" s="31"/>
      <c r="MX450" s="31"/>
      <c r="MY450" s="31"/>
      <c r="MZ450" s="31"/>
      <c r="NA450" s="31"/>
      <c r="NB450" s="31"/>
      <c r="NC450" s="31"/>
      <c r="ND450" s="31"/>
      <c r="NE450" s="31"/>
      <c r="NF450" s="31"/>
      <c r="NG450" s="31"/>
      <c r="NH450" s="31"/>
      <c r="NI450" s="31"/>
      <c r="NJ450" s="31"/>
      <c r="NK450" s="31"/>
      <c r="NL450" s="31"/>
      <c r="NM450" s="31"/>
      <c r="NN450" s="31"/>
      <c r="NO450" s="31"/>
      <c r="NP450" s="31"/>
      <c r="NQ450" s="31"/>
      <c r="NR450" s="31"/>
      <c r="NS450" s="31"/>
      <c r="NT450" s="31"/>
      <c r="NU450" s="31"/>
      <c r="NV450" s="31"/>
      <c r="NW450" s="31"/>
      <c r="NX450" s="31"/>
      <c r="NY450" s="31"/>
      <c r="NZ450" s="31"/>
      <c r="OA450" s="31"/>
      <c r="OB450" s="31"/>
      <c r="OC450" s="31"/>
      <c r="OD450" s="31"/>
      <c r="OE450" s="31"/>
      <c r="OF450" s="31"/>
      <c r="OG450" s="31"/>
      <c r="OH450" s="31"/>
      <c r="OI450" s="31"/>
      <c r="OJ450" s="31"/>
      <c r="OK450" s="31"/>
      <c r="OL450" s="31"/>
      <c r="OM450" s="31"/>
      <c r="ON450" s="31"/>
      <c r="OO450" s="31"/>
      <c r="OP450" s="31"/>
      <c r="OQ450" s="31"/>
      <c r="OR450" s="31"/>
      <c r="OS450" s="31"/>
      <c r="OT450" s="31"/>
      <c r="OU450" s="31"/>
      <c r="OV450" s="31"/>
      <c r="OW450" s="31"/>
      <c r="OX450" s="31"/>
    </row>
    <row r="451" spans="2:414" s="25" customFormat="1" ht="15.6">
      <c r="B451" s="51" t="s">
        <v>881</v>
      </c>
      <c r="C451" s="27" t="s">
        <v>1001</v>
      </c>
      <c r="D451" s="30" t="s">
        <v>465</v>
      </c>
      <c r="G451" s="42">
        <v>80</v>
      </c>
      <c r="H451" s="89">
        <v>26.109000000000002</v>
      </c>
      <c r="I451" s="38">
        <f t="shared" si="135"/>
        <v>2088.7200000000003</v>
      </c>
      <c r="K451" s="42">
        <v>80</v>
      </c>
      <c r="L451" s="90">
        <v>26.849599999999999</v>
      </c>
      <c r="M451" s="38">
        <f t="shared" si="136"/>
        <v>2147.9679999999998</v>
      </c>
      <c r="O451" s="42">
        <v>505</v>
      </c>
      <c r="P451" s="38">
        <v>26.728300000000001</v>
      </c>
      <c r="Q451" s="38">
        <f t="shared" si="137"/>
        <v>13497.791500000001</v>
      </c>
      <c r="R451" s="43">
        <f t="shared" si="132"/>
        <v>665</v>
      </c>
      <c r="S451" s="38">
        <f t="shared" si="138"/>
        <v>17734.479500000001</v>
      </c>
      <c r="T451" s="52">
        <v>240</v>
      </c>
      <c r="U451" s="48">
        <v>26.68</v>
      </c>
      <c r="V451" s="38">
        <f t="shared" si="146"/>
        <v>6403.2</v>
      </c>
      <c r="W451" s="48">
        <v>505</v>
      </c>
      <c r="X451" s="48">
        <v>26.7683</v>
      </c>
      <c r="Y451" s="42">
        <f t="shared" si="144"/>
        <v>13517.9915</v>
      </c>
      <c r="AB451" s="42">
        <f t="shared" si="145"/>
        <v>0</v>
      </c>
      <c r="AF451" s="42">
        <f t="shared" si="147"/>
        <v>0</v>
      </c>
      <c r="AJ451" s="42">
        <f t="shared" si="134"/>
        <v>0</v>
      </c>
      <c r="AU451" s="98"/>
      <c r="AV451" s="35"/>
      <c r="AW451" s="77"/>
      <c r="AZ451" s="42">
        <f t="shared" si="148"/>
        <v>0</v>
      </c>
      <c r="BD451" s="38">
        <f t="shared" si="139"/>
        <v>0</v>
      </c>
      <c r="BH451" s="38">
        <f t="shared" si="140"/>
        <v>0</v>
      </c>
      <c r="BL451" s="38">
        <f t="shared" si="141"/>
        <v>0</v>
      </c>
      <c r="BR451" s="42">
        <f t="shared" si="142"/>
        <v>19921.191500000001</v>
      </c>
      <c r="BS451" s="43"/>
      <c r="BT451" s="35">
        <v>2186.71</v>
      </c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  <c r="FM451" s="31"/>
      <c r="FN451" s="31"/>
      <c r="FO451" s="31"/>
      <c r="FP451" s="31"/>
      <c r="FQ451" s="31"/>
      <c r="FR451" s="31"/>
      <c r="FS451" s="31"/>
      <c r="FT451" s="31"/>
      <c r="FU451" s="31"/>
      <c r="FV451" s="31"/>
      <c r="FW451" s="31"/>
      <c r="FX451" s="31"/>
      <c r="FY451" s="31"/>
      <c r="FZ451" s="31"/>
      <c r="GA451" s="31"/>
      <c r="GB451" s="31"/>
      <c r="GC451" s="31"/>
      <c r="GD451" s="31"/>
      <c r="GE451" s="31"/>
      <c r="GF451" s="31"/>
      <c r="GG451" s="31"/>
      <c r="GH451" s="31"/>
      <c r="GI451" s="31"/>
      <c r="GJ451" s="31"/>
      <c r="GK451" s="31"/>
      <c r="GL451" s="31"/>
      <c r="GM451" s="31"/>
      <c r="GN451" s="31"/>
      <c r="GO451" s="31"/>
      <c r="GP451" s="31"/>
      <c r="GQ451" s="31"/>
      <c r="GR451" s="31"/>
      <c r="GS451" s="31"/>
      <c r="GT451" s="31"/>
      <c r="GU451" s="31"/>
      <c r="GV451" s="31"/>
      <c r="GW451" s="31"/>
      <c r="GX451" s="31"/>
      <c r="GY451" s="31"/>
      <c r="GZ451" s="31"/>
      <c r="HA451" s="31"/>
      <c r="HB451" s="31"/>
      <c r="HC451" s="31"/>
      <c r="HD451" s="31"/>
      <c r="HE451" s="31"/>
      <c r="HF451" s="31"/>
      <c r="HG451" s="31"/>
      <c r="HH451" s="31"/>
      <c r="HI451" s="31"/>
      <c r="HJ451" s="31"/>
      <c r="HK451" s="31"/>
      <c r="HL451" s="31"/>
      <c r="HM451" s="31"/>
      <c r="HN451" s="31"/>
      <c r="HO451" s="31"/>
      <c r="HP451" s="31"/>
      <c r="HQ451" s="31"/>
      <c r="HR451" s="31"/>
      <c r="HS451" s="31"/>
      <c r="HT451" s="31"/>
      <c r="HU451" s="31"/>
      <c r="HV451" s="31"/>
      <c r="HW451" s="31"/>
      <c r="HX451" s="31"/>
      <c r="HY451" s="31"/>
      <c r="HZ451" s="31"/>
      <c r="IA451" s="31"/>
      <c r="IB451" s="31"/>
      <c r="IC451" s="31"/>
      <c r="ID451" s="31"/>
      <c r="IE451" s="31"/>
      <c r="IF451" s="31"/>
      <c r="IG451" s="31"/>
      <c r="IH451" s="31"/>
      <c r="II451" s="31"/>
      <c r="IJ451" s="31"/>
      <c r="IK451" s="31"/>
      <c r="IL451" s="31"/>
      <c r="IM451" s="31"/>
      <c r="IN451" s="31"/>
      <c r="IO451" s="31"/>
      <c r="IP451" s="31"/>
      <c r="IQ451" s="31"/>
      <c r="IR451" s="31"/>
      <c r="IS451" s="31"/>
      <c r="IT451" s="31"/>
      <c r="IU451" s="31"/>
      <c r="IV451" s="31"/>
      <c r="IW451" s="31"/>
      <c r="IX451" s="31"/>
      <c r="IY451" s="31"/>
      <c r="IZ451" s="31"/>
      <c r="JA451" s="31"/>
      <c r="JB451" s="31"/>
      <c r="JC451" s="31"/>
      <c r="JD451" s="31"/>
      <c r="JE451" s="31"/>
      <c r="JF451" s="31"/>
      <c r="JG451" s="31"/>
      <c r="JH451" s="31"/>
      <c r="JI451" s="31"/>
      <c r="JJ451" s="31"/>
      <c r="JK451" s="31"/>
      <c r="JL451" s="31"/>
      <c r="JM451" s="31"/>
      <c r="JN451" s="31"/>
      <c r="JO451" s="31"/>
      <c r="JP451" s="31"/>
      <c r="JQ451" s="31"/>
      <c r="JR451" s="31"/>
      <c r="JS451" s="31"/>
      <c r="JT451" s="31"/>
      <c r="JU451" s="31"/>
      <c r="JV451" s="31"/>
      <c r="JW451" s="31"/>
      <c r="JX451" s="31"/>
      <c r="JY451" s="31"/>
      <c r="JZ451" s="31"/>
      <c r="KA451" s="31"/>
      <c r="KB451" s="31"/>
      <c r="KC451" s="31"/>
      <c r="KD451" s="31"/>
      <c r="KE451" s="31"/>
      <c r="KF451" s="31"/>
      <c r="KG451" s="31"/>
      <c r="KH451" s="31"/>
      <c r="KI451" s="31"/>
      <c r="KJ451" s="31"/>
      <c r="KK451" s="31"/>
      <c r="KL451" s="31"/>
      <c r="KM451" s="31"/>
      <c r="KN451" s="31"/>
      <c r="KO451" s="31"/>
      <c r="KP451" s="31"/>
      <c r="KQ451" s="31"/>
      <c r="KR451" s="31"/>
      <c r="KS451" s="31"/>
      <c r="KT451" s="31"/>
      <c r="KU451" s="31"/>
      <c r="KV451" s="31"/>
      <c r="KW451" s="31"/>
      <c r="KX451" s="31"/>
      <c r="KY451" s="31"/>
      <c r="KZ451" s="31"/>
      <c r="LA451" s="31"/>
      <c r="LB451" s="31"/>
      <c r="LC451" s="31"/>
      <c r="LD451" s="31"/>
      <c r="LE451" s="31"/>
      <c r="LF451" s="31"/>
      <c r="LG451" s="31"/>
      <c r="LH451" s="31"/>
      <c r="LI451" s="31"/>
      <c r="LJ451" s="31"/>
      <c r="LK451" s="31"/>
      <c r="LL451" s="31"/>
      <c r="LM451" s="31"/>
      <c r="LN451" s="31"/>
      <c r="LO451" s="31"/>
      <c r="LP451" s="31"/>
      <c r="LQ451" s="31"/>
      <c r="LR451" s="31"/>
      <c r="LS451" s="31"/>
      <c r="LT451" s="31"/>
      <c r="LU451" s="31"/>
      <c r="LV451" s="31"/>
      <c r="LW451" s="31"/>
      <c r="LX451" s="31"/>
      <c r="LY451" s="31"/>
      <c r="LZ451" s="31"/>
      <c r="MA451" s="31"/>
      <c r="MB451" s="31"/>
      <c r="MC451" s="31"/>
      <c r="MD451" s="31"/>
      <c r="ME451" s="31"/>
      <c r="MF451" s="31"/>
      <c r="MG451" s="31"/>
      <c r="MH451" s="31"/>
      <c r="MI451" s="31"/>
      <c r="MJ451" s="31"/>
      <c r="MK451" s="31"/>
      <c r="ML451" s="31"/>
      <c r="MM451" s="31"/>
      <c r="MN451" s="31"/>
      <c r="MO451" s="31"/>
      <c r="MP451" s="31"/>
      <c r="MQ451" s="31"/>
      <c r="MR451" s="31"/>
      <c r="MS451" s="31"/>
      <c r="MT451" s="31"/>
      <c r="MU451" s="31"/>
      <c r="MV451" s="31"/>
      <c r="MW451" s="31"/>
      <c r="MX451" s="31"/>
      <c r="MY451" s="31"/>
      <c r="MZ451" s="31"/>
      <c r="NA451" s="31"/>
      <c r="NB451" s="31"/>
      <c r="NC451" s="31"/>
      <c r="ND451" s="31"/>
      <c r="NE451" s="31"/>
      <c r="NF451" s="31"/>
      <c r="NG451" s="31"/>
      <c r="NH451" s="31"/>
      <c r="NI451" s="31"/>
      <c r="NJ451" s="31"/>
      <c r="NK451" s="31"/>
      <c r="NL451" s="31"/>
      <c r="NM451" s="31"/>
      <c r="NN451" s="31"/>
      <c r="NO451" s="31"/>
      <c r="NP451" s="31"/>
      <c r="NQ451" s="31"/>
      <c r="NR451" s="31"/>
      <c r="NS451" s="31"/>
      <c r="NT451" s="31"/>
      <c r="NU451" s="31"/>
      <c r="NV451" s="31"/>
      <c r="NW451" s="31"/>
      <c r="NX451" s="31"/>
      <c r="NY451" s="31"/>
      <c r="NZ451" s="31"/>
      <c r="OA451" s="31"/>
      <c r="OB451" s="31"/>
      <c r="OC451" s="31"/>
      <c r="OD451" s="31"/>
      <c r="OE451" s="31"/>
      <c r="OF451" s="31"/>
      <c r="OG451" s="31"/>
      <c r="OH451" s="31"/>
      <c r="OI451" s="31"/>
      <c r="OJ451" s="31"/>
      <c r="OK451" s="31"/>
      <c r="OL451" s="31"/>
      <c r="OM451" s="31"/>
      <c r="ON451" s="31"/>
      <c r="OO451" s="31"/>
      <c r="OP451" s="31"/>
      <c r="OQ451" s="31"/>
      <c r="OR451" s="31"/>
      <c r="OS451" s="31"/>
      <c r="OT451" s="31"/>
      <c r="OU451" s="31"/>
      <c r="OV451" s="31"/>
      <c r="OW451" s="31"/>
      <c r="OX451" s="31"/>
    </row>
    <row r="452" spans="2:414" s="25" customFormat="1" ht="15.6">
      <c r="B452" s="51" t="s">
        <v>687</v>
      </c>
      <c r="C452" s="27" t="s">
        <v>686</v>
      </c>
      <c r="D452" s="30" t="s">
        <v>465</v>
      </c>
      <c r="G452" s="42">
        <v>80</v>
      </c>
      <c r="H452" s="89">
        <v>26.109000000000002</v>
      </c>
      <c r="I452" s="38">
        <f t="shared" si="135"/>
        <v>2088.7200000000003</v>
      </c>
      <c r="K452" s="42">
        <v>80</v>
      </c>
      <c r="L452" s="90">
        <v>26.849599999999999</v>
      </c>
      <c r="M452" s="38">
        <f t="shared" si="136"/>
        <v>2147.9679999999998</v>
      </c>
      <c r="O452" s="42">
        <v>505</v>
      </c>
      <c r="P452" s="38">
        <v>26.728300000000001</v>
      </c>
      <c r="Q452" s="38">
        <f t="shared" si="137"/>
        <v>13497.791500000001</v>
      </c>
      <c r="R452" s="43">
        <f t="shared" ref="R452:R515" si="149">G452+K452+O452</f>
        <v>665</v>
      </c>
      <c r="S452" s="38">
        <f t="shared" si="138"/>
        <v>17734.479500000001</v>
      </c>
      <c r="T452" s="52">
        <v>240</v>
      </c>
      <c r="U452" s="48">
        <v>26.68</v>
      </c>
      <c r="V452" s="38">
        <f t="shared" si="146"/>
        <v>6403.2</v>
      </c>
      <c r="W452" s="48">
        <v>505</v>
      </c>
      <c r="X452" s="48">
        <v>26.77</v>
      </c>
      <c r="Y452" s="42">
        <f t="shared" si="144"/>
        <v>13518.85</v>
      </c>
      <c r="AB452" s="42">
        <f t="shared" si="145"/>
        <v>0</v>
      </c>
      <c r="AF452" s="42">
        <f t="shared" si="147"/>
        <v>0</v>
      </c>
      <c r="AJ452" s="42">
        <f t="shared" si="134"/>
        <v>0</v>
      </c>
      <c r="AU452" s="98"/>
      <c r="AV452" s="35"/>
      <c r="AW452" s="77"/>
      <c r="AZ452" s="42">
        <f t="shared" si="148"/>
        <v>0</v>
      </c>
      <c r="BD452" s="38">
        <f t="shared" si="139"/>
        <v>0</v>
      </c>
      <c r="BH452" s="38">
        <f t="shared" si="140"/>
        <v>0</v>
      </c>
      <c r="BL452" s="38">
        <f t="shared" si="141"/>
        <v>0</v>
      </c>
      <c r="BR452" s="42">
        <f t="shared" si="142"/>
        <v>19922.05</v>
      </c>
      <c r="BS452" s="43"/>
      <c r="BT452" s="35">
        <v>2187.5700000000002</v>
      </c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  <c r="FM452" s="31"/>
      <c r="FN452" s="31"/>
      <c r="FO452" s="31"/>
      <c r="FP452" s="31"/>
      <c r="FQ452" s="31"/>
      <c r="FR452" s="31"/>
      <c r="FS452" s="31"/>
      <c r="FT452" s="31"/>
      <c r="FU452" s="31"/>
      <c r="FV452" s="31"/>
      <c r="FW452" s="31"/>
      <c r="FX452" s="31"/>
      <c r="FY452" s="31"/>
      <c r="FZ452" s="31"/>
      <c r="GA452" s="31"/>
      <c r="GB452" s="31"/>
      <c r="GC452" s="31"/>
      <c r="GD452" s="31"/>
      <c r="GE452" s="31"/>
      <c r="GF452" s="31"/>
      <c r="GG452" s="31"/>
      <c r="GH452" s="31"/>
      <c r="GI452" s="31"/>
      <c r="GJ452" s="31"/>
      <c r="GK452" s="31"/>
      <c r="GL452" s="31"/>
      <c r="GM452" s="31"/>
      <c r="GN452" s="31"/>
      <c r="GO452" s="31"/>
      <c r="GP452" s="31"/>
      <c r="GQ452" s="31"/>
      <c r="GR452" s="31"/>
      <c r="GS452" s="31"/>
      <c r="GT452" s="31"/>
      <c r="GU452" s="31"/>
      <c r="GV452" s="31"/>
      <c r="GW452" s="31"/>
      <c r="GX452" s="31"/>
      <c r="GY452" s="31"/>
      <c r="GZ452" s="31"/>
      <c r="HA452" s="31"/>
      <c r="HB452" s="31"/>
      <c r="HC452" s="31"/>
      <c r="HD452" s="31"/>
      <c r="HE452" s="31"/>
      <c r="HF452" s="31"/>
      <c r="HG452" s="31"/>
      <c r="HH452" s="31"/>
      <c r="HI452" s="31"/>
      <c r="HJ452" s="31"/>
      <c r="HK452" s="31"/>
      <c r="HL452" s="31"/>
      <c r="HM452" s="31"/>
      <c r="HN452" s="31"/>
      <c r="HO452" s="31"/>
      <c r="HP452" s="31"/>
      <c r="HQ452" s="31"/>
      <c r="HR452" s="31"/>
      <c r="HS452" s="31"/>
      <c r="HT452" s="31"/>
      <c r="HU452" s="31"/>
      <c r="HV452" s="31"/>
      <c r="HW452" s="31"/>
      <c r="HX452" s="31"/>
      <c r="HY452" s="31"/>
      <c r="HZ452" s="31"/>
      <c r="IA452" s="31"/>
      <c r="IB452" s="31"/>
      <c r="IC452" s="31"/>
      <c r="ID452" s="31"/>
      <c r="IE452" s="31"/>
      <c r="IF452" s="31"/>
      <c r="IG452" s="31"/>
      <c r="IH452" s="31"/>
      <c r="II452" s="31"/>
      <c r="IJ452" s="31"/>
      <c r="IK452" s="31"/>
      <c r="IL452" s="31"/>
      <c r="IM452" s="31"/>
      <c r="IN452" s="31"/>
      <c r="IO452" s="31"/>
      <c r="IP452" s="31"/>
      <c r="IQ452" s="31"/>
      <c r="IR452" s="31"/>
      <c r="IS452" s="31"/>
      <c r="IT452" s="31"/>
      <c r="IU452" s="31"/>
      <c r="IV452" s="31"/>
      <c r="IW452" s="31"/>
      <c r="IX452" s="31"/>
      <c r="IY452" s="31"/>
      <c r="IZ452" s="31"/>
      <c r="JA452" s="31"/>
      <c r="JB452" s="31"/>
      <c r="JC452" s="31"/>
      <c r="JD452" s="31"/>
      <c r="JE452" s="31"/>
      <c r="JF452" s="31"/>
      <c r="JG452" s="31"/>
      <c r="JH452" s="31"/>
      <c r="JI452" s="31"/>
      <c r="JJ452" s="31"/>
      <c r="JK452" s="31"/>
      <c r="JL452" s="31"/>
      <c r="JM452" s="31"/>
      <c r="JN452" s="31"/>
      <c r="JO452" s="31"/>
      <c r="JP452" s="31"/>
      <c r="JQ452" s="31"/>
      <c r="JR452" s="31"/>
      <c r="JS452" s="31"/>
      <c r="JT452" s="31"/>
      <c r="JU452" s="31"/>
      <c r="JV452" s="31"/>
      <c r="JW452" s="31"/>
      <c r="JX452" s="31"/>
      <c r="JY452" s="31"/>
      <c r="JZ452" s="31"/>
      <c r="KA452" s="31"/>
      <c r="KB452" s="31"/>
      <c r="KC452" s="31"/>
      <c r="KD452" s="31"/>
      <c r="KE452" s="31"/>
      <c r="KF452" s="31"/>
      <c r="KG452" s="31"/>
      <c r="KH452" s="31"/>
      <c r="KI452" s="31"/>
      <c r="KJ452" s="31"/>
      <c r="KK452" s="31"/>
      <c r="KL452" s="31"/>
      <c r="KM452" s="31"/>
      <c r="KN452" s="31"/>
      <c r="KO452" s="31"/>
      <c r="KP452" s="31"/>
      <c r="KQ452" s="31"/>
      <c r="KR452" s="31"/>
      <c r="KS452" s="31"/>
      <c r="KT452" s="31"/>
      <c r="KU452" s="31"/>
      <c r="KV452" s="31"/>
      <c r="KW452" s="31"/>
      <c r="KX452" s="31"/>
      <c r="KY452" s="31"/>
      <c r="KZ452" s="31"/>
      <c r="LA452" s="31"/>
      <c r="LB452" s="31"/>
      <c r="LC452" s="31"/>
      <c r="LD452" s="31"/>
      <c r="LE452" s="31"/>
      <c r="LF452" s="31"/>
      <c r="LG452" s="31"/>
      <c r="LH452" s="31"/>
      <c r="LI452" s="31"/>
      <c r="LJ452" s="31"/>
      <c r="LK452" s="31"/>
      <c r="LL452" s="31"/>
      <c r="LM452" s="31"/>
      <c r="LN452" s="31"/>
      <c r="LO452" s="31"/>
      <c r="LP452" s="31"/>
      <c r="LQ452" s="31"/>
      <c r="LR452" s="31"/>
      <c r="LS452" s="31"/>
      <c r="LT452" s="31"/>
      <c r="LU452" s="31"/>
      <c r="LV452" s="31"/>
      <c r="LW452" s="31"/>
      <c r="LX452" s="31"/>
      <c r="LY452" s="31"/>
      <c r="LZ452" s="31"/>
      <c r="MA452" s="31"/>
      <c r="MB452" s="31"/>
      <c r="MC452" s="31"/>
      <c r="MD452" s="31"/>
      <c r="ME452" s="31"/>
      <c r="MF452" s="31"/>
      <c r="MG452" s="31"/>
      <c r="MH452" s="31"/>
      <c r="MI452" s="31"/>
      <c r="MJ452" s="31"/>
      <c r="MK452" s="31"/>
      <c r="ML452" s="31"/>
      <c r="MM452" s="31"/>
      <c r="MN452" s="31"/>
      <c r="MO452" s="31"/>
      <c r="MP452" s="31"/>
      <c r="MQ452" s="31"/>
      <c r="MR452" s="31"/>
      <c r="MS452" s="31"/>
      <c r="MT452" s="31"/>
      <c r="MU452" s="31"/>
      <c r="MV452" s="31"/>
      <c r="MW452" s="31"/>
      <c r="MX452" s="31"/>
      <c r="MY452" s="31"/>
      <c r="MZ452" s="31"/>
      <c r="NA452" s="31"/>
      <c r="NB452" s="31"/>
      <c r="NC452" s="31"/>
      <c r="ND452" s="31"/>
      <c r="NE452" s="31"/>
      <c r="NF452" s="31"/>
      <c r="NG452" s="31"/>
      <c r="NH452" s="31"/>
      <c r="NI452" s="31"/>
      <c r="NJ452" s="31"/>
      <c r="NK452" s="31"/>
      <c r="NL452" s="31"/>
      <c r="NM452" s="31"/>
      <c r="NN452" s="31"/>
      <c r="NO452" s="31"/>
      <c r="NP452" s="31"/>
      <c r="NQ452" s="31"/>
      <c r="NR452" s="31"/>
      <c r="NS452" s="31"/>
      <c r="NT452" s="31"/>
      <c r="NU452" s="31"/>
      <c r="NV452" s="31"/>
      <c r="NW452" s="31"/>
      <c r="NX452" s="31"/>
      <c r="NY452" s="31"/>
      <c r="NZ452" s="31"/>
      <c r="OA452" s="31"/>
      <c r="OB452" s="31"/>
      <c r="OC452" s="31"/>
      <c r="OD452" s="31"/>
      <c r="OE452" s="31"/>
      <c r="OF452" s="31"/>
      <c r="OG452" s="31"/>
      <c r="OH452" s="31"/>
      <c r="OI452" s="31"/>
      <c r="OJ452" s="31"/>
      <c r="OK452" s="31"/>
      <c r="OL452" s="31"/>
      <c r="OM452" s="31"/>
      <c r="ON452" s="31"/>
      <c r="OO452" s="31"/>
      <c r="OP452" s="31"/>
      <c r="OQ452" s="31"/>
      <c r="OR452" s="31"/>
      <c r="OS452" s="31"/>
      <c r="OT452" s="31"/>
      <c r="OU452" s="31"/>
      <c r="OV452" s="31"/>
      <c r="OW452" s="31"/>
      <c r="OX452" s="31"/>
    </row>
    <row r="453" spans="2:414" s="25" customFormat="1" ht="15.6">
      <c r="B453" s="51" t="s">
        <v>787</v>
      </c>
      <c r="C453" s="27" t="s">
        <v>786</v>
      </c>
      <c r="D453" s="30" t="s">
        <v>465</v>
      </c>
      <c r="G453" s="42">
        <v>80</v>
      </c>
      <c r="H453" s="89">
        <v>26.109000000000002</v>
      </c>
      <c r="I453" s="38">
        <f t="shared" si="135"/>
        <v>2088.7200000000003</v>
      </c>
      <c r="K453" s="42">
        <v>80</v>
      </c>
      <c r="L453" s="90">
        <v>26.849599999999999</v>
      </c>
      <c r="M453" s="38">
        <f t="shared" si="136"/>
        <v>2147.9679999999998</v>
      </c>
      <c r="O453" s="42">
        <v>505</v>
      </c>
      <c r="P453" s="38">
        <v>26.728300000000001</v>
      </c>
      <c r="Q453" s="38">
        <f t="shared" si="137"/>
        <v>13497.791500000001</v>
      </c>
      <c r="R453" s="43">
        <f t="shared" si="149"/>
        <v>665</v>
      </c>
      <c r="S453" s="38">
        <f t="shared" si="138"/>
        <v>17734.479500000001</v>
      </c>
      <c r="T453" s="52">
        <v>270</v>
      </c>
      <c r="U453" s="48">
        <v>26.7165</v>
      </c>
      <c r="V453" s="38">
        <f t="shared" si="146"/>
        <v>7213.4549999999999</v>
      </c>
      <c r="W453" s="48">
        <v>475</v>
      </c>
      <c r="X453" s="48">
        <v>26.728300000000001</v>
      </c>
      <c r="Y453" s="42">
        <f t="shared" si="144"/>
        <v>12695.942500000001</v>
      </c>
      <c r="AB453" s="42">
        <f t="shared" si="145"/>
        <v>0</v>
      </c>
      <c r="AF453" s="42">
        <f t="shared" si="147"/>
        <v>0</v>
      </c>
      <c r="AJ453" s="42">
        <f t="shared" si="134"/>
        <v>0</v>
      </c>
      <c r="AU453" s="98"/>
      <c r="AV453" s="35"/>
      <c r="AW453" s="77"/>
      <c r="AZ453" s="42">
        <f t="shared" si="148"/>
        <v>0</v>
      </c>
      <c r="BD453" s="38">
        <f t="shared" si="139"/>
        <v>0</v>
      </c>
      <c r="BH453" s="38">
        <f t="shared" si="140"/>
        <v>0</v>
      </c>
      <c r="BL453" s="38">
        <f t="shared" si="141"/>
        <v>0</v>
      </c>
      <c r="BR453" s="42">
        <f t="shared" si="142"/>
        <v>19909.397499999999</v>
      </c>
      <c r="BS453" s="43"/>
      <c r="BT453" s="35">
        <v>2174.92</v>
      </c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  <c r="FM453" s="31"/>
      <c r="FN453" s="31"/>
      <c r="FO453" s="31"/>
      <c r="FP453" s="31"/>
      <c r="FQ453" s="31"/>
      <c r="FR453" s="31"/>
      <c r="FS453" s="31"/>
      <c r="FT453" s="31"/>
      <c r="FU453" s="31"/>
      <c r="FV453" s="31"/>
      <c r="FW453" s="31"/>
      <c r="FX453" s="31"/>
      <c r="FY453" s="31"/>
      <c r="FZ453" s="31"/>
      <c r="GA453" s="31"/>
      <c r="GB453" s="31"/>
      <c r="GC453" s="31"/>
      <c r="GD453" s="31"/>
      <c r="GE453" s="31"/>
      <c r="GF453" s="31"/>
      <c r="GG453" s="31"/>
      <c r="GH453" s="31"/>
      <c r="GI453" s="31"/>
      <c r="GJ453" s="31"/>
      <c r="GK453" s="31"/>
      <c r="GL453" s="31"/>
      <c r="GM453" s="31"/>
      <c r="GN453" s="31"/>
      <c r="GO453" s="31"/>
      <c r="GP453" s="31"/>
      <c r="GQ453" s="31"/>
      <c r="GR453" s="31"/>
      <c r="GS453" s="31"/>
      <c r="GT453" s="31"/>
      <c r="GU453" s="31"/>
      <c r="GV453" s="31"/>
      <c r="GW453" s="31"/>
      <c r="GX453" s="31"/>
      <c r="GY453" s="31"/>
      <c r="GZ453" s="31"/>
      <c r="HA453" s="31"/>
      <c r="HB453" s="31"/>
      <c r="HC453" s="31"/>
      <c r="HD453" s="31"/>
      <c r="HE453" s="31"/>
      <c r="HF453" s="31"/>
      <c r="HG453" s="31"/>
      <c r="HH453" s="31"/>
      <c r="HI453" s="31"/>
      <c r="HJ453" s="31"/>
      <c r="HK453" s="31"/>
      <c r="HL453" s="31"/>
      <c r="HM453" s="31"/>
      <c r="HN453" s="31"/>
      <c r="HO453" s="31"/>
      <c r="HP453" s="31"/>
      <c r="HQ453" s="31"/>
      <c r="HR453" s="31"/>
      <c r="HS453" s="31"/>
      <c r="HT453" s="31"/>
      <c r="HU453" s="31"/>
      <c r="HV453" s="31"/>
      <c r="HW453" s="31"/>
      <c r="HX453" s="31"/>
      <c r="HY453" s="31"/>
      <c r="HZ453" s="31"/>
      <c r="IA453" s="31"/>
      <c r="IB453" s="31"/>
      <c r="IC453" s="31"/>
      <c r="ID453" s="31"/>
      <c r="IE453" s="31"/>
      <c r="IF453" s="31"/>
      <c r="IG453" s="31"/>
      <c r="IH453" s="31"/>
      <c r="II453" s="31"/>
      <c r="IJ453" s="31"/>
      <c r="IK453" s="31"/>
      <c r="IL453" s="31"/>
      <c r="IM453" s="31"/>
      <c r="IN453" s="31"/>
      <c r="IO453" s="31"/>
      <c r="IP453" s="31"/>
      <c r="IQ453" s="31"/>
      <c r="IR453" s="31"/>
      <c r="IS453" s="31"/>
      <c r="IT453" s="31"/>
      <c r="IU453" s="31"/>
      <c r="IV453" s="31"/>
      <c r="IW453" s="31"/>
      <c r="IX453" s="31"/>
      <c r="IY453" s="31"/>
      <c r="IZ453" s="31"/>
      <c r="JA453" s="31"/>
      <c r="JB453" s="31"/>
      <c r="JC453" s="31"/>
      <c r="JD453" s="31"/>
      <c r="JE453" s="31"/>
      <c r="JF453" s="31"/>
      <c r="JG453" s="31"/>
      <c r="JH453" s="31"/>
      <c r="JI453" s="31"/>
      <c r="JJ453" s="31"/>
      <c r="JK453" s="31"/>
      <c r="JL453" s="31"/>
      <c r="JM453" s="31"/>
      <c r="JN453" s="31"/>
      <c r="JO453" s="31"/>
      <c r="JP453" s="31"/>
      <c r="JQ453" s="31"/>
      <c r="JR453" s="31"/>
      <c r="JS453" s="31"/>
      <c r="JT453" s="31"/>
      <c r="JU453" s="31"/>
      <c r="JV453" s="31"/>
      <c r="JW453" s="31"/>
      <c r="JX453" s="31"/>
      <c r="JY453" s="31"/>
      <c r="JZ453" s="31"/>
      <c r="KA453" s="31"/>
      <c r="KB453" s="31"/>
      <c r="KC453" s="31"/>
      <c r="KD453" s="31"/>
      <c r="KE453" s="31"/>
      <c r="KF453" s="31"/>
      <c r="KG453" s="31"/>
      <c r="KH453" s="31"/>
      <c r="KI453" s="31"/>
      <c r="KJ453" s="31"/>
      <c r="KK453" s="31"/>
      <c r="KL453" s="31"/>
      <c r="KM453" s="31"/>
      <c r="KN453" s="31"/>
      <c r="KO453" s="31"/>
      <c r="KP453" s="31"/>
      <c r="KQ453" s="31"/>
      <c r="KR453" s="31"/>
      <c r="KS453" s="31"/>
      <c r="KT453" s="31"/>
      <c r="KU453" s="31"/>
      <c r="KV453" s="31"/>
      <c r="KW453" s="31"/>
      <c r="KX453" s="31"/>
      <c r="KY453" s="31"/>
      <c r="KZ453" s="31"/>
      <c r="LA453" s="31"/>
      <c r="LB453" s="31"/>
      <c r="LC453" s="31"/>
      <c r="LD453" s="31"/>
      <c r="LE453" s="31"/>
      <c r="LF453" s="31"/>
      <c r="LG453" s="31"/>
      <c r="LH453" s="31"/>
      <c r="LI453" s="31"/>
      <c r="LJ453" s="31"/>
      <c r="LK453" s="31"/>
      <c r="LL453" s="31"/>
      <c r="LM453" s="31"/>
      <c r="LN453" s="31"/>
      <c r="LO453" s="31"/>
      <c r="LP453" s="31"/>
      <c r="LQ453" s="31"/>
      <c r="LR453" s="31"/>
      <c r="LS453" s="31"/>
      <c r="LT453" s="31"/>
      <c r="LU453" s="31"/>
      <c r="LV453" s="31"/>
      <c r="LW453" s="31"/>
      <c r="LX453" s="31"/>
      <c r="LY453" s="31"/>
      <c r="LZ453" s="31"/>
      <c r="MA453" s="31"/>
      <c r="MB453" s="31"/>
      <c r="MC453" s="31"/>
      <c r="MD453" s="31"/>
      <c r="ME453" s="31"/>
      <c r="MF453" s="31"/>
      <c r="MG453" s="31"/>
      <c r="MH453" s="31"/>
      <c r="MI453" s="31"/>
      <c r="MJ453" s="31"/>
      <c r="MK453" s="31"/>
      <c r="ML453" s="31"/>
      <c r="MM453" s="31"/>
      <c r="MN453" s="31"/>
      <c r="MO453" s="31"/>
      <c r="MP453" s="31"/>
      <c r="MQ453" s="31"/>
      <c r="MR453" s="31"/>
      <c r="MS453" s="31"/>
      <c r="MT453" s="31"/>
      <c r="MU453" s="31"/>
      <c r="MV453" s="31"/>
      <c r="MW453" s="31"/>
      <c r="MX453" s="31"/>
      <c r="MY453" s="31"/>
      <c r="MZ453" s="31"/>
      <c r="NA453" s="31"/>
      <c r="NB453" s="31"/>
      <c r="NC453" s="31"/>
      <c r="ND453" s="31"/>
      <c r="NE453" s="31"/>
      <c r="NF453" s="31"/>
      <c r="NG453" s="31"/>
      <c r="NH453" s="31"/>
      <c r="NI453" s="31"/>
      <c r="NJ453" s="31"/>
      <c r="NK453" s="31"/>
      <c r="NL453" s="31"/>
      <c r="NM453" s="31"/>
      <c r="NN453" s="31"/>
      <c r="NO453" s="31"/>
      <c r="NP453" s="31"/>
      <c r="NQ453" s="31"/>
      <c r="NR453" s="31"/>
      <c r="NS453" s="31"/>
      <c r="NT453" s="31"/>
      <c r="NU453" s="31"/>
      <c r="NV453" s="31"/>
      <c r="NW453" s="31"/>
      <c r="NX453" s="31"/>
      <c r="NY453" s="31"/>
      <c r="NZ453" s="31"/>
      <c r="OA453" s="31"/>
      <c r="OB453" s="31"/>
      <c r="OC453" s="31"/>
      <c r="OD453" s="31"/>
      <c r="OE453" s="31"/>
      <c r="OF453" s="31"/>
      <c r="OG453" s="31"/>
      <c r="OH453" s="31"/>
      <c r="OI453" s="31"/>
      <c r="OJ453" s="31"/>
      <c r="OK453" s="31"/>
      <c r="OL453" s="31"/>
      <c r="OM453" s="31"/>
      <c r="ON453" s="31"/>
      <c r="OO453" s="31"/>
      <c r="OP453" s="31"/>
      <c r="OQ453" s="31"/>
      <c r="OR453" s="31"/>
      <c r="OS453" s="31"/>
      <c r="OT453" s="31"/>
      <c r="OU453" s="31"/>
      <c r="OV453" s="31"/>
      <c r="OW453" s="31"/>
      <c r="OX453" s="31"/>
    </row>
    <row r="454" spans="2:414" s="25" customFormat="1" ht="15.6">
      <c r="B454" s="51" t="s">
        <v>846</v>
      </c>
      <c r="C454" s="27" t="s">
        <v>455</v>
      </c>
      <c r="D454" s="30" t="s">
        <v>465</v>
      </c>
      <c r="G454" s="42">
        <v>80</v>
      </c>
      <c r="H454" s="89">
        <v>26.109000000000002</v>
      </c>
      <c r="I454" s="38">
        <f t="shared" si="135"/>
        <v>2088.7200000000003</v>
      </c>
      <c r="K454" s="42">
        <v>80</v>
      </c>
      <c r="L454" s="90">
        <v>26.849599999999999</v>
      </c>
      <c r="M454" s="38">
        <f t="shared" si="136"/>
        <v>2147.9679999999998</v>
      </c>
      <c r="O454" s="42">
        <v>505</v>
      </c>
      <c r="P454" s="38">
        <v>26.728300000000001</v>
      </c>
      <c r="Q454" s="38">
        <f t="shared" si="137"/>
        <v>13497.791500000001</v>
      </c>
      <c r="R454" s="43">
        <f t="shared" si="149"/>
        <v>665</v>
      </c>
      <c r="S454" s="38">
        <f t="shared" si="138"/>
        <v>17734.479500000001</v>
      </c>
      <c r="T454" s="52">
        <v>240</v>
      </c>
      <c r="U454" s="48">
        <v>26.72</v>
      </c>
      <c r="V454" s="38">
        <f t="shared" si="146"/>
        <v>6412.7999999999993</v>
      </c>
      <c r="W454" s="48">
        <v>505</v>
      </c>
      <c r="X454" s="48">
        <v>26.73</v>
      </c>
      <c r="Y454" s="42">
        <f t="shared" si="144"/>
        <v>13498.65</v>
      </c>
      <c r="AB454" s="42">
        <f t="shared" si="145"/>
        <v>0</v>
      </c>
      <c r="AF454" s="42">
        <f t="shared" si="147"/>
        <v>0</v>
      </c>
      <c r="AU454" s="98"/>
      <c r="AV454" s="35"/>
      <c r="AW454" s="77"/>
      <c r="AZ454" s="42">
        <f t="shared" si="148"/>
        <v>0</v>
      </c>
      <c r="BD454" s="38">
        <f t="shared" si="139"/>
        <v>0</v>
      </c>
      <c r="BH454" s="38">
        <f t="shared" si="140"/>
        <v>0</v>
      </c>
      <c r="BL454" s="38">
        <f t="shared" si="141"/>
        <v>0</v>
      </c>
      <c r="BR454" s="42">
        <f t="shared" si="142"/>
        <v>19911.449999999997</v>
      </c>
      <c r="BS454" s="43"/>
      <c r="BT454" s="35">
        <v>2176.9699999999998</v>
      </c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  <c r="FM454" s="31"/>
      <c r="FN454" s="31"/>
      <c r="FO454" s="31"/>
      <c r="FP454" s="31"/>
      <c r="FQ454" s="31"/>
      <c r="FR454" s="31"/>
      <c r="FS454" s="31"/>
      <c r="FT454" s="31"/>
      <c r="FU454" s="31"/>
      <c r="FV454" s="31"/>
      <c r="FW454" s="31"/>
      <c r="FX454" s="31"/>
      <c r="FY454" s="31"/>
      <c r="FZ454" s="31"/>
      <c r="GA454" s="31"/>
      <c r="GB454" s="31"/>
      <c r="GC454" s="31"/>
      <c r="GD454" s="31"/>
      <c r="GE454" s="31"/>
      <c r="GF454" s="31"/>
      <c r="GG454" s="31"/>
      <c r="GH454" s="31"/>
      <c r="GI454" s="31"/>
      <c r="GJ454" s="31"/>
      <c r="GK454" s="31"/>
      <c r="GL454" s="31"/>
      <c r="GM454" s="31"/>
      <c r="GN454" s="31"/>
      <c r="GO454" s="31"/>
      <c r="GP454" s="31"/>
      <c r="GQ454" s="31"/>
      <c r="GR454" s="31"/>
      <c r="GS454" s="31"/>
      <c r="GT454" s="31"/>
      <c r="GU454" s="31"/>
      <c r="GV454" s="31"/>
      <c r="GW454" s="31"/>
      <c r="GX454" s="31"/>
      <c r="GY454" s="31"/>
      <c r="GZ454" s="31"/>
      <c r="HA454" s="31"/>
      <c r="HB454" s="31"/>
      <c r="HC454" s="31"/>
      <c r="HD454" s="31"/>
      <c r="HE454" s="31"/>
      <c r="HF454" s="31"/>
      <c r="HG454" s="31"/>
      <c r="HH454" s="31"/>
      <c r="HI454" s="31"/>
      <c r="HJ454" s="31"/>
      <c r="HK454" s="31"/>
      <c r="HL454" s="31"/>
      <c r="HM454" s="31"/>
      <c r="HN454" s="31"/>
      <c r="HO454" s="31"/>
      <c r="HP454" s="31"/>
      <c r="HQ454" s="31"/>
      <c r="HR454" s="31"/>
      <c r="HS454" s="31"/>
      <c r="HT454" s="31"/>
      <c r="HU454" s="31"/>
      <c r="HV454" s="31"/>
      <c r="HW454" s="31"/>
      <c r="HX454" s="31"/>
      <c r="HY454" s="31"/>
      <c r="HZ454" s="31"/>
      <c r="IA454" s="31"/>
      <c r="IB454" s="31"/>
      <c r="IC454" s="31"/>
      <c r="ID454" s="31"/>
      <c r="IE454" s="31"/>
      <c r="IF454" s="31"/>
      <c r="IG454" s="31"/>
      <c r="IH454" s="31"/>
      <c r="II454" s="31"/>
      <c r="IJ454" s="31"/>
      <c r="IK454" s="31"/>
      <c r="IL454" s="31"/>
      <c r="IM454" s="31"/>
      <c r="IN454" s="31"/>
      <c r="IO454" s="31"/>
      <c r="IP454" s="31"/>
      <c r="IQ454" s="31"/>
      <c r="IR454" s="31"/>
      <c r="IS454" s="31"/>
      <c r="IT454" s="31"/>
      <c r="IU454" s="31"/>
      <c r="IV454" s="31"/>
      <c r="IW454" s="31"/>
      <c r="IX454" s="31"/>
      <c r="IY454" s="31"/>
      <c r="IZ454" s="31"/>
      <c r="JA454" s="31"/>
      <c r="JB454" s="31"/>
      <c r="JC454" s="31"/>
      <c r="JD454" s="31"/>
      <c r="JE454" s="31"/>
      <c r="JF454" s="31"/>
      <c r="JG454" s="31"/>
      <c r="JH454" s="31"/>
      <c r="JI454" s="31"/>
      <c r="JJ454" s="31"/>
      <c r="JK454" s="31"/>
      <c r="JL454" s="31"/>
      <c r="JM454" s="31"/>
      <c r="JN454" s="31"/>
      <c r="JO454" s="31"/>
      <c r="JP454" s="31"/>
      <c r="JQ454" s="31"/>
      <c r="JR454" s="31"/>
      <c r="JS454" s="31"/>
      <c r="JT454" s="31"/>
      <c r="JU454" s="31"/>
      <c r="JV454" s="31"/>
      <c r="JW454" s="31"/>
      <c r="JX454" s="31"/>
      <c r="JY454" s="31"/>
      <c r="JZ454" s="31"/>
      <c r="KA454" s="31"/>
      <c r="KB454" s="31"/>
      <c r="KC454" s="31"/>
      <c r="KD454" s="31"/>
      <c r="KE454" s="31"/>
      <c r="KF454" s="31"/>
      <c r="KG454" s="31"/>
      <c r="KH454" s="31"/>
      <c r="KI454" s="31"/>
      <c r="KJ454" s="31"/>
      <c r="KK454" s="31"/>
      <c r="KL454" s="31"/>
      <c r="KM454" s="31"/>
      <c r="KN454" s="31"/>
      <c r="KO454" s="31"/>
      <c r="KP454" s="31"/>
      <c r="KQ454" s="31"/>
      <c r="KR454" s="31"/>
      <c r="KS454" s="31"/>
      <c r="KT454" s="31"/>
      <c r="KU454" s="31"/>
      <c r="KV454" s="31"/>
      <c r="KW454" s="31"/>
      <c r="KX454" s="31"/>
      <c r="KY454" s="31"/>
      <c r="KZ454" s="31"/>
      <c r="LA454" s="31"/>
      <c r="LB454" s="31"/>
      <c r="LC454" s="31"/>
      <c r="LD454" s="31"/>
      <c r="LE454" s="31"/>
      <c r="LF454" s="31"/>
      <c r="LG454" s="31"/>
      <c r="LH454" s="31"/>
      <c r="LI454" s="31"/>
      <c r="LJ454" s="31"/>
      <c r="LK454" s="31"/>
      <c r="LL454" s="31"/>
      <c r="LM454" s="31"/>
      <c r="LN454" s="31"/>
      <c r="LO454" s="31"/>
      <c r="LP454" s="31"/>
      <c r="LQ454" s="31"/>
      <c r="LR454" s="31"/>
      <c r="LS454" s="31"/>
      <c r="LT454" s="31"/>
      <c r="LU454" s="31"/>
      <c r="LV454" s="31"/>
      <c r="LW454" s="31"/>
      <c r="LX454" s="31"/>
      <c r="LY454" s="31"/>
      <c r="LZ454" s="31"/>
      <c r="MA454" s="31"/>
      <c r="MB454" s="31"/>
      <c r="MC454" s="31"/>
      <c r="MD454" s="31"/>
      <c r="ME454" s="31"/>
      <c r="MF454" s="31"/>
      <c r="MG454" s="31"/>
      <c r="MH454" s="31"/>
      <c r="MI454" s="31"/>
      <c r="MJ454" s="31"/>
      <c r="MK454" s="31"/>
      <c r="ML454" s="31"/>
      <c r="MM454" s="31"/>
      <c r="MN454" s="31"/>
      <c r="MO454" s="31"/>
      <c r="MP454" s="31"/>
      <c r="MQ454" s="31"/>
      <c r="MR454" s="31"/>
      <c r="MS454" s="31"/>
      <c r="MT454" s="31"/>
      <c r="MU454" s="31"/>
      <c r="MV454" s="31"/>
      <c r="MW454" s="31"/>
      <c r="MX454" s="31"/>
      <c r="MY454" s="31"/>
      <c r="MZ454" s="31"/>
      <c r="NA454" s="31"/>
      <c r="NB454" s="31"/>
      <c r="NC454" s="31"/>
      <c r="ND454" s="31"/>
      <c r="NE454" s="31"/>
      <c r="NF454" s="31"/>
      <c r="NG454" s="31"/>
      <c r="NH454" s="31"/>
      <c r="NI454" s="31"/>
      <c r="NJ454" s="31"/>
      <c r="NK454" s="31"/>
      <c r="NL454" s="31"/>
      <c r="NM454" s="31"/>
      <c r="NN454" s="31"/>
      <c r="NO454" s="31"/>
      <c r="NP454" s="31"/>
      <c r="NQ454" s="31"/>
      <c r="NR454" s="31"/>
      <c r="NS454" s="31"/>
      <c r="NT454" s="31"/>
      <c r="NU454" s="31"/>
      <c r="NV454" s="31"/>
      <c r="NW454" s="31"/>
      <c r="NX454" s="31"/>
      <c r="NY454" s="31"/>
      <c r="NZ454" s="31"/>
      <c r="OA454" s="31"/>
      <c r="OB454" s="31"/>
      <c r="OC454" s="31"/>
      <c r="OD454" s="31"/>
      <c r="OE454" s="31"/>
      <c r="OF454" s="31"/>
      <c r="OG454" s="31"/>
      <c r="OH454" s="31"/>
      <c r="OI454" s="31"/>
      <c r="OJ454" s="31"/>
      <c r="OK454" s="31"/>
      <c r="OL454" s="31"/>
      <c r="OM454" s="31"/>
      <c r="ON454" s="31"/>
      <c r="OO454" s="31"/>
      <c r="OP454" s="31"/>
      <c r="OQ454" s="31"/>
      <c r="OR454" s="31"/>
      <c r="OS454" s="31"/>
      <c r="OT454" s="31"/>
      <c r="OU454" s="31"/>
      <c r="OV454" s="31"/>
      <c r="OW454" s="31"/>
      <c r="OX454" s="31"/>
    </row>
    <row r="455" spans="2:414" s="25" customFormat="1" ht="15.6">
      <c r="B455" s="51" t="s">
        <v>164</v>
      </c>
      <c r="C455" s="27" t="s">
        <v>146</v>
      </c>
      <c r="D455" s="30" t="s">
        <v>465</v>
      </c>
      <c r="G455" s="42">
        <v>80</v>
      </c>
      <c r="H455" s="89">
        <v>26.109000000000002</v>
      </c>
      <c r="I455" s="38">
        <f t="shared" si="135"/>
        <v>2088.7200000000003</v>
      </c>
      <c r="K455" s="42">
        <v>80</v>
      </c>
      <c r="L455" s="90">
        <v>26.849599999999999</v>
      </c>
      <c r="M455" s="38">
        <f t="shared" si="136"/>
        <v>2147.9679999999998</v>
      </c>
      <c r="O455" s="42">
        <v>505</v>
      </c>
      <c r="P455" s="38">
        <v>26.728300000000001</v>
      </c>
      <c r="Q455" s="38">
        <f t="shared" si="137"/>
        <v>13497.791500000001</v>
      </c>
      <c r="R455" s="43">
        <f t="shared" si="149"/>
        <v>665</v>
      </c>
      <c r="S455" s="38">
        <f t="shared" si="138"/>
        <v>17734.479500000001</v>
      </c>
      <c r="T455" s="52">
        <v>240</v>
      </c>
      <c r="U455" s="48">
        <v>26.72</v>
      </c>
      <c r="V455" s="38">
        <f t="shared" si="146"/>
        <v>6412.7999999999993</v>
      </c>
      <c r="W455" s="48">
        <v>505</v>
      </c>
      <c r="X455" s="48">
        <v>26.73</v>
      </c>
      <c r="Y455" s="42">
        <f t="shared" si="144"/>
        <v>13498.65</v>
      </c>
      <c r="AB455" s="42">
        <f t="shared" si="145"/>
        <v>0</v>
      </c>
      <c r="AF455" s="42">
        <f t="shared" si="147"/>
        <v>0</v>
      </c>
      <c r="AU455" s="98"/>
      <c r="AV455" s="35"/>
      <c r="AW455" s="77"/>
      <c r="AZ455" s="42">
        <f t="shared" si="148"/>
        <v>0</v>
      </c>
      <c r="BD455" s="38">
        <f t="shared" si="139"/>
        <v>0</v>
      </c>
      <c r="BH455" s="38">
        <f t="shared" si="140"/>
        <v>0</v>
      </c>
      <c r="BL455" s="38">
        <f t="shared" si="141"/>
        <v>0</v>
      </c>
      <c r="BR455" s="42">
        <f t="shared" si="142"/>
        <v>19911.449999999997</v>
      </c>
      <c r="BS455" s="43"/>
      <c r="BT455" s="35">
        <v>2176.9699999999998</v>
      </c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  <c r="FM455" s="31"/>
      <c r="FN455" s="31"/>
      <c r="FO455" s="31"/>
      <c r="FP455" s="31"/>
      <c r="FQ455" s="31"/>
      <c r="FR455" s="31"/>
      <c r="FS455" s="31"/>
      <c r="FT455" s="31"/>
      <c r="FU455" s="31"/>
      <c r="FV455" s="31"/>
      <c r="FW455" s="31"/>
      <c r="FX455" s="31"/>
      <c r="FY455" s="31"/>
      <c r="FZ455" s="31"/>
      <c r="GA455" s="31"/>
      <c r="GB455" s="31"/>
      <c r="GC455" s="31"/>
      <c r="GD455" s="31"/>
      <c r="GE455" s="31"/>
      <c r="GF455" s="31"/>
      <c r="GG455" s="31"/>
      <c r="GH455" s="31"/>
      <c r="GI455" s="31"/>
      <c r="GJ455" s="31"/>
      <c r="GK455" s="31"/>
      <c r="GL455" s="31"/>
      <c r="GM455" s="31"/>
      <c r="GN455" s="31"/>
      <c r="GO455" s="31"/>
      <c r="GP455" s="31"/>
      <c r="GQ455" s="31"/>
      <c r="GR455" s="31"/>
      <c r="GS455" s="31"/>
      <c r="GT455" s="31"/>
      <c r="GU455" s="31"/>
      <c r="GV455" s="31"/>
      <c r="GW455" s="31"/>
      <c r="GX455" s="31"/>
      <c r="GY455" s="31"/>
      <c r="GZ455" s="31"/>
      <c r="HA455" s="31"/>
      <c r="HB455" s="31"/>
      <c r="HC455" s="31"/>
      <c r="HD455" s="31"/>
      <c r="HE455" s="31"/>
      <c r="HF455" s="31"/>
      <c r="HG455" s="31"/>
      <c r="HH455" s="31"/>
      <c r="HI455" s="31"/>
      <c r="HJ455" s="31"/>
      <c r="HK455" s="31"/>
      <c r="HL455" s="31"/>
      <c r="HM455" s="31"/>
      <c r="HN455" s="31"/>
      <c r="HO455" s="31"/>
      <c r="HP455" s="31"/>
      <c r="HQ455" s="31"/>
      <c r="HR455" s="31"/>
      <c r="HS455" s="31"/>
      <c r="HT455" s="31"/>
      <c r="HU455" s="31"/>
      <c r="HV455" s="31"/>
      <c r="HW455" s="31"/>
      <c r="HX455" s="31"/>
      <c r="HY455" s="31"/>
      <c r="HZ455" s="31"/>
      <c r="IA455" s="31"/>
      <c r="IB455" s="31"/>
      <c r="IC455" s="31"/>
      <c r="ID455" s="31"/>
      <c r="IE455" s="31"/>
      <c r="IF455" s="31"/>
      <c r="IG455" s="31"/>
      <c r="IH455" s="31"/>
      <c r="II455" s="31"/>
      <c r="IJ455" s="31"/>
      <c r="IK455" s="31"/>
      <c r="IL455" s="31"/>
      <c r="IM455" s="31"/>
      <c r="IN455" s="31"/>
      <c r="IO455" s="31"/>
      <c r="IP455" s="31"/>
      <c r="IQ455" s="31"/>
      <c r="IR455" s="31"/>
      <c r="IS455" s="31"/>
      <c r="IT455" s="31"/>
      <c r="IU455" s="31"/>
      <c r="IV455" s="31"/>
      <c r="IW455" s="31"/>
      <c r="IX455" s="31"/>
      <c r="IY455" s="31"/>
      <c r="IZ455" s="31"/>
      <c r="JA455" s="31"/>
      <c r="JB455" s="31"/>
      <c r="JC455" s="31"/>
      <c r="JD455" s="31"/>
      <c r="JE455" s="31"/>
      <c r="JF455" s="31"/>
      <c r="JG455" s="31"/>
      <c r="JH455" s="31"/>
      <c r="JI455" s="31"/>
      <c r="JJ455" s="31"/>
      <c r="JK455" s="31"/>
      <c r="JL455" s="31"/>
      <c r="JM455" s="31"/>
      <c r="JN455" s="31"/>
      <c r="JO455" s="31"/>
      <c r="JP455" s="31"/>
      <c r="JQ455" s="31"/>
      <c r="JR455" s="31"/>
      <c r="JS455" s="31"/>
      <c r="JT455" s="31"/>
      <c r="JU455" s="31"/>
      <c r="JV455" s="31"/>
      <c r="JW455" s="31"/>
      <c r="JX455" s="31"/>
      <c r="JY455" s="31"/>
      <c r="JZ455" s="31"/>
      <c r="KA455" s="31"/>
      <c r="KB455" s="31"/>
      <c r="KC455" s="31"/>
      <c r="KD455" s="31"/>
      <c r="KE455" s="31"/>
      <c r="KF455" s="31"/>
      <c r="KG455" s="31"/>
      <c r="KH455" s="31"/>
      <c r="KI455" s="31"/>
      <c r="KJ455" s="31"/>
      <c r="KK455" s="31"/>
      <c r="KL455" s="31"/>
      <c r="KM455" s="31"/>
      <c r="KN455" s="31"/>
      <c r="KO455" s="31"/>
      <c r="KP455" s="31"/>
      <c r="KQ455" s="31"/>
      <c r="KR455" s="31"/>
      <c r="KS455" s="31"/>
      <c r="KT455" s="31"/>
      <c r="KU455" s="31"/>
      <c r="KV455" s="31"/>
      <c r="KW455" s="31"/>
      <c r="KX455" s="31"/>
      <c r="KY455" s="31"/>
      <c r="KZ455" s="31"/>
      <c r="LA455" s="31"/>
      <c r="LB455" s="31"/>
      <c r="LC455" s="31"/>
      <c r="LD455" s="31"/>
      <c r="LE455" s="31"/>
      <c r="LF455" s="31"/>
      <c r="LG455" s="31"/>
      <c r="LH455" s="31"/>
      <c r="LI455" s="31"/>
      <c r="LJ455" s="31"/>
      <c r="LK455" s="31"/>
      <c r="LL455" s="31"/>
      <c r="LM455" s="31"/>
      <c r="LN455" s="31"/>
      <c r="LO455" s="31"/>
      <c r="LP455" s="31"/>
      <c r="LQ455" s="31"/>
      <c r="LR455" s="31"/>
      <c r="LS455" s="31"/>
      <c r="LT455" s="31"/>
      <c r="LU455" s="31"/>
      <c r="LV455" s="31"/>
      <c r="LW455" s="31"/>
      <c r="LX455" s="31"/>
      <c r="LY455" s="31"/>
      <c r="LZ455" s="31"/>
      <c r="MA455" s="31"/>
      <c r="MB455" s="31"/>
      <c r="MC455" s="31"/>
      <c r="MD455" s="31"/>
      <c r="ME455" s="31"/>
      <c r="MF455" s="31"/>
      <c r="MG455" s="31"/>
      <c r="MH455" s="31"/>
      <c r="MI455" s="31"/>
      <c r="MJ455" s="31"/>
      <c r="MK455" s="31"/>
      <c r="ML455" s="31"/>
      <c r="MM455" s="31"/>
      <c r="MN455" s="31"/>
      <c r="MO455" s="31"/>
      <c r="MP455" s="31"/>
      <c r="MQ455" s="31"/>
      <c r="MR455" s="31"/>
      <c r="MS455" s="31"/>
      <c r="MT455" s="31"/>
      <c r="MU455" s="31"/>
      <c r="MV455" s="31"/>
      <c r="MW455" s="31"/>
      <c r="MX455" s="31"/>
      <c r="MY455" s="31"/>
      <c r="MZ455" s="31"/>
      <c r="NA455" s="31"/>
      <c r="NB455" s="31"/>
      <c r="NC455" s="31"/>
      <c r="ND455" s="31"/>
      <c r="NE455" s="31"/>
      <c r="NF455" s="31"/>
      <c r="NG455" s="31"/>
      <c r="NH455" s="31"/>
      <c r="NI455" s="31"/>
      <c r="NJ455" s="31"/>
      <c r="NK455" s="31"/>
      <c r="NL455" s="31"/>
      <c r="NM455" s="31"/>
      <c r="NN455" s="31"/>
      <c r="NO455" s="31"/>
      <c r="NP455" s="31"/>
      <c r="NQ455" s="31"/>
      <c r="NR455" s="31"/>
      <c r="NS455" s="31"/>
      <c r="NT455" s="31"/>
      <c r="NU455" s="31"/>
      <c r="NV455" s="31"/>
      <c r="NW455" s="31"/>
      <c r="NX455" s="31"/>
      <c r="NY455" s="31"/>
      <c r="NZ455" s="31"/>
      <c r="OA455" s="31"/>
      <c r="OB455" s="31"/>
      <c r="OC455" s="31"/>
      <c r="OD455" s="31"/>
      <c r="OE455" s="31"/>
      <c r="OF455" s="31"/>
      <c r="OG455" s="31"/>
      <c r="OH455" s="31"/>
      <c r="OI455" s="31"/>
      <c r="OJ455" s="31"/>
      <c r="OK455" s="31"/>
      <c r="OL455" s="31"/>
      <c r="OM455" s="31"/>
      <c r="ON455" s="31"/>
      <c r="OO455" s="31"/>
      <c r="OP455" s="31"/>
      <c r="OQ455" s="31"/>
      <c r="OR455" s="31"/>
      <c r="OS455" s="31"/>
      <c r="OT455" s="31"/>
      <c r="OU455" s="31"/>
      <c r="OV455" s="31"/>
      <c r="OW455" s="31"/>
      <c r="OX455" s="31"/>
    </row>
    <row r="456" spans="2:414" s="25" customFormat="1" ht="15.6">
      <c r="B456" s="51" t="s">
        <v>1002</v>
      </c>
      <c r="C456" s="27" t="s">
        <v>321</v>
      </c>
      <c r="D456" s="30" t="s">
        <v>465</v>
      </c>
      <c r="G456" s="42">
        <v>80</v>
      </c>
      <c r="H456" s="89">
        <v>26.109000000000002</v>
      </c>
      <c r="I456" s="38">
        <f t="shared" si="135"/>
        <v>2088.7200000000003</v>
      </c>
      <c r="K456" s="42">
        <v>80</v>
      </c>
      <c r="L456" s="90">
        <v>26.849599999999999</v>
      </c>
      <c r="M456" s="38">
        <f t="shared" si="136"/>
        <v>2147.9679999999998</v>
      </c>
      <c r="O456" s="42">
        <v>505</v>
      </c>
      <c r="P456" s="38">
        <v>26.728300000000001</v>
      </c>
      <c r="Q456" s="38">
        <f t="shared" si="137"/>
        <v>13497.791500000001</v>
      </c>
      <c r="R456" s="43">
        <f t="shared" si="149"/>
        <v>665</v>
      </c>
      <c r="S456" s="38">
        <f t="shared" si="138"/>
        <v>17734.479500000001</v>
      </c>
      <c r="T456" s="52">
        <v>240</v>
      </c>
      <c r="U456" s="48">
        <v>26.72</v>
      </c>
      <c r="V456" s="38">
        <f t="shared" si="146"/>
        <v>6412.7999999999993</v>
      </c>
      <c r="W456" s="48">
        <v>505</v>
      </c>
      <c r="X456" s="48">
        <v>26.77</v>
      </c>
      <c r="Y456" s="42">
        <f t="shared" si="144"/>
        <v>13518.85</v>
      </c>
      <c r="AB456" s="42">
        <f t="shared" si="145"/>
        <v>0</v>
      </c>
      <c r="AF456" s="42">
        <f t="shared" si="147"/>
        <v>0</v>
      </c>
      <c r="AU456" s="98"/>
      <c r="AV456" s="35"/>
      <c r="AW456" s="77"/>
      <c r="AZ456" s="42">
        <f t="shared" si="148"/>
        <v>0</v>
      </c>
      <c r="BD456" s="38">
        <f t="shared" si="139"/>
        <v>0</v>
      </c>
      <c r="BH456" s="38">
        <f t="shared" si="140"/>
        <v>0</v>
      </c>
      <c r="BL456" s="38">
        <f t="shared" si="141"/>
        <v>0</v>
      </c>
      <c r="BR456" s="42">
        <f t="shared" si="142"/>
        <v>19931.650000000001</v>
      </c>
      <c r="BS456" s="43"/>
      <c r="BT456" s="35">
        <v>2197.17</v>
      </c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  <c r="FM456" s="31"/>
      <c r="FN456" s="31"/>
      <c r="FO456" s="31"/>
      <c r="FP456" s="31"/>
      <c r="FQ456" s="31"/>
      <c r="FR456" s="31"/>
      <c r="FS456" s="31"/>
      <c r="FT456" s="31"/>
      <c r="FU456" s="31"/>
      <c r="FV456" s="31"/>
      <c r="FW456" s="31"/>
      <c r="FX456" s="31"/>
      <c r="FY456" s="31"/>
      <c r="FZ456" s="31"/>
      <c r="GA456" s="31"/>
      <c r="GB456" s="31"/>
      <c r="GC456" s="31"/>
      <c r="GD456" s="31"/>
      <c r="GE456" s="31"/>
      <c r="GF456" s="31"/>
      <c r="GG456" s="31"/>
      <c r="GH456" s="31"/>
      <c r="GI456" s="31"/>
      <c r="GJ456" s="31"/>
      <c r="GK456" s="31"/>
      <c r="GL456" s="31"/>
      <c r="GM456" s="31"/>
      <c r="GN456" s="31"/>
      <c r="GO456" s="31"/>
      <c r="GP456" s="31"/>
      <c r="GQ456" s="31"/>
      <c r="GR456" s="31"/>
      <c r="GS456" s="31"/>
      <c r="GT456" s="31"/>
      <c r="GU456" s="31"/>
      <c r="GV456" s="31"/>
      <c r="GW456" s="31"/>
      <c r="GX456" s="31"/>
      <c r="GY456" s="31"/>
      <c r="GZ456" s="31"/>
      <c r="HA456" s="31"/>
      <c r="HB456" s="31"/>
      <c r="HC456" s="31"/>
      <c r="HD456" s="31"/>
      <c r="HE456" s="31"/>
      <c r="HF456" s="31"/>
      <c r="HG456" s="31"/>
      <c r="HH456" s="31"/>
      <c r="HI456" s="31"/>
      <c r="HJ456" s="31"/>
      <c r="HK456" s="31"/>
      <c r="HL456" s="31"/>
      <c r="HM456" s="31"/>
      <c r="HN456" s="31"/>
      <c r="HO456" s="31"/>
      <c r="HP456" s="31"/>
      <c r="HQ456" s="31"/>
      <c r="HR456" s="31"/>
      <c r="HS456" s="31"/>
      <c r="HT456" s="31"/>
      <c r="HU456" s="31"/>
      <c r="HV456" s="31"/>
      <c r="HW456" s="31"/>
      <c r="HX456" s="31"/>
      <c r="HY456" s="31"/>
      <c r="HZ456" s="31"/>
      <c r="IA456" s="31"/>
      <c r="IB456" s="31"/>
      <c r="IC456" s="31"/>
      <c r="ID456" s="31"/>
      <c r="IE456" s="31"/>
      <c r="IF456" s="31"/>
      <c r="IG456" s="31"/>
      <c r="IH456" s="31"/>
      <c r="II456" s="31"/>
      <c r="IJ456" s="31"/>
      <c r="IK456" s="31"/>
      <c r="IL456" s="31"/>
      <c r="IM456" s="31"/>
      <c r="IN456" s="31"/>
      <c r="IO456" s="31"/>
      <c r="IP456" s="31"/>
      <c r="IQ456" s="31"/>
      <c r="IR456" s="31"/>
      <c r="IS456" s="31"/>
      <c r="IT456" s="31"/>
      <c r="IU456" s="31"/>
      <c r="IV456" s="31"/>
      <c r="IW456" s="31"/>
      <c r="IX456" s="31"/>
      <c r="IY456" s="31"/>
      <c r="IZ456" s="31"/>
      <c r="JA456" s="31"/>
      <c r="JB456" s="31"/>
      <c r="JC456" s="31"/>
      <c r="JD456" s="31"/>
      <c r="JE456" s="31"/>
      <c r="JF456" s="31"/>
      <c r="JG456" s="31"/>
      <c r="JH456" s="31"/>
      <c r="JI456" s="31"/>
      <c r="JJ456" s="31"/>
      <c r="JK456" s="31"/>
      <c r="JL456" s="31"/>
      <c r="JM456" s="31"/>
      <c r="JN456" s="31"/>
      <c r="JO456" s="31"/>
      <c r="JP456" s="31"/>
      <c r="JQ456" s="31"/>
      <c r="JR456" s="31"/>
      <c r="JS456" s="31"/>
      <c r="JT456" s="31"/>
      <c r="JU456" s="31"/>
      <c r="JV456" s="31"/>
      <c r="JW456" s="31"/>
      <c r="JX456" s="31"/>
      <c r="JY456" s="31"/>
      <c r="JZ456" s="31"/>
      <c r="KA456" s="31"/>
      <c r="KB456" s="31"/>
      <c r="KC456" s="31"/>
      <c r="KD456" s="31"/>
      <c r="KE456" s="31"/>
      <c r="KF456" s="31"/>
      <c r="KG456" s="31"/>
      <c r="KH456" s="31"/>
      <c r="KI456" s="31"/>
      <c r="KJ456" s="31"/>
      <c r="KK456" s="31"/>
      <c r="KL456" s="31"/>
      <c r="KM456" s="31"/>
      <c r="KN456" s="31"/>
      <c r="KO456" s="31"/>
      <c r="KP456" s="31"/>
      <c r="KQ456" s="31"/>
      <c r="KR456" s="31"/>
      <c r="KS456" s="31"/>
      <c r="KT456" s="31"/>
      <c r="KU456" s="31"/>
      <c r="KV456" s="31"/>
      <c r="KW456" s="31"/>
      <c r="KX456" s="31"/>
      <c r="KY456" s="31"/>
      <c r="KZ456" s="31"/>
      <c r="LA456" s="31"/>
      <c r="LB456" s="31"/>
      <c r="LC456" s="31"/>
      <c r="LD456" s="31"/>
      <c r="LE456" s="31"/>
      <c r="LF456" s="31"/>
      <c r="LG456" s="31"/>
      <c r="LH456" s="31"/>
      <c r="LI456" s="31"/>
      <c r="LJ456" s="31"/>
      <c r="LK456" s="31"/>
      <c r="LL456" s="31"/>
      <c r="LM456" s="31"/>
      <c r="LN456" s="31"/>
      <c r="LO456" s="31"/>
      <c r="LP456" s="31"/>
      <c r="LQ456" s="31"/>
      <c r="LR456" s="31"/>
      <c r="LS456" s="31"/>
      <c r="LT456" s="31"/>
      <c r="LU456" s="31"/>
      <c r="LV456" s="31"/>
      <c r="LW456" s="31"/>
      <c r="LX456" s="31"/>
      <c r="LY456" s="31"/>
      <c r="LZ456" s="31"/>
      <c r="MA456" s="31"/>
      <c r="MB456" s="31"/>
      <c r="MC456" s="31"/>
      <c r="MD456" s="31"/>
      <c r="ME456" s="31"/>
      <c r="MF456" s="31"/>
      <c r="MG456" s="31"/>
      <c r="MH456" s="31"/>
      <c r="MI456" s="31"/>
      <c r="MJ456" s="31"/>
      <c r="MK456" s="31"/>
      <c r="ML456" s="31"/>
      <c r="MM456" s="31"/>
      <c r="MN456" s="31"/>
      <c r="MO456" s="31"/>
      <c r="MP456" s="31"/>
      <c r="MQ456" s="31"/>
      <c r="MR456" s="31"/>
      <c r="MS456" s="31"/>
      <c r="MT456" s="31"/>
      <c r="MU456" s="31"/>
      <c r="MV456" s="31"/>
      <c r="MW456" s="31"/>
      <c r="MX456" s="31"/>
      <c r="MY456" s="31"/>
      <c r="MZ456" s="31"/>
      <c r="NA456" s="31"/>
      <c r="NB456" s="31"/>
      <c r="NC456" s="31"/>
      <c r="ND456" s="31"/>
      <c r="NE456" s="31"/>
      <c r="NF456" s="31"/>
      <c r="NG456" s="31"/>
      <c r="NH456" s="31"/>
      <c r="NI456" s="31"/>
      <c r="NJ456" s="31"/>
      <c r="NK456" s="31"/>
      <c r="NL456" s="31"/>
      <c r="NM456" s="31"/>
      <c r="NN456" s="31"/>
      <c r="NO456" s="31"/>
      <c r="NP456" s="31"/>
      <c r="NQ456" s="31"/>
      <c r="NR456" s="31"/>
      <c r="NS456" s="31"/>
      <c r="NT456" s="31"/>
      <c r="NU456" s="31"/>
      <c r="NV456" s="31"/>
      <c r="NW456" s="31"/>
      <c r="NX456" s="31"/>
      <c r="NY456" s="31"/>
      <c r="NZ456" s="31"/>
      <c r="OA456" s="31"/>
      <c r="OB456" s="31"/>
      <c r="OC456" s="31"/>
      <c r="OD456" s="31"/>
      <c r="OE456" s="31"/>
      <c r="OF456" s="31"/>
      <c r="OG456" s="31"/>
      <c r="OH456" s="31"/>
      <c r="OI456" s="31"/>
      <c r="OJ456" s="31"/>
      <c r="OK456" s="31"/>
      <c r="OL456" s="31"/>
      <c r="OM456" s="31"/>
      <c r="ON456" s="31"/>
      <c r="OO456" s="31"/>
      <c r="OP456" s="31"/>
      <c r="OQ456" s="31"/>
      <c r="OR456" s="31"/>
      <c r="OS456" s="31"/>
      <c r="OT456" s="31"/>
      <c r="OU456" s="31"/>
      <c r="OV456" s="31"/>
      <c r="OW456" s="31"/>
      <c r="OX456" s="31"/>
    </row>
    <row r="457" spans="2:414" s="25" customFormat="1" ht="15.6">
      <c r="B457" s="51" t="s">
        <v>1003</v>
      </c>
      <c r="C457" s="27" t="s">
        <v>483</v>
      </c>
      <c r="D457" s="30" t="s">
        <v>465</v>
      </c>
      <c r="G457" s="42">
        <v>80</v>
      </c>
      <c r="H457" s="89">
        <v>26.109000000000002</v>
      </c>
      <c r="I457" s="38">
        <f t="shared" ref="I457:I520" si="150">G457*H457</f>
        <v>2088.7200000000003</v>
      </c>
      <c r="K457" s="42">
        <v>80</v>
      </c>
      <c r="L457" s="90">
        <v>26.849599999999999</v>
      </c>
      <c r="M457" s="38">
        <f t="shared" ref="M457:M520" si="151">K457*L457</f>
        <v>2147.9679999999998</v>
      </c>
      <c r="O457" s="42">
        <v>505</v>
      </c>
      <c r="P457" s="38">
        <v>26.728300000000001</v>
      </c>
      <c r="Q457" s="38">
        <f t="shared" ref="Q457:Q520" si="152">O457*P457</f>
        <v>13497.791500000001</v>
      </c>
      <c r="R457" s="43">
        <f t="shared" si="149"/>
        <v>665</v>
      </c>
      <c r="S457" s="38">
        <f t="shared" ref="S457:S520" si="153">I457+M457+Q457</f>
        <v>17734.479500000001</v>
      </c>
      <c r="T457" s="27"/>
      <c r="V457" s="38">
        <f t="shared" si="146"/>
        <v>0</v>
      </c>
      <c r="W457" s="48">
        <v>505</v>
      </c>
      <c r="X457" s="48">
        <v>26.77</v>
      </c>
      <c r="Y457" s="42">
        <f t="shared" si="144"/>
        <v>13518.85</v>
      </c>
      <c r="AB457" s="42">
        <f t="shared" si="145"/>
        <v>0</v>
      </c>
      <c r="AF457" s="42">
        <f t="shared" si="147"/>
        <v>0</v>
      </c>
      <c r="AU457" s="98"/>
      <c r="AV457" s="35"/>
      <c r="AW457" s="77"/>
      <c r="AZ457" s="42">
        <f t="shared" si="148"/>
        <v>0</v>
      </c>
      <c r="BD457" s="38">
        <f t="shared" ref="BD457:BD520" si="154">BB457*BC457</f>
        <v>0</v>
      </c>
      <c r="BH457" s="38">
        <f t="shared" ref="BH457:BH520" si="155">BF457*BG457</f>
        <v>0</v>
      </c>
      <c r="BL457" s="38">
        <f t="shared" ref="BL457:BL520" si="156">BJ457*BK457</f>
        <v>0</v>
      </c>
      <c r="BR457" s="42">
        <f t="shared" ref="BR457:BR520" si="157">V457+Y457+AB457+AF457+AJ457+AN457+AR457+AV457+AZ457+BD457+BH457+BL457+BP457</f>
        <v>13518.85</v>
      </c>
      <c r="BS457" s="43">
        <f t="shared" ref="BS457:BS520" si="158">S457-BR457</f>
        <v>4215.6295000000009</v>
      </c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  <c r="FM457" s="31"/>
      <c r="FN457" s="31"/>
      <c r="FO457" s="31"/>
      <c r="FP457" s="31"/>
      <c r="FQ457" s="31"/>
      <c r="FR457" s="31"/>
      <c r="FS457" s="31"/>
      <c r="FT457" s="31"/>
      <c r="FU457" s="31"/>
      <c r="FV457" s="31"/>
      <c r="FW457" s="31"/>
      <c r="FX457" s="31"/>
      <c r="FY457" s="31"/>
      <c r="FZ457" s="31"/>
      <c r="GA457" s="31"/>
      <c r="GB457" s="31"/>
      <c r="GC457" s="31"/>
      <c r="GD457" s="31"/>
      <c r="GE457" s="31"/>
      <c r="GF457" s="31"/>
      <c r="GG457" s="31"/>
      <c r="GH457" s="31"/>
      <c r="GI457" s="31"/>
      <c r="GJ457" s="31"/>
      <c r="GK457" s="31"/>
      <c r="GL457" s="31"/>
      <c r="GM457" s="31"/>
      <c r="GN457" s="31"/>
      <c r="GO457" s="31"/>
      <c r="GP457" s="31"/>
      <c r="GQ457" s="31"/>
      <c r="GR457" s="31"/>
      <c r="GS457" s="31"/>
      <c r="GT457" s="31"/>
      <c r="GU457" s="31"/>
      <c r="GV457" s="31"/>
      <c r="GW457" s="31"/>
      <c r="GX457" s="31"/>
      <c r="GY457" s="31"/>
      <c r="GZ457" s="31"/>
      <c r="HA457" s="31"/>
      <c r="HB457" s="31"/>
      <c r="HC457" s="31"/>
      <c r="HD457" s="31"/>
      <c r="HE457" s="31"/>
      <c r="HF457" s="31"/>
      <c r="HG457" s="31"/>
      <c r="HH457" s="31"/>
      <c r="HI457" s="31"/>
      <c r="HJ457" s="31"/>
      <c r="HK457" s="31"/>
      <c r="HL457" s="31"/>
      <c r="HM457" s="31"/>
      <c r="HN457" s="31"/>
      <c r="HO457" s="31"/>
      <c r="HP457" s="31"/>
      <c r="HQ457" s="31"/>
      <c r="HR457" s="31"/>
      <c r="HS457" s="31"/>
      <c r="HT457" s="31"/>
      <c r="HU457" s="31"/>
      <c r="HV457" s="31"/>
      <c r="HW457" s="31"/>
      <c r="HX457" s="31"/>
      <c r="HY457" s="31"/>
      <c r="HZ457" s="31"/>
      <c r="IA457" s="31"/>
      <c r="IB457" s="31"/>
      <c r="IC457" s="31"/>
      <c r="ID457" s="31"/>
      <c r="IE457" s="31"/>
      <c r="IF457" s="31"/>
      <c r="IG457" s="31"/>
      <c r="IH457" s="31"/>
      <c r="II457" s="31"/>
      <c r="IJ457" s="31"/>
      <c r="IK457" s="31"/>
      <c r="IL457" s="31"/>
      <c r="IM457" s="31"/>
      <c r="IN457" s="31"/>
      <c r="IO457" s="31"/>
      <c r="IP457" s="31"/>
      <c r="IQ457" s="31"/>
      <c r="IR457" s="31"/>
      <c r="IS457" s="31"/>
      <c r="IT457" s="31"/>
      <c r="IU457" s="31"/>
      <c r="IV457" s="31"/>
      <c r="IW457" s="31"/>
      <c r="IX457" s="31"/>
      <c r="IY457" s="31"/>
      <c r="IZ457" s="31"/>
      <c r="JA457" s="31"/>
      <c r="JB457" s="31"/>
      <c r="JC457" s="31"/>
      <c r="JD457" s="31"/>
      <c r="JE457" s="31"/>
      <c r="JF457" s="31"/>
      <c r="JG457" s="31"/>
      <c r="JH457" s="31"/>
      <c r="JI457" s="31"/>
      <c r="JJ457" s="31"/>
      <c r="JK457" s="31"/>
      <c r="JL457" s="31"/>
      <c r="JM457" s="31"/>
      <c r="JN457" s="31"/>
      <c r="JO457" s="31"/>
      <c r="JP457" s="31"/>
      <c r="JQ457" s="31"/>
      <c r="JR457" s="31"/>
      <c r="JS457" s="31"/>
      <c r="JT457" s="31"/>
      <c r="JU457" s="31"/>
      <c r="JV457" s="31"/>
      <c r="JW457" s="31"/>
      <c r="JX457" s="31"/>
      <c r="JY457" s="31"/>
      <c r="JZ457" s="31"/>
      <c r="KA457" s="31"/>
      <c r="KB457" s="31"/>
      <c r="KC457" s="31"/>
      <c r="KD457" s="31"/>
      <c r="KE457" s="31"/>
      <c r="KF457" s="31"/>
      <c r="KG457" s="31"/>
      <c r="KH457" s="31"/>
      <c r="KI457" s="31"/>
      <c r="KJ457" s="31"/>
      <c r="KK457" s="31"/>
      <c r="KL457" s="31"/>
      <c r="KM457" s="31"/>
      <c r="KN457" s="31"/>
      <c r="KO457" s="31"/>
      <c r="KP457" s="31"/>
      <c r="KQ457" s="31"/>
      <c r="KR457" s="31"/>
      <c r="KS457" s="31"/>
      <c r="KT457" s="31"/>
      <c r="KU457" s="31"/>
      <c r="KV457" s="31"/>
      <c r="KW457" s="31"/>
      <c r="KX457" s="31"/>
      <c r="KY457" s="31"/>
      <c r="KZ457" s="31"/>
      <c r="LA457" s="31"/>
      <c r="LB457" s="31"/>
      <c r="LC457" s="31"/>
      <c r="LD457" s="31"/>
      <c r="LE457" s="31"/>
      <c r="LF457" s="31"/>
      <c r="LG457" s="31"/>
      <c r="LH457" s="31"/>
      <c r="LI457" s="31"/>
      <c r="LJ457" s="31"/>
      <c r="LK457" s="31"/>
      <c r="LL457" s="31"/>
      <c r="LM457" s="31"/>
      <c r="LN457" s="31"/>
      <c r="LO457" s="31"/>
      <c r="LP457" s="31"/>
      <c r="LQ457" s="31"/>
      <c r="LR457" s="31"/>
      <c r="LS457" s="31"/>
      <c r="LT457" s="31"/>
      <c r="LU457" s="31"/>
      <c r="LV457" s="31"/>
      <c r="LW457" s="31"/>
      <c r="LX457" s="31"/>
      <c r="LY457" s="31"/>
      <c r="LZ457" s="31"/>
      <c r="MA457" s="31"/>
      <c r="MB457" s="31"/>
      <c r="MC457" s="31"/>
      <c r="MD457" s="31"/>
      <c r="ME457" s="31"/>
      <c r="MF457" s="31"/>
      <c r="MG457" s="31"/>
      <c r="MH457" s="31"/>
      <c r="MI457" s="31"/>
      <c r="MJ457" s="31"/>
      <c r="MK457" s="31"/>
      <c r="ML457" s="31"/>
      <c r="MM457" s="31"/>
      <c r="MN457" s="31"/>
      <c r="MO457" s="31"/>
      <c r="MP457" s="31"/>
      <c r="MQ457" s="31"/>
      <c r="MR457" s="31"/>
      <c r="MS457" s="31"/>
      <c r="MT457" s="31"/>
      <c r="MU457" s="31"/>
      <c r="MV457" s="31"/>
      <c r="MW457" s="31"/>
      <c r="MX457" s="31"/>
      <c r="MY457" s="31"/>
      <c r="MZ457" s="31"/>
      <c r="NA457" s="31"/>
      <c r="NB457" s="31"/>
      <c r="NC457" s="31"/>
      <c r="ND457" s="31"/>
      <c r="NE457" s="31"/>
      <c r="NF457" s="31"/>
      <c r="NG457" s="31"/>
      <c r="NH457" s="31"/>
      <c r="NI457" s="31"/>
      <c r="NJ457" s="31"/>
      <c r="NK457" s="31"/>
      <c r="NL457" s="31"/>
      <c r="NM457" s="31"/>
      <c r="NN457" s="31"/>
      <c r="NO457" s="31"/>
      <c r="NP457" s="31"/>
      <c r="NQ457" s="31"/>
      <c r="NR457" s="31"/>
      <c r="NS457" s="31"/>
      <c r="NT457" s="31"/>
      <c r="NU457" s="31"/>
      <c r="NV457" s="31"/>
      <c r="NW457" s="31"/>
      <c r="NX457" s="31"/>
      <c r="NY457" s="31"/>
      <c r="NZ457" s="31"/>
      <c r="OA457" s="31"/>
      <c r="OB457" s="31"/>
      <c r="OC457" s="31"/>
      <c r="OD457" s="31"/>
      <c r="OE457" s="31"/>
      <c r="OF457" s="31"/>
      <c r="OG457" s="31"/>
      <c r="OH457" s="31"/>
      <c r="OI457" s="31"/>
      <c r="OJ457" s="31"/>
      <c r="OK457" s="31"/>
      <c r="OL457" s="31"/>
      <c r="OM457" s="31"/>
      <c r="ON457" s="31"/>
      <c r="OO457" s="31"/>
      <c r="OP457" s="31"/>
      <c r="OQ457" s="31"/>
      <c r="OR457" s="31"/>
      <c r="OS457" s="31"/>
      <c r="OT457" s="31"/>
      <c r="OU457" s="31"/>
      <c r="OV457" s="31"/>
      <c r="OW457" s="31"/>
      <c r="OX457" s="31"/>
    </row>
    <row r="458" spans="2:414" s="25" customFormat="1" ht="15.6">
      <c r="B458" s="51" t="s">
        <v>1004</v>
      </c>
      <c r="C458" s="27" t="s">
        <v>1005</v>
      </c>
      <c r="D458" s="30" t="s">
        <v>465</v>
      </c>
      <c r="G458" s="42">
        <v>80</v>
      </c>
      <c r="H458" s="89">
        <v>26.109000000000002</v>
      </c>
      <c r="I458" s="38">
        <f t="shared" si="150"/>
        <v>2088.7200000000003</v>
      </c>
      <c r="K458" s="42">
        <v>80</v>
      </c>
      <c r="L458" s="90">
        <v>26.849599999999999</v>
      </c>
      <c r="M458" s="38">
        <f t="shared" si="151"/>
        <v>2147.9679999999998</v>
      </c>
      <c r="O458" s="42">
        <v>505</v>
      </c>
      <c r="P458" s="38">
        <v>26.728300000000001</v>
      </c>
      <c r="Q458" s="38">
        <f t="shared" si="152"/>
        <v>13497.791500000001</v>
      </c>
      <c r="R458" s="43">
        <f t="shared" si="149"/>
        <v>665</v>
      </c>
      <c r="S458" s="38">
        <f t="shared" si="153"/>
        <v>17734.479500000001</v>
      </c>
      <c r="T458" s="52">
        <v>240</v>
      </c>
      <c r="U458" s="48">
        <v>26.72</v>
      </c>
      <c r="V458" s="38">
        <f t="shared" si="146"/>
        <v>6412.7999999999993</v>
      </c>
      <c r="W458" s="48">
        <v>46.89</v>
      </c>
      <c r="X458" s="48">
        <v>26.77</v>
      </c>
      <c r="Y458" s="42">
        <f t="shared" si="144"/>
        <v>1255.2453</v>
      </c>
      <c r="Z458" s="48">
        <v>6.89</v>
      </c>
      <c r="AA458" s="48">
        <v>26.73</v>
      </c>
      <c r="AB458" s="42">
        <f t="shared" si="145"/>
        <v>184.16970000000001</v>
      </c>
      <c r="AD458" s="25">
        <v>36.72</v>
      </c>
      <c r="AE458" s="25">
        <v>26.73</v>
      </c>
      <c r="AF458" s="42">
        <f t="shared" si="147"/>
        <v>981.52559999999994</v>
      </c>
      <c r="AU458" s="98"/>
      <c r="AV458" s="35"/>
      <c r="AW458" s="77"/>
      <c r="AZ458" s="42">
        <f t="shared" si="148"/>
        <v>0</v>
      </c>
      <c r="BD458" s="38">
        <f t="shared" si="154"/>
        <v>0</v>
      </c>
      <c r="BH458" s="38">
        <f t="shared" si="155"/>
        <v>0</v>
      </c>
      <c r="BL458" s="38">
        <f t="shared" si="156"/>
        <v>0</v>
      </c>
      <c r="BR458" s="42">
        <f t="shared" si="157"/>
        <v>8833.740600000001</v>
      </c>
      <c r="BS458" s="43">
        <f t="shared" si="158"/>
        <v>8900.7389000000003</v>
      </c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  <c r="FM458" s="31"/>
      <c r="FN458" s="31"/>
      <c r="FO458" s="31"/>
      <c r="FP458" s="31"/>
      <c r="FQ458" s="31"/>
      <c r="FR458" s="31"/>
      <c r="FS458" s="31"/>
      <c r="FT458" s="31"/>
      <c r="FU458" s="31"/>
      <c r="FV458" s="31"/>
      <c r="FW458" s="31"/>
      <c r="FX458" s="31"/>
      <c r="FY458" s="31"/>
      <c r="FZ458" s="31"/>
      <c r="GA458" s="31"/>
      <c r="GB458" s="31"/>
      <c r="GC458" s="31"/>
      <c r="GD458" s="31"/>
      <c r="GE458" s="31"/>
      <c r="GF458" s="31"/>
      <c r="GG458" s="31"/>
      <c r="GH458" s="31"/>
      <c r="GI458" s="31"/>
      <c r="GJ458" s="31"/>
      <c r="GK458" s="31"/>
      <c r="GL458" s="31"/>
      <c r="GM458" s="31"/>
      <c r="GN458" s="31"/>
      <c r="GO458" s="31"/>
      <c r="GP458" s="31"/>
      <c r="GQ458" s="31"/>
      <c r="GR458" s="31"/>
      <c r="GS458" s="31"/>
      <c r="GT458" s="31"/>
      <c r="GU458" s="31"/>
      <c r="GV458" s="31"/>
      <c r="GW458" s="31"/>
      <c r="GX458" s="31"/>
      <c r="GY458" s="31"/>
      <c r="GZ458" s="31"/>
      <c r="HA458" s="31"/>
      <c r="HB458" s="31"/>
      <c r="HC458" s="31"/>
      <c r="HD458" s="31"/>
      <c r="HE458" s="31"/>
      <c r="HF458" s="31"/>
      <c r="HG458" s="31"/>
      <c r="HH458" s="31"/>
      <c r="HI458" s="31"/>
      <c r="HJ458" s="31"/>
      <c r="HK458" s="31"/>
      <c r="HL458" s="31"/>
      <c r="HM458" s="31"/>
      <c r="HN458" s="31"/>
      <c r="HO458" s="31"/>
      <c r="HP458" s="31"/>
      <c r="HQ458" s="31"/>
      <c r="HR458" s="31"/>
      <c r="HS458" s="31"/>
      <c r="HT458" s="31"/>
      <c r="HU458" s="31"/>
      <c r="HV458" s="31"/>
      <c r="HW458" s="31"/>
      <c r="HX458" s="31"/>
      <c r="HY458" s="31"/>
      <c r="HZ458" s="31"/>
      <c r="IA458" s="31"/>
      <c r="IB458" s="31"/>
      <c r="IC458" s="31"/>
      <c r="ID458" s="31"/>
      <c r="IE458" s="31"/>
      <c r="IF458" s="31"/>
      <c r="IG458" s="31"/>
      <c r="IH458" s="31"/>
      <c r="II458" s="31"/>
      <c r="IJ458" s="31"/>
      <c r="IK458" s="31"/>
      <c r="IL458" s="31"/>
      <c r="IM458" s="31"/>
      <c r="IN458" s="31"/>
      <c r="IO458" s="31"/>
      <c r="IP458" s="31"/>
      <c r="IQ458" s="31"/>
      <c r="IR458" s="31"/>
      <c r="IS458" s="31"/>
      <c r="IT458" s="31"/>
      <c r="IU458" s="31"/>
      <c r="IV458" s="31"/>
      <c r="IW458" s="31"/>
      <c r="IX458" s="31"/>
      <c r="IY458" s="31"/>
      <c r="IZ458" s="31"/>
      <c r="JA458" s="31"/>
      <c r="JB458" s="31"/>
      <c r="JC458" s="31"/>
      <c r="JD458" s="31"/>
      <c r="JE458" s="31"/>
      <c r="JF458" s="31"/>
      <c r="JG458" s="31"/>
      <c r="JH458" s="31"/>
      <c r="JI458" s="31"/>
      <c r="JJ458" s="31"/>
      <c r="JK458" s="31"/>
      <c r="JL458" s="31"/>
      <c r="JM458" s="31"/>
      <c r="JN458" s="31"/>
      <c r="JO458" s="31"/>
      <c r="JP458" s="31"/>
      <c r="JQ458" s="31"/>
      <c r="JR458" s="31"/>
      <c r="JS458" s="31"/>
      <c r="JT458" s="31"/>
      <c r="JU458" s="31"/>
      <c r="JV458" s="31"/>
      <c r="JW458" s="31"/>
      <c r="JX458" s="31"/>
      <c r="JY458" s="31"/>
      <c r="JZ458" s="31"/>
      <c r="KA458" s="31"/>
      <c r="KB458" s="31"/>
      <c r="KC458" s="31"/>
      <c r="KD458" s="31"/>
      <c r="KE458" s="31"/>
      <c r="KF458" s="31"/>
      <c r="KG458" s="31"/>
      <c r="KH458" s="31"/>
      <c r="KI458" s="31"/>
      <c r="KJ458" s="31"/>
      <c r="KK458" s="31"/>
      <c r="KL458" s="31"/>
      <c r="KM458" s="31"/>
      <c r="KN458" s="31"/>
      <c r="KO458" s="31"/>
      <c r="KP458" s="31"/>
      <c r="KQ458" s="31"/>
      <c r="KR458" s="31"/>
      <c r="KS458" s="31"/>
      <c r="KT458" s="31"/>
      <c r="KU458" s="31"/>
      <c r="KV458" s="31"/>
      <c r="KW458" s="31"/>
      <c r="KX458" s="31"/>
      <c r="KY458" s="31"/>
      <c r="KZ458" s="31"/>
      <c r="LA458" s="31"/>
      <c r="LB458" s="31"/>
      <c r="LC458" s="31"/>
      <c r="LD458" s="31"/>
      <c r="LE458" s="31"/>
      <c r="LF458" s="31"/>
      <c r="LG458" s="31"/>
      <c r="LH458" s="31"/>
      <c r="LI458" s="31"/>
      <c r="LJ458" s="31"/>
      <c r="LK458" s="31"/>
      <c r="LL458" s="31"/>
      <c r="LM458" s="31"/>
      <c r="LN458" s="31"/>
      <c r="LO458" s="31"/>
      <c r="LP458" s="31"/>
      <c r="LQ458" s="31"/>
      <c r="LR458" s="31"/>
      <c r="LS458" s="31"/>
      <c r="LT458" s="31"/>
      <c r="LU458" s="31"/>
      <c r="LV458" s="31"/>
      <c r="LW458" s="31"/>
      <c r="LX458" s="31"/>
      <c r="LY458" s="31"/>
      <c r="LZ458" s="31"/>
      <c r="MA458" s="31"/>
      <c r="MB458" s="31"/>
      <c r="MC458" s="31"/>
      <c r="MD458" s="31"/>
      <c r="ME458" s="31"/>
      <c r="MF458" s="31"/>
      <c r="MG458" s="31"/>
      <c r="MH458" s="31"/>
      <c r="MI458" s="31"/>
      <c r="MJ458" s="31"/>
      <c r="MK458" s="31"/>
      <c r="ML458" s="31"/>
      <c r="MM458" s="31"/>
      <c r="MN458" s="31"/>
      <c r="MO458" s="31"/>
      <c r="MP458" s="31"/>
      <c r="MQ458" s="31"/>
      <c r="MR458" s="31"/>
      <c r="MS458" s="31"/>
      <c r="MT458" s="31"/>
      <c r="MU458" s="31"/>
      <c r="MV458" s="31"/>
      <c r="MW458" s="31"/>
      <c r="MX458" s="31"/>
      <c r="MY458" s="31"/>
      <c r="MZ458" s="31"/>
      <c r="NA458" s="31"/>
      <c r="NB458" s="31"/>
      <c r="NC458" s="31"/>
      <c r="ND458" s="31"/>
      <c r="NE458" s="31"/>
      <c r="NF458" s="31"/>
      <c r="NG458" s="31"/>
      <c r="NH458" s="31"/>
      <c r="NI458" s="31"/>
      <c r="NJ458" s="31"/>
      <c r="NK458" s="31"/>
      <c r="NL458" s="31"/>
      <c r="NM458" s="31"/>
      <c r="NN458" s="31"/>
      <c r="NO458" s="31"/>
      <c r="NP458" s="31"/>
      <c r="NQ458" s="31"/>
      <c r="NR458" s="31"/>
      <c r="NS458" s="31"/>
      <c r="NT458" s="31"/>
      <c r="NU458" s="31"/>
      <c r="NV458" s="31"/>
      <c r="NW458" s="31"/>
      <c r="NX458" s="31"/>
      <c r="NY458" s="31"/>
      <c r="NZ458" s="31"/>
      <c r="OA458" s="31"/>
      <c r="OB458" s="31"/>
      <c r="OC458" s="31"/>
      <c r="OD458" s="31"/>
      <c r="OE458" s="31"/>
      <c r="OF458" s="31"/>
      <c r="OG458" s="31"/>
      <c r="OH458" s="31"/>
      <c r="OI458" s="31"/>
      <c r="OJ458" s="31"/>
      <c r="OK458" s="31"/>
      <c r="OL458" s="31"/>
      <c r="OM458" s="31"/>
      <c r="ON458" s="31"/>
      <c r="OO458" s="31"/>
      <c r="OP458" s="31"/>
      <c r="OQ458" s="31"/>
      <c r="OR458" s="31"/>
      <c r="OS458" s="31"/>
      <c r="OT458" s="31"/>
      <c r="OU458" s="31"/>
      <c r="OV458" s="31"/>
      <c r="OW458" s="31"/>
      <c r="OX458" s="31"/>
    </row>
    <row r="459" spans="2:414" s="25" customFormat="1" ht="15.6">
      <c r="B459" s="51" t="s">
        <v>1006</v>
      </c>
      <c r="C459" s="27" t="s">
        <v>1007</v>
      </c>
      <c r="D459" s="30" t="s">
        <v>465</v>
      </c>
      <c r="G459" s="42">
        <v>80</v>
      </c>
      <c r="H459" s="89">
        <v>26.109000000000002</v>
      </c>
      <c r="I459" s="38">
        <f t="shared" si="150"/>
        <v>2088.7200000000003</v>
      </c>
      <c r="K459" s="42">
        <v>80</v>
      </c>
      <c r="L459" s="90">
        <v>26.849599999999999</v>
      </c>
      <c r="M459" s="38">
        <f t="shared" si="151"/>
        <v>2147.9679999999998</v>
      </c>
      <c r="O459" s="42">
        <v>505</v>
      </c>
      <c r="P459" s="38">
        <v>26.728300000000001</v>
      </c>
      <c r="Q459" s="38">
        <f t="shared" si="152"/>
        <v>13497.791500000001</v>
      </c>
      <c r="R459" s="43">
        <f t="shared" si="149"/>
        <v>665</v>
      </c>
      <c r="S459" s="38">
        <f t="shared" si="153"/>
        <v>17734.479500000001</v>
      </c>
      <c r="T459" s="52">
        <v>240</v>
      </c>
      <c r="U459" s="48">
        <v>26.72</v>
      </c>
      <c r="V459" s="38">
        <f t="shared" si="146"/>
        <v>6412.7999999999993</v>
      </c>
      <c r="W459" s="48">
        <v>95</v>
      </c>
      <c r="X459" s="48">
        <v>26.77</v>
      </c>
      <c r="Y459" s="42">
        <f t="shared" si="144"/>
        <v>2543.15</v>
      </c>
      <c r="AB459" s="42">
        <f t="shared" si="145"/>
        <v>0</v>
      </c>
      <c r="AF459" s="42">
        <f t="shared" si="147"/>
        <v>0</v>
      </c>
      <c r="AU459" s="98"/>
      <c r="AV459" s="35"/>
      <c r="AW459" s="77"/>
      <c r="AZ459" s="42">
        <f t="shared" si="148"/>
        <v>0</v>
      </c>
      <c r="BD459" s="38">
        <f t="shared" si="154"/>
        <v>0</v>
      </c>
      <c r="BH459" s="38">
        <f t="shared" si="155"/>
        <v>0</v>
      </c>
      <c r="BL459" s="38">
        <f t="shared" si="156"/>
        <v>0</v>
      </c>
      <c r="BR459" s="42">
        <f t="shared" si="157"/>
        <v>8955.9499999999989</v>
      </c>
      <c r="BS459" s="43">
        <f t="shared" si="158"/>
        <v>8778.5295000000024</v>
      </c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  <c r="FM459" s="31"/>
      <c r="FN459" s="31"/>
      <c r="FO459" s="31"/>
      <c r="FP459" s="31"/>
      <c r="FQ459" s="31"/>
      <c r="FR459" s="31"/>
      <c r="FS459" s="31"/>
      <c r="FT459" s="31"/>
      <c r="FU459" s="31"/>
      <c r="FV459" s="31"/>
      <c r="FW459" s="31"/>
      <c r="FX459" s="31"/>
      <c r="FY459" s="31"/>
      <c r="FZ459" s="31"/>
      <c r="GA459" s="31"/>
      <c r="GB459" s="31"/>
      <c r="GC459" s="31"/>
      <c r="GD459" s="31"/>
      <c r="GE459" s="31"/>
      <c r="GF459" s="31"/>
      <c r="GG459" s="31"/>
      <c r="GH459" s="31"/>
      <c r="GI459" s="31"/>
      <c r="GJ459" s="31"/>
      <c r="GK459" s="31"/>
      <c r="GL459" s="31"/>
      <c r="GM459" s="31"/>
      <c r="GN459" s="31"/>
      <c r="GO459" s="31"/>
      <c r="GP459" s="31"/>
      <c r="GQ459" s="31"/>
      <c r="GR459" s="31"/>
      <c r="GS459" s="31"/>
      <c r="GT459" s="31"/>
      <c r="GU459" s="31"/>
      <c r="GV459" s="31"/>
      <c r="GW459" s="31"/>
      <c r="GX459" s="31"/>
      <c r="GY459" s="31"/>
      <c r="GZ459" s="31"/>
      <c r="HA459" s="31"/>
      <c r="HB459" s="31"/>
      <c r="HC459" s="31"/>
      <c r="HD459" s="31"/>
      <c r="HE459" s="31"/>
      <c r="HF459" s="31"/>
      <c r="HG459" s="31"/>
      <c r="HH459" s="31"/>
      <c r="HI459" s="31"/>
      <c r="HJ459" s="31"/>
      <c r="HK459" s="31"/>
      <c r="HL459" s="31"/>
      <c r="HM459" s="31"/>
      <c r="HN459" s="31"/>
      <c r="HO459" s="31"/>
      <c r="HP459" s="31"/>
      <c r="HQ459" s="31"/>
      <c r="HR459" s="31"/>
      <c r="HS459" s="31"/>
      <c r="HT459" s="31"/>
      <c r="HU459" s="31"/>
      <c r="HV459" s="31"/>
      <c r="HW459" s="31"/>
      <c r="HX459" s="31"/>
      <c r="HY459" s="31"/>
      <c r="HZ459" s="31"/>
      <c r="IA459" s="31"/>
      <c r="IB459" s="31"/>
      <c r="IC459" s="31"/>
      <c r="ID459" s="31"/>
      <c r="IE459" s="31"/>
      <c r="IF459" s="31"/>
      <c r="IG459" s="31"/>
      <c r="IH459" s="31"/>
      <c r="II459" s="31"/>
      <c r="IJ459" s="31"/>
      <c r="IK459" s="31"/>
      <c r="IL459" s="31"/>
      <c r="IM459" s="31"/>
      <c r="IN459" s="31"/>
      <c r="IO459" s="31"/>
      <c r="IP459" s="31"/>
      <c r="IQ459" s="31"/>
      <c r="IR459" s="31"/>
      <c r="IS459" s="31"/>
      <c r="IT459" s="31"/>
      <c r="IU459" s="31"/>
      <c r="IV459" s="31"/>
      <c r="IW459" s="31"/>
      <c r="IX459" s="31"/>
      <c r="IY459" s="31"/>
      <c r="IZ459" s="31"/>
      <c r="JA459" s="31"/>
      <c r="JB459" s="31"/>
      <c r="JC459" s="31"/>
      <c r="JD459" s="31"/>
      <c r="JE459" s="31"/>
      <c r="JF459" s="31"/>
      <c r="JG459" s="31"/>
      <c r="JH459" s="31"/>
      <c r="JI459" s="31"/>
      <c r="JJ459" s="31"/>
      <c r="JK459" s="31"/>
      <c r="JL459" s="31"/>
      <c r="JM459" s="31"/>
      <c r="JN459" s="31"/>
      <c r="JO459" s="31"/>
      <c r="JP459" s="31"/>
      <c r="JQ459" s="31"/>
      <c r="JR459" s="31"/>
      <c r="JS459" s="31"/>
      <c r="JT459" s="31"/>
      <c r="JU459" s="31"/>
      <c r="JV459" s="31"/>
      <c r="JW459" s="31"/>
      <c r="JX459" s="31"/>
      <c r="JY459" s="31"/>
      <c r="JZ459" s="31"/>
      <c r="KA459" s="31"/>
      <c r="KB459" s="31"/>
      <c r="KC459" s="31"/>
      <c r="KD459" s="31"/>
      <c r="KE459" s="31"/>
      <c r="KF459" s="31"/>
      <c r="KG459" s="31"/>
      <c r="KH459" s="31"/>
      <c r="KI459" s="31"/>
      <c r="KJ459" s="31"/>
      <c r="KK459" s="31"/>
      <c r="KL459" s="31"/>
      <c r="KM459" s="31"/>
      <c r="KN459" s="31"/>
      <c r="KO459" s="31"/>
      <c r="KP459" s="31"/>
      <c r="KQ459" s="31"/>
      <c r="KR459" s="31"/>
      <c r="KS459" s="31"/>
      <c r="KT459" s="31"/>
      <c r="KU459" s="31"/>
      <c r="KV459" s="31"/>
      <c r="KW459" s="31"/>
      <c r="KX459" s="31"/>
      <c r="KY459" s="31"/>
      <c r="KZ459" s="31"/>
      <c r="LA459" s="31"/>
      <c r="LB459" s="31"/>
      <c r="LC459" s="31"/>
      <c r="LD459" s="31"/>
      <c r="LE459" s="31"/>
      <c r="LF459" s="31"/>
      <c r="LG459" s="31"/>
      <c r="LH459" s="31"/>
      <c r="LI459" s="31"/>
      <c r="LJ459" s="31"/>
      <c r="LK459" s="31"/>
      <c r="LL459" s="31"/>
      <c r="LM459" s="31"/>
      <c r="LN459" s="31"/>
      <c r="LO459" s="31"/>
      <c r="LP459" s="31"/>
      <c r="LQ459" s="31"/>
      <c r="LR459" s="31"/>
      <c r="LS459" s="31"/>
      <c r="LT459" s="31"/>
      <c r="LU459" s="31"/>
      <c r="LV459" s="31"/>
      <c r="LW459" s="31"/>
      <c r="LX459" s="31"/>
      <c r="LY459" s="31"/>
      <c r="LZ459" s="31"/>
      <c r="MA459" s="31"/>
      <c r="MB459" s="31"/>
      <c r="MC459" s="31"/>
      <c r="MD459" s="31"/>
      <c r="ME459" s="31"/>
      <c r="MF459" s="31"/>
      <c r="MG459" s="31"/>
      <c r="MH459" s="31"/>
      <c r="MI459" s="31"/>
      <c r="MJ459" s="31"/>
      <c r="MK459" s="31"/>
      <c r="ML459" s="31"/>
      <c r="MM459" s="31"/>
      <c r="MN459" s="31"/>
      <c r="MO459" s="31"/>
      <c r="MP459" s="31"/>
      <c r="MQ459" s="31"/>
      <c r="MR459" s="31"/>
      <c r="MS459" s="31"/>
      <c r="MT459" s="31"/>
      <c r="MU459" s="31"/>
      <c r="MV459" s="31"/>
      <c r="MW459" s="31"/>
      <c r="MX459" s="31"/>
      <c r="MY459" s="31"/>
      <c r="MZ459" s="31"/>
      <c r="NA459" s="31"/>
      <c r="NB459" s="31"/>
      <c r="NC459" s="31"/>
      <c r="ND459" s="31"/>
      <c r="NE459" s="31"/>
      <c r="NF459" s="31"/>
      <c r="NG459" s="31"/>
      <c r="NH459" s="31"/>
      <c r="NI459" s="31"/>
      <c r="NJ459" s="31"/>
      <c r="NK459" s="31"/>
      <c r="NL459" s="31"/>
      <c r="NM459" s="31"/>
      <c r="NN459" s="31"/>
      <c r="NO459" s="31"/>
      <c r="NP459" s="31"/>
      <c r="NQ459" s="31"/>
      <c r="NR459" s="31"/>
      <c r="NS459" s="31"/>
      <c r="NT459" s="31"/>
      <c r="NU459" s="31"/>
      <c r="NV459" s="31"/>
      <c r="NW459" s="31"/>
      <c r="NX459" s="31"/>
      <c r="NY459" s="31"/>
      <c r="NZ459" s="31"/>
      <c r="OA459" s="31"/>
      <c r="OB459" s="31"/>
      <c r="OC459" s="31"/>
      <c r="OD459" s="31"/>
      <c r="OE459" s="31"/>
      <c r="OF459" s="31"/>
      <c r="OG459" s="31"/>
      <c r="OH459" s="31"/>
      <c r="OI459" s="31"/>
      <c r="OJ459" s="31"/>
      <c r="OK459" s="31"/>
      <c r="OL459" s="31"/>
      <c r="OM459" s="31"/>
      <c r="ON459" s="31"/>
      <c r="OO459" s="31"/>
      <c r="OP459" s="31"/>
      <c r="OQ459" s="31"/>
      <c r="OR459" s="31"/>
      <c r="OS459" s="31"/>
      <c r="OT459" s="31"/>
      <c r="OU459" s="31"/>
      <c r="OV459" s="31"/>
      <c r="OW459" s="31"/>
      <c r="OX459" s="31"/>
    </row>
    <row r="460" spans="2:414" s="25" customFormat="1" ht="15.6">
      <c r="B460" s="51" t="s">
        <v>771</v>
      </c>
      <c r="C460" s="27" t="s">
        <v>213</v>
      </c>
      <c r="D460" s="30" t="s">
        <v>465</v>
      </c>
      <c r="G460" s="42">
        <v>80</v>
      </c>
      <c r="H460" s="89">
        <v>26.109000000000002</v>
      </c>
      <c r="I460" s="38">
        <f t="shared" si="150"/>
        <v>2088.7200000000003</v>
      </c>
      <c r="K460" s="42">
        <v>80</v>
      </c>
      <c r="L460" s="90">
        <v>26.849599999999999</v>
      </c>
      <c r="M460" s="38">
        <f t="shared" si="151"/>
        <v>2147.9679999999998</v>
      </c>
      <c r="O460" s="42">
        <v>505</v>
      </c>
      <c r="P460" s="38">
        <v>26.728300000000001</v>
      </c>
      <c r="Q460" s="38">
        <f t="shared" si="152"/>
        <v>13497.791500000001</v>
      </c>
      <c r="R460" s="43">
        <f t="shared" si="149"/>
        <v>665</v>
      </c>
      <c r="S460" s="38">
        <f t="shared" si="153"/>
        <v>17734.479500000001</v>
      </c>
      <c r="T460" s="52">
        <v>240</v>
      </c>
      <c r="U460" s="48">
        <v>26.779299999999999</v>
      </c>
      <c r="V460" s="38">
        <f t="shared" si="146"/>
        <v>6427.0320000000002</v>
      </c>
      <c r="W460" s="48">
        <v>505</v>
      </c>
      <c r="X460" s="48">
        <v>26.7165</v>
      </c>
      <c r="Y460" s="42">
        <f t="shared" si="144"/>
        <v>13491.8325</v>
      </c>
      <c r="AB460" s="42">
        <f t="shared" si="145"/>
        <v>0</v>
      </c>
      <c r="AF460" s="42">
        <f t="shared" si="147"/>
        <v>0</v>
      </c>
      <c r="AU460" s="98"/>
      <c r="AV460" s="35"/>
      <c r="AW460" s="77"/>
      <c r="AZ460" s="42">
        <f t="shared" si="148"/>
        <v>0</v>
      </c>
      <c r="BD460" s="38">
        <f t="shared" si="154"/>
        <v>0</v>
      </c>
      <c r="BH460" s="38">
        <f t="shared" si="155"/>
        <v>0</v>
      </c>
      <c r="BL460" s="38">
        <f t="shared" si="156"/>
        <v>0</v>
      </c>
      <c r="BR460" s="42">
        <f t="shared" si="157"/>
        <v>19918.8645</v>
      </c>
      <c r="BS460" s="43"/>
      <c r="BT460" s="25">
        <v>2184.39</v>
      </c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  <c r="FM460" s="31"/>
      <c r="FN460" s="31"/>
      <c r="FO460" s="31"/>
      <c r="FP460" s="31"/>
      <c r="FQ460" s="31"/>
      <c r="FR460" s="31"/>
      <c r="FS460" s="31"/>
      <c r="FT460" s="31"/>
      <c r="FU460" s="31"/>
      <c r="FV460" s="31"/>
      <c r="FW460" s="31"/>
      <c r="FX460" s="31"/>
      <c r="FY460" s="31"/>
      <c r="FZ460" s="31"/>
      <c r="GA460" s="31"/>
      <c r="GB460" s="31"/>
      <c r="GC460" s="31"/>
      <c r="GD460" s="31"/>
      <c r="GE460" s="31"/>
      <c r="GF460" s="31"/>
      <c r="GG460" s="31"/>
      <c r="GH460" s="31"/>
      <c r="GI460" s="31"/>
      <c r="GJ460" s="31"/>
      <c r="GK460" s="31"/>
      <c r="GL460" s="31"/>
      <c r="GM460" s="31"/>
      <c r="GN460" s="31"/>
      <c r="GO460" s="31"/>
      <c r="GP460" s="31"/>
      <c r="GQ460" s="31"/>
      <c r="GR460" s="31"/>
      <c r="GS460" s="31"/>
      <c r="GT460" s="31"/>
      <c r="GU460" s="31"/>
      <c r="GV460" s="31"/>
      <c r="GW460" s="31"/>
      <c r="GX460" s="31"/>
      <c r="GY460" s="31"/>
      <c r="GZ460" s="31"/>
      <c r="HA460" s="31"/>
      <c r="HB460" s="31"/>
      <c r="HC460" s="31"/>
      <c r="HD460" s="31"/>
      <c r="HE460" s="31"/>
      <c r="HF460" s="31"/>
      <c r="HG460" s="31"/>
      <c r="HH460" s="31"/>
      <c r="HI460" s="31"/>
      <c r="HJ460" s="31"/>
      <c r="HK460" s="31"/>
      <c r="HL460" s="31"/>
      <c r="HM460" s="31"/>
      <c r="HN460" s="31"/>
      <c r="HO460" s="31"/>
      <c r="HP460" s="31"/>
      <c r="HQ460" s="31"/>
      <c r="HR460" s="31"/>
      <c r="HS460" s="31"/>
      <c r="HT460" s="31"/>
      <c r="HU460" s="31"/>
      <c r="HV460" s="31"/>
      <c r="HW460" s="31"/>
      <c r="HX460" s="31"/>
      <c r="HY460" s="31"/>
      <c r="HZ460" s="31"/>
      <c r="IA460" s="31"/>
      <c r="IB460" s="31"/>
      <c r="IC460" s="31"/>
      <c r="ID460" s="31"/>
      <c r="IE460" s="31"/>
      <c r="IF460" s="31"/>
      <c r="IG460" s="31"/>
      <c r="IH460" s="31"/>
      <c r="II460" s="31"/>
      <c r="IJ460" s="31"/>
      <c r="IK460" s="31"/>
      <c r="IL460" s="31"/>
      <c r="IM460" s="31"/>
      <c r="IN460" s="31"/>
      <c r="IO460" s="31"/>
      <c r="IP460" s="31"/>
      <c r="IQ460" s="31"/>
      <c r="IR460" s="31"/>
      <c r="IS460" s="31"/>
      <c r="IT460" s="31"/>
      <c r="IU460" s="31"/>
      <c r="IV460" s="31"/>
      <c r="IW460" s="31"/>
      <c r="IX460" s="31"/>
      <c r="IY460" s="31"/>
      <c r="IZ460" s="31"/>
      <c r="JA460" s="31"/>
      <c r="JB460" s="31"/>
      <c r="JC460" s="31"/>
      <c r="JD460" s="31"/>
      <c r="JE460" s="31"/>
      <c r="JF460" s="31"/>
      <c r="JG460" s="31"/>
      <c r="JH460" s="31"/>
      <c r="JI460" s="31"/>
      <c r="JJ460" s="31"/>
      <c r="JK460" s="31"/>
      <c r="JL460" s="31"/>
      <c r="JM460" s="31"/>
      <c r="JN460" s="31"/>
      <c r="JO460" s="31"/>
      <c r="JP460" s="31"/>
      <c r="JQ460" s="31"/>
      <c r="JR460" s="31"/>
      <c r="JS460" s="31"/>
      <c r="JT460" s="31"/>
      <c r="JU460" s="31"/>
      <c r="JV460" s="31"/>
      <c r="JW460" s="31"/>
      <c r="JX460" s="31"/>
      <c r="JY460" s="31"/>
      <c r="JZ460" s="31"/>
      <c r="KA460" s="31"/>
      <c r="KB460" s="31"/>
      <c r="KC460" s="31"/>
      <c r="KD460" s="31"/>
      <c r="KE460" s="31"/>
      <c r="KF460" s="31"/>
      <c r="KG460" s="31"/>
      <c r="KH460" s="31"/>
      <c r="KI460" s="31"/>
      <c r="KJ460" s="31"/>
      <c r="KK460" s="31"/>
      <c r="KL460" s="31"/>
      <c r="KM460" s="31"/>
      <c r="KN460" s="31"/>
      <c r="KO460" s="31"/>
      <c r="KP460" s="31"/>
      <c r="KQ460" s="31"/>
      <c r="KR460" s="31"/>
      <c r="KS460" s="31"/>
      <c r="KT460" s="31"/>
      <c r="KU460" s="31"/>
      <c r="KV460" s="31"/>
      <c r="KW460" s="31"/>
      <c r="KX460" s="31"/>
      <c r="KY460" s="31"/>
      <c r="KZ460" s="31"/>
      <c r="LA460" s="31"/>
      <c r="LB460" s="31"/>
      <c r="LC460" s="31"/>
      <c r="LD460" s="31"/>
      <c r="LE460" s="31"/>
      <c r="LF460" s="31"/>
      <c r="LG460" s="31"/>
      <c r="LH460" s="31"/>
      <c r="LI460" s="31"/>
      <c r="LJ460" s="31"/>
      <c r="LK460" s="31"/>
      <c r="LL460" s="31"/>
      <c r="LM460" s="31"/>
      <c r="LN460" s="31"/>
      <c r="LO460" s="31"/>
      <c r="LP460" s="31"/>
      <c r="LQ460" s="31"/>
      <c r="LR460" s="31"/>
      <c r="LS460" s="31"/>
      <c r="LT460" s="31"/>
      <c r="LU460" s="31"/>
      <c r="LV460" s="31"/>
      <c r="LW460" s="31"/>
      <c r="LX460" s="31"/>
      <c r="LY460" s="31"/>
      <c r="LZ460" s="31"/>
      <c r="MA460" s="31"/>
      <c r="MB460" s="31"/>
      <c r="MC460" s="31"/>
      <c r="MD460" s="31"/>
      <c r="ME460" s="31"/>
      <c r="MF460" s="31"/>
      <c r="MG460" s="31"/>
      <c r="MH460" s="31"/>
      <c r="MI460" s="31"/>
      <c r="MJ460" s="31"/>
      <c r="MK460" s="31"/>
      <c r="ML460" s="31"/>
      <c r="MM460" s="31"/>
      <c r="MN460" s="31"/>
      <c r="MO460" s="31"/>
      <c r="MP460" s="31"/>
      <c r="MQ460" s="31"/>
      <c r="MR460" s="31"/>
      <c r="MS460" s="31"/>
      <c r="MT460" s="31"/>
      <c r="MU460" s="31"/>
      <c r="MV460" s="31"/>
      <c r="MW460" s="31"/>
      <c r="MX460" s="31"/>
      <c r="MY460" s="31"/>
      <c r="MZ460" s="31"/>
      <c r="NA460" s="31"/>
      <c r="NB460" s="31"/>
      <c r="NC460" s="31"/>
      <c r="ND460" s="31"/>
      <c r="NE460" s="31"/>
      <c r="NF460" s="31"/>
      <c r="NG460" s="31"/>
      <c r="NH460" s="31"/>
      <c r="NI460" s="31"/>
      <c r="NJ460" s="31"/>
      <c r="NK460" s="31"/>
      <c r="NL460" s="31"/>
      <c r="NM460" s="31"/>
      <c r="NN460" s="31"/>
      <c r="NO460" s="31"/>
      <c r="NP460" s="31"/>
      <c r="NQ460" s="31"/>
      <c r="NR460" s="31"/>
      <c r="NS460" s="31"/>
      <c r="NT460" s="31"/>
      <c r="NU460" s="31"/>
      <c r="NV460" s="31"/>
      <c r="NW460" s="31"/>
      <c r="NX460" s="31"/>
      <c r="NY460" s="31"/>
      <c r="NZ460" s="31"/>
      <c r="OA460" s="31"/>
      <c r="OB460" s="31"/>
      <c r="OC460" s="31"/>
      <c r="OD460" s="31"/>
      <c r="OE460" s="31"/>
      <c r="OF460" s="31"/>
      <c r="OG460" s="31"/>
      <c r="OH460" s="31"/>
      <c r="OI460" s="31"/>
      <c r="OJ460" s="31"/>
      <c r="OK460" s="31"/>
      <c r="OL460" s="31"/>
      <c r="OM460" s="31"/>
      <c r="ON460" s="31"/>
      <c r="OO460" s="31"/>
      <c r="OP460" s="31"/>
      <c r="OQ460" s="31"/>
      <c r="OR460" s="31"/>
      <c r="OS460" s="31"/>
      <c r="OT460" s="31"/>
      <c r="OU460" s="31"/>
      <c r="OV460" s="31"/>
      <c r="OW460" s="31"/>
      <c r="OX460" s="31"/>
    </row>
    <row r="461" spans="2:414" s="25" customFormat="1" ht="15.6">
      <c r="B461" s="51" t="s">
        <v>810</v>
      </c>
      <c r="C461" s="27" t="s">
        <v>739</v>
      </c>
      <c r="D461" s="30" t="s">
        <v>465</v>
      </c>
      <c r="G461" s="42">
        <v>80</v>
      </c>
      <c r="H461" s="89">
        <v>26.109000000000002</v>
      </c>
      <c r="I461" s="38">
        <f t="shared" si="150"/>
        <v>2088.7200000000003</v>
      </c>
      <c r="K461" s="42">
        <v>80</v>
      </c>
      <c r="L461" s="90">
        <v>26.849599999999999</v>
      </c>
      <c r="M461" s="38">
        <f t="shared" si="151"/>
        <v>2147.9679999999998</v>
      </c>
      <c r="O461" s="42">
        <v>505</v>
      </c>
      <c r="P461" s="38">
        <v>26.728300000000001</v>
      </c>
      <c r="Q461" s="38">
        <f t="shared" si="152"/>
        <v>13497.791500000001</v>
      </c>
      <c r="R461" s="43">
        <f t="shared" si="149"/>
        <v>665</v>
      </c>
      <c r="S461" s="38">
        <f t="shared" si="153"/>
        <v>17734.479500000001</v>
      </c>
      <c r="T461" s="27"/>
      <c r="V461" s="38">
        <f t="shared" si="146"/>
        <v>0</v>
      </c>
      <c r="W461" s="48">
        <v>170</v>
      </c>
      <c r="X461" s="48">
        <v>26.72</v>
      </c>
      <c r="Y461" s="42">
        <f t="shared" si="144"/>
        <v>4542.3999999999996</v>
      </c>
      <c r="AB461" s="42">
        <f t="shared" si="145"/>
        <v>0</v>
      </c>
      <c r="AF461" s="42">
        <f t="shared" si="147"/>
        <v>0</v>
      </c>
      <c r="AU461" s="98"/>
      <c r="AV461" s="35"/>
      <c r="AW461" s="77"/>
      <c r="AZ461" s="42">
        <f t="shared" si="148"/>
        <v>0</v>
      </c>
      <c r="BD461" s="38">
        <f t="shared" si="154"/>
        <v>0</v>
      </c>
      <c r="BH461" s="38">
        <f t="shared" si="155"/>
        <v>0</v>
      </c>
      <c r="BL461" s="38">
        <f t="shared" si="156"/>
        <v>0</v>
      </c>
      <c r="BR461" s="42">
        <f t="shared" si="157"/>
        <v>4542.3999999999996</v>
      </c>
      <c r="BS461" s="43">
        <f t="shared" si="158"/>
        <v>13192.079500000002</v>
      </c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  <c r="FM461" s="31"/>
      <c r="FN461" s="31"/>
      <c r="FO461" s="31"/>
      <c r="FP461" s="31"/>
      <c r="FQ461" s="31"/>
      <c r="FR461" s="31"/>
      <c r="FS461" s="31"/>
      <c r="FT461" s="31"/>
      <c r="FU461" s="31"/>
      <c r="FV461" s="31"/>
      <c r="FW461" s="31"/>
      <c r="FX461" s="31"/>
      <c r="FY461" s="31"/>
      <c r="FZ461" s="31"/>
      <c r="GA461" s="31"/>
      <c r="GB461" s="31"/>
      <c r="GC461" s="31"/>
      <c r="GD461" s="31"/>
      <c r="GE461" s="31"/>
      <c r="GF461" s="31"/>
      <c r="GG461" s="31"/>
      <c r="GH461" s="31"/>
      <c r="GI461" s="31"/>
      <c r="GJ461" s="31"/>
      <c r="GK461" s="31"/>
      <c r="GL461" s="31"/>
      <c r="GM461" s="31"/>
      <c r="GN461" s="31"/>
      <c r="GO461" s="31"/>
      <c r="GP461" s="31"/>
      <c r="GQ461" s="31"/>
      <c r="GR461" s="31"/>
      <c r="GS461" s="31"/>
      <c r="GT461" s="31"/>
      <c r="GU461" s="31"/>
      <c r="GV461" s="31"/>
      <c r="GW461" s="31"/>
      <c r="GX461" s="31"/>
      <c r="GY461" s="31"/>
      <c r="GZ461" s="31"/>
      <c r="HA461" s="31"/>
      <c r="HB461" s="31"/>
      <c r="HC461" s="31"/>
      <c r="HD461" s="31"/>
      <c r="HE461" s="31"/>
      <c r="HF461" s="31"/>
      <c r="HG461" s="31"/>
      <c r="HH461" s="31"/>
      <c r="HI461" s="31"/>
      <c r="HJ461" s="31"/>
      <c r="HK461" s="31"/>
      <c r="HL461" s="31"/>
      <c r="HM461" s="31"/>
      <c r="HN461" s="31"/>
      <c r="HO461" s="31"/>
      <c r="HP461" s="31"/>
      <c r="HQ461" s="31"/>
      <c r="HR461" s="31"/>
      <c r="HS461" s="31"/>
      <c r="HT461" s="31"/>
      <c r="HU461" s="31"/>
      <c r="HV461" s="31"/>
      <c r="HW461" s="31"/>
      <c r="HX461" s="31"/>
      <c r="HY461" s="31"/>
      <c r="HZ461" s="31"/>
      <c r="IA461" s="31"/>
      <c r="IB461" s="31"/>
      <c r="IC461" s="31"/>
      <c r="ID461" s="31"/>
      <c r="IE461" s="31"/>
      <c r="IF461" s="31"/>
      <c r="IG461" s="31"/>
      <c r="IH461" s="31"/>
      <c r="II461" s="31"/>
      <c r="IJ461" s="31"/>
      <c r="IK461" s="31"/>
      <c r="IL461" s="31"/>
      <c r="IM461" s="31"/>
      <c r="IN461" s="31"/>
      <c r="IO461" s="31"/>
      <c r="IP461" s="31"/>
      <c r="IQ461" s="31"/>
      <c r="IR461" s="31"/>
      <c r="IS461" s="31"/>
      <c r="IT461" s="31"/>
      <c r="IU461" s="31"/>
      <c r="IV461" s="31"/>
      <c r="IW461" s="31"/>
      <c r="IX461" s="31"/>
      <c r="IY461" s="31"/>
      <c r="IZ461" s="31"/>
      <c r="JA461" s="31"/>
      <c r="JB461" s="31"/>
      <c r="JC461" s="31"/>
      <c r="JD461" s="31"/>
      <c r="JE461" s="31"/>
      <c r="JF461" s="31"/>
      <c r="JG461" s="31"/>
      <c r="JH461" s="31"/>
      <c r="JI461" s="31"/>
      <c r="JJ461" s="31"/>
      <c r="JK461" s="31"/>
      <c r="JL461" s="31"/>
      <c r="JM461" s="31"/>
      <c r="JN461" s="31"/>
      <c r="JO461" s="31"/>
      <c r="JP461" s="31"/>
      <c r="JQ461" s="31"/>
      <c r="JR461" s="31"/>
      <c r="JS461" s="31"/>
      <c r="JT461" s="31"/>
      <c r="JU461" s="31"/>
      <c r="JV461" s="31"/>
      <c r="JW461" s="31"/>
      <c r="JX461" s="31"/>
      <c r="JY461" s="31"/>
      <c r="JZ461" s="31"/>
      <c r="KA461" s="31"/>
      <c r="KB461" s="31"/>
      <c r="KC461" s="31"/>
      <c r="KD461" s="31"/>
      <c r="KE461" s="31"/>
      <c r="KF461" s="31"/>
      <c r="KG461" s="31"/>
      <c r="KH461" s="31"/>
      <c r="KI461" s="31"/>
      <c r="KJ461" s="31"/>
      <c r="KK461" s="31"/>
      <c r="KL461" s="31"/>
      <c r="KM461" s="31"/>
      <c r="KN461" s="31"/>
      <c r="KO461" s="31"/>
      <c r="KP461" s="31"/>
      <c r="KQ461" s="31"/>
      <c r="KR461" s="31"/>
      <c r="KS461" s="31"/>
      <c r="KT461" s="31"/>
      <c r="KU461" s="31"/>
      <c r="KV461" s="31"/>
      <c r="KW461" s="31"/>
      <c r="KX461" s="31"/>
      <c r="KY461" s="31"/>
      <c r="KZ461" s="31"/>
      <c r="LA461" s="31"/>
      <c r="LB461" s="31"/>
      <c r="LC461" s="31"/>
      <c r="LD461" s="31"/>
      <c r="LE461" s="31"/>
      <c r="LF461" s="31"/>
      <c r="LG461" s="31"/>
      <c r="LH461" s="31"/>
      <c r="LI461" s="31"/>
      <c r="LJ461" s="31"/>
      <c r="LK461" s="31"/>
      <c r="LL461" s="31"/>
      <c r="LM461" s="31"/>
      <c r="LN461" s="31"/>
      <c r="LO461" s="31"/>
      <c r="LP461" s="31"/>
      <c r="LQ461" s="31"/>
      <c r="LR461" s="31"/>
      <c r="LS461" s="31"/>
      <c r="LT461" s="31"/>
      <c r="LU461" s="31"/>
      <c r="LV461" s="31"/>
      <c r="LW461" s="31"/>
      <c r="LX461" s="31"/>
      <c r="LY461" s="31"/>
      <c r="LZ461" s="31"/>
      <c r="MA461" s="31"/>
      <c r="MB461" s="31"/>
      <c r="MC461" s="31"/>
      <c r="MD461" s="31"/>
      <c r="ME461" s="31"/>
      <c r="MF461" s="31"/>
      <c r="MG461" s="31"/>
      <c r="MH461" s="31"/>
      <c r="MI461" s="31"/>
      <c r="MJ461" s="31"/>
      <c r="MK461" s="31"/>
      <c r="ML461" s="31"/>
      <c r="MM461" s="31"/>
      <c r="MN461" s="31"/>
      <c r="MO461" s="31"/>
      <c r="MP461" s="31"/>
      <c r="MQ461" s="31"/>
      <c r="MR461" s="31"/>
      <c r="MS461" s="31"/>
      <c r="MT461" s="31"/>
      <c r="MU461" s="31"/>
      <c r="MV461" s="31"/>
      <c r="MW461" s="31"/>
      <c r="MX461" s="31"/>
      <c r="MY461" s="31"/>
      <c r="MZ461" s="31"/>
      <c r="NA461" s="31"/>
      <c r="NB461" s="31"/>
      <c r="NC461" s="31"/>
      <c r="ND461" s="31"/>
      <c r="NE461" s="31"/>
      <c r="NF461" s="31"/>
      <c r="NG461" s="31"/>
      <c r="NH461" s="31"/>
      <c r="NI461" s="31"/>
      <c r="NJ461" s="31"/>
      <c r="NK461" s="31"/>
      <c r="NL461" s="31"/>
      <c r="NM461" s="31"/>
      <c r="NN461" s="31"/>
      <c r="NO461" s="31"/>
      <c r="NP461" s="31"/>
      <c r="NQ461" s="31"/>
      <c r="NR461" s="31"/>
      <c r="NS461" s="31"/>
      <c r="NT461" s="31"/>
      <c r="NU461" s="31"/>
      <c r="NV461" s="31"/>
      <c r="NW461" s="31"/>
      <c r="NX461" s="31"/>
      <c r="NY461" s="31"/>
      <c r="NZ461" s="31"/>
      <c r="OA461" s="31"/>
      <c r="OB461" s="31"/>
      <c r="OC461" s="31"/>
      <c r="OD461" s="31"/>
      <c r="OE461" s="31"/>
      <c r="OF461" s="31"/>
      <c r="OG461" s="31"/>
      <c r="OH461" s="31"/>
      <c r="OI461" s="31"/>
      <c r="OJ461" s="31"/>
      <c r="OK461" s="31"/>
      <c r="OL461" s="31"/>
      <c r="OM461" s="31"/>
      <c r="ON461" s="31"/>
      <c r="OO461" s="31"/>
      <c r="OP461" s="31"/>
      <c r="OQ461" s="31"/>
      <c r="OR461" s="31"/>
      <c r="OS461" s="31"/>
      <c r="OT461" s="31"/>
      <c r="OU461" s="31"/>
      <c r="OV461" s="31"/>
      <c r="OW461" s="31"/>
      <c r="OX461" s="31"/>
    </row>
    <row r="462" spans="2:414" s="25" customFormat="1" ht="15.6">
      <c r="B462" s="51" t="s">
        <v>190</v>
      </c>
      <c r="C462" s="27" t="s">
        <v>675</v>
      </c>
      <c r="D462" s="30" t="s">
        <v>465</v>
      </c>
      <c r="G462" s="42">
        <v>80</v>
      </c>
      <c r="H462" s="89">
        <v>26.109000000000002</v>
      </c>
      <c r="I462" s="38">
        <f t="shared" si="150"/>
        <v>2088.7200000000003</v>
      </c>
      <c r="K462" s="42">
        <v>80</v>
      </c>
      <c r="L462" s="90">
        <v>26.849599999999999</v>
      </c>
      <c r="M462" s="38">
        <f t="shared" si="151"/>
        <v>2147.9679999999998</v>
      </c>
      <c r="O462" s="42">
        <v>505</v>
      </c>
      <c r="P462" s="38">
        <v>26.728300000000001</v>
      </c>
      <c r="Q462" s="38">
        <f t="shared" si="152"/>
        <v>13497.791500000001</v>
      </c>
      <c r="R462" s="43">
        <f t="shared" si="149"/>
        <v>665</v>
      </c>
      <c r="S462" s="38">
        <f t="shared" si="153"/>
        <v>17734.479500000001</v>
      </c>
      <c r="T462" s="52">
        <v>240</v>
      </c>
      <c r="U462" s="48">
        <v>26.78</v>
      </c>
      <c r="V462" s="38">
        <f t="shared" si="146"/>
        <v>6427.2000000000007</v>
      </c>
      <c r="W462" s="48">
        <v>505</v>
      </c>
      <c r="X462" s="48">
        <v>26.7639</v>
      </c>
      <c r="Y462" s="42">
        <f t="shared" si="144"/>
        <v>13515.7695</v>
      </c>
      <c r="AB462" s="42">
        <f t="shared" si="145"/>
        <v>0</v>
      </c>
      <c r="AF462" s="42">
        <f t="shared" si="147"/>
        <v>0</v>
      </c>
      <c r="AU462" s="98"/>
      <c r="AV462" s="35"/>
      <c r="AW462" s="77"/>
      <c r="AZ462" s="42">
        <f t="shared" si="148"/>
        <v>0</v>
      </c>
      <c r="BD462" s="38">
        <f t="shared" si="154"/>
        <v>0</v>
      </c>
      <c r="BH462" s="38">
        <f t="shared" si="155"/>
        <v>0</v>
      </c>
      <c r="BL462" s="38">
        <f t="shared" si="156"/>
        <v>0</v>
      </c>
      <c r="BR462" s="42">
        <f t="shared" si="157"/>
        <v>19942.969499999999</v>
      </c>
      <c r="BS462" s="43"/>
      <c r="BT462" s="25">
        <v>2208.4899999999998</v>
      </c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  <c r="FM462" s="31"/>
      <c r="FN462" s="31"/>
      <c r="FO462" s="31"/>
      <c r="FP462" s="31"/>
      <c r="FQ462" s="31"/>
      <c r="FR462" s="31"/>
      <c r="FS462" s="31"/>
      <c r="FT462" s="31"/>
      <c r="FU462" s="31"/>
      <c r="FV462" s="31"/>
      <c r="FW462" s="31"/>
      <c r="FX462" s="31"/>
      <c r="FY462" s="31"/>
      <c r="FZ462" s="31"/>
      <c r="GA462" s="31"/>
      <c r="GB462" s="31"/>
      <c r="GC462" s="31"/>
      <c r="GD462" s="31"/>
      <c r="GE462" s="31"/>
      <c r="GF462" s="31"/>
      <c r="GG462" s="31"/>
      <c r="GH462" s="31"/>
      <c r="GI462" s="31"/>
      <c r="GJ462" s="31"/>
      <c r="GK462" s="31"/>
      <c r="GL462" s="31"/>
      <c r="GM462" s="31"/>
      <c r="GN462" s="31"/>
      <c r="GO462" s="31"/>
      <c r="GP462" s="31"/>
      <c r="GQ462" s="31"/>
      <c r="GR462" s="31"/>
      <c r="GS462" s="31"/>
      <c r="GT462" s="31"/>
      <c r="GU462" s="31"/>
      <c r="GV462" s="31"/>
      <c r="GW462" s="31"/>
      <c r="GX462" s="31"/>
      <c r="GY462" s="31"/>
      <c r="GZ462" s="31"/>
      <c r="HA462" s="31"/>
      <c r="HB462" s="31"/>
      <c r="HC462" s="31"/>
      <c r="HD462" s="31"/>
      <c r="HE462" s="31"/>
      <c r="HF462" s="31"/>
      <c r="HG462" s="31"/>
      <c r="HH462" s="31"/>
      <c r="HI462" s="31"/>
      <c r="HJ462" s="31"/>
      <c r="HK462" s="31"/>
      <c r="HL462" s="31"/>
      <c r="HM462" s="31"/>
      <c r="HN462" s="31"/>
      <c r="HO462" s="31"/>
      <c r="HP462" s="31"/>
      <c r="HQ462" s="31"/>
      <c r="HR462" s="31"/>
      <c r="HS462" s="31"/>
      <c r="HT462" s="31"/>
      <c r="HU462" s="31"/>
      <c r="HV462" s="31"/>
      <c r="HW462" s="31"/>
      <c r="HX462" s="31"/>
      <c r="HY462" s="31"/>
      <c r="HZ462" s="31"/>
      <c r="IA462" s="31"/>
      <c r="IB462" s="31"/>
      <c r="IC462" s="31"/>
      <c r="ID462" s="31"/>
      <c r="IE462" s="31"/>
      <c r="IF462" s="31"/>
      <c r="IG462" s="31"/>
      <c r="IH462" s="31"/>
      <c r="II462" s="31"/>
      <c r="IJ462" s="31"/>
      <c r="IK462" s="31"/>
      <c r="IL462" s="31"/>
      <c r="IM462" s="31"/>
      <c r="IN462" s="31"/>
      <c r="IO462" s="31"/>
      <c r="IP462" s="31"/>
      <c r="IQ462" s="31"/>
      <c r="IR462" s="31"/>
      <c r="IS462" s="31"/>
      <c r="IT462" s="31"/>
      <c r="IU462" s="31"/>
      <c r="IV462" s="31"/>
      <c r="IW462" s="31"/>
      <c r="IX462" s="31"/>
      <c r="IY462" s="31"/>
      <c r="IZ462" s="31"/>
      <c r="JA462" s="31"/>
      <c r="JB462" s="31"/>
      <c r="JC462" s="31"/>
      <c r="JD462" s="31"/>
      <c r="JE462" s="31"/>
      <c r="JF462" s="31"/>
      <c r="JG462" s="31"/>
      <c r="JH462" s="31"/>
      <c r="JI462" s="31"/>
      <c r="JJ462" s="31"/>
      <c r="JK462" s="31"/>
      <c r="JL462" s="31"/>
      <c r="JM462" s="31"/>
      <c r="JN462" s="31"/>
      <c r="JO462" s="31"/>
      <c r="JP462" s="31"/>
      <c r="JQ462" s="31"/>
      <c r="JR462" s="31"/>
      <c r="JS462" s="31"/>
      <c r="JT462" s="31"/>
      <c r="JU462" s="31"/>
      <c r="JV462" s="31"/>
      <c r="JW462" s="31"/>
      <c r="JX462" s="31"/>
      <c r="JY462" s="31"/>
      <c r="JZ462" s="31"/>
      <c r="KA462" s="31"/>
      <c r="KB462" s="31"/>
      <c r="KC462" s="31"/>
      <c r="KD462" s="31"/>
      <c r="KE462" s="31"/>
      <c r="KF462" s="31"/>
      <c r="KG462" s="31"/>
      <c r="KH462" s="31"/>
      <c r="KI462" s="31"/>
      <c r="KJ462" s="31"/>
      <c r="KK462" s="31"/>
      <c r="KL462" s="31"/>
      <c r="KM462" s="31"/>
      <c r="KN462" s="31"/>
      <c r="KO462" s="31"/>
      <c r="KP462" s="31"/>
      <c r="KQ462" s="31"/>
      <c r="KR462" s="31"/>
      <c r="KS462" s="31"/>
      <c r="KT462" s="31"/>
      <c r="KU462" s="31"/>
      <c r="KV462" s="31"/>
      <c r="KW462" s="31"/>
      <c r="KX462" s="31"/>
      <c r="KY462" s="31"/>
      <c r="KZ462" s="31"/>
      <c r="LA462" s="31"/>
      <c r="LB462" s="31"/>
      <c r="LC462" s="31"/>
      <c r="LD462" s="31"/>
      <c r="LE462" s="31"/>
      <c r="LF462" s="31"/>
      <c r="LG462" s="31"/>
      <c r="LH462" s="31"/>
      <c r="LI462" s="31"/>
      <c r="LJ462" s="31"/>
      <c r="LK462" s="31"/>
      <c r="LL462" s="31"/>
      <c r="LM462" s="31"/>
      <c r="LN462" s="31"/>
      <c r="LO462" s="31"/>
      <c r="LP462" s="31"/>
      <c r="LQ462" s="31"/>
      <c r="LR462" s="31"/>
      <c r="LS462" s="31"/>
      <c r="LT462" s="31"/>
      <c r="LU462" s="31"/>
      <c r="LV462" s="31"/>
      <c r="LW462" s="31"/>
      <c r="LX462" s="31"/>
      <c r="LY462" s="31"/>
      <c r="LZ462" s="31"/>
      <c r="MA462" s="31"/>
      <c r="MB462" s="31"/>
      <c r="MC462" s="31"/>
      <c r="MD462" s="31"/>
      <c r="ME462" s="31"/>
      <c r="MF462" s="31"/>
      <c r="MG462" s="31"/>
      <c r="MH462" s="31"/>
      <c r="MI462" s="31"/>
      <c r="MJ462" s="31"/>
      <c r="MK462" s="31"/>
      <c r="ML462" s="31"/>
      <c r="MM462" s="31"/>
      <c r="MN462" s="31"/>
      <c r="MO462" s="31"/>
      <c r="MP462" s="31"/>
      <c r="MQ462" s="31"/>
      <c r="MR462" s="31"/>
      <c r="MS462" s="31"/>
      <c r="MT462" s="31"/>
      <c r="MU462" s="31"/>
      <c r="MV462" s="31"/>
      <c r="MW462" s="31"/>
      <c r="MX462" s="31"/>
      <c r="MY462" s="31"/>
      <c r="MZ462" s="31"/>
      <c r="NA462" s="31"/>
      <c r="NB462" s="31"/>
      <c r="NC462" s="31"/>
      <c r="ND462" s="31"/>
      <c r="NE462" s="31"/>
      <c r="NF462" s="31"/>
      <c r="NG462" s="31"/>
      <c r="NH462" s="31"/>
      <c r="NI462" s="31"/>
      <c r="NJ462" s="31"/>
      <c r="NK462" s="31"/>
      <c r="NL462" s="31"/>
      <c r="NM462" s="31"/>
      <c r="NN462" s="31"/>
      <c r="NO462" s="31"/>
      <c r="NP462" s="31"/>
      <c r="NQ462" s="31"/>
      <c r="NR462" s="31"/>
      <c r="NS462" s="31"/>
      <c r="NT462" s="31"/>
      <c r="NU462" s="31"/>
      <c r="NV462" s="31"/>
      <c r="NW462" s="31"/>
      <c r="NX462" s="31"/>
      <c r="NY462" s="31"/>
      <c r="NZ462" s="31"/>
      <c r="OA462" s="31"/>
      <c r="OB462" s="31"/>
      <c r="OC462" s="31"/>
      <c r="OD462" s="31"/>
      <c r="OE462" s="31"/>
      <c r="OF462" s="31"/>
      <c r="OG462" s="31"/>
      <c r="OH462" s="31"/>
      <c r="OI462" s="31"/>
      <c r="OJ462" s="31"/>
      <c r="OK462" s="31"/>
      <c r="OL462" s="31"/>
      <c r="OM462" s="31"/>
      <c r="ON462" s="31"/>
      <c r="OO462" s="31"/>
      <c r="OP462" s="31"/>
      <c r="OQ462" s="31"/>
      <c r="OR462" s="31"/>
      <c r="OS462" s="31"/>
      <c r="OT462" s="31"/>
      <c r="OU462" s="31"/>
      <c r="OV462" s="31"/>
      <c r="OW462" s="31"/>
      <c r="OX462" s="31"/>
    </row>
    <row r="463" spans="2:414" s="25" customFormat="1" ht="15.6">
      <c r="B463" s="51" t="s">
        <v>867</v>
      </c>
      <c r="C463" s="27" t="s">
        <v>17</v>
      </c>
      <c r="D463" s="30" t="s">
        <v>465</v>
      </c>
      <c r="G463" s="42">
        <v>80</v>
      </c>
      <c r="H463" s="89">
        <v>26.109000000000002</v>
      </c>
      <c r="I463" s="38">
        <f t="shared" si="150"/>
        <v>2088.7200000000003</v>
      </c>
      <c r="K463" s="42">
        <v>80</v>
      </c>
      <c r="L463" s="90">
        <v>26.849599999999999</v>
      </c>
      <c r="M463" s="38">
        <f t="shared" si="151"/>
        <v>2147.9679999999998</v>
      </c>
      <c r="O463" s="42">
        <v>505</v>
      </c>
      <c r="P463" s="38">
        <v>26.728300000000001</v>
      </c>
      <c r="Q463" s="38">
        <f t="shared" si="152"/>
        <v>13497.791500000001</v>
      </c>
      <c r="R463" s="43">
        <f t="shared" si="149"/>
        <v>665</v>
      </c>
      <c r="S463" s="38">
        <f t="shared" si="153"/>
        <v>17734.479500000001</v>
      </c>
      <c r="T463" s="52">
        <v>240</v>
      </c>
      <c r="U463" s="48">
        <v>26.78</v>
      </c>
      <c r="V463" s="38">
        <f t="shared" si="146"/>
        <v>6427.2000000000007</v>
      </c>
      <c r="W463" s="48">
        <v>505</v>
      </c>
      <c r="X463" s="48">
        <v>26.732500000000002</v>
      </c>
      <c r="Y463" s="42">
        <f t="shared" si="144"/>
        <v>13499.9125</v>
      </c>
      <c r="AB463" s="42">
        <f t="shared" si="145"/>
        <v>0</v>
      </c>
      <c r="AF463" s="42">
        <f t="shared" si="147"/>
        <v>0</v>
      </c>
      <c r="AU463" s="98"/>
      <c r="AV463" s="35"/>
      <c r="AW463" s="77"/>
      <c r="AZ463" s="42">
        <f t="shared" si="148"/>
        <v>0</v>
      </c>
      <c r="BD463" s="38">
        <f t="shared" si="154"/>
        <v>0</v>
      </c>
      <c r="BH463" s="38">
        <f t="shared" si="155"/>
        <v>0</v>
      </c>
      <c r="BL463" s="38">
        <f t="shared" si="156"/>
        <v>0</v>
      </c>
      <c r="BR463" s="42">
        <f t="shared" si="157"/>
        <v>19927.112500000003</v>
      </c>
      <c r="BS463" s="43"/>
      <c r="BT463" s="25">
        <v>2192.63</v>
      </c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  <c r="FM463" s="31"/>
      <c r="FN463" s="31"/>
      <c r="FO463" s="31"/>
      <c r="FP463" s="31"/>
      <c r="FQ463" s="31"/>
      <c r="FR463" s="31"/>
      <c r="FS463" s="31"/>
      <c r="FT463" s="31"/>
      <c r="FU463" s="31"/>
      <c r="FV463" s="31"/>
      <c r="FW463" s="31"/>
      <c r="FX463" s="31"/>
      <c r="FY463" s="31"/>
      <c r="FZ463" s="31"/>
      <c r="GA463" s="31"/>
      <c r="GB463" s="31"/>
      <c r="GC463" s="31"/>
      <c r="GD463" s="31"/>
      <c r="GE463" s="31"/>
      <c r="GF463" s="31"/>
      <c r="GG463" s="31"/>
      <c r="GH463" s="31"/>
      <c r="GI463" s="31"/>
      <c r="GJ463" s="31"/>
      <c r="GK463" s="31"/>
      <c r="GL463" s="31"/>
      <c r="GM463" s="31"/>
      <c r="GN463" s="31"/>
      <c r="GO463" s="31"/>
      <c r="GP463" s="31"/>
      <c r="GQ463" s="31"/>
      <c r="GR463" s="31"/>
      <c r="GS463" s="31"/>
      <c r="GT463" s="31"/>
      <c r="GU463" s="31"/>
      <c r="GV463" s="31"/>
      <c r="GW463" s="31"/>
      <c r="GX463" s="31"/>
      <c r="GY463" s="31"/>
      <c r="GZ463" s="31"/>
      <c r="HA463" s="31"/>
      <c r="HB463" s="31"/>
      <c r="HC463" s="31"/>
      <c r="HD463" s="31"/>
      <c r="HE463" s="31"/>
      <c r="HF463" s="31"/>
      <c r="HG463" s="31"/>
      <c r="HH463" s="31"/>
      <c r="HI463" s="31"/>
      <c r="HJ463" s="31"/>
      <c r="HK463" s="31"/>
      <c r="HL463" s="31"/>
      <c r="HM463" s="31"/>
      <c r="HN463" s="31"/>
      <c r="HO463" s="31"/>
      <c r="HP463" s="31"/>
      <c r="HQ463" s="31"/>
      <c r="HR463" s="31"/>
      <c r="HS463" s="31"/>
      <c r="HT463" s="31"/>
      <c r="HU463" s="31"/>
      <c r="HV463" s="31"/>
      <c r="HW463" s="31"/>
      <c r="HX463" s="31"/>
      <c r="HY463" s="31"/>
      <c r="HZ463" s="31"/>
      <c r="IA463" s="31"/>
      <c r="IB463" s="31"/>
      <c r="IC463" s="31"/>
      <c r="ID463" s="31"/>
      <c r="IE463" s="31"/>
      <c r="IF463" s="31"/>
      <c r="IG463" s="31"/>
      <c r="IH463" s="31"/>
      <c r="II463" s="31"/>
      <c r="IJ463" s="31"/>
      <c r="IK463" s="31"/>
      <c r="IL463" s="31"/>
      <c r="IM463" s="31"/>
      <c r="IN463" s="31"/>
      <c r="IO463" s="31"/>
      <c r="IP463" s="31"/>
      <c r="IQ463" s="31"/>
      <c r="IR463" s="31"/>
      <c r="IS463" s="31"/>
      <c r="IT463" s="31"/>
      <c r="IU463" s="31"/>
      <c r="IV463" s="31"/>
      <c r="IW463" s="31"/>
      <c r="IX463" s="31"/>
      <c r="IY463" s="31"/>
      <c r="IZ463" s="31"/>
      <c r="JA463" s="31"/>
      <c r="JB463" s="31"/>
      <c r="JC463" s="31"/>
      <c r="JD463" s="31"/>
      <c r="JE463" s="31"/>
      <c r="JF463" s="31"/>
      <c r="JG463" s="31"/>
      <c r="JH463" s="31"/>
      <c r="JI463" s="31"/>
      <c r="JJ463" s="31"/>
      <c r="JK463" s="31"/>
      <c r="JL463" s="31"/>
      <c r="JM463" s="31"/>
      <c r="JN463" s="31"/>
      <c r="JO463" s="31"/>
      <c r="JP463" s="31"/>
      <c r="JQ463" s="31"/>
      <c r="JR463" s="31"/>
      <c r="JS463" s="31"/>
      <c r="JT463" s="31"/>
      <c r="JU463" s="31"/>
      <c r="JV463" s="31"/>
      <c r="JW463" s="31"/>
      <c r="JX463" s="31"/>
      <c r="JY463" s="31"/>
      <c r="JZ463" s="31"/>
      <c r="KA463" s="31"/>
      <c r="KB463" s="31"/>
      <c r="KC463" s="31"/>
      <c r="KD463" s="31"/>
      <c r="KE463" s="31"/>
      <c r="KF463" s="31"/>
      <c r="KG463" s="31"/>
      <c r="KH463" s="31"/>
      <c r="KI463" s="31"/>
      <c r="KJ463" s="31"/>
      <c r="KK463" s="31"/>
      <c r="KL463" s="31"/>
      <c r="KM463" s="31"/>
      <c r="KN463" s="31"/>
      <c r="KO463" s="31"/>
      <c r="KP463" s="31"/>
      <c r="KQ463" s="31"/>
      <c r="KR463" s="31"/>
      <c r="KS463" s="31"/>
      <c r="KT463" s="31"/>
      <c r="KU463" s="31"/>
      <c r="KV463" s="31"/>
      <c r="KW463" s="31"/>
      <c r="KX463" s="31"/>
      <c r="KY463" s="31"/>
      <c r="KZ463" s="31"/>
      <c r="LA463" s="31"/>
      <c r="LB463" s="31"/>
      <c r="LC463" s="31"/>
      <c r="LD463" s="31"/>
      <c r="LE463" s="31"/>
      <c r="LF463" s="31"/>
      <c r="LG463" s="31"/>
      <c r="LH463" s="31"/>
      <c r="LI463" s="31"/>
      <c r="LJ463" s="31"/>
      <c r="LK463" s="31"/>
      <c r="LL463" s="31"/>
      <c r="LM463" s="31"/>
      <c r="LN463" s="31"/>
      <c r="LO463" s="31"/>
      <c r="LP463" s="31"/>
      <c r="LQ463" s="31"/>
      <c r="LR463" s="31"/>
      <c r="LS463" s="31"/>
      <c r="LT463" s="31"/>
      <c r="LU463" s="31"/>
      <c r="LV463" s="31"/>
      <c r="LW463" s="31"/>
      <c r="LX463" s="31"/>
      <c r="LY463" s="31"/>
      <c r="LZ463" s="31"/>
      <c r="MA463" s="31"/>
      <c r="MB463" s="31"/>
      <c r="MC463" s="31"/>
      <c r="MD463" s="31"/>
      <c r="ME463" s="31"/>
      <c r="MF463" s="31"/>
      <c r="MG463" s="31"/>
      <c r="MH463" s="31"/>
      <c r="MI463" s="31"/>
      <c r="MJ463" s="31"/>
      <c r="MK463" s="31"/>
      <c r="ML463" s="31"/>
      <c r="MM463" s="31"/>
      <c r="MN463" s="31"/>
      <c r="MO463" s="31"/>
      <c r="MP463" s="31"/>
      <c r="MQ463" s="31"/>
      <c r="MR463" s="31"/>
      <c r="MS463" s="31"/>
      <c r="MT463" s="31"/>
      <c r="MU463" s="31"/>
      <c r="MV463" s="31"/>
      <c r="MW463" s="31"/>
      <c r="MX463" s="31"/>
      <c r="MY463" s="31"/>
      <c r="MZ463" s="31"/>
      <c r="NA463" s="31"/>
      <c r="NB463" s="31"/>
      <c r="NC463" s="31"/>
      <c r="ND463" s="31"/>
      <c r="NE463" s="31"/>
      <c r="NF463" s="31"/>
      <c r="NG463" s="31"/>
      <c r="NH463" s="31"/>
      <c r="NI463" s="31"/>
      <c r="NJ463" s="31"/>
      <c r="NK463" s="31"/>
      <c r="NL463" s="31"/>
      <c r="NM463" s="31"/>
      <c r="NN463" s="31"/>
      <c r="NO463" s="31"/>
      <c r="NP463" s="31"/>
      <c r="NQ463" s="31"/>
      <c r="NR463" s="31"/>
      <c r="NS463" s="31"/>
      <c r="NT463" s="31"/>
      <c r="NU463" s="31"/>
      <c r="NV463" s="31"/>
      <c r="NW463" s="31"/>
      <c r="NX463" s="31"/>
      <c r="NY463" s="31"/>
      <c r="NZ463" s="31"/>
      <c r="OA463" s="31"/>
      <c r="OB463" s="31"/>
      <c r="OC463" s="31"/>
      <c r="OD463" s="31"/>
      <c r="OE463" s="31"/>
      <c r="OF463" s="31"/>
      <c r="OG463" s="31"/>
      <c r="OH463" s="31"/>
      <c r="OI463" s="31"/>
      <c r="OJ463" s="31"/>
      <c r="OK463" s="31"/>
      <c r="OL463" s="31"/>
      <c r="OM463" s="31"/>
      <c r="ON463" s="31"/>
      <c r="OO463" s="31"/>
      <c r="OP463" s="31"/>
      <c r="OQ463" s="31"/>
      <c r="OR463" s="31"/>
      <c r="OS463" s="31"/>
      <c r="OT463" s="31"/>
      <c r="OU463" s="31"/>
      <c r="OV463" s="31"/>
      <c r="OW463" s="31"/>
      <c r="OX463" s="31"/>
    </row>
    <row r="464" spans="2:414" s="25" customFormat="1" ht="15.6">
      <c r="B464" s="51" t="s">
        <v>164</v>
      </c>
      <c r="C464" s="27" t="s">
        <v>691</v>
      </c>
      <c r="D464" s="30" t="s">
        <v>465</v>
      </c>
      <c r="G464" s="42">
        <v>80</v>
      </c>
      <c r="H464" s="89">
        <v>26.109000000000002</v>
      </c>
      <c r="I464" s="38">
        <f t="shared" si="150"/>
        <v>2088.7200000000003</v>
      </c>
      <c r="K464" s="42">
        <v>80</v>
      </c>
      <c r="L464" s="90">
        <v>26.849599999999999</v>
      </c>
      <c r="M464" s="38">
        <f t="shared" si="151"/>
        <v>2147.9679999999998</v>
      </c>
      <c r="O464" s="42">
        <v>505</v>
      </c>
      <c r="P464" s="38">
        <v>26.728300000000001</v>
      </c>
      <c r="Q464" s="38">
        <f t="shared" si="152"/>
        <v>13497.791500000001</v>
      </c>
      <c r="R464" s="43">
        <f t="shared" si="149"/>
        <v>665</v>
      </c>
      <c r="S464" s="38">
        <f t="shared" si="153"/>
        <v>17734.479500000001</v>
      </c>
      <c r="T464" s="52">
        <v>240</v>
      </c>
      <c r="U464" s="48">
        <v>26.745899999999999</v>
      </c>
      <c r="V464" s="38">
        <f t="shared" si="146"/>
        <v>6419.0159999999996</v>
      </c>
      <c r="W464" s="48">
        <v>505</v>
      </c>
      <c r="X464" s="48">
        <v>26.570799999999998</v>
      </c>
      <c r="Y464" s="42">
        <f t="shared" si="144"/>
        <v>13418.253999999999</v>
      </c>
      <c r="AB464" s="42">
        <f t="shared" si="145"/>
        <v>0</v>
      </c>
      <c r="AF464" s="42">
        <f t="shared" si="147"/>
        <v>0</v>
      </c>
      <c r="AU464" s="98"/>
      <c r="AV464" s="35"/>
      <c r="AW464" s="77"/>
      <c r="AZ464" s="42">
        <f t="shared" si="148"/>
        <v>0</v>
      </c>
      <c r="BD464" s="38">
        <f t="shared" si="154"/>
        <v>0</v>
      </c>
      <c r="BH464" s="38">
        <f t="shared" si="155"/>
        <v>0</v>
      </c>
      <c r="BL464" s="38">
        <f t="shared" si="156"/>
        <v>0</v>
      </c>
      <c r="BR464" s="42">
        <f t="shared" si="157"/>
        <v>19837.269999999997</v>
      </c>
      <c r="BS464" s="43"/>
      <c r="BT464" s="25">
        <v>2102.79</v>
      </c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  <c r="FM464" s="31"/>
      <c r="FN464" s="31"/>
      <c r="FO464" s="31"/>
      <c r="FP464" s="31"/>
      <c r="FQ464" s="31"/>
      <c r="FR464" s="31"/>
      <c r="FS464" s="31"/>
      <c r="FT464" s="31"/>
      <c r="FU464" s="31"/>
      <c r="FV464" s="31"/>
      <c r="FW464" s="31"/>
      <c r="FX464" s="31"/>
      <c r="FY464" s="31"/>
      <c r="FZ464" s="31"/>
      <c r="GA464" s="31"/>
      <c r="GB464" s="31"/>
      <c r="GC464" s="31"/>
      <c r="GD464" s="31"/>
      <c r="GE464" s="31"/>
      <c r="GF464" s="31"/>
      <c r="GG464" s="31"/>
      <c r="GH464" s="31"/>
      <c r="GI464" s="31"/>
      <c r="GJ464" s="31"/>
      <c r="GK464" s="31"/>
      <c r="GL464" s="31"/>
      <c r="GM464" s="31"/>
      <c r="GN464" s="31"/>
      <c r="GO464" s="31"/>
      <c r="GP464" s="31"/>
      <c r="GQ464" s="31"/>
      <c r="GR464" s="31"/>
      <c r="GS464" s="31"/>
      <c r="GT464" s="31"/>
      <c r="GU464" s="31"/>
      <c r="GV464" s="31"/>
      <c r="GW464" s="31"/>
      <c r="GX464" s="31"/>
      <c r="GY464" s="31"/>
      <c r="GZ464" s="31"/>
      <c r="HA464" s="31"/>
      <c r="HB464" s="31"/>
      <c r="HC464" s="31"/>
      <c r="HD464" s="31"/>
      <c r="HE464" s="31"/>
      <c r="HF464" s="31"/>
      <c r="HG464" s="31"/>
      <c r="HH464" s="31"/>
      <c r="HI464" s="31"/>
      <c r="HJ464" s="31"/>
      <c r="HK464" s="31"/>
      <c r="HL464" s="31"/>
      <c r="HM464" s="31"/>
      <c r="HN464" s="31"/>
      <c r="HO464" s="31"/>
      <c r="HP464" s="31"/>
      <c r="HQ464" s="31"/>
      <c r="HR464" s="31"/>
      <c r="HS464" s="31"/>
      <c r="HT464" s="31"/>
      <c r="HU464" s="31"/>
      <c r="HV464" s="31"/>
      <c r="HW464" s="31"/>
      <c r="HX464" s="31"/>
      <c r="HY464" s="31"/>
      <c r="HZ464" s="31"/>
      <c r="IA464" s="31"/>
      <c r="IB464" s="31"/>
      <c r="IC464" s="31"/>
      <c r="ID464" s="31"/>
      <c r="IE464" s="31"/>
      <c r="IF464" s="31"/>
      <c r="IG464" s="31"/>
      <c r="IH464" s="31"/>
      <c r="II464" s="31"/>
      <c r="IJ464" s="31"/>
      <c r="IK464" s="31"/>
      <c r="IL464" s="31"/>
      <c r="IM464" s="31"/>
      <c r="IN464" s="31"/>
      <c r="IO464" s="31"/>
      <c r="IP464" s="31"/>
      <c r="IQ464" s="31"/>
      <c r="IR464" s="31"/>
      <c r="IS464" s="31"/>
      <c r="IT464" s="31"/>
      <c r="IU464" s="31"/>
      <c r="IV464" s="31"/>
      <c r="IW464" s="31"/>
      <c r="IX464" s="31"/>
      <c r="IY464" s="31"/>
      <c r="IZ464" s="31"/>
      <c r="JA464" s="31"/>
      <c r="JB464" s="31"/>
      <c r="JC464" s="31"/>
      <c r="JD464" s="31"/>
      <c r="JE464" s="31"/>
      <c r="JF464" s="31"/>
      <c r="JG464" s="31"/>
      <c r="JH464" s="31"/>
      <c r="JI464" s="31"/>
      <c r="JJ464" s="31"/>
      <c r="JK464" s="31"/>
      <c r="JL464" s="31"/>
      <c r="JM464" s="31"/>
      <c r="JN464" s="31"/>
      <c r="JO464" s="31"/>
      <c r="JP464" s="31"/>
      <c r="JQ464" s="31"/>
      <c r="JR464" s="31"/>
      <c r="JS464" s="31"/>
      <c r="JT464" s="31"/>
      <c r="JU464" s="31"/>
      <c r="JV464" s="31"/>
      <c r="JW464" s="31"/>
      <c r="JX464" s="31"/>
      <c r="JY464" s="31"/>
      <c r="JZ464" s="31"/>
      <c r="KA464" s="31"/>
      <c r="KB464" s="31"/>
      <c r="KC464" s="31"/>
      <c r="KD464" s="31"/>
      <c r="KE464" s="31"/>
      <c r="KF464" s="31"/>
      <c r="KG464" s="31"/>
      <c r="KH464" s="31"/>
      <c r="KI464" s="31"/>
      <c r="KJ464" s="31"/>
      <c r="KK464" s="31"/>
      <c r="KL464" s="31"/>
      <c r="KM464" s="31"/>
      <c r="KN464" s="31"/>
      <c r="KO464" s="31"/>
      <c r="KP464" s="31"/>
      <c r="KQ464" s="31"/>
      <c r="KR464" s="31"/>
      <c r="KS464" s="31"/>
      <c r="KT464" s="31"/>
      <c r="KU464" s="31"/>
      <c r="KV464" s="31"/>
      <c r="KW464" s="31"/>
      <c r="KX464" s="31"/>
      <c r="KY464" s="31"/>
      <c r="KZ464" s="31"/>
      <c r="LA464" s="31"/>
      <c r="LB464" s="31"/>
      <c r="LC464" s="31"/>
      <c r="LD464" s="31"/>
      <c r="LE464" s="31"/>
      <c r="LF464" s="31"/>
      <c r="LG464" s="31"/>
      <c r="LH464" s="31"/>
      <c r="LI464" s="31"/>
      <c r="LJ464" s="31"/>
      <c r="LK464" s="31"/>
      <c r="LL464" s="31"/>
      <c r="LM464" s="31"/>
      <c r="LN464" s="31"/>
      <c r="LO464" s="31"/>
      <c r="LP464" s="31"/>
      <c r="LQ464" s="31"/>
      <c r="LR464" s="31"/>
      <c r="LS464" s="31"/>
      <c r="LT464" s="31"/>
      <c r="LU464" s="31"/>
      <c r="LV464" s="31"/>
      <c r="LW464" s="31"/>
      <c r="LX464" s="31"/>
      <c r="LY464" s="31"/>
      <c r="LZ464" s="31"/>
      <c r="MA464" s="31"/>
      <c r="MB464" s="31"/>
      <c r="MC464" s="31"/>
      <c r="MD464" s="31"/>
      <c r="ME464" s="31"/>
      <c r="MF464" s="31"/>
      <c r="MG464" s="31"/>
      <c r="MH464" s="31"/>
      <c r="MI464" s="31"/>
      <c r="MJ464" s="31"/>
      <c r="MK464" s="31"/>
      <c r="ML464" s="31"/>
      <c r="MM464" s="31"/>
      <c r="MN464" s="31"/>
      <c r="MO464" s="31"/>
      <c r="MP464" s="31"/>
      <c r="MQ464" s="31"/>
      <c r="MR464" s="31"/>
      <c r="MS464" s="31"/>
      <c r="MT464" s="31"/>
      <c r="MU464" s="31"/>
      <c r="MV464" s="31"/>
      <c r="MW464" s="31"/>
      <c r="MX464" s="31"/>
      <c r="MY464" s="31"/>
      <c r="MZ464" s="31"/>
      <c r="NA464" s="31"/>
      <c r="NB464" s="31"/>
      <c r="NC464" s="31"/>
      <c r="ND464" s="31"/>
      <c r="NE464" s="31"/>
      <c r="NF464" s="31"/>
      <c r="NG464" s="31"/>
      <c r="NH464" s="31"/>
      <c r="NI464" s="31"/>
      <c r="NJ464" s="31"/>
      <c r="NK464" s="31"/>
      <c r="NL464" s="31"/>
      <c r="NM464" s="31"/>
      <c r="NN464" s="31"/>
      <c r="NO464" s="31"/>
      <c r="NP464" s="31"/>
      <c r="NQ464" s="31"/>
      <c r="NR464" s="31"/>
      <c r="NS464" s="31"/>
      <c r="NT464" s="31"/>
      <c r="NU464" s="31"/>
      <c r="NV464" s="31"/>
      <c r="NW464" s="31"/>
      <c r="NX464" s="31"/>
      <c r="NY464" s="31"/>
      <c r="NZ464" s="31"/>
      <c r="OA464" s="31"/>
      <c r="OB464" s="31"/>
      <c r="OC464" s="31"/>
      <c r="OD464" s="31"/>
      <c r="OE464" s="31"/>
      <c r="OF464" s="31"/>
      <c r="OG464" s="31"/>
      <c r="OH464" s="31"/>
      <c r="OI464" s="31"/>
      <c r="OJ464" s="31"/>
      <c r="OK464" s="31"/>
      <c r="OL464" s="31"/>
      <c r="OM464" s="31"/>
      <c r="ON464" s="31"/>
      <c r="OO464" s="31"/>
      <c r="OP464" s="31"/>
      <c r="OQ464" s="31"/>
      <c r="OR464" s="31"/>
      <c r="OS464" s="31"/>
      <c r="OT464" s="31"/>
      <c r="OU464" s="31"/>
      <c r="OV464" s="31"/>
      <c r="OW464" s="31"/>
      <c r="OX464" s="31"/>
    </row>
    <row r="465" spans="2:414" s="25" customFormat="1" ht="15.6">
      <c r="B465" s="51" t="s">
        <v>624</v>
      </c>
      <c r="C465" s="27" t="s">
        <v>146</v>
      </c>
      <c r="D465" s="30" t="s">
        <v>465</v>
      </c>
      <c r="G465" s="42">
        <v>80</v>
      </c>
      <c r="H465" s="89">
        <v>26.109000000000002</v>
      </c>
      <c r="I465" s="38">
        <f t="shared" si="150"/>
        <v>2088.7200000000003</v>
      </c>
      <c r="K465" s="42">
        <v>80</v>
      </c>
      <c r="L465" s="90">
        <v>26.849599999999999</v>
      </c>
      <c r="M465" s="38">
        <f t="shared" si="151"/>
        <v>2147.9679999999998</v>
      </c>
      <c r="O465" s="42">
        <v>505</v>
      </c>
      <c r="P465" s="38">
        <v>26.728300000000001</v>
      </c>
      <c r="Q465" s="38">
        <f t="shared" si="152"/>
        <v>13497.791500000001</v>
      </c>
      <c r="R465" s="43">
        <f t="shared" si="149"/>
        <v>665</v>
      </c>
      <c r="S465" s="38">
        <f t="shared" si="153"/>
        <v>17734.479500000001</v>
      </c>
      <c r="T465" s="52">
        <v>240</v>
      </c>
      <c r="U465" s="48">
        <v>26.75</v>
      </c>
      <c r="V465" s="38">
        <f t="shared" si="146"/>
        <v>6420</v>
      </c>
      <c r="W465" s="48">
        <v>505</v>
      </c>
      <c r="X465" s="48">
        <v>26.57</v>
      </c>
      <c r="Y465" s="42">
        <f t="shared" si="144"/>
        <v>13417.85</v>
      </c>
      <c r="AB465" s="42">
        <f t="shared" si="145"/>
        <v>0</v>
      </c>
      <c r="AF465" s="42">
        <f t="shared" si="147"/>
        <v>0</v>
      </c>
      <c r="AU465" s="98"/>
      <c r="AV465" s="35"/>
      <c r="AW465" s="77"/>
      <c r="AZ465" s="42">
        <f t="shared" si="148"/>
        <v>0</v>
      </c>
      <c r="BD465" s="38">
        <f t="shared" si="154"/>
        <v>0</v>
      </c>
      <c r="BH465" s="38">
        <f t="shared" si="155"/>
        <v>0</v>
      </c>
      <c r="BL465" s="38">
        <f t="shared" si="156"/>
        <v>0</v>
      </c>
      <c r="BR465" s="42">
        <f t="shared" si="157"/>
        <v>19837.849999999999</v>
      </c>
      <c r="BS465" s="43"/>
      <c r="BT465" s="25">
        <v>2103.37</v>
      </c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  <c r="FM465" s="31"/>
      <c r="FN465" s="31"/>
      <c r="FO465" s="31"/>
      <c r="FP465" s="31"/>
      <c r="FQ465" s="31"/>
      <c r="FR465" s="31"/>
      <c r="FS465" s="31"/>
      <c r="FT465" s="31"/>
      <c r="FU465" s="31"/>
      <c r="FV465" s="31"/>
      <c r="FW465" s="31"/>
      <c r="FX465" s="31"/>
      <c r="FY465" s="31"/>
      <c r="FZ465" s="31"/>
      <c r="GA465" s="31"/>
      <c r="GB465" s="31"/>
      <c r="GC465" s="31"/>
      <c r="GD465" s="31"/>
      <c r="GE465" s="31"/>
      <c r="GF465" s="31"/>
      <c r="GG465" s="31"/>
      <c r="GH465" s="31"/>
      <c r="GI465" s="31"/>
      <c r="GJ465" s="31"/>
      <c r="GK465" s="31"/>
      <c r="GL465" s="31"/>
      <c r="GM465" s="31"/>
      <c r="GN465" s="31"/>
      <c r="GO465" s="31"/>
      <c r="GP465" s="31"/>
      <c r="GQ465" s="31"/>
      <c r="GR465" s="31"/>
      <c r="GS465" s="31"/>
      <c r="GT465" s="31"/>
      <c r="GU465" s="31"/>
      <c r="GV465" s="31"/>
      <c r="GW465" s="31"/>
      <c r="GX465" s="31"/>
      <c r="GY465" s="31"/>
      <c r="GZ465" s="31"/>
      <c r="HA465" s="31"/>
      <c r="HB465" s="31"/>
      <c r="HC465" s="31"/>
      <c r="HD465" s="31"/>
      <c r="HE465" s="31"/>
      <c r="HF465" s="31"/>
      <c r="HG465" s="31"/>
      <c r="HH465" s="31"/>
      <c r="HI465" s="31"/>
      <c r="HJ465" s="31"/>
      <c r="HK465" s="31"/>
      <c r="HL465" s="31"/>
      <c r="HM465" s="31"/>
      <c r="HN465" s="31"/>
      <c r="HO465" s="31"/>
      <c r="HP465" s="31"/>
      <c r="HQ465" s="31"/>
      <c r="HR465" s="31"/>
      <c r="HS465" s="31"/>
      <c r="HT465" s="31"/>
      <c r="HU465" s="31"/>
      <c r="HV465" s="31"/>
      <c r="HW465" s="31"/>
      <c r="HX465" s="31"/>
      <c r="HY465" s="31"/>
      <c r="HZ465" s="31"/>
      <c r="IA465" s="31"/>
      <c r="IB465" s="31"/>
      <c r="IC465" s="31"/>
      <c r="ID465" s="31"/>
      <c r="IE465" s="31"/>
      <c r="IF465" s="31"/>
      <c r="IG465" s="31"/>
      <c r="IH465" s="31"/>
      <c r="II465" s="31"/>
      <c r="IJ465" s="31"/>
      <c r="IK465" s="31"/>
      <c r="IL465" s="31"/>
      <c r="IM465" s="31"/>
      <c r="IN465" s="31"/>
      <c r="IO465" s="31"/>
      <c r="IP465" s="31"/>
      <c r="IQ465" s="31"/>
      <c r="IR465" s="31"/>
      <c r="IS465" s="31"/>
      <c r="IT465" s="31"/>
      <c r="IU465" s="31"/>
      <c r="IV465" s="31"/>
      <c r="IW465" s="31"/>
      <c r="IX465" s="31"/>
      <c r="IY465" s="31"/>
      <c r="IZ465" s="31"/>
      <c r="JA465" s="31"/>
      <c r="JB465" s="31"/>
      <c r="JC465" s="31"/>
      <c r="JD465" s="31"/>
      <c r="JE465" s="31"/>
      <c r="JF465" s="31"/>
      <c r="JG465" s="31"/>
      <c r="JH465" s="31"/>
      <c r="JI465" s="31"/>
      <c r="JJ465" s="31"/>
      <c r="JK465" s="31"/>
      <c r="JL465" s="31"/>
      <c r="JM465" s="31"/>
      <c r="JN465" s="31"/>
      <c r="JO465" s="31"/>
      <c r="JP465" s="31"/>
      <c r="JQ465" s="31"/>
      <c r="JR465" s="31"/>
      <c r="JS465" s="31"/>
      <c r="JT465" s="31"/>
      <c r="JU465" s="31"/>
      <c r="JV465" s="31"/>
      <c r="JW465" s="31"/>
      <c r="JX465" s="31"/>
      <c r="JY465" s="31"/>
      <c r="JZ465" s="31"/>
      <c r="KA465" s="31"/>
      <c r="KB465" s="31"/>
      <c r="KC465" s="31"/>
      <c r="KD465" s="31"/>
      <c r="KE465" s="31"/>
      <c r="KF465" s="31"/>
      <c r="KG465" s="31"/>
      <c r="KH465" s="31"/>
      <c r="KI465" s="31"/>
      <c r="KJ465" s="31"/>
      <c r="KK465" s="31"/>
      <c r="KL465" s="31"/>
      <c r="KM465" s="31"/>
      <c r="KN465" s="31"/>
      <c r="KO465" s="31"/>
      <c r="KP465" s="31"/>
      <c r="KQ465" s="31"/>
      <c r="KR465" s="31"/>
      <c r="KS465" s="31"/>
      <c r="KT465" s="31"/>
      <c r="KU465" s="31"/>
      <c r="KV465" s="31"/>
      <c r="KW465" s="31"/>
      <c r="KX465" s="31"/>
      <c r="KY465" s="31"/>
      <c r="KZ465" s="31"/>
      <c r="LA465" s="31"/>
      <c r="LB465" s="31"/>
      <c r="LC465" s="31"/>
      <c r="LD465" s="31"/>
      <c r="LE465" s="31"/>
      <c r="LF465" s="31"/>
      <c r="LG465" s="31"/>
      <c r="LH465" s="31"/>
      <c r="LI465" s="31"/>
      <c r="LJ465" s="31"/>
      <c r="LK465" s="31"/>
      <c r="LL465" s="31"/>
      <c r="LM465" s="31"/>
      <c r="LN465" s="31"/>
      <c r="LO465" s="31"/>
      <c r="LP465" s="31"/>
      <c r="LQ465" s="31"/>
      <c r="LR465" s="31"/>
      <c r="LS465" s="31"/>
      <c r="LT465" s="31"/>
      <c r="LU465" s="31"/>
      <c r="LV465" s="31"/>
      <c r="LW465" s="31"/>
      <c r="LX465" s="31"/>
      <c r="LY465" s="31"/>
      <c r="LZ465" s="31"/>
      <c r="MA465" s="31"/>
      <c r="MB465" s="31"/>
      <c r="MC465" s="31"/>
      <c r="MD465" s="31"/>
      <c r="ME465" s="31"/>
      <c r="MF465" s="31"/>
      <c r="MG465" s="31"/>
      <c r="MH465" s="31"/>
      <c r="MI465" s="31"/>
      <c r="MJ465" s="31"/>
      <c r="MK465" s="31"/>
      <c r="ML465" s="31"/>
      <c r="MM465" s="31"/>
      <c r="MN465" s="31"/>
      <c r="MO465" s="31"/>
      <c r="MP465" s="31"/>
      <c r="MQ465" s="31"/>
      <c r="MR465" s="31"/>
      <c r="MS465" s="31"/>
      <c r="MT465" s="31"/>
      <c r="MU465" s="31"/>
      <c r="MV465" s="31"/>
      <c r="MW465" s="31"/>
      <c r="MX465" s="31"/>
      <c r="MY465" s="31"/>
      <c r="MZ465" s="31"/>
      <c r="NA465" s="31"/>
      <c r="NB465" s="31"/>
      <c r="NC465" s="31"/>
      <c r="ND465" s="31"/>
      <c r="NE465" s="31"/>
      <c r="NF465" s="31"/>
      <c r="NG465" s="31"/>
      <c r="NH465" s="31"/>
      <c r="NI465" s="31"/>
      <c r="NJ465" s="31"/>
      <c r="NK465" s="31"/>
      <c r="NL465" s="31"/>
      <c r="NM465" s="31"/>
      <c r="NN465" s="31"/>
      <c r="NO465" s="31"/>
      <c r="NP465" s="31"/>
      <c r="NQ465" s="31"/>
      <c r="NR465" s="31"/>
      <c r="NS465" s="31"/>
      <c r="NT465" s="31"/>
      <c r="NU465" s="31"/>
      <c r="NV465" s="31"/>
      <c r="NW465" s="31"/>
      <c r="NX465" s="31"/>
      <c r="NY465" s="31"/>
      <c r="NZ465" s="31"/>
      <c r="OA465" s="31"/>
      <c r="OB465" s="31"/>
      <c r="OC465" s="31"/>
      <c r="OD465" s="31"/>
      <c r="OE465" s="31"/>
      <c r="OF465" s="31"/>
      <c r="OG465" s="31"/>
      <c r="OH465" s="31"/>
      <c r="OI465" s="31"/>
      <c r="OJ465" s="31"/>
      <c r="OK465" s="31"/>
      <c r="OL465" s="31"/>
      <c r="OM465" s="31"/>
      <c r="ON465" s="31"/>
      <c r="OO465" s="31"/>
      <c r="OP465" s="31"/>
      <c r="OQ465" s="31"/>
      <c r="OR465" s="31"/>
      <c r="OS465" s="31"/>
      <c r="OT465" s="31"/>
      <c r="OU465" s="31"/>
      <c r="OV465" s="31"/>
      <c r="OW465" s="31"/>
      <c r="OX465" s="31"/>
    </row>
    <row r="466" spans="2:414" s="25" customFormat="1" ht="15.6">
      <c r="B466" s="51" t="s">
        <v>330</v>
      </c>
      <c r="C466" s="27" t="s">
        <v>1008</v>
      </c>
      <c r="D466" s="30" t="s">
        <v>355</v>
      </c>
      <c r="G466" s="42">
        <v>80</v>
      </c>
      <c r="H466" s="89">
        <v>26.109000000000002</v>
      </c>
      <c r="I466" s="38">
        <f t="shared" si="150"/>
        <v>2088.7200000000003</v>
      </c>
      <c r="K466" s="42">
        <v>80</v>
      </c>
      <c r="L466" s="90">
        <v>26.849599999999999</v>
      </c>
      <c r="M466" s="38">
        <f t="shared" si="151"/>
        <v>2147.9679999999998</v>
      </c>
      <c r="O466" s="42">
        <v>505</v>
      </c>
      <c r="P466" s="38">
        <v>26.728300000000001</v>
      </c>
      <c r="Q466" s="38">
        <f t="shared" si="152"/>
        <v>13497.791500000001</v>
      </c>
      <c r="R466" s="43">
        <f t="shared" si="149"/>
        <v>665</v>
      </c>
      <c r="S466" s="38">
        <f t="shared" si="153"/>
        <v>17734.479500000001</v>
      </c>
      <c r="T466" s="52">
        <v>240</v>
      </c>
      <c r="U466" s="48">
        <v>26.732700000000001</v>
      </c>
      <c r="V466" s="38">
        <f t="shared" si="146"/>
        <v>6415.848</v>
      </c>
      <c r="W466" s="48">
        <v>505</v>
      </c>
      <c r="X466" s="48">
        <v>26.7165</v>
      </c>
      <c r="Y466" s="42">
        <f t="shared" si="144"/>
        <v>13491.8325</v>
      </c>
      <c r="AB466" s="42">
        <f t="shared" si="145"/>
        <v>0</v>
      </c>
      <c r="AF466" s="42">
        <f t="shared" si="147"/>
        <v>0</v>
      </c>
      <c r="AU466" s="98"/>
      <c r="AV466" s="35"/>
      <c r="AW466" s="77"/>
      <c r="AZ466" s="42">
        <f t="shared" si="148"/>
        <v>0</v>
      </c>
      <c r="BD466" s="38">
        <f t="shared" si="154"/>
        <v>0</v>
      </c>
      <c r="BH466" s="38">
        <f t="shared" si="155"/>
        <v>0</v>
      </c>
      <c r="BL466" s="38">
        <f t="shared" si="156"/>
        <v>0</v>
      </c>
      <c r="BR466" s="42">
        <f t="shared" si="157"/>
        <v>19907.680500000002</v>
      </c>
      <c r="BS466" s="43"/>
      <c r="BT466" s="25">
        <v>2173.1999999999998</v>
      </c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  <c r="FM466" s="31"/>
      <c r="FN466" s="31"/>
      <c r="FO466" s="31"/>
      <c r="FP466" s="31"/>
      <c r="FQ466" s="31"/>
      <c r="FR466" s="31"/>
      <c r="FS466" s="31"/>
      <c r="FT466" s="31"/>
      <c r="FU466" s="31"/>
      <c r="FV466" s="31"/>
      <c r="FW466" s="31"/>
      <c r="FX466" s="31"/>
      <c r="FY466" s="31"/>
      <c r="FZ466" s="31"/>
      <c r="GA466" s="31"/>
      <c r="GB466" s="31"/>
      <c r="GC466" s="31"/>
      <c r="GD466" s="31"/>
      <c r="GE466" s="31"/>
      <c r="GF466" s="31"/>
      <c r="GG466" s="31"/>
      <c r="GH466" s="31"/>
      <c r="GI466" s="31"/>
      <c r="GJ466" s="31"/>
      <c r="GK466" s="31"/>
      <c r="GL466" s="31"/>
      <c r="GM466" s="31"/>
      <c r="GN466" s="31"/>
      <c r="GO466" s="31"/>
      <c r="GP466" s="31"/>
      <c r="GQ466" s="31"/>
      <c r="GR466" s="31"/>
      <c r="GS466" s="31"/>
      <c r="GT466" s="31"/>
      <c r="GU466" s="31"/>
      <c r="GV466" s="31"/>
      <c r="GW466" s="31"/>
      <c r="GX466" s="31"/>
      <c r="GY466" s="31"/>
      <c r="GZ466" s="31"/>
      <c r="HA466" s="31"/>
      <c r="HB466" s="31"/>
      <c r="HC466" s="31"/>
      <c r="HD466" s="31"/>
      <c r="HE466" s="31"/>
      <c r="HF466" s="31"/>
      <c r="HG466" s="31"/>
      <c r="HH466" s="31"/>
      <c r="HI466" s="31"/>
      <c r="HJ466" s="31"/>
      <c r="HK466" s="31"/>
      <c r="HL466" s="31"/>
      <c r="HM466" s="31"/>
      <c r="HN466" s="31"/>
      <c r="HO466" s="31"/>
      <c r="HP466" s="31"/>
      <c r="HQ466" s="31"/>
      <c r="HR466" s="31"/>
      <c r="HS466" s="31"/>
      <c r="HT466" s="31"/>
      <c r="HU466" s="31"/>
      <c r="HV466" s="31"/>
      <c r="HW466" s="31"/>
      <c r="HX466" s="31"/>
      <c r="HY466" s="31"/>
      <c r="HZ466" s="31"/>
      <c r="IA466" s="31"/>
      <c r="IB466" s="31"/>
      <c r="IC466" s="31"/>
      <c r="ID466" s="31"/>
      <c r="IE466" s="31"/>
      <c r="IF466" s="31"/>
      <c r="IG466" s="31"/>
      <c r="IH466" s="31"/>
      <c r="II466" s="31"/>
      <c r="IJ466" s="31"/>
      <c r="IK466" s="31"/>
      <c r="IL466" s="31"/>
      <c r="IM466" s="31"/>
      <c r="IN466" s="31"/>
      <c r="IO466" s="31"/>
      <c r="IP466" s="31"/>
      <c r="IQ466" s="31"/>
      <c r="IR466" s="31"/>
      <c r="IS466" s="31"/>
      <c r="IT466" s="31"/>
      <c r="IU466" s="31"/>
      <c r="IV466" s="31"/>
      <c r="IW466" s="31"/>
      <c r="IX466" s="31"/>
      <c r="IY466" s="31"/>
      <c r="IZ466" s="31"/>
      <c r="JA466" s="31"/>
      <c r="JB466" s="31"/>
      <c r="JC466" s="31"/>
      <c r="JD466" s="31"/>
      <c r="JE466" s="31"/>
      <c r="JF466" s="31"/>
      <c r="JG466" s="31"/>
      <c r="JH466" s="31"/>
      <c r="JI466" s="31"/>
      <c r="JJ466" s="31"/>
      <c r="JK466" s="31"/>
      <c r="JL466" s="31"/>
      <c r="JM466" s="31"/>
      <c r="JN466" s="31"/>
      <c r="JO466" s="31"/>
      <c r="JP466" s="31"/>
      <c r="JQ466" s="31"/>
      <c r="JR466" s="31"/>
      <c r="JS466" s="31"/>
      <c r="JT466" s="31"/>
      <c r="JU466" s="31"/>
      <c r="JV466" s="31"/>
      <c r="JW466" s="31"/>
      <c r="JX466" s="31"/>
      <c r="JY466" s="31"/>
      <c r="JZ466" s="31"/>
      <c r="KA466" s="31"/>
      <c r="KB466" s="31"/>
      <c r="KC466" s="31"/>
      <c r="KD466" s="31"/>
      <c r="KE466" s="31"/>
      <c r="KF466" s="31"/>
      <c r="KG466" s="31"/>
      <c r="KH466" s="31"/>
      <c r="KI466" s="31"/>
      <c r="KJ466" s="31"/>
      <c r="KK466" s="31"/>
      <c r="KL466" s="31"/>
      <c r="KM466" s="31"/>
      <c r="KN466" s="31"/>
      <c r="KO466" s="31"/>
      <c r="KP466" s="31"/>
      <c r="KQ466" s="31"/>
      <c r="KR466" s="31"/>
      <c r="KS466" s="31"/>
      <c r="KT466" s="31"/>
      <c r="KU466" s="31"/>
      <c r="KV466" s="31"/>
      <c r="KW466" s="31"/>
      <c r="KX466" s="31"/>
      <c r="KY466" s="31"/>
      <c r="KZ466" s="31"/>
      <c r="LA466" s="31"/>
      <c r="LB466" s="31"/>
      <c r="LC466" s="31"/>
      <c r="LD466" s="31"/>
      <c r="LE466" s="31"/>
      <c r="LF466" s="31"/>
      <c r="LG466" s="31"/>
      <c r="LH466" s="31"/>
      <c r="LI466" s="31"/>
      <c r="LJ466" s="31"/>
      <c r="LK466" s="31"/>
      <c r="LL466" s="31"/>
      <c r="LM466" s="31"/>
      <c r="LN466" s="31"/>
      <c r="LO466" s="31"/>
      <c r="LP466" s="31"/>
      <c r="LQ466" s="31"/>
      <c r="LR466" s="31"/>
      <c r="LS466" s="31"/>
      <c r="LT466" s="31"/>
      <c r="LU466" s="31"/>
      <c r="LV466" s="31"/>
      <c r="LW466" s="31"/>
      <c r="LX466" s="31"/>
      <c r="LY466" s="31"/>
      <c r="LZ466" s="31"/>
      <c r="MA466" s="31"/>
      <c r="MB466" s="31"/>
      <c r="MC466" s="31"/>
      <c r="MD466" s="31"/>
      <c r="ME466" s="31"/>
      <c r="MF466" s="31"/>
      <c r="MG466" s="31"/>
      <c r="MH466" s="31"/>
      <c r="MI466" s="31"/>
      <c r="MJ466" s="31"/>
      <c r="MK466" s="31"/>
      <c r="ML466" s="31"/>
      <c r="MM466" s="31"/>
      <c r="MN466" s="31"/>
      <c r="MO466" s="31"/>
      <c r="MP466" s="31"/>
      <c r="MQ466" s="31"/>
      <c r="MR466" s="31"/>
      <c r="MS466" s="31"/>
      <c r="MT466" s="31"/>
      <c r="MU466" s="31"/>
      <c r="MV466" s="31"/>
      <c r="MW466" s="31"/>
      <c r="MX466" s="31"/>
      <c r="MY466" s="31"/>
      <c r="MZ466" s="31"/>
      <c r="NA466" s="31"/>
      <c r="NB466" s="31"/>
      <c r="NC466" s="31"/>
      <c r="ND466" s="31"/>
      <c r="NE466" s="31"/>
      <c r="NF466" s="31"/>
      <c r="NG466" s="31"/>
      <c r="NH466" s="31"/>
      <c r="NI466" s="31"/>
      <c r="NJ466" s="31"/>
      <c r="NK466" s="31"/>
      <c r="NL466" s="31"/>
      <c r="NM466" s="31"/>
      <c r="NN466" s="31"/>
      <c r="NO466" s="31"/>
      <c r="NP466" s="31"/>
      <c r="NQ466" s="31"/>
      <c r="NR466" s="31"/>
      <c r="NS466" s="31"/>
      <c r="NT466" s="31"/>
      <c r="NU466" s="31"/>
      <c r="NV466" s="31"/>
      <c r="NW466" s="31"/>
      <c r="NX466" s="31"/>
      <c r="NY466" s="31"/>
      <c r="NZ466" s="31"/>
      <c r="OA466" s="31"/>
      <c r="OB466" s="31"/>
      <c r="OC466" s="31"/>
      <c r="OD466" s="31"/>
      <c r="OE466" s="31"/>
      <c r="OF466" s="31"/>
      <c r="OG466" s="31"/>
      <c r="OH466" s="31"/>
      <c r="OI466" s="31"/>
      <c r="OJ466" s="31"/>
      <c r="OK466" s="31"/>
      <c r="OL466" s="31"/>
      <c r="OM466" s="31"/>
      <c r="ON466" s="31"/>
      <c r="OO466" s="31"/>
      <c r="OP466" s="31"/>
      <c r="OQ466" s="31"/>
      <c r="OR466" s="31"/>
      <c r="OS466" s="31"/>
      <c r="OT466" s="31"/>
      <c r="OU466" s="31"/>
      <c r="OV466" s="31"/>
      <c r="OW466" s="31"/>
      <c r="OX466" s="31"/>
    </row>
    <row r="467" spans="2:414" s="25" customFormat="1" ht="15.6">
      <c r="B467" s="51" t="s">
        <v>709</v>
      </c>
      <c r="C467" s="27" t="s">
        <v>710</v>
      </c>
      <c r="D467" s="30" t="s">
        <v>355</v>
      </c>
      <c r="G467" s="42">
        <v>80</v>
      </c>
      <c r="H467" s="89">
        <v>26.109000000000002</v>
      </c>
      <c r="I467" s="38">
        <f t="shared" si="150"/>
        <v>2088.7200000000003</v>
      </c>
      <c r="K467" s="42">
        <v>80</v>
      </c>
      <c r="L467" s="90">
        <v>26.849599999999999</v>
      </c>
      <c r="M467" s="38">
        <f t="shared" si="151"/>
        <v>2147.9679999999998</v>
      </c>
      <c r="O467" s="42">
        <v>505</v>
      </c>
      <c r="P467" s="38">
        <v>26.728300000000001</v>
      </c>
      <c r="Q467" s="38">
        <f t="shared" si="152"/>
        <v>13497.791500000001</v>
      </c>
      <c r="R467" s="43">
        <f t="shared" si="149"/>
        <v>665</v>
      </c>
      <c r="S467" s="38">
        <f t="shared" si="153"/>
        <v>17734.479500000001</v>
      </c>
      <c r="T467" s="52">
        <v>160</v>
      </c>
      <c r="U467" s="48">
        <v>26.890499999999999</v>
      </c>
      <c r="V467" s="38">
        <f t="shared" si="146"/>
        <v>4302.4799999999996</v>
      </c>
      <c r="W467" s="48">
        <v>505</v>
      </c>
      <c r="X467" s="48">
        <v>26.731200000000001</v>
      </c>
      <c r="Y467" s="42">
        <f t="shared" si="144"/>
        <v>13499.256000000001</v>
      </c>
      <c r="AB467" s="42">
        <f t="shared" si="145"/>
        <v>0</v>
      </c>
      <c r="AF467" s="42">
        <f t="shared" si="147"/>
        <v>0</v>
      </c>
      <c r="AU467" s="98"/>
      <c r="AV467" s="35"/>
      <c r="AW467" s="77"/>
      <c r="AZ467" s="42">
        <f t="shared" si="148"/>
        <v>0</v>
      </c>
      <c r="BD467" s="38">
        <f t="shared" si="154"/>
        <v>0</v>
      </c>
      <c r="BH467" s="38">
        <f t="shared" si="155"/>
        <v>0</v>
      </c>
      <c r="BL467" s="38">
        <f t="shared" si="156"/>
        <v>0</v>
      </c>
      <c r="BR467" s="42">
        <f t="shared" si="157"/>
        <v>17801.736000000001</v>
      </c>
      <c r="BS467" s="43"/>
      <c r="BT467" s="25">
        <v>67.260000000000005</v>
      </c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  <c r="FM467" s="31"/>
      <c r="FN467" s="31"/>
      <c r="FO467" s="31"/>
      <c r="FP467" s="31"/>
      <c r="FQ467" s="31"/>
      <c r="FR467" s="31"/>
      <c r="FS467" s="31"/>
      <c r="FT467" s="31"/>
      <c r="FU467" s="31"/>
      <c r="FV467" s="31"/>
      <c r="FW467" s="31"/>
      <c r="FX467" s="31"/>
      <c r="FY467" s="31"/>
      <c r="FZ467" s="31"/>
      <c r="GA467" s="31"/>
      <c r="GB467" s="31"/>
      <c r="GC467" s="31"/>
      <c r="GD467" s="31"/>
      <c r="GE467" s="31"/>
      <c r="GF467" s="31"/>
      <c r="GG467" s="31"/>
      <c r="GH467" s="31"/>
      <c r="GI467" s="31"/>
      <c r="GJ467" s="31"/>
      <c r="GK467" s="31"/>
      <c r="GL467" s="31"/>
      <c r="GM467" s="31"/>
      <c r="GN467" s="31"/>
      <c r="GO467" s="31"/>
      <c r="GP467" s="31"/>
      <c r="GQ467" s="31"/>
      <c r="GR467" s="31"/>
      <c r="GS467" s="31"/>
      <c r="GT467" s="31"/>
      <c r="GU467" s="31"/>
      <c r="GV467" s="31"/>
      <c r="GW467" s="31"/>
      <c r="GX467" s="31"/>
      <c r="GY467" s="31"/>
      <c r="GZ467" s="31"/>
      <c r="HA467" s="31"/>
      <c r="HB467" s="31"/>
      <c r="HC467" s="31"/>
      <c r="HD467" s="31"/>
      <c r="HE467" s="31"/>
      <c r="HF467" s="31"/>
      <c r="HG467" s="31"/>
      <c r="HH467" s="31"/>
      <c r="HI467" s="31"/>
      <c r="HJ467" s="31"/>
      <c r="HK467" s="31"/>
      <c r="HL467" s="31"/>
      <c r="HM467" s="31"/>
      <c r="HN467" s="31"/>
      <c r="HO467" s="31"/>
      <c r="HP467" s="31"/>
      <c r="HQ467" s="31"/>
      <c r="HR467" s="31"/>
      <c r="HS467" s="31"/>
      <c r="HT467" s="31"/>
      <c r="HU467" s="31"/>
      <c r="HV467" s="31"/>
      <c r="HW467" s="31"/>
      <c r="HX467" s="31"/>
      <c r="HY467" s="31"/>
      <c r="HZ467" s="31"/>
      <c r="IA467" s="31"/>
      <c r="IB467" s="31"/>
      <c r="IC467" s="31"/>
      <c r="ID467" s="31"/>
      <c r="IE467" s="31"/>
      <c r="IF467" s="31"/>
      <c r="IG467" s="31"/>
      <c r="IH467" s="31"/>
      <c r="II467" s="31"/>
      <c r="IJ467" s="31"/>
      <c r="IK467" s="31"/>
      <c r="IL467" s="31"/>
      <c r="IM467" s="31"/>
      <c r="IN467" s="31"/>
      <c r="IO467" s="31"/>
      <c r="IP467" s="31"/>
      <c r="IQ467" s="31"/>
      <c r="IR467" s="31"/>
      <c r="IS467" s="31"/>
      <c r="IT467" s="31"/>
      <c r="IU467" s="31"/>
      <c r="IV467" s="31"/>
      <c r="IW467" s="31"/>
      <c r="IX467" s="31"/>
      <c r="IY467" s="31"/>
      <c r="IZ467" s="31"/>
      <c r="JA467" s="31"/>
      <c r="JB467" s="31"/>
      <c r="JC467" s="31"/>
      <c r="JD467" s="31"/>
      <c r="JE467" s="31"/>
      <c r="JF467" s="31"/>
      <c r="JG467" s="31"/>
      <c r="JH467" s="31"/>
      <c r="JI467" s="31"/>
      <c r="JJ467" s="31"/>
      <c r="JK467" s="31"/>
      <c r="JL467" s="31"/>
      <c r="JM467" s="31"/>
      <c r="JN467" s="31"/>
      <c r="JO467" s="31"/>
      <c r="JP467" s="31"/>
      <c r="JQ467" s="31"/>
      <c r="JR467" s="31"/>
      <c r="JS467" s="31"/>
      <c r="JT467" s="31"/>
      <c r="JU467" s="31"/>
      <c r="JV467" s="31"/>
      <c r="JW467" s="31"/>
      <c r="JX467" s="31"/>
      <c r="JY467" s="31"/>
      <c r="JZ467" s="31"/>
      <c r="KA467" s="31"/>
      <c r="KB467" s="31"/>
      <c r="KC467" s="31"/>
      <c r="KD467" s="31"/>
      <c r="KE467" s="31"/>
      <c r="KF467" s="31"/>
      <c r="KG467" s="31"/>
      <c r="KH467" s="31"/>
      <c r="KI467" s="31"/>
      <c r="KJ467" s="31"/>
      <c r="KK467" s="31"/>
      <c r="KL467" s="31"/>
      <c r="KM467" s="31"/>
      <c r="KN467" s="31"/>
      <c r="KO467" s="31"/>
      <c r="KP467" s="31"/>
      <c r="KQ467" s="31"/>
      <c r="KR467" s="31"/>
      <c r="KS467" s="31"/>
      <c r="KT467" s="31"/>
      <c r="KU467" s="31"/>
      <c r="KV467" s="31"/>
      <c r="KW467" s="31"/>
      <c r="KX467" s="31"/>
      <c r="KY467" s="31"/>
      <c r="KZ467" s="31"/>
      <c r="LA467" s="31"/>
      <c r="LB467" s="31"/>
      <c r="LC467" s="31"/>
      <c r="LD467" s="31"/>
      <c r="LE467" s="31"/>
      <c r="LF467" s="31"/>
      <c r="LG467" s="31"/>
      <c r="LH467" s="31"/>
      <c r="LI467" s="31"/>
      <c r="LJ467" s="31"/>
      <c r="LK467" s="31"/>
      <c r="LL467" s="31"/>
      <c r="LM467" s="31"/>
      <c r="LN467" s="31"/>
      <c r="LO467" s="31"/>
      <c r="LP467" s="31"/>
      <c r="LQ467" s="31"/>
      <c r="LR467" s="31"/>
      <c r="LS467" s="31"/>
      <c r="LT467" s="31"/>
      <c r="LU467" s="31"/>
      <c r="LV467" s="31"/>
      <c r="LW467" s="31"/>
      <c r="LX467" s="31"/>
      <c r="LY467" s="31"/>
      <c r="LZ467" s="31"/>
      <c r="MA467" s="31"/>
      <c r="MB467" s="31"/>
      <c r="MC467" s="31"/>
      <c r="MD467" s="31"/>
      <c r="ME467" s="31"/>
      <c r="MF467" s="31"/>
      <c r="MG467" s="31"/>
      <c r="MH467" s="31"/>
      <c r="MI467" s="31"/>
      <c r="MJ467" s="31"/>
      <c r="MK467" s="31"/>
      <c r="ML467" s="31"/>
      <c r="MM467" s="31"/>
      <c r="MN467" s="31"/>
      <c r="MO467" s="31"/>
      <c r="MP467" s="31"/>
      <c r="MQ467" s="31"/>
      <c r="MR467" s="31"/>
      <c r="MS467" s="31"/>
      <c r="MT467" s="31"/>
      <c r="MU467" s="31"/>
      <c r="MV467" s="31"/>
      <c r="MW467" s="31"/>
      <c r="MX467" s="31"/>
      <c r="MY467" s="31"/>
      <c r="MZ467" s="31"/>
      <c r="NA467" s="31"/>
      <c r="NB467" s="31"/>
      <c r="NC467" s="31"/>
      <c r="ND467" s="31"/>
      <c r="NE467" s="31"/>
      <c r="NF467" s="31"/>
      <c r="NG467" s="31"/>
      <c r="NH467" s="31"/>
      <c r="NI467" s="31"/>
      <c r="NJ467" s="31"/>
      <c r="NK467" s="31"/>
      <c r="NL467" s="31"/>
      <c r="NM467" s="31"/>
      <c r="NN467" s="31"/>
      <c r="NO467" s="31"/>
      <c r="NP467" s="31"/>
      <c r="NQ467" s="31"/>
      <c r="NR467" s="31"/>
      <c r="NS467" s="31"/>
      <c r="NT467" s="31"/>
      <c r="NU467" s="31"/>
      <c r="NV467" s="31"/>
      <c r="NW467" s="31"/>
      <c r="NX467" s="31"/>
      <c r="NY467" s="31"/>
      <c r="NZ467" s="31"/>
      <c r="OA467" s="31"/>
      <c r="OB467" s="31"/>
      <c r="OC467" s="31"/>
      <c r="OD467" s="31"/>
      <c r="OE467" s="31"/>
      <c r="OF467" s="31"/>
      <c r="OG467" s="31"/>
      <c r="OH467" s="31"/>
      <c r="OI467" s="31"/>
      <c r="OJ467" s="31"/>
      <c r="OK467" s="31"/>
      <c r="OL467" s="31"/>
      <c r="OM467" s="31"/>
      <c r="ON467" s="31"/>
      <c r="OO467" s="31"/>
      <c r="OP467" s="31"/>
      <c r="OQ467" s="31"/>
      <c r="OR467" s="31"/>
      <c r="OS467" s="31"/>
      <c r="OT467" s="31"/>
      <c r="OU467" s="31"/>
      <c r="OV467" s="31"/>
      <c r="OW467" s="31"/>
      <c r="OX467" s="31"/>
    </row>
    <row r="468" spans="2:414" s="25" customFormat="1" ht="15.6">
      <c r="B468" s="51" t="s">
        <v>1009</v>
      </c>
      <c r="C468" s="27" t="s">
        <v>113</v>
      </c>
      <c r="D468" s="30" t="s">
        <v>355</v>
      </c>
      <c r="G468" s="42">
        <v>80</v>
      </c>
      <c r="H468" s="89">
        <v>26.109000000000002</v>
      </c>
      <c r="I468" s="38">
        <f t="shared" si="150"/>
        <v>2088.7200000000003</v>
      </c>
      <c r="K468" s="42">
        <v>80</v>
      </c>
      <c r="L468" s="90">
        <v>26.849599999999999</v>
      </c>
      <c r="M468" s="38">
        <f t="shared" si="151"/>
        <v>2147.9679999999998</v>
      </c>
      <c r="O468" s="42">
        <v>505</v>
      </c>
      <c r="P468" s="38">
        <v>26.728300000000001</v>
      </c>
      <c r="Q468" s="38">
        <f t="shared" si="152"/>
        <v>13497.791500000001</v>
      </c>
      <c r="R468" s="43">
        <f t="shared" si="149"/>
        <v>665</v>
      </c>
      <c r="S468" s="38">
        <f t="shared" si="153"/>
        <v>17734.479500000001</v>
      </c>
      <c r="T468" s="52">
        <v>240</v>
      </c>
      <c r="U468" s="48">
        <v>26.89</v>
      </c>
      <c r="V468" s="38">
        <f t="shared" si="146"/>
        <v>6453.6</v>
      </c>
      <c r="W468" s="48">
        <v>505</v>
      </c>
      <c r="X468" s="48">
        <v>26.73</v>
      </c>
      <c r="Y468" s="42">
        <f t="shared" si="144"/>
        <v>13498.65</v>
      </c>
      <c r="AB468" s="42">
        <f t="shared" si="145"/>
        <v>0</v>
      </c>
      <c r="AF468" s="42">
        <f t="shared" si="147"/>
        <v>0</v>
      </c>
      <c r="AU468" s="98"/>
      <c r="AV468" s="35"/>
      <c r="AW468" s="77"/>
      <c r="AZ468" s="42">
        <f t="shared" si="148"/>
        <v>0</v>
      </c>
      <c r="BD468" s="38">
        <f t="shared" si="154"/>
        <v>0</v>
      </c>
      <c r="BH468" s="38">
        <f t="shared" si="155"/>
        <v>0</v>
      </c>
      <c r="BL468" s="38">
        <f t="shared" si="156"/>
        <v>0</v>
      </c>
      <c r="BR468" s="42">
        <f t="shared" si="157"/>
        <v>19952.25</v>
      </c>
      <c r="BS468" s="43"/>
      <c r="BT468" s="25">
        <v>2217.77</v>
      </c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  <c r="FM468" s="31"/>
      <c r="FN468" s="31"/>
      <c r="FO468" s="31"/>
      <c r="FP468" s="31"/>
      <c r="FQ468" s="31"/>
      <c r="FR468" s="31"/>
      <c r="FS468" s="31"/>
      <c r="FT468" s="31"/>
      <c r="FU468" s="31"/>
      <c r="FV468" s="31"/>
      <c r="FW468" s="31"/>
      <c r="FX468" s="31"/>
      <c r="FY468" s="31"/>
      <c r="FZ468" s="31"/>
      <c r="GA468" s="31"/>
      <c r="GB468" s="31"/>
      <c r="GC468" s="31"/>
      <c r="GD468" s="31"/>
      <c r="GE468" s="31"/>
      <c r="GF468" s="31"/>
      <c r="GG468" s="31"/>
      <c r="GH468" s="31"/>
      <c r="GI468" s="31"/>
      <c r="GJ468" s="31"/>
      <c r="GK468" s="31"/>
      <c r="GL468" s="31"/>
      <c r="GM468" s="31"/>
      <c r="GN468" s="31"/>
      <c r="GO468" s="31"/>
      <c r="GP468" s="31"/>
      <c r="GQ468" s="31"/>
      <c r="GR468" s="31"/>
      <c r="GS468" s="31"/>
      <c r="GT468" s="31"/>
      <c r="GU468" s="31"/>
      <c r="GV468" s="31"/>
      <c r="GW468" s="31"/>
      <c r="GX468" s="31"/>
      <c r="GY468" s="31"/>
      <c r="GZ468" s="31"/>
      <c r="HA468" s="31"/>
      <c r="HB468" s="31"/>
      <c r="HC468" s="31"/>
      <c r="HD468" s="31"/>
      <c r="HE468" s="31"/>
      <c r="HF468" s="31"/>
      <c r="HG468" s="31"/>
      <c r="HH468" s="31"/>
      <c r="HI468" s="31"/>
      <c r="HJ468" s="31"/>
      <c r="HK468" s="31"/>
      <c r="HL468" s="31"/>
      <c r="HM468" s="31"/>
      <c r="HN468" s="31"/>
      <c r="HO468" s="31"/>
      <c r="HP468" s="31"/>
      <c r="HQ468" s="31"/>
      <c r="HR468" s="31"/>
      <c r="HS468" s="31"/>
      <c r="HT468" s="31"/>
      <c r="HU468" s="31"/>
      <c r="HV468" s="31"/>
      <c r="HW468" s="31"/>
      <c r="HX468" s="31"/>
      <c r="HY468" s="31"/>
      <c r="HZ468" s="31"/>
      <c r="IA468" s="31"/>
      <c r="IB468" s="31"/>
      <c r="IC468" s="31"/>
      <c r="ID468" s="31"/>
      <c r="IE468" s="31"/>
      <c r="IF468" s="31"/>
      <c r="IG468" s="31"/>
      <c r="IH468" s="31"/>
      <c r="II468" s="31"/>
      <c r="IJ468" s="31"/>
      <c r="IK468" s="31"/>
      <c r="IL468" s="31"/>
      <c r="IM468" s="31"/>
      <c r="IN468" s="31"/>
      <c r="IO468" s="31"/>
      <c r="IP468" s="31"/>
      <c r="IQ468" s="31"/>
      <c r="IR468" s="31"/>
      <c r="IS468" s="31"/>
      <c r="IT468" s="31"/>
      <c r="IU468" s="31"/>
      <c r="IV468" s="31"/>
      <c r="IW468" s="31"/>
      <c r="IX468" s="31"/>
      <c r="IY468" s="31"/>
      <c r="IZ468" s="31"/>
      <c r="JA468" s="31"/>
      <c r="JB468" s="31"/>
      <c r="JC468" s="31"/>
      <c r="JD468" s="31"/>
      <c r="JE468" s="31"/>
      <c r="JF468" s="31"/>
      <c r="JG468" s="31"/>
      <c r="JH468" s="31"/>
      <c r="JI468" s="31"/>
      <c r="JJ468" s="31"/>
      <c r="JK468" s="31"/>
      <c r="JL468" s="31"/>
      <c r="JM468" s="31"/>
      <c r="JN468" s="31"/>
      <c r="JO468" s="31"/>
      <c r="JP468" s="31"/>
      <c r="JQ468" s="31"/>
      <c r="JR468" s="31"/>
      <c r="JS468" s="31"/>
      <c r="JT468" s="31"/>
      <c r="JU468" s="31"/>
      <c r="JV468" s="31"/>
      <c r="JW468" s="31"/>
      <c r="JX468" s="31"/>
      <c r="JY468" s="31"/>
      <c r="JZ468" s="31"/>
      <c r="KA468" s="31"/>
      <c r="KB468" s="31"/>
      <c r="KC468" s="31"/>
      <c r="KD468" s="31"/>
      <c r="KE468" s="31"/>
      <c r="KF468" s="31"/>
      <c r="KG468" s="31"/>
      <c r="KH468" s="31"/>
      <c r="KI468" s="31"/>
      <c r="KJ468" s="31"/>
      <c r="KK468" s="31"/>
      <c r="KL468" s="31"/>
      <c r="KM468" s="31"/>
      <c r="KN468" s="31"/>
      <c r="KO468" s="31"/>
      <c r="KP468" s="31"/>
      <c r="KQ468" s="31"/>
      <c r="KR468" s="31"/>
      <c r="KS468" s="31"/>
      <c r="KT468" s="31"/>
      <c r="KU468" s="31"/>
      <c r="KV468" s="31"/>
      <c r="KW468" s="31"/>
      <c r="KX468" s="31"/>
      <c r="KY468" s="31"/>
      <c r="KZ468" s="31"/>
      <c r="LA468" s="31"/>
      <c r="LB468" s="31"/>
      <c r="LC468" s="31"/>
      <c r="LD468" s="31"/>
      <c r="LE468" s="31"/>
      <c r="LF468" s="31"/>
      <c r="LG468" s="31"/>
      <c r="LH468" s="31"/>
      <c r="LI468" s="31"/>
      <c r="LJ468" s="31"/>
      <c r="LK468" s="31"/>
      <c r="LL468" s="31"/>
      <c r="LM468" s="31"/>
      <c r="LN468" s="31"/>
      <c r="LO468" s="31"/>
      <c r="LP468" s="31"/>
      <c r="LQ468" s="31"/>
      <c r="LR468" s="31"/>
      <c r="LS468" s="31"/>
      <c r="LT468" s="31"/>
      <c r="LU468" s="31"/>
      <c r="LV468" s="31"/>
      <c r="LW468" s="31"/>
      <c r="LX468" s="31"/>
      <c r="LY468" s="31"/>
      <c r="LZ468" s="31"/>
      <c r="MA468" s="31"/>
      <c r="MB468" s="31"/>
      <c r="MC468" s="31"/>
      <c r="MD468" s="31"/>
      <c r="ME468" s="31"/>
      <c r="MF468" s="31"/>
      <c r="MG468" s="31"/>
      <c r="MH468" s="31"/>
      <c r="MI468" s="31"/>
      <c r="MJ468" s="31"/>
      <c r="MK468" s="31"/>
      <c r="ML468" s="31"/>
      <c r="MM468" s="31"/>
      <c r="MN468" s="31"/>
      <c r="MO468" s="31"/>
      <c r="MP468" s="31"/>
      <c r="MQ468" s="31"/>
      <c r="MR468" s="31"/>
      <c r="MS468" s="31"/>
      <c r="MT468" s="31"/>
      <c r="MU468" s="31"/>
      <c r="MV468" s="31"/>
      <c r="MW468" s="31"/>
      <c r="MX468" s="31"/>
      <c r="MY468" s="31"/>
      <c r="MZ468" s="31"/>
      <c r="NA468" s="31"/>
      <c r="NB468" s="31"/>
      <c r="NC468" s="31"/>
      <c r="ND468" s="31"/>
      <c r="NE468" s="31"/>
      <c r="NF468" s="31"/>
      <c r="NG468" s="31"/>
      <c r="NH468" s="31"/>
      <c r="NI468" s="31"/>
      <c r="NJ468" s="31"/>
      <c r="NK468" s="31"/>
      <c r="NL468" s="31"/>
      <c r="NM468" s="31"/>
      <c r="NN468" s="31"/>
      <c r="NO468" s="31"/>
      <c r="NP468" s="31"/>
      <c r="NQ468" s="31"/>
      <c r="NR468" s="31"/>
      <c r="NS468" s="31"/>
      <c r="NT468" s="31"/>
      <c r="NU468" s="31"/>
      <c r="NV468" s="31"/>
      <c r="NW468" s="31"/>
      <c r="NX468" s="31"/>
      <c r="NY468" s="31"/>
      <c r="NZ468" s="31"/>
      <c r="OA468" s="31"/>
      <c r="OB468" s="31"/>
      <c r="OC468" s="31"/>
      <c r="OD468" s="31"/>
      <c r="OE468" s="31"/>
      <c r="OF468" s="31"/>
      <c r="OG468" s="31"/>
      <c r="OH468" s="31"/>
      <c r="OI468" s="31"/>
      <c r="OJ468" s="31"/>
      <c r="OK468" s="31"/>
      <c r="OL468" s="31"/>
      <c r="OM468" s="31"/>
      <c r="ON468" s="31"/>
      <c r="OO468" s="31"/>
      <c r="OP468" s="31"/>
      <c r="OQ468" s="31"/>
      <c r="OR468" s="31"/>
      <c r="OS468" s="31"/>
      <c r="OT468" s="31"/>
      <c r="OU468" s="31"/>
      <c r="OV468" s="31"/>
      <c r="OW468" s="31"/>
      <c r="OX468" s="31"/>
    </row>
    <row r="469" spans="2:414" s="25" customFormat="1" ht="15.6">
      <c r="B469" s="51" t="s">
        <v>626</v>
      </c>
      <c r="C469" s="27" t="s">
        <v>625</v>
      </c>
      <c r="D469" s="30" t="s">
        <v>355</v>
      </c>
      <c r="G469" s="42">
        <v>80</v>
      </c>
      <c r="H469" s="89">
        <v>26.109000000000002</v>
      </c>
      <c r="I469" s="38">
        <f t="shared" si="150"/>
        <v>2088.7200000000003</v>
      </c>
      <c r="K469" s="42">
        <v>80</v>
      </c>
      <c r="L469" s="90">
        <v>26.849599999999999</v>
      </c>
      <c r="M469" s="38">
        <f t="shared" si="151"/>
        <v>2147.9679999999998</v>
      </c>
      <c r="O469" s="42">
        <v>505</v>
      </c>
      <c r="P469" s="38">
        <v>26.728300000000001</v>
      </c>
      <c r="Q469" s="38">
        <f t="shared" si="152"/>
        <v>13497.791500000001</v>
      </c>
      <c r="R469" s="43">
        <f t="shared" si="149"/>
        <v>665</v>
      </c>
      <c r="S469" s="38">
        <f t="shared" si="153"/>
        <v>17734.479500000001</v>
      </c>
      <c r="T469" s="52">
        <v>240</v>
      </c>
      <c r="U469" s="48">
        <v>26.570799999999998</v>
      </c>
      <c r="V469" s="38">
        <f t="shared" si="146"/>
        <v>6376.9919999999993</v>
      </c>
      <c r="W469" s="48">
        <v>505</v>
      </c>
      <c r="X469" s="48">
        <v>26.754799999999999</v>
      </c>
      <c r="Y469" s="42">
        <f t="shared" si="144"/>
        <v>13511.173999999999</v>
      </c>
      <c r="AB469" s="42">
        <f t="shared" si="145"/>
        <v>0</v>
      </c>
      <c r="AF469" s="42">
        <f t="shared" si="147"/>
        <v>0</v>
      </c>
      <c r="AU469" s="98"/>
      <c r="AV469" s="35"/>
      <c r="AW469" s="77"/>
      <c r="AZ469" s="42">
        <f t="shared" si="148"/>
        <v>0</v>
      </c>
      <c r="BD469" s="38">
        <f t="shared" si="154"/>
        <v>0</v>
      </c>
      <c r="BH469" s="38">
        <f t="shared" si="155"/>
        <v>0</v>
      </c>
      <c r="BL469" s="38">
        <f t="shared" si="156"/>
        <v>0</v>
      </c>
      <c r="BR469" s="42">
        <f t="shared" si="157"/>
        <v>19888.165999999997</v>
      </c>
      <c r="BS469" s="43"/>
      <c r="BT469" s="25">
        <v>2153.69</v>
      </c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  <c r="FM469" s="31"/>
      <c r="FN469" s="31"/>
      <c r="FO469" s="31"/>
      <c r="FP469" s="31"/>
      <c r="FQ469" s="31"/>
      <c r="FR469" s="31"/>
      <c r="FS469" s="31"/>
      <c r="FT469" s="31"/>
      <c r="FU469" s="31"/>
      <c r="FV469" s="31"/>
      <c r="FW469" s="31"/>
      <c r="FX469" s="31"/>
      <c r="FY469" s="31"/>
      <c r="FZ469" s="31"/>
      <c r="GA469" s="31"/>
      <c r="GB469" s="31"/>
      <c r="GC469" s="31"/>
      <c r="GD469" s="31"/>
      <c r="GE469" s="31"/>
      <c r="GF469" s="31"/>
      <c r="GG469" s="31"/>
      <c r="GH469" s="31"/>
      <c r="GI469" s="31"/>
      <c r="GJ469" s="31"/>
      <c r="GK469" s="31"/>
      <c r="GL469" s="31"/>
      <c r="GM469" s="31"/>
      <c r="GN469" s="31"/>
      <c r="GO469" s="31"/>
      <c r="GP469" s="31"/>
      <c r="GQ469" s="31"/>
      <c r="GR469" s="31"/>
      <c r="GS469" s="31"/>
      <c r="GT469" s="31"/>
      <c r="GU469" s="31"/>
      <c r="GV469" s="31"/>
      <c r="GW469" s="31"/>
      <c r="GX469" s="31"/>
      <c r="GY469" s="31"/>
      <c r="GZ469" s="31"/>
      <c r="HA469" s="31"/>
      <c r="HB469" s="31"/>
      <c r="HC469" s="31"/>
      <c r="HD469" s="31"/>
      <c r="HE469" s="31"/>
      <c r="HF469" s="31"/>
      <c r="HG469" s="31"/>
      <c r="HH469" s="31"/>
      <c r="HI469" s="31"/>
      <c r="HJ469" s="31"/>
      <c r="HK469" s="31"/>
      <c r="HL469" s="31"/>
      <c r="HM469" s="31"/>
      <c r="HN469" s="31"/>
      <c r="HO469" s="31"/>
      <c r="HP469" s="31"/>
      <c r="HQ469" s="31"/>
      <c r="HR469" s="31"/>
      <c r="HS469" s="31"/>
      <c r="HT469" s="31"/>
      <c r="HU469" s="31"/>
      <c r="HV469" s="31"/>
      <c r="HW469" s="31"/>
      <c r="HX469" s="31"/>
      <c r="HY469" s="31"/>
      <c r="HZ469" s="31"/>
      <c r="IA469" s="31"/>
      <c r="IB469" s="31"/>
      <c r="IC469" s="31"/>
      <c r="ID469" s="31"/>
      <c r="IE469" s="31"/>
      <c r="IF469" s="31"/>
      <c r="IG469" s="31"/>
      <c r="IH469" s="31"/>
      <c r="II469" s="31"/>
      <c r="IJ469" s="31"/>
      <c r="IK469" s="31"/>
      <c r="IL469" s="31"/>
      <c r="IM469" s="31"/>
      <c r="IN469" s="31"/>
      <c r="IO469" s="31"/>
      <c r="IP469" s="31"/>
      <c r="IQ469" s="31"/>
      <c r="IR469" s="31"/>
      <c r="IS469" s="31"/>
      <c r="IT469" s="31"/>
      <c r="IU469" s="31"/>
      <c r="IV469" s="31"/>
      <c r="IW469" s="31"/>
      <c r="IX469" s="31"/>
      <c r="IY469" s="31"/>
      <c r="IZ469" s="31"/>
      <c r="JA469" s="31"/>
      <c r="JB469" s="31"/>
      <c r="JC469" s="31"/>
      <c r="JD469" s="31"/>
      <c r="JE469" s="31"/>
      <c r="JF469" s="31"/>
      <c r="JG469" s="31"/>
      <c r="JH469" s="31"/>
      <c r="JI469" s="31"/>
      <c r="JJ469" s="31"/>
      <c r="JK469" s="31"/>
      <c r="JL469" s="31"/>
      <c r="JM469" s="31"/>
      <c r="JN469" s="31"/>
      <c r="JO469" s="31"/>
      <c r="JP469" s="31"/>
      <c r="JQ469" s="31"/>
      <c r="JR469" s="31"/>
      <c r="JS469" s="31"/>
      <c r="JT469" s="31"/>
      <c r="JU469" s="31"/>
      <c r="JV469" s="31"/>
      <c r="JW469" s="31"/>
      <c r="JX469" s="31"/>
      <c r="JY469" s="31"/>
      <c r="JZ469" s="31"/>
      <c r="KA469" s="31"/>
      <c r="KB469" s="31"/>
      <c r="KC469" s="31"/>
      <c r="KD469" s="31"/>
      <c r="KE469" s="31"/>
      <c r="KF469" s="31"/>
      <c r="KG469" s="31"/>
      <c r="KH469" s="31"/>
      <c r="KI469" s="31"/>
      <c r="KJ469" s="31"/>
      <c r="KK469" s="31"/>
      <c r="KL469" s="31"/>
      <c r="KM469" s="31"/>
      <c r="KN469" s="31"/>
      <c r="KO469" s="31"/>
      <c r="KP469" s="31"/>
      <c r="KQ469" s="31"/>
      <c r="KR469" s="31"/>
      <c r="KS469" s="31"/>
      <c r="KT469" s="31"/>
      <c r="KU469" s="31"/>
      <c r="KV469" s="31"/>
      <c r="KW469" s="31"/>
      <c r="KX469" s="31"/>
      <c r="KY469" s="31"/>
      <c r="KZ469" s="31"/>
      <c r="LA469" s="31"/>
      <c r="LB469" s="31"/>
      <c r="LC469" s="31"/>
      <c r="LD469" s="31"/>
      <c r="LE469" s="31"/>
      <c r="LF469" s="31"/>
      <c r="LG469" s="31"/>
      <c r="LH469" s="31"/>
      <c r="LI469" s="31"/>
      <c r="LJ469" s="31"/>
      <c r="LK469" s="31"/>
      <c r="LL469" s="31"/>
      <c r="LM469" s="31"/>
      <c r="LN469" s="31"/>
      <c r="LO469" s="31"/>
      <c r="LP469" s="31"/>
      <c r="LQ469" s="31"/>
      <c r="LR469" s="31"/>
      <c r="LS469" s="31"/>
      <c r="LT469" s="31"/>
      <c r="LU469" s="31"/>
      <c r="LV469" s="31"/>
      <c r="LW469" s="31"/>
      <c r="LX469" s="31"/>
      <c r="LY469" s="31"/>
      <c r="LZ469" s="31"/>
      <c r="MA469" s="31"/>
      <c r="MB469" s="31"/>
      <c r="MC469" s="31"/>
      <c r="MD469" s="31"/>
      <c r="ME469" s="31"/>
      <c r="MF469" s="31"/>
      <c r="MG469" s="31"/>
      <c r="MH469" s="31"/>
      <c r="MI469" s="31"/>
      <c r="MJ469" s="31"/>
      <c r="MK469" s="31"/>
      <c r="ML469" s="31"/>
      <c r="MM469" s="31"/>
      <c r="MN469" s="31"/>
      <c r="MO469" s="31"/>
      <c r="MP469" s="31"/>
      <c r="MQ469" s="31"/>
      <c r="MR469" s="31"/>
      <c r="MS469" s="31"/>
      <c r="MT469" s="31"/>
      <c r="MU469" s="31"/>
      <c r="MV469" s="31"/>
      <c r="MW469" s="31"/>
      <c r="MX469" s="31"/>
      <c r="MY469" s="31"/>
      <c r="MZ469" s="31"/>
      <c r="NA469" s="31"/>
      <c r="NB469" s="31"/>
      <c r="NC469" s="31"/>
      <c r="ND469" s="31"/>
      <c r="NE469" s="31"/>
      <c r="NF469" s="31"/>
      <c r="NG469" s="31"/>
      <c r="NH469" s="31"/>
      <c r="NI469" s="31"/>
      <c r="NJ469" s="31"/>
      <c r="NK469" s="31"/>
      <c r="NL469" s="31"/>
      <c r="NM469" s="31"/>
      <c r="NN469" s="31"/>
      <c r="NO469" s="31"/>
      <c r="NP469" s="31"/>
      <c r="NQ469" s="31"/>
      <c r="NR469" s="31"/>
      <c r="NS469" s="31"/>
      <c r="NT469" s="31"/>
      <c r="NU469" s="31"/>
      <c r="NV469" s="31"/>
      <c r="NW469" s="31"/>
      <c r="NX469" s="31"/>
      <c r="NY469" s="31"/>
      <c r="NZ469" s="31"/>
      <c r="OA469" s="31"/>
      <c r="OB469" s="31"/>
      <c r="OC469" s="31"/>
      <c r="OD469" s="31"/>
      <c r="OE469" s="31"/>
      <c r="OF469" s="31"/>
      <c r="OG469" s="31"/>
      <c r="OH469" s="31"/>
      <c r="OI469" s="31"/>
      <c r="OJ469" s="31"/>
      <c r="OK469" s="31"/>
      <c r="OL469" s="31"/>
      <c r="OM469" s="31"/>
      <c r="ON469" s="31"/>
      <c r="OO469" s="31"/>
      <c r="OP469" s="31"/>
      <c r="OQ469" s="31"/>
      <c r="OR469" s="31"/>
      <c r="OS469" s="31"/>
      <c r="OT469" s="31"/>
      <c r="OU469" s="31"/>
      <c r="OV469" s="31"/>
      <c r="OW469" s="31"/>
      <c r="OX469" s="31"/>
    </row>
    <row r="470" spans="2:414" s="25" customFormat="1" ht="15.6">
      <c r="B470" s="51" t="s">
        <v>1011</v>
      </c>
      <c r="C470" s="27" t="s">
        <v>1010</v>
      </c>
      <c r="D470" s="30" t="s">
        <v>355</v>
      </c>
      <c r="G470" s="42">
        <v>80</v>
      </c>
      <c r="H470" s="89">
        <v>26.109000000000002</v>
      </c>
      <c r="I470" s="38">
        <f t="shared" si="150"/>
        <v>2088.7200000000003</v>
      </c>
      <c r="K470" s="42">
        <v>80</v>
      </c>
      <c r="L470" s="90">
        <v>26.849599999999999</v>
      </c>
      <c r="M470" s="38">
        <f t="shared" si="151"/>
        <v>2147.9679999999998</v>
      </c>
      <c r="O470" s="42">
        <v>505</v>
      </c>
      <c r="P470" s="38">
        <v>26.728300000000001</v>
      </c>
      <c r="Q470" s="38">
        <f t="shared" si="152"/>
        <v>13497.791500000001</v>
      </c>
      <c r="R470" s="43">
        <f t="shared" si="149"/>
        <v>665</v>
      </c>
      <c r="S470" s="38">
        <f t="shared" si="153"/>
        <v>17734.479500000001</v>
      </c>
      <c r="T470" s="52">
        <v>240</v>
      </c>
      <c r="U470" s="48">
        <v>26.883199999999999</v>
      </c>
      <c r="V470" s="38">
        <f t="shared" si="146"/>
        <v>6451.9679999999998</v>
      </c>
      <c r="W470" s="48">
        <v>505</v>
      </c>
      <c r="X470" s="48">
        <v>26.569800000000001</v>
      </c>
      <c r="Y470" s="42">
        <f t="shared" si="144"/>
        <v>13417.749</v>
      </c>
      <c r="AB470" s="42">
        <f t="shared" si="145"/>
        <v>0</v>
      </c>
      <c r="AF470" s="42">
        <f t="shared" si="147"/>
        <v>0</v>
      </c>
      <c r="AU470" s="98"/>
      <c r="AV470" s="35"/>
      <c r="AW470" s="77"/>
      <c r="AZ470" s="42">
        <f t="shared" si="148"/>
        <v>0</v>
      </c>
      <c r="BD470" s="38">
        <f t="shared" si="154"/>
        <v>0</v>
      </c>
      <c r="BH470" s="38">
        <f t="shared" si="155"/>
        <v>0</v>
      </c>
      <c r="BL470" s="38">
        <f t="shared" si="156"/>
        <v>0</v>
      </c>
      <c r="BR470" s="42">
        <f t="shared" si="157"/>
        <v>19869.717000000001</v>
      </c>
      <c r="BS470" s="43"/>
      <c r="BT470" s="25">
        <v>2135.2399999999998</v>
      </c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  <c r="FM470" s="31"/>
      <c r="FN470" s="31"/>
      <c r="FO470" s="31"/>
      <c r="FP470" s="31"/>
      <c r="FQ470" s="31"/>
      <c r="FR470" s="31"/>
      <c r="FS470" s="31"/>
      <c r="FT470" s="31"/>
      <c r="FU470" s="31"/>
      <c r="FV470" s="31"/>
      <c r="FW470" s="31"/>
      <c r="FX470" s="31"/>
      <c r="FY470" s="31"/>
      <c r="FZ470" s="31"/>
      <c r="GA470" s="31"/>
      <c r="GB470" s="31"/>
      <c r="GC470" s="31"/>
      <c r="GD470" s="31"/>
      <c r="GE470" s="31"/>
      <c r="GF470" s="31"/>
      <c r="GG470" s="31"/>
      <c r="GH470" s="31"/>
      <c r="GI470" s="31"/>
      <c r="GJ470" s="31"/>
      <c r="GK470" s="31"/>
      <c r="GL470" s="31"/>
      <c r="GM470" s="31"/>
      <c r="GN470" s="31"/>
      <c r="GO470" s="31"/>
      <c r="GP470" s="31"/>
      <c r="GQ470" s="31"/>
      <c r="GR470" s="31"/>
      <c r="GS470" s="31"/>
      <c r="GT470" s="31"/>
      <c r="GU470" s="31"/>
      <c r="GV470" s="31"/>
      <c r="GW470" s="31"/>
      <c r="GX470" s="31"/>
      <c r="GY470" s="31"/>
      <c r="GZ470" s="31"/>
      <c r="HA470" s="31"/>
      <c r="HB470" s="31"/>
      <c r="HC470" s="31"/>
      <c r="HD470" s="31"/>
      <c r="HE470" s="31"/>
      <c r="HF470" s="31"/>
      <c r="HG470" s="31"/>
      <c r="HH470" s="31"/>
      <c r="HI470" s="31"/>
      <c r="HJ470" s="31"/>
      <c r="HK470" s="31"/>
      <c r="HL470" s="31"/>
      <c r="HM470" s="31"/>
      <c r="HN470" s="31"/>
      <c r="HO470" s="31"/>
      <c r="HP470" s="31"/>
      <c r="HQ470" s="31"/>
      <c r="HR470" s="31"/>
      <c r="HS470" s="31"/>
      <c r="HT470" s="31"/>
      <c r="HU470" s="31"/>
      <c r="HV470" s="31"/>
      <c r="HW470" s="31"/>
      <c r="HX470" s="31"/>
      <c r="HY470" s="31"/>
      <c r="HZ470" s="31"/>
      <c r="IA470" s="31"/>
      <c r="IB470" s="31"/>
      <c r="IC470" s="31"/>
      <c r="ID470" s="31"/>
      <c r="IE470" s="31"/>
      <c r="IF470" s="31"/>
      <c r="IG470" s="31"/>
      <c r="IH470" s="31"/>
      <c r="II470" s="31"/>
      <c r="IJ470" s="31"/>
      <c r="IK470" s="31"/>
      <c r="IL470" s="31"/>
      <c r="IM470" s="31"/>
      <c r="IN470" s="31"/>
      <c r="IO470" s="31"/>
      <c r="IP470" s="31"/>
      <c r="IQ470" s="31"/>
      <c r="IR470" s="31"/>
      <c r="IS470" s="31"/>
      <c r="IT470" s="31"/>
      <c r="IU470" s="31"/>
      <c r="IV470" s="31"/>
      <c r="IW470" s="31"/>
      <c r="IX470" s="31"/>
      <c r="IY470" s="31"/>
      <c r="IZ470" s="31"/>
      <c r="JA470" s="31"/>
      <c r="JB470" s="31"/>
      <c r="JC470" s="31"/>
      <c r="JD470" s="31"/>
      <c r="JE470" s="31"/>
      <c r="JF470" s="31"/>
      <c r="JG470" s="31"/>
      <c r="JH470" s="31"/>
      <c r="JI470" s="31"/>
      <c r="JJ470" s="31"/>
      <c r="JK470" s="31"/>
      <c r="JL470" s="31"/>
      <c r="JM470" s="31"/>
      <c r="JN470" s="31"/>
      <c r="JO470" s="31"/>
      <c r="JP470" s="31"/>
      <c r="JQ470" s="31"/>
      <c r="JR470" s="31"/>
      <c r="JS470" s="31"/>
      <c r="JT470" s="31"/>
      <c r="JU470" s="31"/>
      <c r="JV470" s="31"/>
      <c r="JW470" s="31"/>
      <c r="JX470" s="31"/>
      <c r="JY470" s="31"/>
      <c r="JZ470" s="31"/>
      <c r="KA470" s="31"/>
      <c r="KB470" s="31"/>
      <c r="KC470" s="31"/>
      <c r="KD470" s="31"/>
      <c r="KE470" s="31"/>
      <c r="KF470" s="31"/>
      <c r="KG470" s="31"/>
      <c r="KH470" s="31"/>
      <c r="KI470" s="31"/>
      <c r="KJ470" s="31"/>
      <c r="KK470" s="31"/>
      <c r="KL470" s="31"/>
      <c r="KM470" s="31"/>
      <c r="KN470" s="31"/>
      <c r="KO470" s="31"/>
      <c r="KP470" s="31"/>
      <c r="KQ470" s="31"/>
      <c r="KR470" s="31"/>
      <c r="KS470" s="31"/>
      <c r="KT470" s="31"/>
      <c r="KU470" s="31"/>
      <c r="KV470" s="31"/>
      <c r="KW470" s="31"/>
      <c r="KX470" s="31"/>
      <c r="KY470" s="31"/>
      <c r="KZ470" s="31"/>
      <c r="LA470" s="31"/>
      <c r="LB470" s="31"/>
      <c r="LC470" s="31"/>
      <c r="LD470" s="31"/>
      <c r="LE470" s="31"/>
      <c r="LF470" s="31"/>
      <c r="LG470" s="31"/>
      <c r="LH470" s="31"/>
      <c r="LI470" s="31"/>
      <c r="LJ470" s="31"/>
      <c r="LK470" s="31"/>
      <c r="LL470" s="31"/>
      <c r="LM470" s="31"/>
      <c r="LN470" s="31"/>
      <c r="LO470" s="31"/>
      <c r="LP470" s="31"/>
      <c r="LQ470" s="31"/>
      <c r="LR470" s="31"/>
      <c r="LS470" s="31"/>
      <c r="LT470" s="31"/>
      <c r="LU470" s="31"/>
      <c r="LV470" s="31"/>
      <c r="LW470" s="31"/>
      <c r="LX470" s="31"/>
      <c r="LY470" s="31"/>
      <c r="LZ470" s="31"/>
      <c r="MA470" s="31"/>
      <c r="MB470" s="31"/>
      <c r="MC470" s="31"/>
      <c r="MD470" s="31"/>
      <c r="ME470" s="31"/>
      <c r="MF470" s="31"/>
      <c r="MG470" s="31"/>
      <c r="MH470" s="31"/>
      <c r="MI470" s="31"/>
      <c r="MJ470" s="31"/>
      <c r="MK470" s="31"/>
      <c r="ML470" s="31"/>
      <c r="MM470" s="31"/>
      <c r="MN470" s="31"/>
      <c r="MO470" s="31"/>
      <c r="MP470" s="31"/>
      <c r="MQ470" s="31"/>
      <c r="MR470" s="31"/>
      <c r="MS470" s="31"/>
      <c r="MT470" s="31"/>
      <c r="MU470" s="31"/>
      <c r="MV470" s="31"/>
      <c r="MW470" s="31"/>
      <c r="MX470" s="31"/>
      <c r="MY470" s="31"/>
      <c r="MZ470" s="31"/>
      <c r="NA470" s="31"/>
      <c r="NB470" s="31"/>
      <c r="NC470" s="31"/>
      <c r="ND470" s="31"/>
      <c r="NE470" s="31"/>
      <c r="NF470" s="31"/>
      <c r="NG470" s="31"/>
      <c r="NH470" s="31"/>
      <c r="NI470" s="31"/>
      <c r="NJ470" s="31"/>
      <c r="NK470" s="31"/>
      <c r="NL470" s="31"/>
      <c r="NM470" s="31"/>
      <c r="NN470" s="31"/>
      <c r="NO470" s="31"/>
      <c r="NP470" s="31"/>
      <c r="NQ470" s="31"/>
      <c r="NR470" s="31"/>
      <c r="NS470" s="31"/>
      <c r="NT470" s="31"/>
      <c r="NU470" s="31"/>
      <c r="NV470" s="31"/>
      <c r="NW470" s="31"/>
      <c r="NX470" s="31"/>
      <c r="NY470" s="31"/>
      <c r="NZ470" s="31"/>
      <c r="OA470" s="31"/>
      <c r="OB470" s="31"/>
      <c r="OC470" s="31"/>
      <c r="OD470" s="31"/>
      <c r="OE470" s="31"/>
      <c r="OF470" s="31"/>
      <c r="OG470" s="31"/>
      <c r="OH470" s="31"/>
      <c r="OI470" s="31"/>
      <c r="OJ470" s="31"/>
      <c r="OK470" s="31"/>
      <c r="OL470" s="31"/>
      <c r="OM470" s="31"/>
      <c r="ON470" s="31"/>
      <c r="OO470" s="31"/>
      <c r="OP470" s="31"/>
      <c r="OQ470" s="31"/>
      <c r="OR470" s="31"/>
      <c r="OS470" s="31"/>
      <c r="OT470" s="31"/>
      <c r="OU470" s="31"/>
      <c r="OV470" s="31"/>
      <c r="OW470" s="31"/>
      <c r="OX470" s="31"/>
    </row>
    <row r="471" spans="2:414" s="25" customFormat="1" ht="15.6">
      <c r="B471" s="51" t="s">
        <v>721</v>
      </c>
      <c r="C471" s="27" t="s">
        <v>548</v>
      </c>
      <c r="D471" s="30" t="s">
        <v>355</v>
      </c>
      <c r="G471" s="42">
        <v>80</v>
      </c>
      <c r="H471" s="89">
        <v>26.109000000000002</v>
      </c>
      <c r="I471" s="38">
        <f t="shared" si="150"/>
        <v>2088.7200000000003</v>
      </c>
      <c r="K471" s="42">
        <v>80</v>
      </c>
      <c r="L471" s="90">
        <v>26.849599999999999</v>
      </c>
      <c r="M471" s="38">
        <f t="shared" si="151"/>
        <v>2147.9679999999998</v>
      </c>
      <c r="O471" s="42">
        <v>505</v>
      </c>
      <c r="P471" s="38">
        <v>26.728300000000001</v>
      </c>
      <c r="Q471" s="38">
        <f t="shared" si="152"/>
        <v>13497.791500000001</v>
      </c>
      <c r="R471" s="43">
        <f t="shared" si="149"/>
        <v>665</v>
      </c>
      <c r="S471" s="38">
        <f t="shared" si="153"/>
        <v>17734.479500000001</v>
      </c>
      <c r="T471" s="52">
        <v>240</v>
      </c>
      <c r="U471" s="48">
        <v>26.856000000000002</v>
      </c>
      <c r="V471" s="38">
        <f t="shared" si="146"/>
        <v>6445.4400000000005</v>
      </c>
      <c r="W471" s="48">
        <v>505</v>
      </c>
      <c r="X471" s="48">
        <v>26.7498</v>
      </c>
      <c r="Y471" s="42">
        <f t="shared" si="144"/>
        <v>13508.648999999999</v>
      </c>
      <c r="AB471" s="42">
        <f t="shared" si="145"/>
        <v>0</v>
      </c>
      <c r="AF471" s="42">
        <f t="shared" si="147"/>
        <v>0</v>
      </c>
      <c r="AU471" s="98"/>
      <c r="AV471" s="35"/>
      <c r="AW471" s="77"/>
      <c r="AZ471" s="42">
        <f t="shared" si="148"/>
        <v>0</v>
      </c>
      <c r="BD471" s="38">
        <f t="shared" si="154"/>
        <v>0</v>
      </c>
      <c r="BH471" s="38">
        <f t="shared" si="155"/>
        <v>0</v>
      </c>
      <c r="BL471" s="38">
        <f t="shared" si="156"/>
        <v>0</v>
      </c>
      <c r="BR471" s="42">
        <f t="shared" si="157"/>
        <v>19954.089</v>
      </c>
      <c r="BS471" s="43"/>
      <c r="BT471" s="25">
        <v>2219.61</v>
      </c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  <c r="FM471" s="31"/>
      <c r="FN471" s="31"/>
      <c r="FO471" s="31"/>
      <c r="FP471" s="31"/>
      <c r="FQ471" s="31"/>
      <c r="FR471" s="31"/>
      <c r="FS471" s="31"/>
      <c r="FT471" s="31"/>
      <c r="FU471" s="31"/>
      <c r="FV471" s="31"/>
      <c r="FW471" s="31"/>
      <c r="FX471" s="31"/>
      <c r="FY471" s="31"/>
      <c r="FZ471" s="31"/>
      <c r="GA471" s="31"/>
      <c r="GB471" s="31"/>
      <c r="GC471" s="31"/>
      <c r="GD471" s="31"/>
      <c r="GE471" s="31"/>
      <c r="GF471" s="31"/>
      <c r="GG471" s="31"/>
      <c r="GH471" s="31"/>
      <c r="GI471" s="31"/>
      <c r="GJ471" s="31"/>
      <c r="GK471" s="31"/>
      <c r="GL471" s="31"/>
      <c r="GM471" s="31"/>
      <c r="GN471" s="31"/>
      <c r="GO471" s="31"/>
      <c r="GP471" s="31"/>
      <c r="GQ471" s="31"/>
      <c r="GR471" s="31"/>
      <c r="GS471" s="31"/>
      <c r="GT471" s="31"/>
      <c r="GU471" s="31"/>
      <c r="GV471" s="31"/>
      <c r="GW471" s="31"/>
      <c r="GX471" s="31"/>
      <c r="GY471" s="31"/>
      <c r="GZ471" s="31"/>
      <c r="HA471" s="31"/>
      <c r="HB471" s="31"/>
      <c r="HC471" s="31"/>
      <c r="HD471" s="31"/>
      <c r="HE471" s="31"/>
      <c r="HF471" s="31"/>
      <c r="HG471" s="31"/>
      <c r="HH471" s="31"/>
      <c r="HI471" s="31"/>
      <c r="HJ471" s="31"/>
      <c r="HK471" s="31"/>
      <c r="HL471" s="31"/>
      <c r="HM471" s="31"/>
      <c r="HN471" s="31"/>
      <c r="HO471" s="31"/>
      <c r="HP471" s="31"/>
      <c r="HQ471" s="31"/>
      <c r="HR471" s="31"/>
      <c r="HS471" s="31"/>
      <c r="HT471" s="31"/>
      <c r="HU471" s="31"/>
      <c r="HV471" s="31"/>
      <c r="HW471" s="31"/>
      <c r="HX471" s="31"/>
      <c r="HY471" s="31"/>
      <c r="HZ471" s="31"/>
      <c r="IA471" s="31"/>
      <c r="IB471" s="31"/>
      <c r="IC471" s="31"/>
      <c r="ID471" s="31"/>
      <c r="IE471" s="31"/>
      <c r="IF471" s="31"/>
      <c r="IG471" s="31"/>
      <c r="IH471" s="31"/>
      <c r="II471" s="31"/>
      <c r="IJ471" s="31"/>
      <c r="IK471" s="31"/>
      <c r="IL471" s="31"/>
      <c r="IM471" s="31"/>
      <c r="IN471" s="31"/>
      <c r="IO471" s="31"/>
      <c r="IP471" s="31"/>
      <c r="IQ471" s="31"/>
      <c r="IR471" s="31"/>
      <c r="IS471" s="31"/>
      <c r="IT471" s="31"/>
      <c r="IU471" s="31"/>
      <c r="IV471" s="31"/>
      <c r="IW471" s="31"/>
      <c r="IX471" s="31"/>
      <c r="IY471" s="31"/>
      <c r="IZ471" s="31"/>
      <c r="JA471" s="31"/>
      <c r="JB471" s="31"/>
      <c r="JC471" s="31"/>
      <c r="JD471" s="31"/>
      <c r="JE471" s="31"/>
      <c r="JF471" s="31"/>
      <c r="JG471" s="31"/>
      <c r="JH471" s="31"/>
      <c r="JI471" s="31"/>
      <c r="JJ471" s="31"/>
      <c r="JK471" s="31"/>
      <c r="JL471" s="31"/>
      <c r="JM471" s="31"/>
      <c r="JN471" s="31"/>
      <c r="JO471" s="31"/>
      <c r="JP471" s="31"/>
      <c r="JQ471" s="31"/>
      <c r="JR471" s="31"/>
      <c r="JS471" s="31"/>
      <c r="JT471" s="31"/>
      <c r="JU471" s="31"/>
      <c r="JV471" s="31"/>
      <c r="JW471" s="31"/>
      <c r="JX471" s="31"/>
      <c r="JY471" s="31"/>
      <c r="JZ471" s="31"/>
      <c r="KA471" s="31"/>
      <c r="KB471" s="31"/>
      <c r="KC471" s="31"/>
      <c r="KD471" s="31"/>
      <c r="KE471" s="31"/>
      <c r="KF471" s="31"/>
      <c r="KG471" s="31"/>
      <c r="KH471" s="31"/>
      <c r="KI471" s="31"/>
      <c r="KJ471" s="31"/>
      <c r="KK471" s="31"/>
      <c r="KL471" s="31"/>
      <c r="KM471" s="31"/>
      <c r="KN471" s="31"/>
      <c r="KO471" s="31"/>
      <c r="KP471" s="31"/>
      <c r="KQ471" s="31"/>
      <c r="KR471" s="31"/>
      <c r="KS471" s="31"/>
      <c r="KT471" s="31"/>
      <c r="KU471" s="31"/>
      <c r="KV471" s="31"/>
      <c r="KW471" s="31"/>
      <c r="KX471" s="31"/>
      <c r="KY471" s="31"/>
      <c r="KZ471" s="31"/>
      <c r="LA471" s="31"/>
      <c r="LB471" s="31"/>
      <c r="LC471" s="31"/>
      <c r="LD471" s="31"/>
      <c r="LE471" s="31"/>
      <c r="LF471" s="31"/>
      <c r="LG471" s="31"/>
      <c r="LH471" s="31"/>
      <c r="LI471" s="31"/>
      <c r="LJ471" s="31"/>
      <c r="LK471" s="31"/>
      <c r="LL471" s="31"/>
      <c r="LM471" s="31"/>
      <c r="LN471" s="31"/>
      <c r="LO471" s="31"/>
      <c r="LP471" s="31"/>
      <c r="LQ471" s="31"/>
      <c r="LR471" s="31"/>
      <c r="LS471" s="31"/>
      <c r="LT471" s="31"/>
      <c r="LU471" s="31"/>
      <c r="LV471" s="31"/>
      <c r="LW471" s="31"/>
      <c r="LX471" s="31"/>
      <c r="LY471" s="31"/>
      <c r="LZ471" s="31"/>
      <c r="MA471" s="31"/>
      <c r="MB471" s="31"/>
      <c r="MC471" s="31"/>
      <c r="MD471" s="31"/>
      <c r="ME471" s="31"/>
      <c r="MF471" s="31"/>
      <c r="MG471" s="31"/>
      <c r="MH471" s="31"/>
      <c r="MI471" s="31"/>
      <c r="MJ471" s="31"/>
      <c r="MK471" s="31"/>
      <c r="ML471" s="31"/>
      <c r="MM471" s="31"/>
      <c r="MN471" s="31"/>
      <c r="MO471" s="31"/>
      <c r="MP471" s="31"/>
      <c r="MQ471" s="31"/>
      <c r="MR471" s="31"/>
      <c r="MS471" s="31"/>
      <c r="MT471" s="31"/>
      <c r="MU471" s="31"/>
      <c r="MV471" s="31"/>
      <c r="MW471" s="31"/>
      <c r="MX471" s="31"/>
      <c r="MY471" s="31"/>
      <c r="MZ471" s="31"/>
      <c r="NA471" s="31"/>
      <c r="NB471" s="31"/>
      <c r="NC471" s="31"/>
      <c r="ND471" s="31"/>
      <c r="NE471" s="31"/>
      <c r="NF471" s="31"/>
      <c r="NG471" s="31"/>
      <c r="NH471" s="31"/>
      <c r="NI471" s="31"/>
      <c r="NJ471" s="31"/>
      <c r="NK471" s="31"/>
      <c r="NL471" s="31"/>
      <c r="NM471" s="31"/>
      <c r="NN471" s="31"/>
      <c r="NO471" s="31"/>
      <c r="NP471" s="31"/>
      <c r="NQ471" s="31"/>
      <c r="NR471" s="31"/>
      <c r="NS471" s="31"/>
      <c r="NT471" s="31"/>
      <c r="NU471" s="31"/>
      <c r="NV471" s="31"/>
      <c r="NW471" s="31"/>
      <c r="NX471" s="31"/>
      <c r="NY471" s="31"/>
      <c r="NZ471" s="31"/>
      <c r="OA471" s="31"/>
      <c r="OB471" s="31"/>
      <c r="OC471" s="31"/>
      <c r="OD471" s="31"/>
      <c r="OE471" s="31"/>
      <c r="OF471" s="31"/>
      <c r="OG471" s="31"/>
      <c r="OH471" s="31"/>
      <c r="OI471" s="31"/>
      <c r="OJ471" s="31"/>
      <c r="OK471" s="31"/>
      <c r="OL471" s="31"/>
      <c r="OM471" s="31"/>
      <c r="ON471" s="31"/>
      <c r="OO471" s="31"/>
      <c r="OP471" s="31"/>
      <c r="OQ471" s="31"/>
      <c r="OR471" s="31"/>
      <c r="OS471" s="31"/>
      <c r="OT471" s="31"/>
      <c r="OU471" s="31"/>
      <c r="OV471" s="31"/>
      <c r="OW471" s="31"/>
      <c r="OX471" s="31"/>
    </row>
    <row r="472" spans="2:414" s="25" customFormat="1" ht="15.6">
      <c r="B472" s="51" t="s">
        <v>659</v>
      </c>
      <c r="C472" s="27" t="s">
        <v>182</v>
      </c>
      <c r="D472" s="30" t="s">
        <v>355</v>
      </c>
      <c r="G472" s="42">
        <v>80</v>
      </c>
      <c r="H472" s="89">
        <v>26.109000000000002</v>
      </c>
      <c r="I472" s="38">
        <f t="shared" si="150"/>
        <v>2088.7200000000003</v>
      </c>
      <c r="K472" s="42">
        <v>80</v>
      </c>
      <c r="L472" s="90">
        <v>26.849599999999999</v>
      </c>
      <c r="M472" s="38">
        <f t="shared" si="151"/>
        <v>2147.9679999999998</v>
      </c>
      <c r="O472" s="42">
        <v>505</v>
      </c>
      <c r="P472" s="38">
        <v>26.728300000000001</v>
      </c>
      <c r="Q472" s="38">
        <f t="shared" si="152"/>
        <v>13497.791500000001</v>
      </c>
      <c r="R472" s="43">
        <f t="shared" si="149"/>
        <v>665</v>
      </c>
      <c r="S472" s="38">
        <f t="shared" si="153"/>
        <v>17734.479500000001</v>
      </c>
      <c r="T472" s="52">
        <v>270</v>
      </c>
      <c r="U472" s="48">
        <v>26.88</v>
      </c>
      <c r="V472" s="38">
        <f t="shared" si="146"/>
        <v>7257.5999999999995</v>
      </c>
      <c r="W472" s="48">
        <v>500</v>
      </c>
      <c r="X472" s="48">
        <v>26.75</v>
      </c>
      <c r="Y472" s="42">
        <f t="shared" ref="Y472:Y533" si="159">W472*X472</f>
        <v>13375</v>
      </c>
      <c r="AB472" s="42">
        <f t="shared" ref="AB472:AB533" si="160">Z472*AA472</f>
        <v>0</v>
      </c>
      <c r="AF472" s="42">
        <f t="shared" si="147"/>
        <v>0</v>
      </c>
      <c r="AU472" s="98"/>
      <c r="AV472" s="35"/>
      <c r="AW472" s="77"/>
      <c r="AZ472" s="42">
        <f t="shared" si="148"/>
        <v>0</v>
      </c>
      <c r="BD472" s="38">
        <f t="shared" si="154"/>
        <v>0</v>
      </c>
      <c r="BH472" s="38">
        <f t="shared" si="155"/>
        <v>0</v>
      </c>
      <c r="BL472" s="38">
        <f t="shared" si="156"/>
        <v>0</v>
      </c>
      <c r="BR472" s="42">
        <f t="shared" si="157"/>
        <v>20632.599999999999</v>
      </c>
      <c r="BS472" s="43"/>
      <c r="BT472" s="25">
        <v>2898.12</v>
      </c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  <c r="FM472" s="31"/>
      <c r="FN472" s="31"/>
      <c r="FO472" s="31"/>
      <c r="FP472" s="31"/>
      <c r="FQ472" s="31"/>
      <c r="FR472" s="31"/>
      <c r="FS472" s="31"/>
      <c r="FT472" s="31"/>
      <c r="FU472" s="31"/>
      <c r="FV472" s="31"/>
      <c r="FW472" s="31"/>
      <c r="FX472" s="31"/>
      <c r="FY472" s="31"/>
      <c r="FZ472" s="31"/>
      <c r="GA472" s="31"/>
      <c r="GB472" s="31"/>
      <c r="GC472" s="31"/>
      <c r="GD472" s="31"/>
      <c r="GE472" s="31"/>
      <c r="GF472" s="31"/>
      <c r="GG472" s="31"/>
      <c r="GH472" s="31"/>
      <c r="GI472" s="31"/>
      <c r="GJ472" s="31"/>
      <c r="GK472" s="31"/>
      <c r="GL472" s="31"/>
      <c r="GM472" s="31"/>
      <c r="GN472" s="31"/>
      <c r="GO472" s="31"/>
      <c r="GP472" s="31"/>
      <c r="GQ472" s="31"/>
      <c r="GR472" s="31"/>
      <c r="GS472" s="31"/>
      <c r="GT472" s="31"/>
      <c r="GU472" s="31"/>
      <c r="GV472" s="31"/>
      <c r="GW472" s="31"/>
      <c r="GX472" s="31"/>
      <c r="GY472" s="31"/>
      <c r="GZ472" s="31"/>
      <c r="HA472" s="31"/>
      <c r="HB472" s="31"/>
      <c r="HC472" s="31"/>
      <c r="HD472" s="31"/>
      <c r="HE472" s="31"/>
      <c r="HF472" s="31"/>
      <c r="HG472" s="31"/>
      <c r="HH472" s="31"/>
      <c r="HI472" s="31"/>
      <c r="HJ472" s="31"/>
      <c r="HK472" s="31"/>
      <c r="HL472" s="31"/>
      <c r="HM472" s="31"/>
      <c r="HN472" s="31"/>
      <c r="HO472" s="31"/>
      <c r="HP472" s="31"/>
      <c r="HQ472" s="31"/>
      <c r="HR472" s="31"/>
      <c r="HS472" s="31"/>
      <c r="HT472" s="31"/>
      <c r="HU472" s="31"/>
      <c r="HV472" s="31"/>
      <c r="HW472" s="31"/>
      <c r="HX472" s="31"/>
      <c r="HY472" s="31"/>
      <c r="HZ472" s="31"/>
      <c r="IA472" s="31"/>
      <c r="IB472" s="31"/>
      <c r="IC472" s="31"/>
      <c r="ID472" s="31"/>
      <c r="IE472" s="31"/>
      <c r="IF472" s="31"/>
      <c r="IG472" s="31"/>
      <c r="IH472" s="31"/>
      <c r="II472" s="31"/>
      <c r="IJ472" s="31"/>
      <c r="IK472" s="31"/>
      <c r="IL472" s="31"/>
      <c r="IM472" s="31"/>
      <c r="IN472" s="31"/>
      <c r="IO472" s="31"/>
      <c r="IP472" s="31"/>
      <c r="IQ472" s="31"/>
      <c r="IR472" s="31"/>
      <c r="IS472" s="31"/>
      <c r="IT472" s="31"/>
      <c r="IU472" s="31"/>
      <c r="IV472" s="31"/>
      <c r="IW472" s="31"/>
      <c r="IX472" s="31"/>
      <c r="IY472" s="31"/>
      <c r="IZ472" s="31"/>
      <c r="JA472" s="31"/>
      <c r="JB472" s="31"/>
      <c r="JC472" s="31"/>
      <c r="JD472" s="31"/>
      <c r="JE472" s="31"/>
      <c r="JF472" s="31"/>
      <c r="JG472" s="31"/>
      <c r="JH472" s="31"/>
      <c r="JI472" s="31"/>
      <c r="JJ472" s="31"/>
      <c r="JK472" s="31"/>
      <c r="JL472" s="31"/>
      <c r="JM472" s="31"/>
      <c r="JN472" s="31"/>
      <c r="JO472" s="31"/>
      <c r="JP472" s="31"/>
      <c r="JQ472" s="31"/>
      <c r="JR472" s="31"/>
      <c r="JS472" s="31"/>
      <c r="JT472" s="31"/>
      <c r="JU472" s="31"/>
      <c r="JV472" s="31"/>
      <c r="JW472" s="31"/>
      <c r="JX472" s="31"/>
      <c r="JY472" s="31"/>
      <c r="JZ472" s="31"/>
      <c r="KA472" s="31"/>
      <c r="KB472" s="31"/>
      <c r="KC472" s="31"/>
      <c r="KD472" s="31"/>
      <c r="KE472" s="31"/>
      <c r="KF472" s="31"/>
      <c r="KG472" s="31"/>
      <c r="KH472" s="31"/>
      <c r="KI472" s="31"/>
      <c r="KJ472" s="31"/>
      <c r="KK472" s="31"/>
      <c r="KL472" s="31"/>
      <c r="KM472" s="31"/>
      <c r="KN472" s="31"/>
      <c r="KO472" s="31"/>
      <c r="KP472" s="31"/>
      <c r="KQ472" s="31"/>
      <c r="KR472" s="31"/>
      <c r="KS472" s="31"/>
      <c r="KT472" s="31"/>
      <c r="KU472" s="31"/>
      <c r="KV472" s="31"/>
      <c r="KW472" s="31"/>
      <c r="KX472" s="31"/>
      <c r="KY472" s="31"/>
      <c r="KZ472" s="31"/>
      <c r="LA472" s="31"/>
      <c r="LB472" s="31"/>
      <c r="LC472" s="31"/>
      <c r="LD472" s="31"/>
      <c r="LE472" s="31"/>
      <c r="LF472" s="31"/>
      <c r="LG472" s="31"/>
      <c r="LH472" s="31"/>
      <c r="LI472" s="31"/>
      <c r="LJ472" s="31"/>
      <c r="LK472" s="31"/>
      <c r="LL472" s="31"/>
      <c r="LM472" s="31"/>
      <c r="LN472" s="31"/>
      <c r="LO472" s="31"/>
      <c r="LP472" s="31"/>
      <c r="LQ472" s="31"/>
      <c r="LR472" s="31"/>
      <c r="LS472" s="31"/>
      <c r="LT472" s="31"/>
      <c r="LU472" s="31"/>
      <c r="LV472" s="31"/>
      <c r="LW472" s="31"/>
      <c r="LX472" s="31"/>
      <c r="LY472" s="31"/>
      <c r="LZ472" s="31"/>
      <c r="MA472" s="31"/>
      <c r="MB472" s="31"/>
      <c r="MC472" s="31"/>
      <c r="MD472" s="31"/>
      <c r="ME472" s="31"/>
      <c r="MF472" s="31"/>
      <c r="MG472" s="31"/>
      <c r="MH472" s="31"/>
      <c r="MI472" s="31"/>
      <c r="MJ472" s="31"/>
      <c r="MK472" s="31"/>
      <c r="ML472" s="31"/>
      <c r="MM472" s="31"/>
      <c r="MN472" s="31"/>
      <c r="MO472" s="31"/>
      <c r="MP472" s="31"/>
      <c r="MQ472" s="31"/>
      <c r="MR472" s="31"/>
      <c r="MS472" s="31"/>
      <c r="MT472" s="31"/>
      <c r="MU472" s="31"/>
      <c r="MV472" s="31"/>
      <c r="MW472" s="31"/>
      <c r="MX472" s="31"/>
      <c r="MY472" s="31"/>
      <c r="MZ472" s="31"/>
      <c r="NA472" s="31"/>
      <c r="NB472" s="31"/>
      <c r="NC472" s="31"/>
      <c r="ND472" s="31"/>
      <c r="NE472" s="31"/>
      <c r="NF472" s="31"/>
      <c r="NG472" s="31"/>
      <c r="NH472" s="31"/>
      <c r="NI472" s="31"/>
      <c r="NJ472" s="31"/>
      <c r="NK472" s="31"/>
      <c r="NL472" s="31"/>
      <c r="NM472" s="31"/>
      <c r="NN472" s="31"/>
      <c r="NO472" s="31"/>
      <c r="NP472" s="31"/>
      <c r="NQ472" s="31"/>
      <c r="NR472" s="31"/>
      <c r="NS472" s="31"/>
      <c r="NT472" s="31"/>
      <c r="NU472" s="31"/>
      <c r="NV472" s="31"/>
      <c r="NW472" s="31"/>
      <c r="NX472" s="31"/>
      <c r="NY472" s="31"/>
      <c r="NZ472" s="31"/>
      <c r="OA472" s="31"/>
      <c r="OB472" s="31"/>
      <c r="OC472" s="31"/>
      <c r="OD472" s="31"/>
      <c r="OE472" s="31"/>
      <c r="OF472" s="31"/>
      <c r="OG472" s="31"/>
      <c r="OH472" s="31"/>
      <c r="OI472" s="31"/>
      <c r="OJ472" s="31"/>
      <c r="OK472" s="31"/>
      <c r="OL472" s="31"/>
      <c r="OM472" s="31"/>
      <c r="ON472" s="31"/>
      <c r="OO472" s="31"/>
      <c r="OP472" s="31"/>
      <c r="OQ472" s="31"/>
      <c r="OR472" s="31"/>
      <c r="OS472" s="31"/>
      <c r="OT472" s="31"/>
      <c r="OU472" s="31"/>
      <c r="OV472" s="31"/>
      <c r="OW472" s="31"/>
      <c r="OX472" s="31"/>
    </row>
    <row r="473" spans="2:414" s="25" customFormat="1" ht="15.6">
      <c r="B473" s="51" t="s">
        <v>905</v>
      </c>
      <c r="C473" s="27" t="s">
        <v>1012</v>
      </c>
      <c r="D473" s="30" t="s">
        <v>355</v>
      </c>
      <c r="G473" s="42">
        <v>80</v>
      </c>
      <c r="H473" s="89">
        <v>26.109000000000002</v>
      </c>
      <c r="I473" s="38">
        <f t="shared" si="150"/>
        <v>2088.7200000000003</v>
      </c>
      <c r="K473" s="42">
        <v>80</v>
      </c>
      <c r="L473" s="90">
        <v>26.849599999999999</v>
      </c>
      <c r="M473" s="38">
        <f t="shared" si="151"/>
        <v>2147.9679999999998</v>
      </c>
      <c r="O473" s="42">
        <v>505</v>
      </c>
      <c r="P473" s="38">
        <v>26.728300000000001</v>
      </c>
      <c r="Q473" s="38">
        <f t="shared" si="152"/>
        <v>13497.791500000001</v>
      </c>
      <c r="R473" s="43">
        <f t="shared" si="149"/>
        <v>665</v>
      </c>
      <c r="S473" s="38">
        <f t="shared" si="153"/>
        <v>17734.479500000001</v>
      </c>
      <c r="T473" s="52">
        <v>260</v>
      </c>
      <c r="U473" s="48">
        <v>26.88</v>
      </c>
      <c r="V473" s="38">
        <f t="shared" ref="V473:V536" si="161">T473*U473</f>
        <v>6988.8</v>
      </c>
      <c r="W473" s="48">
        <v>485</v>
      </c>
      <c r="X473" s="48">
        <v>26.75</v>
      </c>
      <c r="Y473" s="42">
        <f t="shared" si="159"/>
        <v>12973.75</v>
      </c>
      <c r="AB473" s="42">
        <f t="shared" si="160"/>
        <v>0</v>
      </c>
      <c r="AF473" s="42">
        <f t="shared" si="147"/>
        <v>0</v>
      </c>
      <c r="AU473" s="98"/>
      <c r="AV473" s="35"/>
      <c r="AW473" s="77"/>
      <c r="AZ473" s="42">
        <f t="shared" si="148"/>
        <v>0</v>
      </c>
      <c r="BD473" s="38">
        <f t="shared" si="154"/>
        <v>0</v>
      </c>
      <c r="BH473" s="38">
        <f t="shared" si="155"/>
        <v>0</v>
      </c>
      <c r="BL473" s="38">
        <f t="shared" si="156"/>
        <v>0</v>
      </c>
      <c r="BR473" s="42">
        <f t="shared" si="157"/>
        <v>19962.55</v>
      </c>
      <c r="BS473" s="43"/>
      <c r="BT473" s="25">
        <v>2228.0700000000002</v>
      </c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  <c r="FM473" s="31"/>
      <c r="FN473" s="31"/>
      <c r="FO473" s="31"/>
      <c r="FP473" s="31"/>
      <c r="FQ473" s="31"/>
      <c r="FR473" s="31"/>
      <c r="FS473" s="31"/>
      <c r="FT473" s="31"/>
      <c r="FU473" s="31"/>
      <c r="FV473" s="31"/>
      <c r="FW473" s="31"/>
      <c r="FX473" s="31"/>
      <c r="FY473" s="31"/>
      <c r="FZ473" s="31"/>
      <c r="GA473" s="31"/>
      <c r="GB473" s="31"/>
      <c r="GC473" s="31"/>
      <c r="GD473" s="31"/>
      <c r="GE473" s="31"/>
      <c r="GF473" s="31"/>
      <c r="GG473" s="31"/>
      <c r="GH473" s="31"/>
      <c r="GI473" s="31"/>
      <c r="GJ473" s="31"/>
      <c r="GK473" s="31"/>
      <c r="GL473" s="31"/>
      <c r="GM473" s="31"/>
      <c r="GN473" s="31"/>
      <c r="GO473" s="31"/>
      <c r="GP473" s="31"/>
      <c r="GQ473" s="31"/>
      <c r="GR473" s="31"/>
      <c r="GS473" s="31"/>
      <c r="GT473" s="31"/>
      <c r="GU473" s="31"/>
      <c r="GV473" s="31"/>
      <c r="GW473" s="31"/>
      <c r="GX473" s="31"/>
      <c r="GY473" s="31"/>
      <c r="GZ473" s="31"/>
      <c r="HA473" s="31"/>
      <c r="HB473" s="31"/>
      <c r="HC473" s="31"/>
      <c r="HD473" s="31"/>
      <c r="HE473" s="31"/>
      <c r="HF473" s="31"/>
      <c r="HG473" s="31"/>
      <c r="HH473" s="31"/>
      <c r="HI473" s="31"/>
      <c r="HJ473" s="31"/>
      <c r="HK473" s="31"/>
      <c r="HL473" s="31"/>
      <c r="HM473" s="31"/>
      <c r="HN473" s="31"/>
      <c r="HO473" s="31"/>
      <c r="HP473" s="31"/>
      <c r="HQ473" s="31"/>
      <c r="HR473" s="31"/>
      <c r="HS473" s="31"/>
      <c r="HT473" s="31"/>
      <c r="HU473" s="31"/>
      <c r="HV473" s="31"/>
      <c r="HW473" s="31"/>
      <c r="HX473" s="31"/>
      <c r="HY473" s="31"/>
      <c r="HZ473" s="31"/>
      <c r="IA473" s="31"/>
      <c r="IB473" s="31"/>
      <c r="IC473" s="31"/>
      <c r="ID473" s="31"/>
      <c r="IE473" s="31"/>
      <c r="IF473" s="31"/>
      <c r="IG473" s="31"/>
      <c r="IH473" s="31"/>
      <c r="II473" s="31"/>
      <c r="IJ473" s="31"/>
      <c r="IK473" s="31"/>
      <c r="IL473" s="31"/>
      <c r="IM473" s="31"/>
      <c r="IN473" s="31"/>
      <c r="IO473" s="31"/>
      <c r="IP473" s="31"/>
      <c r="IQ473" s="31"/>
      <c r="IR473" s="31"/>
      <c r="IS473" s="31"/>
      <c r="IT473" s="31"/>
      <c r="IU473" s="31"/>
      <c r="IV473" s="31"/>
      <c r="IW473" s="31"/>
      <c r="IX473" s="31"/>
      <c r="IY473" s="31"/>
      <c r="IZ473" s="31"/>
      <c r="JA473" s="31"/>
      <c r="JB473" s="31"/>
      <c r="JC473" s="31"/>
      <c r="JD473" s="31"/>
      <c r="JE473" s="31"/>
      <c r="JF473" s="31"/>
      <c r="JG473" s="31"/>
      <c r="JH473" s="31"/>
      <c r="JI473" s="31"/>
      <c r="JJ473" s="31"/>
      <c r="JK473" s="31"/>
      <c r="JL473" s="31"/>
      <c r="JM473" s="31"/>
      <c r="JN473" s="31"/>
      <c r="JO473" s="31"/>
      <c r="JP473" s="31"/>
      <c r="JQ473" s="31"/>
      <c r="JR473" s="31"/>
      <c r="JS473" s="31"/>
      <c r="JT473" s="31"/>
      <c r="JU473" s="31"/>
      <c r="JV473" s="31"/>
      <c r="JW473" s="31"/>
      <c r="JX473" s="31"/>
      <c r="JY473" s="31"/>
      <c r="JZ473" s="31"/>
      <c r="KA473" s="31"/>
      <c r="KB473" s="31"/>
      <c r="KC473" s="31"/>
      <c r="KD473" s="31"/>
      <c r="KE473" s="31"/>
      <c r="KF473" s="31"/>
      <c r="KG473" s="31"/>
      <c r="KH473" s="31"/>
      <c r="KI473" s="31"/>
      <c r="KJ473" s="31"/>
      <c r="KK473" s="31"/>
      <c r="KL473" s="31"/>
      <c r="KM473" s="31"/>
      <c r="KN473" s="31"/>
      <c r="KO473" s="31"/>
      <c r="KP473" s="31"/>
      <c r="KQ473" s="31"/>
      <c r="KR473" s="31"/>
      <c r="KS473" s="31"/>
      <c r="KT473" s="31"/>
      <c r="KU473" s="31"/>
      <c r="KV473" s="31"/>
      <c r="KW473" s="31"/>
      <c r="KX473" s="31"/>
      <c r="KY473" s="31"/>
      <c r="KZ473" s="31"/>
      <c r="LA473" s="31"/>
      <c r="LB473" s="31"/>
      <c r="LC473" s="31"/>
      <c r="LD473" s="31"/>
      <c r="LE473" s="31"/>
      <c r="LF473" s="31"/>
      <c r="LG473" s="31"/>
      <c r="LH473" s="31"/>
      <c r="LI473" s="31"/>
      <c r="LJ473" s="31"/>
      <c r="LK473" s="31"/>
      <c r="LL473" s="31"/>
      <c r="LM473" s="31"/>
      <c r="LN473" s="31"/>
      <c r="LO473" s="31"/>
      <c r="LP473" s="31"/>
      <c r="LQ473" s="31"/>
      <c r="LR473" s="31"/>
      <c r="LS473" s="31"/>
      <c r="LT473" s="31"/>
      <c r="LU473" s="31"/>
      <c r="LV473" s="31"/>
      <c r="LW473" s="31"/>
      <c r="LX473" s="31"/>
      <c r="LY473" s="31"/>
      <c r="LZ473" s="31"/>
      <c r="MA473" s="31"/>
      <c r="MB473" s="31"/>
      <c r="MC473" s="31"/>
      <c r="MD473" s="31"/>
      <c r="ME473" s="31"/>
      <c r="MF473" s="31"/>
      <c r="MG473" s="31"/>
      <c r="MH473" s="31"/>
      <c r="MI473" s="31"/>
      <c r="MJ473" s="31"/>
      <c r="MK473" s="31"/>
      <c r="ML473" s="31"/>
      <c r="MM473" s="31"/>
      <c r="MN473" s="31"/>
      <c r="MO473" s="31"/>
      <c r="MP473" s="31"/>
      <c r="MQ473" s="31"/>
      <c r="MR473" s="31"/>
      <c r="MS473" s="31"/>
      <c r="MT473" s="31"/>
      <c r="MU473" s="31"/>
      <c r="MV473" s="31"/>
      <c r="MW473" s="31"/>
      <c r="MX473" s="31"/>
      <c r="MY473" s="31"/>
      <c r="MZ473" s="31"/>
      <c r="NA473" s="31"/>
      <c r="NB473" s="31"/>
      <c r="NC473" s="31"/>
      <c r="ND473" s="31"/>
      <c r="NE473" s="31"/>
      <c r="NF473" s="31"/>
      <c r="NG473" s="31"/>
      <c r="NH473" s="31"/>
      <c r="NI473" s="31"/>
      <c r="NJ473" s="31"/>
      <c r="NK473" s="31"/>
      <c r="NL473" s="31"/>
      <c r="NM473" s="31"/>
      <c r="NN473" s="31"/>
      <c r="NO473" s="31"/>
      <c r="NP473" s="31"/>
      <c r="NQ473" s="31"/>
      <c r="NR473" s="31"/>
      <c r="NS473" s="31"/>
      <c r="NT473" s="31"/>
      <c r="NU473" s="31"/>
      <c r="NV473" s="31"/>
      <c r="NW473" s="31"/>
      <c r="NX473" s="31"/>
      <c r="NY473" s="31"/>
      <c r="NZ473" s="31"/>
      <c r="OA473" s="31"/>
      <c r="OB473" s="31"/>
      <c r="OC473" s="31"/>
      <c r="OD473" s="31"/>
      <c r="OE473" s="31"/>
      <c r="OF473" s="31"/>
      <c r="OG473" s="31"/>
      <c r="OH473" s="31"/>
      <c r="OI473" s="31"/>
      <c r="OJ473" s="31"/>
      <c r="OK473" s="31"/>
      <c r="OL473" s="31"/>
      <c r="OM473" s="31"/>
      <c r="ON473" s="31"/>
      <c r="OO473" s="31"/>
      <c r="OP473" s="31"/>
      <c r="OQ473" s="31"/>
      <c r="OR473" s="31"/>
      <c r="OS473" s="31"/>
      <c r="OT473" s="31"/>
      <c r="OU473" s="31"/>
      <c r="OV473" s="31"/>
      <c r="OW473" s="31"/>
      <c r="OX473" s="31"/>
    </row>
    <row r="474" spans="2:414" s="25" customFormat="1" ht="15.6">
      <c r="B474" s="51" t="s">
        <v>1013</v>
      </c>
      <c r="C474" s="27" t="s">
        <v>764</v>
      </c>
      <c r="D474" s="30" t="s">
        <v>355</v>
      </c>
      <c r="G474" s="42">
        <v>80</v>
      </c>
      <c r="H474" s="89">
        <v>26.109000000000002</v>
      </c>
      <c r="I474" s="38">
        <f t="shared" si="150"/>
        <v>2088.7200000000003</v>
      </c>
      <c r="K474" s="42">
        <v>80</v>
      </c>
      <c r="L474" s="90">
        <v>26.849599999999999</v>
      </c>
      <c r="M474" s="38">
        <f t="shared" si="151"/>
        <v>2147.9679999999998</v>
      </c>
      <c r="O474" s="42">
        <v>505</v>
      </c>
      <c r="P474" s="38">
        <v>26.728300000000001</v>
      </c>
      <c r="Q474" s="38">
        <f t="shared" si="152"/>
        <v>13497.791500000001</v>
      </c>
      <c r="R474" s="43">
        <f t="shared" si="149"/>
        <v>665</v>
      </c>
      <c r="S474" s="38">
        <f t="shared" si="153"/>
        <v>17734.479500000001</v>
      </c>
      <c r="T474" s="52">
        <v>240</v>
      </c>
      <c r="U474" s="48">
        <v>26.74</v>
      </c>
      <c r="V474" s="38">
        <f t="shared" si="161"/>
        <v>6417.5999999999995</v>
      </c>
      <c r="W474" s="48">
        <v>505</v>
      </c>
      <c r="X474" s="48">
        <v>26.734999999999999</v>
      </c>
      <c r="Y474" s="42">
        <f t="shared" si="159"/>
        <v>13501.174999999999</v>
      </c>
      <c r="AB474" s="42">
        <f t="shared" si="160"/>
        <v>0</v>
      </c>
      <c r="AF474" s="42">
        <f t="shared" si="147"/>
        <v>0</v>
      </c>
      <c r="AU474" s="98"/>
      <c r="AV474" s="35"/>
      <c r="AW474" s="77"/>
      <c r="AZ474" s="42">
        <f t="shared" si="148"/>
        <v>0</v>
      </c>
      <c r="BD474" s="38">
        <f t="shared" si="154"/>
        <v>0</v>
      </c>
      <c r="BH474" s="38">
        <f t="shared" si="155"/>
        <v>0</v>
      </c>
      <c r="BL474" s="38">
        <f t="shared" si="156"/>
        <v>0</v>
      </c>
      <c r="BR474" s="42">
        <f t="shared" si="157"/>
        <v>19918.774999999998</v>
      </c>
      <c r="BS474" s="43"/>
      <c r="BT474" s="25">
        <v>2184.3000000000002</v>
      </c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  <c r="FM474" s="31"/>
      <c r="FN474" s="31"/>
      <c r="FO474" s="31"/>
      <c r="FP474" s="31"/>
      <c r="FQ474" s="31"/>
      <c r="FR474" s="31"/>
      <c r="FS474" s="31"/>
      <c r="FT474" s="31"/>
      <c r="FU474" s="31"/>
      <c r="FV474" s="31"/>
      <c r="FW474" s="31"/>
      <c r="FX474" s="31"/>
      <c r="FY474" s="31"/>
      <c r="FZ474" s="31"/>
      <c r="GA474" s="31"/>
      <c r="GB474" s="31"/>
      <c r="GC474" s="31"/>
      <c r="GD474" s="31"/>
      <c r="GE474" s="31"/>
      <c r="GF474" s="31"/>
      <c r="GG474" s="31"/>
      <c r="GH474" s="31"/>
      <c r="GI474" s="31"/>
      <c r="GJ474" s="31"/>
      <c r="GK474" s="31"/>
      <c r="GL474" s="31"/>
      <c r="GM474" s="31"/>
      <c r="GN474" s="31"/>
      <c r="GO474" s="31"/>
      <c r="GP474" s="31"/>
      <c r="GQ474" s="31"/>
      <c r="GR474" s="31"/>
      <c r="GS474" s="31"/>
      <c r="GT474" s="31"/>
      <c r="GU474" s="31"/>
      <c r="GV474" s="31"/>
      <c r="GW474" s="31"/>
      <c r="GX474" s="31"/>
      <c r="GY474" s="31"/>
      <c r="GZ474" s="31"/>
      <c r="HA474" s="31"/>
      <c r="HB474" s="31"/>
      <c r="HC474" s="31"/>
      <c r="HD474" s="31"/>
      <c r="HE474" s="31"/>
      <c r="HF474" s="31"/>
      <c r="HG474" s="31"/>
      <c r="HH474" s="31"/>
      <c r="HI474" s="31"/>
      <c r="HJ474" s="31"/>
      <c r="HK474" s="31"/>
      <c r="HL474" s="31"/>
      <c r="HM474" s="31"/>
      <c r="HN474" s="31"/>
      <c r="HO474" s="31"/>
      <c r="HP474" s="31"/>
      <c r="HQ474" s="31"/>
      <c r="HR474" s="31"/>
      <c r="HS474" s="31"/>
      <c r="HT474" s="31"/>
      <c r="HU474" s="31"/>
      <c r="HV474" s="31"/>
      <c r="HW474" s="31"/>
      <c r="HX474" s="31"/>
      <c r="HY474" s="31"/>
      <c r="HZ474" s="31"/>
      <c r="IA474" s="31"/>
      <c r="IB474" s="31"/>
      <c r="IC474" s="31"/>
      <c r="ID474" s="31"/>
      <c r="IE474" s="31"/>
      <c r="IF474" s="31"/>
      <c r="IG474" s="31"/>
      <c r="IH474" s="31"/>
      <c r="II474" s="31"/>
      <c r="IJ474" s="31"/>
      <c r="IK474" s="31"/>
      <c r="IL474" s="31"/>
      <c r="IM474" s="31"/>
      <c r="IN474" s="31"/>
      <c r="IO474" s="31"/>
      <c r="IP474" s="31"/>
      <c r="IQ474" s="31"/>
      <c r="IR474" s="31"/>
      <c r="IS474" s="31"/>
      <c r="IT474" s="31"/>
      <c r="IU474" s="31"/>
      <c r="IV474" s="31"/>
      <c r="IW474" s="31"/>
      <c r="IX474" s="31"/>
      <c r="IY474" s="31"/>
      <c r="IZ474" s="31"/>
      <c r="JA474" s="31"/>
      <c r="JB474" s="31"/>
      <c r="JC474" s="31"/>
      <c r="JD474" s="31"/>
      <c r="JE474" s="31"/>
      <c r="JF474" s="31"/>
      <c r="JG474" s="31"/>
      <c r="JH474" s="31"/>
      <c r="JI474" s="31"/>
      <c r="JJ474" s="31"/>
      <c r="JK474" s="31"/>
      <c r="JL474" s="31"/>
      <c r="JM474" s="31"/>
      <c r="JN474" s="31"/>
      <c r="JO474" s="31"/>
      <c r="JP474" s="31"/>
      <c r="JQ474" s="31"/>
      <c r="JR474" s="31"/>
      <c r="JS474" s="31"/>
      <c r="JT474" s="31"/>
      <c r="JU474" s="31"/>
      <c r="JV474" s="31"/>
      <c r="JW474" s="31"/>
      <c r="JX474" s="31"/>
      <c r="JY474" s="31"/>
      <c r="JZ474" s="31"/>
      <c r="KA474" s="31"/>
      <c r="KB474" s="31"/>
      <c r="KC474" s="31"/>
      <c r="KD474" s="31"/>
      <c r="KE474" s="31"/>
      <c r="KF474" s="31"/>
      <c r="KG474" s="31"/>
      <c r="KH474" s="31"/>
      <c r="KI474" s="31"/>
      <c r="KJ474" s="31"/>
      <c r="KK474" s="31"/>
      <c r="KL474" s="31"/>
      <c r="KM474" s="31"/>
      <c r="KN474" s="31"/>
      <c r="KO474" s="31"/>
      <c r="KP474" s="31"/>
      <c r="KQ474" s="31"/>
      <c r="KR474" s="31"/>
      <c r="KS474" s="31"/>
      <c r="KT474" s="31"/>
      <c r="KU474" s="31"/>
      <c r="KV474" s="31"/>
      <c r="KW474" s="31"/>
      <c r="KX474" s="31"/>
      <c r="KY474" s="31"/>
      <c r="KZ474" s="31"/>
      <c r="LA474" s="31"/>
      <c r="LB474" s="31"/>
      <c r="LC474" s="31"/>
      <c r="LD474" s="31"/>
      <c r="LE474" s="31"/>
      <c r="LF474" s="31"/>
      <c r="LG474" s="31"/>
      <c r="LH474" s="31"/>
      <c r="LI474" s="31"/>
      <c r="LJ474" s="31"/>
      <c r="LK474" s="31"/>
      <c r="LL474" s="31"/>
      <c r="LM474" s="31"/>
      <c r="LN474" s="31"/>
      <c r="LO474" s="31"/>
      <c r="LP474" s="31"/>
      <c r="LQ474" s="31"/>
      <c r="LR474" s="31"/>
      <c r="LS474" s="31"/>
      <c r="LT474" s="31"/>
      <c r="LU474" s="31"/>
      <c r="LV474" s="31"/>
      <c r="LW474" s="31"/>
      <c r="LX474" s="31"/>
      <c r="LY474" s="31"/>
      <c r="LZ474" s="31"/>
      <c r="MA474" s="31"/>
      <c r="MB474" s="31"/>
      <c r="MC474" s="31"/>
      <c r="MD474" s="31"/>
      <c r="ME474" s="31"/>
      <c r="MF474" s="31"/>
      <c r="MG474" s="31"/>
      <c r="MH474" s="31"/>
      <c r="MI474" s="31"/>
      <c r="MJ474" s="31"/>
      <c r="MK474" s="31"/>
      <c r="ML474" s="31"/>
      <c r="MM474" s="31"/>
      <c r="MN474" s="31"/>
      <c r="MO474" s="31"/>
      <c r="MP474" s="31"/>
      <c r="MQ474" s="31"/>
      <c r="MR474" s="31"/>
      <c r="MS474" s="31"/>
      <c r="MT474" s="31"/>
      <c r="MU474" s="31"/>
      <c r="MV474" s="31"/>
      <c r="MW474" s="31"/>
      <c r="MX474" s="31"/>
      <c r="MY474" s="31"/>
      <c r="MZ474" s="31"/>
      <c r="NA474" s="31"/>
      <c r="NB474" s="31"/>
      <c r="NC474" s="31"/>
      <c r="ND474" s="31"/>
      <c r="NE474" s="31"/>
      <c r="NF474" s="31"/>
      <c r="NG474" s="31"/>
      <c r="NH474" s="31"/>
      <c r="NI474" s="31"/>
      <c r="NJ474" s="31"/>
      <c r="NK474" s="31"/>
      <c r="NL474" s="31"/>
      <c r="NM474" s="31"/>
      <c r="NN474" s="31"/>
      <c r="NO474" s="31"/>
      <c r="NP474" s="31"/>
      <c r="NQ474" s="31"/>
      <c r="NR474" s="31"/>
      <c r="NS474" s="31"/>
      <c r="NT474" s="31"/>
      <c r="NU474" s="31"/>
      <c r="NV474" s="31"/>
      <c r="NW474" s="31"/>
      <c r="NX474" s="31"/>
      <c r="NY474" s="31"/>
      <c r="NZ474" s="31"/>
      <c r="OA474" s="31"/>
      <c r="OB474" s="31"/>
      <c r="OC474" s="31"/>
      <c r="OD474" s="31"/>
      <c r="OE474" s="31"/>
      <c r="OF474" s="31"/>
      <c r="OG474" s="31"/>
      <c r="OH474" s="31"/>
      <c r="OI474" s="31"/>
      <c r="OJ474" s="31"/>
      <c r="OK474" s="31"/>
      <c r="OL474" s="31"/>
      <c r="OM474" s="31"/>
      <c r="ON474" s="31"/>
      <c r="OO474" s="31"/>
      <c r="OP474" s="31"/>
      <c r="OQ474" s="31"/>
      <c r="OR474" s="31"/>
      <c r="OS474" s="31"/>
      <c r="OT474" s="31"/>
      <c r="OU474" s="31"/>
      <c r="OV474" s="31"/>
      <c r="OW474" s="31"/>
      <c r="OX474" s="31"/>
    </row>
    <row r="475" spans="2:414" s="25" customFormat="1" ht="15.6">
      <c r="B475" s="51" t="s">
        <v>336</v>
      </c>
      <c r="C475" s="27" t="s">
        <v>182</v>
      </c>
      <c r="D475" s="30" t="s">
        <v>355</v>
      </c>
      <c r="G475" s="42">
        <v>80</v>
      </c>
      <c r="H475" s="89">
        <v>26.109000000000002</v>
      </c>
      <c r="I475" s="38">
        <f t="shared" si="150"/>
        <v>2088.7200000000003</v>
      </c>
      <c r="K475" s="42">
        <v>80</v>
      </c>
      <c r="L475" s="90">
        <v>26.849599999999999</v>
      </c>
      <c r="M475" s="38">
        <f t="shared" si="151"/>
        <v>2147.9679999999998</v>
      </c>
      <c r="O475" s="42">
        <v>505</v>
      </c>
      <c r="P475" s="38">
        <v>26.728300000000001</v>
      </c>
      <c r="Q475" s="38">
        <f t="shared" si="152"/>
        <v>13497.791500000001</v>
      </c>
      <c r="R475" s="43">
        <f t="shared" si="149"/>
        <v>665</v>
      </c>
      <c r="S475" s="38">
        <f t="shared" si="153"/>
        <v>17734.479500000001</v>
      </c>
      <c r="T475" s="52">
        <v>335</v>
      </c>
      <c r="U475" s="48">
        <v>26.74</v>
      </c>
      <c r="V475" s="38">
        <f t="shared" si="161"/>
        <v>8957.9</v>
      </c>
      <c r="W475" s="48">
        <v>320</v>
      </c>
      <c r="X475" s="48">
        <v>26.74</v>
      </c>
      <c r="Y475" s="42">
        <f t="shared" si="159"/>
        <v>8556.7999999999993</v>
      </c>
      <c r="AB475" s="42">
        <f t="shared" si="160"/>
        <v>0</v>
      </c>
      <c r="AF475" s="42">
        <f t="shared" si="147"/>
        <v>0</v>
      </c>
      <c r="AU475" s="98"/>
      <c r="AV475" s="35"/>
      <c r="AW475" s="77"/>
      <c r="AZ475" s="42">
        <f t="shared" si="148"/>
        <v>0</v>
      </c>
      <c r="BD475" s="38">
        <f t="shared" si="154"/>
        <v>0</v>
      </c>
      <c r="BH475" s="38">
        <f t="shared" si="155"/>
        <v>0</v>
      </c>
      <c r="BL475" s="38">
        <f t="shared" si="156"/>
        <v>0</v>
      </c>
      <c r="BR475" s="42">
        <f t="shared" si="157"/>
        <v>17514.699999999997</v>
      </c>
      <c r="BS475" s="43">
        <f t="shared" si="158"/>
        <v>219.77950000000419</v>
      </c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  <c r="FM475" s="31"/>
      <c r="FN475" s="31"/>
      <c r="FO475" s="31"/>
      <c r="FP475" s="31"/>
      <c r="FQ475" s="31"/>
      <c r="FR475" s="31"/>
      <c r="FS475" s="31"/>
      <c r="FT475" s="31"/>
      <c r="FU475" s="31"/>
      <c r="FV475" s="31"/>
      <c r="FW475" s="31"/>
      <c r="FX475" s="31"/>
      <c r="FY475" s="31"/>
      <c r="FZ475" s="31"/>
      <c r="GA475" s="31"/>
      <c r="GB475" s="31"/>
      <c r="GC475" s="31"/>
      <c r="GD475" s="31"/>
      <c r="GE475" s="31"/>
      <c r="GF475" s="31"/>
      <c r="GG475" s="31"/>
      <c r="GH475" s="31"/>
      <c r="GI475" s="31"/>
      <c r="GJ475" s="31"/>
      <c r="GK475" s="31"/>
      <c r="GL475" s="31"/>
      <c r="GM475" s="31"/>
      <c r="GN475" s="31"/>
      <c r="GO475" s="31"/>
      <c r="GP475" s="31"/>
      <c r="GQ475" s="31"/>
      <c r="GR475" s="31"/>
      <c r="GS475" s="31"/>
      <c r="GT475" s="31"/>
      <c r="GU475" s="31"/>
      <c r="GV475" s="31"/>
      <c r="GW475" s="31"/>
      <c r="GX475" s="31"/>
      <c r="GY475" s="31"/>
      <c r="GZ475" s="31"/>
      <c r="HA475" s="31"/>
      <c r="HB475" s="31"/>
      <c r="HC475" s="31"/>
      <c r="HD475" s="31"/>
      <c r="HE475" s="31"/>
      <c r="HF475" s="31"/>
      <c r="HG475" s="31"/>
      <c r="HH475" s="31"/>
      <c r="HI475" s="31"/>
      <c r="HJ475" s="31"/>
      <c r="HK475" s="31"/>
      <c r="HL475" s="31"/>
      <c r="HM475" s="31"/>
      <c r="HN475" s="31"/>
      <c r="HO475" s="31"/>
      <c r="HP475" s="31"/>
      <c r="HQ475" s="31"/>
      <c r="HR475" s="31"/>
      <c r="HS475" s="31"/>
      <c r="HT475" s="31"/>
      <c r="HU475" s="31"/>
      <c r="HV475" s="31"/>
      <c r="HW475" s="31"/>
      <c r="HX475" s="31"/>
      <c r="HY475" s="31"/>
      <c r="HZ475" s="31"/>
      <c r="IA475" s="31"/>
      <c r="IB475" s="31"/>
      <c r="IC475" s="31"/>
      <c r="ID475" s="31"/>
      <c r="IE475" s="31"/>
      <c r="IF475" s="31"/>
      <c r="IG475" s="31"/>
      <c r="IH475" s="31"/>
      <c r="II475" s="31"/>
      <c r="IJ475" s="31"/>
      <c r="IK475" s="31"/>
      <c r="IL475" s="31"/>
      <c r="IM475" s="31"/>
      <c r="IN475" s="31"/>
      <c r="IO475" s="31"/>
      <c r="IP475" s="31"/>
      <c r="IQ475" s="31"/>
      <c r="IR475" s="31"/>
      <c r="IS475" s="31"/>
      <c r="IT475" s="31"/>
      <c r="IU475" s="31"/>
      <c r="IV475" s="31"/>
      <c r="IW475" s="31"/>
      <c r="IX475" s="31"/>
      <c r="IY475" s="31"/>
      <c r="IZ475" s="31"/>
      <c r="JA475" s="31"/>
      <c r="JB475" s="31"/>
      <c r="JC475" s="31"/>
      <c r="JD475" s="31"/>
      <c r="JE475" s="31"/>
      <c r="JF475" s="31"/>
      <c r="JG475" s="31"/>
      <c r="JH475" s="31"/>
      <c r="JI475" s="31"/>
      <c r="JJ475" s="31"/>
      <c r="JK475" s="31"/>
      <c r="JL475" s="31"/>
      <c r="JM475" s="31"/>
      <c r="JN475" s="31"/>
      <c r="JO475" s="31"/>
      <c r="JP475" s="31"/>
      <c r="JQ475" s="31"/>
      <c r="JR475" s="31"/>
      <c r="JS475" s="31"/>
      <c r="JT475" s="31"/>
      <c r="JU475" s="31"/>
      <c r="JV475" s="31"/>
      <c r="JW475" s="31"/>
      <c r="JX475" s="31"/>
      <c r="JY475" s="31"/>
      <c r="JZ475" s="31"/>
      <c r="KA475" s="31"/>
      <c r="KB475" s="31"/>
      <c r="KC475" s="31"/>
      <c r="KD475" s="31"/>
      <c r="KE475" s="31"/>
      <c r="KF475" s="31"/>
      <c r="KG475" s="31"/>
      <c r="KH475" s="31"/>
      <c r="KI475" s="31"/>
      <c r="KJ475" s="31"/>
      <c r="KK475" s="31"/>
      <c r="KL475" s="31"/>
      <c r="KM475" s="31"/>
      <c r="KN475" s="31"/>
      <c r="KO475" s="31"/>
      <c r="KP475" s="31"/>
      <c r="KQ475" s="31"/>
      <c r="KR475" s="31"/>
      <c r="KS475" s="31"/>
      <c r="KT475" s="31"/>
      <c r="KU475" s="31"/>
      <c r="KV475" s="31"/>
      <c r="KW475" s="31"/>
      <c r="KX475" s="31"/>
      <c r="KY475" s="31"/>
      <c r="KZ475" s="31"/>
      <c r="LA475" s="31"/>
      <c r="LB475" s="31"/>
      <c r="LC475" s="31"/>
      <c r="LD475" s="31"/>
      <c r="LE475" s="31"/>
      <c r="LF475" s="31"/>
      <c r="LG475" s="31"/>
      <c r="LH475" s="31"/>
      <c r="LI475" s="31"/>
      <c r="LJ475" s="31"/>
      <c r="LK475" s="31"/>
      <c r="LL475" s="31"/>
      <c r="LM475" s="31"/>
      <c r="LN475" s="31"/>
      <c r="LO475" s="31"/>
      <c r="LP475" s="31"/>
      <c r="LQ475" s="31"/>
      <c r="LR475" s="31"/>
      <c r="LS475" s="31"/>
      <c r="LT475" s="31"/>
      <c r="LU475" s="31"/>
      <c r="LV475" s="31"/>
      <c r="LW475" s="31"/>
      <c r="LX475" s="31"/>
      <c r="LY475" s="31"/>
      <c r="LZ475" s="31"/>
      <c r="MA475" s="31"/>
      <c r="MB475" s="31"/>
      <c r="MC475" s="31"/>
      <c r="MD475" s="31"/>
      <c r="ME475" s="31"/>
      <c r="MF475" s="31"/>
      <c r="MG475" s="31"/>
      <c r="MH475" s="31"/>
      <c r="MI475" s="31"/>
      <c r="MJ475" s="31"/>
      <c r="MK475" s="31"/>
      <c r="ML475" s="31"/>
      <c r="MM475" s="31"/>
      <c r="MN475" s="31"/>
      <c r="MO475" s="31"/>
      <c r="MP475" s="31"/>
      <c r="MQ475" s="31"/>
      <c r="MR475" s="31"/>
      <c r="MS475" s="31"/>
      <c r="MT475" s="31"/>
      <c r="MU475" s="31"/>
      <c r="MV475" s="31"/>
      <c r="MW475" s="31"/>
      <c r="MX475" s="31"/>
      <c r="MY475" s="31"/>
      <c r="MZ475" s="31"/>
      <c r="NA475" s="31"/>
      <c r="NB475" s="31"/>
      <c r="NC475" s="31"/>
      <c r="ND475" s="31"/>
      <c r="NE475" s="31"/>
      <c r="NF475" s="31"/>
      <c r="NG475" s="31"/>
      <c r="NH475" s="31"/>
      <c r="NI475" s="31"/>
      <c r="NJ475" s="31"/>
      <c r="NK475" s="31"/>
      <c r="NL475" s="31"/>
      <c r="NM475" s="31"/>
      <c r="NN475" s="31"/>
      <c r="NO475" s="31"/>
      <c r="NP475" s="31"/>
      <c r="NQ475" s="31"/>
      <c r="NR475" s="31"/>
      <c r="NS475" s="31"/>
      <c r="NT475" s="31"/>
      <c r="NU475" s="31"/>
      <c r="NV475" s="31"/>
      <c r="NW475" s="31"/>
      <c r="NX475" s="31"/>
      <c r="NY475" s="31"/>
      <c r="NZ475" s="31"/>
      <c r="OA475" s="31"/>
      <c r="OB475" s="31"/>
      <c r="OC475" s="31"/>
      <c r="OD475" s="31"/>
      <c r="OE475" s="31"/>
      <c r="OF475" s="31"/>
      <c r="OG475" s="31"/>
      <c r="OH475" s="31"/>
      <c r="OI475" s="31"/>
      <c r="OJ475" s="31"/>
      <c r="OK475" s="31"/>
      <c r="OL475" s="31"/>
      <c r="OM475" s="31"/>
      <c r="ON475" s="31"/>
      <c r="OO475" s="31"/>
      <c r="OP475" s="31"/>
      <c r="OQ475" s="31"/>
      <c r="OR475" s="31"/>
      <c r="OS475" s="31"/>
      <c r="OT475" s="31"/>
      <c r="OU475" s="31"/>
      <c r="OV475" s="31"/>
      <c r="OW475" s="31"/>
      <c r="OX475" s="31"/>
    </row>
    <row r="476" spans="2:414" s="25" customFormat="1" ht="15.6">
      <c r="B476" s="51" t="s">
        <v>1014</v>
      </c>
      <c r="C476" s="27" t="s">
        <v>185</v>
      </c>
      <c r="D476" s="30" t="s">
        <v>355</v>
      </c>
      <c r="G476" s="42">
        <v>80</v>
      </c>
      <c r="H476" s="89">
        <v>26.109000000000002</v>
      </c>
      <c r="I476" s="38">
        <f t="shared" si="150"/>
        <v>2088.7200000000003</v>
      </c>
      <c r="K476" s="42">
        <v>80</v>
      </c>
      <c r="L476" s="90">
        <v>26.849599999999999</v>
      </c>
      <c r="M476" s="38">
        <f t="shared" si="151"/>
        <v>2147.9679999999998</v>
      </c>
      <c r="O476" s="42">
        <v>505</v>
      </c>
      <c r="P476" s="38">
        <v>26.728300000000001</v>
      </c>
      <c r="Q476" s="38">
        <f t="shared" si="152"/>
        <v>13497.791500000001</v>
      </c>
      <c r="R476" s="43">
        <f t="shared" si="149"/>
        <v>665</v>
      </c>
      <c r="S476" s="38">
        <f t="shared" si="153"/>
        <v>17734.479500000001</v>
      </c>
      <c r="T476" s="52">
        <v>260</v>
      </c>
      <c r="U476" s="48">
        <v>26.670400000000001</v>
      </c>
      <c r="V476" s="38">
        <f t="shared" si="161"/>
        <v>6934.3040000000001</v>
      </c>
      <c r="W476" s="48">
        <v>485</v>
      </c>
      <c r="X476" s="48">
        <v>26.732500000000002</v>
      </c>
      <c r="Y476" s="42">
        <f t="shared" si="159"/>
        <v>12965.262500000001</v>
      </c>
      <c r="AB476" s="42">
        <f t="shared" si="160"/>
        <v>0</v>
      </c>
      <c r="AF476" s="42">
        <f t="shared" si="147"/>
        <v>0</v>
      </c>
      <c r="AU476" s="98"/>
      <c r="AV476" s="35"/>
      <c r="AW476" s="77"/>
      <c r="AZ476" s="42">
        <f t="shared" si="148"/>
        <v>0</v>
      </c>
      <c r="BD476" s="38">
        <f t="shared" si="154"/>
        <v>0</v>
      </c>
      <c r="BH476" s="38">
        <f t="shared" si="155"/>
        <v>0</v>
      </c>
      <c r="BL476" s="38">
        <f t="shared" si="156"/>
        <v>0</v>
      </c>
      <c r="BR476" s="42">
        <f t="shared" si="157"/>
        <v>19899.566500000001</v>
      </c>
      <c r="BS476" s="43"/>
      <c r="BT476" s="25">
        <v>2165.09</v>
      </c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  <c r="CF476" s="31"/>
      <c r="CG476" s="31"/>
      <c r="CH476" s="31"/>
      <c r="CI476" s="31"/>
      <c r="CJ476" s="31"/>
      <c r="CK476" s="31"/>
      <c r="CL476" s="31"/>
      <c r="CM476" s="31"/>
      <c r="CN476" s="31"/>
      <c r="CO476" s="31"/>
      <c r="CP476" s="31"/>
      <c r="CQ476" s="31"/>
      <c r="CR476" s="31"/>
      <c r="CS476" s="31"/>
      <c r="CT476" s="31"/>
      <c r="CU476" s="31"/>
      <c r="CV476" s="31"/>
      <c r="CW476" s="31"/>
      <c r="CX476" s="31"/>
      <c r="CY476" s="31"/>
      <c r="CZ476" s="31"/>
      <c r="DA476" s="31"/>
      <c r="DB476" s="31"/>
      <c r="DC476" s="31"/>
      <c r="DD476" s="31"/>
      <c r="DE476" s="31"/>
      <c r="DF476" s="31"/>
      <c r="DG476" s="31"/>
      <c r="DH476" s="31"/>
      <c r="DI476" s="31"/>
      <c r="DJ476" s="31"/>
      <c r="DK476" s="31"/>
      <c r="DL476" s="31"/>
      <c r="DM476" s="31"/>
      <c r="DN476" s="31"/>
      <c r="DO476" s="31"/>
      <c r="DP476" s="31"/>
      <c r="DQ476" s="31"/>
      <c r="DR476" s="31"/>
      <c r="DS476" s="31"/>
      <c r="DT476" s="31"/>
      <c r="DU476" s="31"/>
      <c r="DV476" s="31"/>
      <c r="DW476" s="31"/>
      <c r="DX476" s="31"/>
      <c r="DY476" s="31"/>
      <c r="DZ476" s="31"/>
      <c r="EA476" s="31"/>
      <c r="EB476" s="31"/>
      <c r="EC476" s="31"/>
      <c r="ED476" s="31"/>
      <c r="EE476" s="31"/>
      <c r="EF476" s="31"/>
      <c r="EG476" s="31"/>
      <c r="EH476" s="31"/>
      <c r="EI476" s="31"/>
      <c r="EJ476" s="31"/>
      <c r="EK476" s="31"/>
      <c r="EL476" s="31"/>
      <c r="EM476" s="31"/>
      <c r="EN476" s="31"/>
      <c r="EO476" s="31"/>
      <c r="EP476" s="31"/>
      <c r="EQ476" s="31"/>
      <c r="ER476" s="31"/>
      <c r="ES476" s="31"/>
      <c r="ET476" s="31"/>
      <c r="EU476" s="31"/>
      <c r="EV476" s="31"/>
      <c r="EW476" s="31"/>
      <c r="EX476" s="31"/>
      <c r="EY476" s="31"/>
      <c r="EZ476" s="31"/>
      <c r="FA476" s="31"/>
      <c r="FB476" s="31"/>
      <c r="FC476" s="31"/>
      <c r="FD476" s="31"/>
      <c r="FE476" s="31"/>
      <c r="FF476" s="31"/>
      <c r="FG476" s="31"/>
      <c r="FH476" s="31"/>
      <c r="FI476" s="31"/>
      <c r="FJ476" s="31"/>
      <c r="FK476" s="31"/>
      <c r="FL476" s="31"/>
      <c r="FM476" s="31"/>
      <c r="FN476" s="31"/>
      <c r="FO476" s="31"/>
      <c r="FP476" s="31"/>
      <c r="FQ476" s="31"/>
      <c r="FR476" s="31"/>
      <c r="FS476" s="31"/>
      <c r="FT476" s="31"/>
      <c r="FU476" s="31"/>
      <c r="FV476" s="31"/>
      <c r="FW476" s="31"/>
      <c r="FX476" s="31"/>
      <c r="FY476" s="31"/>
      <c r="FZ476" s="31"/>
      <c r="GA476" s="31"/>
      <c r="GB476" s="31"/>
      <c r="GC476" s="31"/>
      <c r="GD476" s="31"/>
      <c r="GE476" s="31"/>
      <c r="GF476" s="31"/>
      <c r="GG476" s="31"/>
      <c r="GH476" s="31"/>
      <c r="GI476" s="31"/>
      <c r="GJ476" s="31"/>
      <c r="GK476" s="31"/>
      <c r="GL476" s="31"/>
      <c r="GM476" s="31"/>
      <c r="GN476" s="31"/>
      <c r="GO476" s="31"/>
      <c r="GP476" s="31"/>
      <c r="GQ476" s="31"/>
      <c r="GR476" s="31"/>
      <c r="GS476" s="31"/>
      <c r="GT476" s="31"/>
      <c r="GU476" s="31"/>
      <c r="GV476" s="31"/>
      <c r="GW476" s="31"/>
      <c r="GX476" s="31"/>
      <c r="GY476" s="31"/>
      <c r="GZ476" s="31"/>
      <c r="HA476" s="31"/>
      <c r="HB476" s="31"/>
      <c r="HC476" s="31"/>
      <c r="HD476" s="31"/>
      <c r="HE476" s="31"/>
      <c r="HF476" s="31"/>
      <c r="HG476" s="31"/>
      <c r="HH476" s="31"/>
      <c r="HI476" s="31"/>
      <c r="HJ476" s="31"/>
      <c r="HK476" s="31"/>
      <c r="HL476" s="31"/>
      <c r="HM476" s="31"/>
      <c r="HN476" s="31"/>
      <c r="HO476" s="31"/>
      <c r="HP476" s="31"/>
      <c r="HQ476" s="31"/>
      <c r="HR476" s="31"/>
      <c r="HS476" s="31"/>
      <c r="HT476" s="31"/>
      <c r="HU476" s="31"/>
      <c r="HV476" s="31"/>
      <c r="HW476" s="31"/>
      <c r="HX476" s="31"/>
      <c r="HY476" s="31"/>
      <c r="HZ476" s="31"/>
      <c r="IA476" s="31"/>
      <c r="IB476" s="31"/>
      <c r="IC476" s="31"/>
      <c r="ID476" s="31"/>
      <c r="IE476" s="31"/>
      <c r="IF476" s="31"/>
      <c r="IG476" s="31"/>
      <c r="IH476" s="31"/>
      <c r="II476" s="31"/>
      <c r="IJ476" s="31"/>
      <c r="IK476" s="31"/>
      <c r="IL476" s="31"/>
      <c r="IM476" s="31"/>
      <c r="IN476" s="31"/>
      <c r="IO476" s="31"/>
      <c r="IP476" s="31"/>
      <c r="IQ476" s="31"/>
      <c r="IR476" s="31"/>
      <c r="IS476" s="31"/>
      <c r="IT476" s="31"/>
      <c r="IU476" s="31"/>
      <c r="IV476" s="31"/>
      <c r="IW476" s="31"/>
      <c r="IX476" s="31"/>
      <c r="IY476" s="31"/>
      <c r="IZ476" s="31"/>
      <c r="JA476" s="31"/>
      <c r="JB476" s="31"/>
      <c r="JC476" s="31"/>
      <c r="JD476" s="31"/>
      <c r="JE476" s="31"/>
      <c r="JF476" s="31"/>
      <c r="JG476" s="31"/>
      <c r="JH476" s="31"/>
      <c r="JI476" s="31"/>
      <c r="JJ476" s="31"/>
      <c r="JK476" s="31"/>
      <c r="JL476" s="31"/>
      <c r="JM476" s="31"/>
      <c r="JN476" s="31"/>
      <c r="JO476" s="31"/>
      <c r="JP476" s="31"/>
      <c r="JQ476" s="31"/>
      <c r="JR476" s="31"/>
      <c r="JS476" s="31"/>
      <c r="JT476" s="31"/>
      <c r="JU476" s="31"/>
      <c r="JV476" s="31"/>
      <c r="JW476" s="31"/>
      <c r="JX476" s="31"/>
      <c r="JY476" s="31"/>
      <c r="JZ476" s="31"/>
      <c r="KA476" s="31"/>
      <c r="KB476" s="31"/>
      <c r="KC476" s="31"/>
      <c r="KD476" s="31"/>
      <c r="KE476" s="31"/>
      <c r="KF476" s="31"/>
      <c r="KG476" s="31"/>
      <c r="KH476" s="31"/>
      <c r="KI476" s="31"/>
      <c r="KJ476" s="31"/>
      <c r="KK476" s="31"/>
      <c r="KL476" s="31"/>
      <c r="KM476" s="31"/>
      <c r="KN476" s="31"/>
      <c r="KO476" s="31"/>
      <c r="KP476" s="31"/>
      <c r="KQ476" s="31"/>
      <c r="KR476" s="31"/>
      <c r="KS476" s="31"/>
      <c r="KT476" s="31"/>
      <c r="KU476" s="31"/>
      <c r="KV476" s="31"/>
      <c r="KW476" s="31"/>
      <c r="KX476" s="31"/>
      <c r="KY476" s="31"/>
      <c r="KZ476" s="31"/>
      <c r="LA476" s="31"/>
      <c r="LB476" s="31"/>
      <c r="LC476" s="31"/>
      <c r="LD476" s="31"/>
      <c r="LE476" s="31"/>
      <c r="LF476" s="31"/>
      <c r="LG476" s="31"/>
      <c r="LH476" s="31"/>
      <c r="LI476" s="31"/>
      <c r="LJ476" s="31"/>
      <c r="LK476" s="31"/>
      <c r="LL476" s="31"/>
      <c r="LM476" s="31"/>
      <c r="LN476" s="31"/>
      <c r="LO476" s="31"/>
      <c r="LP476" s="31"/>
      <c r="LQ476" s="31"/>
      <c r="LR476" s="31"/>
      <c r="LS476" s="31"/>
      <c r="LT476" s="31"/>
      <c r="LU476" s="31"/>
      <c r="LV476" s="31"/>
      <c r="LW476" s="31"/>
      <c r="LX476" s="31"/>
      <c r="LY476" s="31"/>
      <c r="LZ476" s="31"/>
      <c r="MA476" s="31"/>
      <c r="MB476" s="31"/>
      <c r="MC476" s="31"/>
      <c r="MD476" s="31"/>
      <c r="ME476" s="31"/>
      <c r="MF476" s="31"/>
      <c r="MG476" s="31"/>
      <c r="MH476" s="31"/>
      <c r="MI476" s="31"/>
      <c r="MJ476" s="31"/>
      <c r="MK476" s="31"/>
      <c r="ML476" s="31"/>
      <c r="MM476" s="31"/>
      <c r="MN476" s="31"/>
      <c r="MO476" s="31"/>
      <c r="MP476" s="31"/>
      <c r="MQ476" s="31"/>
      <c r="MR476" s="31"/>
      <c r="MS476" s="31"/>
      <c r="MT476" s="31"/>
      <c r="MU476" s="31"/>
      <c r="MV476" s="31"/>
      <c r="MW476" s="31"/>
      <c r="MX476" s="31"/>
      <c r="MY476" s="31"/>
      <c r="MZ476" s="31"/>
      <c r="NA476" s="31"/>
      <c r="NB476" s="31"/>
      <c r="NC476" s="31"/>
      <c r="ND476" s="31"/>
      <c r="NE476" s="31"/>
      <c r="NF476" s="31"/>
      <c r="NG476" s="31"/>
      <c r="NH476" s="31"/>
      <c r="NI476" s="31"/>
      <c r="NJ476" s="31"/>
      <c r="NK476" s="31"/>
      <c r="NL476" s="31"/>
      <c r="NM476" s="31"/>
      <c r="NN476" s="31"/>
      <c r="NO476" s="31"/>
      <c r="NP476" s="31"/>
      <c r="NQ476" s="31"/>
      <c r="NR476" s="31"/>
      <c r="NS476" s="31"/>
      <c r="NT476" s="31"/>
      <c r="NU476" s="31"/>
      <c r="NV476" s="31"/>
      <c r="NW476" s="31"/>
      <c r="NX476" s="31"/>
      <c r="NY476" s="31"/>
      <c r="NZ476" s="31"/>
      <c r="OA476" s="31"/>
      <c r="OB476" s="31"/>
      <c r="OC476" s="31"/>
      <c r="OD476" s="31"/>
      <c r="OE476" s="31"/>
      <c r="OF476" s="31"/>
      <c r="OG476" s="31"/>
      <c r="OH476" s="31"/>
      <c r="OI476" s="31"/>
      <c r="OJ476" s="31"/>
      <c r="OK476" s="31"/>
      <c r="OL476" s="31"/>
      <c r="OM476" s="31"/>
      <c r="ON476" s="31"/>
      <c r="OO476" s="31"/>
      <c r="OP476" s="31"/>
      <c r="OQ476" s="31"/>
      <c r="OR476" s="31"/>
      <c r="OS476" s="31"/>
      <c r="OT476" s="31"/>
      <c r="OU476" s="31"/>
      <c r="OV476" s="31"/>
      <c r="OW476" s="31"/>
      <c r="OX476" s="31"/>
    </row>
    <row r="477" spans="2:414" s="25" customFormat="1" ht="15.6">
      <c r="B477" s="51" t="s">
        <v>1015</v>
      </c>
      <c r="C477" s="27" t="s">
        <v>848</v>
      </c>
      <c r="D477" s="30" t="s">
        <v>355</v>
      </c>
      <c r="G477" s="42">
        <v>80</v>
      </c>
      <c r="H477" s="89">
        <v>26.109000000000002</v>
      </c>
      <c r="I477" s="38">
        <f t="shared" si="150"/>
        <v>2088.7200000000003</v>
      </c>
      <c r="K477" s="42">
        <v>80</v>
      </c>
      <c r="L477" s="90">
        <v>26.849599999999999</v>
      </c>
      <c r="M477" s="38">
        <f t="shared" si="151"/>
        <v>2147.9679999999998</v>
      </c>
      <c r="O477" s="42">
        <v>505</v>
      </c>
      <c r="P477" s="38">
        <v>26.728300000000001</v>
      </c>
      <c r="Q477" s="38">
        <f t="shared" si="152"/>
        <v>13497.791500000001</v>
      </c>
      <c r="R477" s="43">
        <f t="shared" si="149"/>
        <v>665</v>
      </c>
      <c r="S477" s="38">
        <f t="shared" si="153"/>
        <v>17734.479500000001</v>
      </c>
      <c r="T477" s="52">
        <v>240</v>
      </c>
      <c r="U477" s="48">
        <v>26.677399999999999</v>
      </c>
      <c r="V477" s="38">
        <f t="shared" si="161"/>
        <v>6402.576</v>
      </c>
      <c r="W477" s="48">
        <v>505</v>
      </c>
      <c r="X477" s="48">
        <v>26.677399999999999</v>
      </c>
      <c r="Y477" s="42">
        <f t="shared" si="159"/>
        <v>13472.087</v>
      </c>
      <c r="AB477" s="42">
        <f t="shared" si="160"/>
        <v>0</v>
      </c>
      <c r="AF477" s="42">
        <f t="shared" si="147"/>
        <v>0</v>
      </c>
      <c r="AU477" s="98"/>
      <c r="AV477" s="35"/>
      <c r="AW477" s="77"/>
      <c r="AZ477" s="42">
        <f t="shared" si="148"/>
        <v>0</v>
      </c>
      <c r="BD477" s="38">
        <f t="shared" si="154"/>
        <v>0</v>
      </c>
      <c r="BH477" s="38">
        <f t="shared" si="155"/>
        <v>0</v>
      </c>
      <c r="BL477" s="38">
        <f t="shared" si="156"/>
        <v>0</v>
      </c>
      <c r="BR477" s="42">
        <f t="shared" si="157"/>
        <v>19874.663</v>
      </c>
      <c r="BS477" s="43"/>
      <c r="BT477" s="25">
        <v>2140.1799999999998</v>
      </c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  <c r="CF477" s="31"/>
      <c r="CG477" s="31"/>
      <c r="CH477" s="31"/>
      <c r="CI477" s="31"/>
      <c r="CJ477" s="31"/>
      <c r="CK477" s="31"/>
      <c r="CL477" s="31"/>
      <c r="CM477" s="31"/>
      <c r="CN477" s="31"/>
      <c r="CO477" s="31"/>
      <c r="CP477" s="31"/>
      <c r="CQ477" s="31"/>
      <c r="CR477" s="31"/>
      <c r="CS477" s="31"/>
      <c r="CT477" s="31"/>
      <c r="CU477" s="31"/>
      <c r="CV477" s="31"/>
      <c r="CW477" s="31"/>
      <c r="CX477" s="31"/>
      <c r="CY477" s="31"/>
      <c r="CZ477" s="31"/>
      <c r="DA477" s="31"/>
      <c r="DB477" s="31"/>
      <c r="DC477" s="31"/>
      <c r="DD477" s="31"/>
      <c r="DE477" s="31"/>
      <c r="DF477" s="31"/>
      <c r="DG477" s="31"/>
      <c r="DH477" s="31"/>
      <c r="DI477" s="31"/>
      <c r="DJ477" s="31"/>
      <c r="DK477" s="31"/>
      <c r="DL477" s="31"/>
      <c r="DM477" s="31"/>
      <c r="DN477" s="31"/>
      <c r="DO477" s="31"/>
      <c r="DP477" s="31"/>
      <c r="DQ477" s="31"/>
      <c r="DR477" s="31"/>
      <c r="DS477" s="31"/>
      <c r="DT477" s="31"/>
      <c r="DU477" s="31"/>
      <c r="DV477" s="31"/>
      <c r="DW477" s="31"/>
      <c r="DX477" s="31"/>
      <c r="DY477" s="31"/>
      <c r="DZ477" s="31"/>
      <c r="EA477" s="31"/>
      <c r="EB477" s="31"/>
      <c r="EC477" s="31"/>
      <c r="ED477" s="31"/>
      <c r="EE477" s="31"/>
      <c r="EF477" s="31"/>
      <c r="EG477" s="31"/>
      <c r="EH477" s="31"/>
      <c r="EI477" s="31"/>
      <c r="EJ477" s="31"/>
      <c r="EK477" s="31"/>
      <c r="EL477" s="31"/>
      <c r="EM477" s="31"/>
      <c r="EN477" s="31"/>
      <c r="EO477" s="31"/>
      <c r="EP477" s="31"/>
      <c r="EQ477" s="31"/>
      <c r="ER477" s="31"/>
      <c r="ES477" s="31"/>
      <c r="ET477" s="31"/>
      <c r="EU477" s="31"/>
      <c r="EV477" s="31"/>
      <c r="EW477" s="31"/>
      <c r="EX477" s="31"/>
      <c r="EY477" s="31"/>
      <c r="EZ477" s="31"/>
      <c r="FA477" s="31"/>
      <c r="FB477" s="31"/>
      <c r="FC477" s="31"/>
      <c r="FD477" s="31"/>
      <c r="FE477" s="31"/>
      <c r="FF477" s="31"/>
      <c r="FG477" s="31"/>
      <c r="FH477" s="31"/>
      <c r="FI477" s="31"/>
      <c r="FJ477" s="31"/>
      <c r="FK477" s="31"/>
      <c r="FL477" s="31"/>
      <c r="FM477" s="31"/>
      <c r="FN477" s="31"/>
      <c r="FO477" s="31"/>
      <c r="FP477" s="31"/>
      <c r="FQ477" s="31"/>
      <c r="FR477" s="31"/>
      <c r="FS477" s="31"/>
      <c r="FT477" s="31"/>
      <c r="FU477" s="31"/>
      <c r="FV477" s="31"/>
      <c r="FW477" s="31"/>
      <c r="FX477" s="31"/>
      <c r="FY477" s="31"/>
      <c r="FZ477" s="31"/>
      <c r="GA477" s="31"/>
      <c r="GB477" s="31"/>
      <c r="GC477" s="31"/>
      <c r="GD477" s="31"/>
      <c r="GE477" s="31"/>
      <c r="GF477" s="31"/>
      <c r="GG477" s="31"/>
      <c r="GH477" s="31"/>
      <c r="GI477" s="31"/>
      <c r="GJ477" s="31"/>
      <c r="GK477" s="31"/>
      <c r="GL477" s="31"/>
      <c r="GM477" s="31"/>
      <c r="GN477" s="31"/>
      <c r="GO477" s="31"/>
      <c r="GP477" s="31"/>
      <c r="GQ477" s="31"/>
      <c r="GR477" s="31"/>
      <c r="GS477" s="31"/>
      <c r="GT477" s="31"/>
      <c r="GU477" s="31"/>
      <c r="GV477" s="31"/>
      <c r="GW477" s="31"/>
      <c r="GX477" s="31"/>
      <c r="GY477" s="31"/>
      <c r="GZ477" s="31"/>
      <c r="HA477" s="31"/>
      <c r="HB477" s="31"/>
      <c r="HC477" s="31"/>
      <c r="HD477" s="31"/>
      <c r="HE477" s="31"/>
      <c r="HF477" s="31"/>
      <c r="HG477" s="31"/>
      <c r="HH477" s="31"/>
      <c r="HI477" s="31"/>
      <c r="HJ477" s="31"/>
      <c r="HK477" s="31"/>
      <c r="HL477" s="31"/>
      <c r="HM477" s="31"/>
      <c r="HN477" s="31"/>
      <c r="HO477" s="31"/>
      <c r="HP477" s="31"/>
      <c r="HQ477" s="31"/>
      <c r="HR477" s="31"/>
      <c r="HS477" s="31"/>
      <c r="HT477" s="31"/>
      <c r="HU477" s="31"/>
      <c r="HV477" s="31"/>
      <c r="HW477" s="31"/>
      <c r="HX477" s="31"/>
      <c r="HY477" s="31"/>
      <c r="HZ477" s="31"/>
      <c r="IA477" s="31"/>
      <c r="IB477" s="31"/>
      <c r="IC477" s="31"/>
      <c r="ID477" s="31"/>
      <c r="IE477" s="31"/>
      <c r="IF477" s="31"/>
      <c r="IG477" s="31"/>
      <c r="IH477" s="31"/>
      <c r="II477" s="31"/>
      <c r="IJ477" s="31"/>
      <c r="IK477" s="31"/>
      <c r="IL477" s="31"/>
      <c r="IM477" s="31"/>
      <c r="IN477" s="31"/>
      <c r="IO477" s="31"/>
      <c r="IP477" s="31"/>
      <c r="IQ477" s="31"/>
      <c r="IR477" s="31"/>
      <c r="IS477" s="31"/>
      <c r="IT477" s="31"/>
      <c r="IU477" s="31"/>
      <c r="IV477" s="31"/>
      <c r="IW477" s="31"/>
      <c r="IX477" s="31"/>
      <c r="IY477" s="31"/>
      <c r="IZ477" s="31"/>
      <c r="JA477" s="31"/>
      <c r="JB477" s="31"/>
      <c r="JC477" s="31"/>
      <c r="JD477" s="31"/>
      <c r="JE477" s="31"/>
      <c r="JF477" s="31"/>
      <c r="JG477" s="31"/>
      <c r="JH477" s="31"/>
      <c r="JI477" s="31"/>
      <c r="JJ477" s="31"/>
      <c r="JK477" s="31"/>
      <c r="JL477" s="31"/>
      <c r="JM477" s="31"/>
      <c r="JN477" s="31"/>
      <c r="JO477" s="31"/>
      <c r="JP477" s="31"/>
      <c r="JQ477" s="31"/>
      <c r="JR477" s="31"/>
      <c r="JS477" s="31"/>
      <c r="JT477" s="31"/>
      <c r="JU477" s="31"/>
      <c r="JV477" s="31"/>
      <c r="JW477" s="31"/>
      <c r="JX477" s="31"/>
      <c r="JY477" s="31"/>
      <c r="JZ477" s="31"/>
      <c r="KA477" s="31"/>
      <c r="KB477" s="31"/>
      <c r="KC477" s="31"/>
      <c r="KD477" s="31"/>
      <c r="KE477" s="31"/>
      <c r="KF477" s="31"/>
      <c r="KG477" s="31"/>
      <c r="KH477" s="31"/>
      <c r="KI477" s="31"/>
      <c r="KJ477" s="31"/>
      <c r="KK477" s="31"/>
      <c r="KL477" s="31"/>
      <c r="KM477" s="31"/>
      <c r="KN477" s="31"/>
      <c r="KO477" s="31"/>
      <c r="KP477" s="31"/>
      <c r="KQ477" s="31"/>
      <c r="KR477" s="31"/>
      <c r="KS477" s="31"/>
      <c r="KT477" s="31"/>
      <c r="KU477" s="31"/>
      <c r="KV477" s="31"/>
      <c r="KW477" s="31"/>
      <c r="KX477" s="31"/>
      <c r="KY477" s="31"/>
      <c r="KZ477" s="31"/>
      <c r="LA477" s="31"/>
      <c r="LB477" s="31"/>
      <c r="LC477" s="31"/>
      <c r="LD477" s="31"/>
      <c r="LE477" s="31"/>
      <c r="LF477" s="31"/>
      <c r="LG477" s="31"/>
      <c r="LH477" s="31"/>
      <c r="LI477" s="31"/>
      <c r="LJ477" s="31"/>
      <c r="LK477" s="31"/>
      <c r="LL477" s="31"/>
      <c r="LM477" s="31"/>
      <c r="LN477" s="31"/>
      <c r="LO477" s="31"/>
      <c r="LP477" s="31"/>
      <c r="LQ477" s="31"/>
      <c r="LR477" s="31"/>
      <c r="LS477" s="31"/>
      <c r="LT477" s="31"/>
      <c r="LU477" s="31"/>
      <c r="LV477" s="31"/>
      <c r="LW477" s="31"/>
      <c r="LX477" s="31"/>
      <c r="LY477" s="31"/>
      <c r="LZ477" s="31"/>
      <c r="MA477" s="31"/>
      <c r="MB477" s="31"/>
      <c r="MC477" s="31"/>
      <c r="MD477" s="31"/>
      <c r="ME477" s="31"/>
      <c r="MF477" s="31"/>
      <c r="MG477" s="31"/>
      <c r="MH477" s="31"/>
      <c r="MI477" s="31"/>
      <c r="MJ477" s="31"/>
      <c r="MK477" s="31"/>
      <c r="ML477" s="31"/>
      <c r="MM477" s="31"/>
      <c r="MN477" s="31"/>
      <c r="MO477" s="31"/>
      <c r="MP477" s="31"/>
      <c r="MQ477" s="31"/>
      <c r="MR477" s="31"/>
      <c r="MS477" s="31"/>
      <c r="MT477" s="31"/>
      <c r="MU477" s="31"/>
      <c r="MV477" s="31"/>
      <c r="MW477" s="31"/>
      <c r="MX477" s="31"/>
      <c r="MY477" s="31"/>
      <c r="MZ477" s="31"/>
      <c r="NA477" s="31"/>
      <c r="NB477" s="31"/>
      <c r="NC477" s="31"/>
      <c r="ND477" s="31"/>
      <c r="NE477" s="31"/>
      <c r="NF477" s="31"/>
      <c r="NG477" s="31"/>
      <c r="NH477" s="31"/>
      <c r="NI477" s="31"/>
      <c r="NJ477" s="31"/>
      <c r="NK477" s="31"/>
      <c r="NL477" s="31"/>
      <c r="NM477" s="31"/>
      <c r="NN477" s="31"/>
      <c r="NO477" s="31"/>
      <c r="NP477" s="31"/>
      <c r="NQ477" s="31"/>
      <c r="NR477" s="31"/>
      <c r="NS477" s="31"/>
      <c r="NT477" s="31"/>
      <c r="NU477" s="31"/>
      <c r="NV477" s="31"/>
      <c r="NW477" s="31"/>
      <c r="NX477" s="31"/>
      <c r="NY477" s="31"/>
      <c r="NZ477" s="31"/>
      <c r="OA477" s="31"/>
      <c r="OB477" s="31"/>
      <c r="OC477" s="31"/>
      <c r="OD477" s="31"/>
      <c r="OE477" s="31"/>
      <c r="OF477" s="31"/>
      <c r="OG477" s="31"/>
      <c r="OH477" s="31"/>
      <c r="OI477" s="31"/>
      <c r="OJ477" s="31"/>
      <c r="OK477" s="31"/>
      <c r="OL477" s="31"/>
      <c r="OM477" s="31"/>
      <c r="ON477" s="31"/>
      <c r="OO477" s="31"/>
      <c r="OP477" s="31"/>
      <c r="OQ477" s="31"/>
      <c r="OR477" s="31"/>
      <c r="OS477" s="31"/>
      <c r="OT477" s="31"/>
      <c r="OU477" s="31"/>
      <c r="OV477" s="31"/>
      <c r="OW477" s="31"/>
      <c r="OX477" s="31"/>
    </row>
    <row r="478" spans="2:414" s="25" customFormat="1" ht="15.6">
      <c r="B478" s="51" t="s">
        <v>797</v>
      </c>
      <c r="C478" s="27" t="s">
        <v>798</v>
      </c>
      <c r="D478" s="30" t="s">
        <v>355</v>
      </c>
      <c r="G478" s="42">
        <v>80</v>
      </c>
      <c r="H478" s="89">
        <v>26.109000000000002</v>
      </c>
      <c r="I478" s="38">
        <f t="shared" si="150"/>
        <v>2088.7200000000003</v>
      </c>
      <c r="K478" s="42">
        <v>80</v>
      </c>
      <c r="L478" s="90">
        <v>26.849599999999999</v>
      </c>
      <c r="M478" s="38">
        <f t="shared" si="151"/>
        <v>2147.9679999999998</v>
      </c>
      <c r="O478" s="42">
        <v>505</v>
      </c>
      <c r="P478" s="38">
        <v>26.728300000000001</v>
      </c>
      <c r="Q478" s="38">
        <f t="shared" si="152"/>
        <v>13497.791500000001</v>
      </c>
      <c r="R478" s="43">
        <f t="shared" si="149"/>
        <v>665</v>
      </c>
      <c r="S478" s="38">
        <f t="shared" si="153"/>
        <v>17734.479500000001</v>
      </c>
      <c r="T478" s="52">
        <v>240</v>
      </c>
      <c r="U478" s="48">
        <v>26.68</v>
      </c>
      <c r="V478" s="38">
        <f t="shared" si="161"/>
        <v>6403.2</v>
      </c>
      <c r="W478" s="48">
        <v>505</v>
      </c>
      <c r="X478" s="48">
        <v>26.677399999999999</v>
      </c>
      <c r="Y478" s="42">
        <f t="shared" si="159"/>
        <v>13472.087</v>
      </c>
      <c r="AB478" s="42">
        <f t="shared" si="160"/>
        <v>0</v>
      </c>
      <c r="AF478" s="42">
        <f t="shared" si="147"/>
        <v>0</v>
      </c>
      <c r="AU478" s="98"/>
      <c r="AV478" s="35"/>
      <c r="AW478" s="77"/>
      <c r="AZ478" s="42">
        <f t="shared" si="148"/>
        <v>0</v>
      </c>
      <c r="BD478" s="38">
        <f t="shared" si="154"/>
        <v>0</v>
      </c>
      <c r="BH478" s="38">
        <f t="shared" si="155"/>
        <v>0</v>
      </c>
      <c r="BL478" s="38">
        <f t="shared" si="156"/>
        <v>0</v>
      </c>
      <c r="BR478" s="42">
        <f t="shared" si="157"/>
        <v>19875.287</v>
      </c>
      <c r="BS478" s="43"/>
      <c r="BT478" s="25">
        <v>2140.81</v>
      </c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  <c r="CF478" s="31"/>
      <c r="CG478" s="31"/>
      <c r="CH478" s="31"/>
      <c r="CI478" s="31"/>
      <c r="CJ478" s="31"/>
      <c r="CK478" s="31"/>
      <c r="CL478" s="31"/>
      <c r="CM478" s="31"/>
      <c r="CN478" s="31"/>
      <c r="CO478" s="31"/>
      <c r="CP478" s="31"/>
      <c r="CQ478" s="31"/>
      <c r="CR478" s="31"/>
      <c r="CS478" s="31"/>
      <c r="CT478" s="31"/>
      <c r="CU478" s="31"/>
      <c r="CV478" s="31"/>
      <c r="CW478" s="31"/>
      <c r="CX478" s="31"/>
      <c r="CY478" s="31"/>
      <c r="CZ478" s="31"/>
      <c r="DA478" s="31"/>
      <c r="DB478" s="31"/>
      <c r="DC478" s="31"/>
      <c r="DD478" s="31"/>
      <c r="DE478" s="31"/>
      <c r="DF478" s="31"/>
      <c r="DG478" s="31"/>
      <c r="DH478" s="31"/>
      <c r="DI478" s="31"/>
      <c r="DJ478" s="31"/>
      <c r="DK478" s="31"/>
      <c r="DL478" s="31"/>
      <c r="DM478" s="31"/>
      <c r="DN478" s="31"/>
      <c r="DO478" s="31"/>
      <c r="DP478" s="31"/>
      <c r="DQ478" s="31"/>
      <c r="DR478" s="31"/>
      <c r="DS478" s="31"/>
      <c r="DT478" s="31"/>
      <c r="DU478" s="31"/>
      <c r="DV478" s="31"/>
      <c r="DW478" s="31"/>
      <c r="DX478" s="31"/>
      <c r="DY478" s="31"/>
      <c r="DZ478" s="31"/>
      <c r="EA478" s="31"/>
      <c r="EB478" s="31"/>
      <c r="EC478" s="31"/>
      <c r="ED478" s="31"/>
      <c r="EE478" s="31"/>
      <c r="EF478" s="31"/>
      <c r="EG478" s="31"/>
      <c r="EH478" s="31"/>
      <c r="EI478" s="31"/>
      <c r="EJ478" s="31"/>
      <c r="EK478" s="31"/>
      <c r="EL478" s="31"/>
      <c r="EM478" s="31"/>
      <c r="EN478" s="31"/>
      <c r="EO478" s="31"/>
      <c r="EP478" s="31"/>
      <c r="EQ478" s="31"/>
      <c r="ER478" s="31"/>
      <c r="ES478" s="31"/>
      <c r="ET478" s="31"/>
      <c r="EU478" s="31"/>
      <c r="EV478" s="31"/>
      <c r="EW478" s="31"/>
      <c r="EX478" s="31"/>
      <c r="EY478" s="31"/>
      <c r="EZ478" s="31"/>
      <c r="FA478" s="31"/>
      <c r="FB478" s="31"/>
      <c r="FC478" s="31"/>
      <c r="FD478" s="31"/>
      <c r="FE478" s="31"/>
      <c r="FF478" s="31"/>
      <c r="FG478" s="31"/>
      <c r="FH478" s="31"/>
      <c r="FI478" s="31"/>
      <c r="FJ478" s="31"/>
      <c r="FK478" s="31"/>
      <c r="FL478" s="31"/>
      <c r="FM478" s="31"/>
      <c r="FN478" s="31"/>
      <c r="FO478" s="31"/>
      <c r="FP478" s="31"/>
      <c r="FQ478" s="31"/>
      <c r="FR478" s="31"/>
      <c r="FS478" s="31"/>
      <c r="FT478" s="31"/>
      <c r="FU478" s="31"/>
      <c r="FV478" s="31"/>
      <c r="FW478" s="31"/>
      <c r="FX478" s="31"/>
      <c r="FY478" s="31"/>
      <c r="FZ478" s="31"/>
      <c r="GA478" s="31"/>
      <c r="GB478" s="31"/>
      <c r="GC478" s="31"/>
      <c r="GD478" s="31"/>
      <c r="GE478" s="31"/>
      <c r="GF478" s="31"/>
      <c r="GG478" s="31"/>
      <c r="GH478" s="31"/>
      <c r="GI478" s="31"/>
      <c r="GJ478" s="31"/>
      <c r="GK478" s="31"/>
      <c r="GL478" s="31"/>
      <c r="GM478" s="31"/>
      <c r="GN478" s="31"/>
      <c r="GO478" s="31"/>
      <c r="GP478" s="31"/>
      <c r="GQ478" s="31"/>
      <c r="GR478" s="31"/>
      <c r="GS478" s="31"/>
      <c r="GT478" s="31"/>
      <c r="GU478" s="31"/>
      <c r="GV478" s="31"/>
      <c r="GW478" s="31"/>
      <c r="GX478" s="31"/>
      <c r="GY478" s="31"/>
      <c r="GZ478" s="31"/>
      <c r="HA478" s="31"/>
      <c r="HB478" s="31"/>
      <c r="HC478" s="31"/>
      <c r="HD478" s="31"/>
      <c r="HE478" s="31"/>
      <c r="HF478" s="31"/>
      <c r="HG478" s="31"/>
      <c r="HH478" s="31"/>
      <c r="HI478" s="31"/>
      <c r="HJ478" s="31"/>
      <c r="HK478" s="31"/>
      <c r="HL478" s="31"/>
      <c r="HM478" s="31"/>
      <c r="HN478" s="31"/>
      <c r="HO478" s="31"/>
      <c r="HP478" s="31"/>
      <c r="HQ478" s="31"/>
      <c r="HR478" s="31"/>
      <c r="HS478" s="31"/>
      <c r="HT478" s="31"/>
      <c r="HU478" s="31"/>
      <c r="HV478" s="31"/>
      <c r="HW478" s="31"/>
      <c r="HX478" s="31"/>
      <c r="HY478" s="31"/>
      <c r="HZ478" s="31"/>
      <c r="IA478" s="31"/>
      <c r="IB478" s="31"/>
      <c r="IC478" s="31"/>
      <c r="ID478" s="31"/>
      <c r="IE478" s="31"/>
      <c r="IF478" s="31"/>
      <c r="IG478" s="31"/>
      <c r="IH478" s="31"/>
      <c r="II478" s="31"/>
      <c r="IJ478" s="31"/>
      <c r="IK478" s="31"/>
      <c r="IL478" s="31"/>
      <c r="IM478" s="31"/>
      <c r="IN478" s="31"/>
      <c r="IO478" s="31"/>
      <c r="IP478" s="31"/>
      <c r="IQ478" s="31"/>
      <c r="IR478" s="31"/>
      <c r="IS478" s="31"/>
      <c r="IT478" s="31"/>
      <c r="IU478" s="31"/>
      <c r="IV478" s="31"/>
      <c r="IW478" s="31"/>
      <c r="IX478" s="31"/>
      <c r="IY478" s="31"/>
      <c r="IZ478" s="31"/>
      <c r="JA478" s="31"/>
      <c r="JB478" s="31"/>
      <c r="JC478" s="31"/>
      <c r="JD478" s="31"/>
      <c r="JE478" s="31"/>
      <c r="JF478" s="31"/>
      <c r="JG478" s="31"/>
      <c r="JH478" s="31"/>
      <c r="JI478" s="31"/>
      <c r="JJ478" s="31"/>
      <c r="JK478" s="31"/>
      <c r="JL478" s="31"/>
      <c r="JM478" s="31"/>
      <c r="JN478" s="31"/>
      <c r="JO478" s="31"/>
      <c r="JP478" s="31"/>
      <c r="JQ478" s="31"/>
      <c r="JR478" s="31"/>
      <c r="JS478" s="31"/>
      <c r="JT478" s="31"/>
      <c r="JU478" s="31"/>
      <c r="JV478" s="31"/>
      <c r="JW478" s="31"/>
      <c r="JX478" s="31"/>
      <c r="JY478" s="31"/>
      <c r="JZ478" s="31"/>
      <c r="KA478" s="31"/>
      <c r="KB478" s="31"/>
      <c r="KC478" s="31"/>
      <c r="KD478" s="31"/>
      <c r="KE478" s="31"/>
      <c r="KF478" s="31"/>
      <c r="KG478" s="31"/>
      <c r="KH478" s="31"/>
      <c r="KI478" s="31"/>
      <c r="KJ478" s="31"/>
      <c r="KK478" s="31"/>
      <c r="KL478" s="31"/>
      <c r="KM478" s="31"/>
      <c r="KN478" s="31"/>
      <c r="KO478" s="31"/>
      <c r="KP478" s="31"/>
      <c r="KQ478" s="31"/>
      <c r="KR478" s="31"/>
      <c r="KS478" s="31"/>
      <c r="KT478" s="31"/>
      <c r="KU478" s="31"/>
      <c r="KV478" s="31"/>
      <c r="KW478" s="31"/>
      <c r="KX478" s="31"/>
      <c r="KY478" s="31"/>
      <c r="KZ478" s="31"/>
      <c r="LA478" s="31"/>
      <c r="LB478" s="31"/>
      <c r="LC478" s="31"/>
      <c r="LD478" s="31"/>
      <c r="LE478" s="31"/>
      <c r="LF478" s="31"/>
      <c r="LG478" s="31"/>
      <c r="LH478" s="31"/>
      <c r="LI478" s="31"/>
      <c r="LJ478" s="31"/>
      <c r="LK478" s="31"/>
      <c r="LL478" s="31"/>
      <c r="LM478" s="31"/>
      <c r="LN478" s="31"/>
      <c r="LO478" s="31"/>
      <c r="LP478" s="31"/>
      <c r="LQ478" s="31"/>
      <c r="LR478" s="31"/>
      <c r="LS478" s="31"/>
      <c r="LT478" s="31"/>
      <c r="LU478" s="31"/>
      <c r="LV478" s="31"/>
      <c r="LW478" s="31"/>
      <c r="LX478" s="31"/>
      <c r="LY478" s="31"/>
      <c r="LZ478" s="31"/>
      <c r="MA478" s="31"/>
      <c r="MB478" s="31"/>
      <c r="MC478" s="31"/>
      <c r="MD478" s="31"/>
      <c r="ME478" s="31"/>
      <c r="MF478" s="31"/>
      <c r="MG478" s="31"/>
      <c r="MH478" s="31"/>
      <c r="MI478" s="31"/>
      <c r="MJ478" s="31"/>
      <c r="MK478" s="31"/>
      <c r="ML478" s="31"/>
      <c r="MM478" s="31"/>
      <c r="MN478" s="31"/>
      <c r="MO478" s="31"/>
      <c r="MP478" s="31"/>
      <c r="MQ478" s="31"/>
      <c r="MR478" s="31"/>
      <c r="MS478" s="31"/>
      <c r="MT478" s="31"/>
      <c r="MU478" s="31"/>
      <c r="MV478" s="31"/>
      <c r="MW478" s="31"/>
      <c r="MX478" s="31"/>
      <c r="MY478" s="31"/>
      <c r="MZ478" s="31"/>
      <c r="NA478" s="31"/>
      <c r="NB478" s="31"/>
      <c r="NC478" s="31"/>
      <c r="ND478" s="31"/>
      <c r="NE478" s="31"/>
      <c r="NF478" s="31"/>
      <c r="NG478" s="31"/>
      <c r="NH478" s="31"/>
      <c r="NI478" s="31"/>
      <c r="NJ478" s="31"/>
      <c r="NK478" s="31"/>
      <c r="NL478" s="31"/>
      <c r="NM478" s="31"/>
      <c r="NN478" s="31"/>
      <c r="NO478" s="31"/>
      <c r="NP478" s="31"/>
      <c r="NQ478" s="31"/>
      <c r="NR478" s="31"/>
      <c r="NS478" s="31"/>
      <c r="NT478" s="31"/>
      <c r="NU478" s="31"/>
      <c r="NV478" s="31"/>
      <c r="NW478" s="31"/>
      <c r="NX478" s="31"/>
      <c r="NY478" s="31"/>
      <c r="NZ478" s="31"/>
      <c r="OA478" s="31"/>
      <c r="OB478" s="31"/>
      <c r="OC478" s="31"/>
      <c r="OD478" s="31"/>
      <c r="OE478" s="31"/>
      <c r="OF478" s="31"/>
      <c r="OG478" s="31"/>
      <c r="OH478" s="31"/>
      <c r="OI478" s="31"/>
      <c r="OJ478" s="31"/>
      <c r="OK478" s="31"/>
      <c r="OL478" s="31"/>
      <c r="OM478" s="31"/>
      <c r="ON478" s="31"/>
      <c r="OO478" s="31"/>
      <c r="OP478" s="31"/>
      <c r="OQ478" s="31"/>
      <c r="OR478" s="31"/>
      <c r="OS478" s="31"/>
      <c r="OT478" s="31"/>
      <c r="OU478" s="31"/>
      <c r="OV478" s="31"/>
      <c r="OW478" s="31"/>
      <c r="OX478" s="31"/>
    </row>
    <row r="479" spans="2:414" s="25" customFormat="1" ht="15.6">
      <c r="B479" s="51" t="s">
        <v>808</v>
      </c>
      <c r="C479" s="27" t="s">
        <v>1016</v>
      </c>
      <c r="D479" s="30" t="s">
        <v>355</v>
      </c>
      <c r="G479" s="42">
        <v>80</v>
      </c>
      <c r="H479" s="89">
        <v>26.109000000000002</v>
      </c>
      <c r="I479" s="38">
        <f t="shared" si="150"/>
        <v>2088.7200000000003</v>
      </c>
      <c r="K479" s="42">
        <v>80</v>
      </c>
      <c r="L479" s="90">
        <v>26.849599999999999</v>
      </c>
      <c r="M479" s="38">
        <f t="shared" si="151"/>
        <v>2147.9679999999998</v>
      </c>
      <c r="O479" s="42">
        <v>505</v>
      </c>
      <c r="P479" s="38">
        <v>26.728300000000001</v>
      </c>
      <c r="Q479" s="38">
        <f t="shared" si="152"/>
        <v>13497.791500000001</v>
      </c>
      <c r="R479" s="43">
        <f t="shared" si="149"/>
        <v>665</v>
      </c>
      <c r="S479" s="38">
        <f t="shared" si="153"/>
        <v>17734.479500000001</v>
      </c>
      <c r="T479" s="27"/>
      <c r="V479" s="38">
        <f t="shared" si="161"/>
        <v>0</v>
      </c>
      <c r="W479" s="48">
        <v>505</v>
      </c>
      <c r="X479" s="48">
        <v>26.68</v>
      </c>
      <c r="Y479" s="42">
        <f t="shared" si="159"/>
        <v>13473.4</v>
      </c>
      <c r="AB479" s="42">
        <f t="shared" si="160"/>
        <v>0</v>
      </c>
      <c r="AF479" s="42">
        <f t="shared" si="147"/>
        <v>0</v>
      </c>
      <c r="AU479" s="98"/>
      <c r="AV479" s="35"/>
      <c r="AW479" s="77"/>
      <c r="AZ479" s="42">
        <f t="shared" si="148"/>
        <v>0</v>
      </c>
      <c r="BD479" s="38">
        <f t="shared" si="154"/>
        <v>0</v>
      </c>
      <c r="BH479" s="38">
        <f t="shared" si="155"/>
        <v>0</v>
      </c>
      <c r="BL479" s="38">
        <f t="shared" si="156"/>
        <v>0</v>
      </c>
      <c r="BR479" s="42">
        <f t="shared" si="157"/>
        <v>13473.4</v>
      </c>
      <c r="BS479" s="43">
        <f t="shared" si="158"/>
        <v>4261.0795000000016</v>
      </c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  <c r="CF479" s="31"/>
      <c r="CG479" s="31"/>
      <c r="CH479" s="31"/>
      <c r="CI479" s="31"/>
      <c r="CJ479" s="31"/>
      <c r="CK479" s="31"/>
      <c r="CL479" s="31"/>
      <c r="CM479" s="31"/>
      <c r="CN479" s="31"/>
      <c r="CO479" s="31"/>
      <c r="CP479" s="31"/>
      <c r="CQ479" s="31"/>
      <c r="CR479" s="31"/>
      <c r="CS479" s="31"/>
      <c r="CT479" s="31"/>
      <c r="CU479" s="31"/>
      <c r="CV479" s="31"/>
      <c r="CW479" s="31"/>
      <c r="CX479" s="31"/>
      <c r="CY479" s="31"/>
      <c r="CZ479" s="31"/>
      <c r="DA479" s="31"/>
      <c r="DB479" s="31"/>
      <c r="DC479" s="31"/>
      <c r="DD479" s="31"/>
      <c r="DE479" s="31"/>
      <c r="DF479" s="31"/>
      <c r="DG479" s="31"/>
      <c r="DH479" s="31"/>
      <c r="DI479" s="31"/>
      <c r="DJ479" s="31"/>
      <c r="DK479" s="31"/>
      <c r="DL479" s="31"/>
      <c r="DM479" s="31"/>
      <c r="DN479" s="31"/>
      <c r="DO479" s="31"/>
      <c r="DP479" s="31"/>
      <c r="DQ479" s="31"/>
      <c r="DR479" s="31"/>
      <c r="DS479" s="31"/>
      <c r="DT479" s="31"/>
      <c r="DU479" s="31"/>
      <c r="DV479" s="31"/>
      <c r="DW479" s="31"/>
      <c r="DX479" s="31"/>
      <c r="DY479" s="31"/>
      <c r="DZ479" s="31"/>
      <c r="EA479" s="31"/>
      <c r="EB479" s="31"/>
      <c r="EC479" s="31"/>
      <c r="ED479" s="31"/>
      <c r="EE479" s="31"/>
      <c r="EF479" s="31"/>
      <c r="EG479" s="31"/>
      <c r="EH479" s="31"/>
      <c r="EI479" s="31"/>
      <c r="EJ479" s="31"/>
      <c r="EK479" s="31"/>
      <c r="EL479" s="31"/>
      <c r="EM479" s="31"/>
      <c r="EN479" s="31"/>
      <c r="EO479" s="31"/>
      <c r="EP479" s="31"/>
      <c r="EQ479" s="31"/>
      <c r="ER479" s="31"/>
      <c r="ES479" s="31"/>
      <c r="ET479" s="31"/>
      <c r="EU479" s="31"/>
      <c r="EV479" s="31"/>
      <c r="EW479" s="31"/>
      <c r="EX479" s="31"/>
      <c r="EY479" s="31"/>
      <c r="EZ479" s="31"/>
      <c r="FA479" s="31"/>
      <c r="FB479" s="31"/>
      <c r="FC479" s="31"/>
      <c r="FD479" s="31"/>
      <c r="FE479" s="31"/>
      <c r="FF479" s="31"/>
      <c r="FG479" s="31"/>
      <c r="FH479" s="31"/>
      <c r="FI479" s="31"/>
      <c r="FJ479" s="31"/>
      <c r="FK479" s="31"/>
      <c r="FL479" s="31"/>
      <c r="FM479" s="31"/>
      <c r="FN479" s="31"/>
      <c r="FO479" s="31"/>
      <c r="FP479" s="31"/>
      <c r="FQ479" s="31"/>
      <c r="FR479" s="31"/>
      <c r="FS479" s="31"/>
      <c r="FT479" s="31"/>
      <c r="FU479" s="31"/>
      <c r="FV479" s="31"/>
      <c r="FW479" s="31"/>
      <c r="FX479" s="31"/>
      <c r="FY479" s="31"/>
      <c r="FZ479" s="31"/>
      <c r="GA479" s="31"/>
      <c r="GB479" s="31"/>
      <c r="GC479" s="31"/>
      <c r="GD479" s="31"/>
      <c r="GE479" s="31"/>
      <c r="GF479" s="31"/>
      <c r="GG479" s="31"/>
      <c r="GH479" s="31"/>
      <c r="GI479" s="31"/>
      <c r="GJ479" s="31"/>
      <c r="GK479" s="31"/>
      <c r="GL479" s="31"/>
      <c r="GM479" s="31"/>
      <c r="GN479" s="31"/>
      <c r="GO479" s="31"/>
      <c r="GP479" s="31"/>
      <c r="GQ479" s="31"/>
      <c r="GR479" s="31"/>
      <c r="GS479" s="31"/>
      <c r="GT479" s="31"/>
      <c r="GU479" s="31"/>
      <c r="GV479" s="31"/>
      <c r="GW479" s="31"/>
      <c r="GX479" s="31"/>
      <c r="GY479" s="31"/>
      <c r="GZ479" s="31"/>
      <c r="HA479" s="31"/>
      <c r="HB479" s="31"/>
      <c r="HC479" s="31"/>
      <c r="HD479" s="31"/>
      <c r="HE479" s="31"/>
      <c r="HF479" s="31"/>
      <c r="HG479" s="31"/>
      <c r="HH479" s="31"/>
      <c r="HI479" s="31"/>
      <c r="HJ479" s="31"/>
      <c r="HK479" s="31"/>
      <c r="HL479" s="31"/>
      <c r="HM479" s="31"/>
      <c r="HN479" s="31"/>
      <c r="HO479" s="31"/>
      <c r="HP479" s="31"/>
      <c r="HQ479" s="31"/>
      <c r="HR479" s="31"/>
      <c r="HS479" s="31"/>
      <c r="HT479" s="31"/>
      <c r="HU479" s="31"/>
      <c r="HV479" s="31"/>
      <c r="HW479" s="31"/>
      <c r="HX479" s="31"/>
      <c r="HY479" s="31"/>
      <c r="HZ479" s="31"/>
      <c r="IA479" s="31"/>
      <c r="IB479" s="31"/>
      <c r="IC479" s="31"/>
      <c r="ID479" s="31"/>
      <c r="IE479" s="31"/>
      <c r="IF479" s="31"/>
      <c r="IG479" s="31"/>
      <c r="IH479" s="31"/>
      <c r="II479" s="31"/>
      <c r="IJ479" s="31"/>
      <c r="IK479" s="31"/>
      <c r="IL479" s="31"/>
      <c r="IM479" s="31"/>
      <c r="IN479" s="31"/>
      <c r="IO479" s="31"/>
      <c r="IP479" s="31"/>
      <c r="IQ479" s="31"/>
      <c r="IR479" s="31"/>
      <c r="IS479" s="31"/>
      <c r="IT479" s="31"/>
      <c r="IU479" s="31"/>
      <c r="IV479" s="31"/>
      <c r="IW479" s="31"/>
      <c r="IX479" s="31"/>
      <c r="IY479" s="31"/>
      <c r="IZ479" s="31"/>
      <c r="JA479" s="31"/>
      <c r="JB479" s="31"/>
      <c r="JC479" s="31"/>
      <c r="JD479" s="31"/>
      <c r="JE479" s="31"/>
      <c r="JF479" s="31"/>
      <c r="JG479" s="31"/>
      <c r="JH479" s="31"/>
      <c r="JI479" s="31"/>
      <c r="JJ479" s="31"/>
      <c r="JK479" s="31"/>
      <c r="JL479" s="31"/>
      <c r="JM479" s="31"/>
      <c r="JN479" s="31"/>
      <c r="JO479" s="31"/>
      <c r="JP479" s="31"/>
      <c r="JQ479" s="31"/>
      <c r="JR479" s="31"/>
      <c r="JS479" s="31"/>
      <c r="JT479" s="31"/>
      <c r="JU479" s="31"/>
      <c r="JV479" s="31"/>
      <c r="JW479" s="31"/>
      <c r="JX479" s="31"/>
      <c r="JY479" s="31"/>
      <c r="JZ479" s="31"/>
      <c r="KA479" s="31"/>
      <c r="KB479" s="31"/>
      <c r="KC479" s="31"/>
      <c r="KD479" s="31"/>
      <c r="KE479" s="31"/>
      <c r="KF479" s="31"/>
      <c r="KG479" s="31"/>
      <c r="KH479" s="31"/>
      <c r="KI479" s="31"/>
      <c r="KJ479" s="31"/>
      <c r="KK479" s="31"/>
      <c r="KL479" s="31"/>
      <c r="KM479" s="31"/>
      <c r="KN479" s="31"/>
      <c r="KO479" s="31"/>
      <c r="KP479" s="31"/>
      <c r="KQ479" s="31"/>
      <c r="KR479" s="31"/>
      <c r="KS479" s="31"/>
      <c r="KT479" s="31"/>
      <c r="KU479" s="31"/>
      <c r="KV479" s="31"/>
      <c r="KW479" s="31"/>
      <c r="KX479" s="31"/>
      <c r="KY479" s="31"/>
      <c r="KZ479" s="31"/>
      <c r="LA479" s="31"/>
      <c r="LB479" s="31"/>
      <c r="LC479" s="31"/>
      <c r="LD479" s="31"/>
      <c r="LE479" s="31"/>
      <c r="LF479" s="31"/>
      <c r="LG479" s="31"/>
      <c r="LH479" s="31"/>
      <c r="LI479" s="31"/>
      <c r="LJ479" s="31"/>
      <c r="LK479" s="31"/>
      <c r="LL479" s="31"/>
      <c r="LM479" s="31"/>
      <c r="LN479" s="31"/>
      <c r="LO479" s="31"/>
      <c r="LP479" s="31"/>
      <c r="LQ479" s="31"/>
      <c r="LR479" s="31"/>
      <c r="LS479" s="31"/>
      <c r="LT479" s="31"/>
      <c r="LU479" s="31"/>
      <c r="LV479" s="31"/>
      <c r="LW479" s="31"/>
      <c r="LX479" s="31"/>
      <c r="LY479" s="31"/>
      <c r="LZ479" s="31"/>
      <c r="MA479" s="31"/>
      <c r="MB479" s="31"/>
      <c r="MC479" s="31"/>
      <c r="MD479" s="31"/>
      <c r="ME479" s="31"/>
      <c r="MF479" s="31"/>
      <c r="MG479" s="31"/>
      <c r="MH479" s="31"/>
      <c r="MI479" s="31"/>
      <c r="MJ479" s="31"/>
      <c r="MK479" s="31"/>
      <c r="ML479" s="31"/>
      <c r="MM479" s="31"/>
      <c r="MN479" s="31"/>
      <c r="MO479" s="31"/>
      <c r="MP479" s="31"/>
      <c r="MQ479" s="31"/>
      <c r="MR479" s="31"/>
      <c r="MS479" s="31"/>
      <c r="MT479" s="31"/>
      <c r="MU479" s="31"/>
      <c r="MV479" s="31"/>
      <c r="MW479" s="31"/>
      <c r="MX479" s="31"/>
      <c r="MY479" s="31"/>
      <c r="MZ479" s="31"/>
      <c r="NA479" s="31"/>
      <c r="NB479" s="31"/>
      <c r="NC479" s="31"/>
      <c r="ND479" s="31"/>
      <c r="NE479" s="31"/>
      <c r="NF479" s="31"/>
      <c r="NG479" s="31"/>
      <c r="NH479" s="31"/>
      <c r="NI479" s="31"/>
      <c r="NJ479" s="31"/>
      <c r="NK479" s="31"/>
      <c r="NL479" s="31"/>
      <c r="NM479" s="31"/>
      <c r="NN479" s="31"/>
      <c r="NO479" s="31"/>
      <c r="NP479" s="31"/>
      <c r="NQ479" s="31"/>
      <c r="NR479" s="31"/>
      <c r="NS479" s="31"/>
      <c r="NT479" s="31"/>
      <c r="NU479" s="31"/>
      <c r="NV479" s="31"/>
      <c r="NW479" s="31"/>
      <c r="NX479" s="31"/>
      <c r="NY479" s="31"/>
      <c r="NZ479" s="31"/>
      <c r="OA479" s="31"/>
      <c r="OB479" s="31"/>
      <c r="OC479" s="31"/>
      <c r="OD479" s="31"/>
      <c r="OE479" s="31"/>
      <c r="OF479" s="31"/>
      <c r="OG479" s="31"/>
      <c r="OH479" s="31"/>
      <c r="OI479" s="31"/>
      <c r="OJ479" s="31"/>
      <c r="OK479" s="31"/>
      <c r="OL479" s="31"/>
      <c r="OM479" s="31"/>
      <c r="ON479" s="31"/>
      <c r="OO479" s="31"/>
      <c r="OP479" s="31"/>
      <c r="OQ479" s="31"/>
      <c r="OR479" s="31"/>
      <c r="OS479" s="31"/>
      <c r="OT479" s="31"/>
      <c r="OU479" s="31"/>
      <c r="OV479" s="31"/>
      <c r="OW479" s="31"/>
      <c r="OX479" s="31"/>
    </row>
    <row r="480" spans="2:414" s="25" customFormat="1" ht="15.6">
      <c r="B480" s="51" t="s">
        <v>1017</v>
      </c>
      <c r="C480" s="27" t="s">
        <v>863</v>
      </c>
      <c r="D480" s="30" t="s">
        <v>355</v>
      </c>
      <c r="G480" s="42">
        <v>80</v>
      </c>
      <c r="H480" s="89">
        <v>26.109000000000002</v>
      </c>
      <c r="I480" s="38">
        <f t="shared" si="150"/>
        <v>2088.7200000000003</v>
      </c>
      <c r="K480" s="42">
        <v>80</v>
      </c>
      <c r="L480" s="90">
        <v>26.849599999999999</v>
      </c>
      <c r="M480" s="38">
        <f t="shared" si="151"/>
        <v>2147.9679999999998</v>
      </c>
      <c r="O480" s="42">
        <v>505</v>
      </c>
      <c r="P480" s="38">
        <v>26.728300000000001</v>
      </c>
      <c r="Q480" s="38">
        <f t="shared" si="152"/>
        <v>13497.791500000001</v>
      </c>
      <c r="R480" s="43">
        <f t="shared" si="149"/>
        <v>665</v>
      </c>
      <c r="S480" s="38">
        <f t="shared" si="153"/>
        <v>17734.479500000001</v>
      </c>
      <c r="T480" s="52">
        <v>240</v>
      </c>
      <c r="U480" s="48">
        <v>26.820799999999998</v>
      </c>
      <c r="V480" s="38">
        <f t="shared" si="161"/>
        <v>6436.9919999999993</v>
      </c>
      <c r="W480" s="48">
        <v>505</v>
      </c>
      <c r="X480" s="48">
        <v>26.732500000000002</v>
      </c>
      <c r="Y480" s="42">
        <f t="shared" si="159"/>
        <v>13499.9125</v>
      </c>
      <c r="AB480" s="42">
        <f t="shared" si="160"/>
        <v>0</v>
      </c>
      <c r="AF480" s="42">
        <f t="shared" si="147"/>
        <v>0</v>
      </c>
      <c r="AU480" s="98"/>
      <c r="AV480" s="35"/>
      <c r="AW480" s="77"/>
      <c r="AZ480" s="42">
        <f t="shared" si="148"/>
        <v>0</v>
      </c>
      <c r="BD480" s="38">
        <f t="shared" si="154"/>
        <v>0</v>
      </c>
      <c r="BH480" s="38">
        <f t="shared" si="155"/>
        <v>0</v>
      </c>
      <c r="BL480" s="38">
        <f t="shared" si="156"/>
        <v>0</v>
      </c>
      <c r="BR480" s="42">
        <f t="shared" si="157"/>
        <v>19936.904500000001</v>
      </c>
      <c r="BS480" s="43"/>
      <c r="BT480" s="25">
        <v>2202.4299999999998</v>
      </c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  <c r="CF480" s="31"/>
      <c r="CG480" s="31"/>
      <c r="CH480" s="31"/>
      <c r="CI480" s="31"/>
      <c r="CJ480" s="31"/>
      <c r="CK480" s="31"/>
      <c r="CL480" s="31"/>
      <c r="CM480" s="31"/>
      <c r="CN480" s="31"/>
      <c r="CO480" s="31"/>
      <c r="CP480" s="31"/>
      <c r="CQ480" s="31"/>
      <c r="CR480" s="31"/>
      <c r="CS480" s="31"/>
      <c r="CT480" s="31"/>
      <c r="CU480" s="31"/>
      <c r="CV480" s="31"/>
      <c r="CW480" s="31"/>
      <c r="CX480" s="31"/>
      <c r="CY480" s="31"/>
      <c r="CZ480" s="31"/>
      <c r="DA480" s="31"/>
      <c r="DB480" s="31"/>
      <c r="DC480" s="31"/>
      <c r="DD480" s="31"/>
      <c r="DE480" s="31"/>
      <c r="DF480" s="31"/>
      <c r="DG480" s="31"/>
      <c r="DH480" s="31"/>
      <c r="DI480" s="31"/>
      <c r="DJ480" s="31"/>
      <c r="DK480" s="31"/>
      <c r="DL480" s="31"/>
      <c r="DM480" s="31"/>
      <c r="DN480" s="31"/>
      <c r="DO480" s="31"/>
      <c r="DP480" s="31"/>
      <c r="DQ480" s="31"/>
      <c r="DR480" s="31"/>
      <c r="DS480" s="31"/>
      <c r="DT480" s="31"/>
      <c r="DU480" s="31"/>
      <c r="DV480" s="31"/>
      <c r="DW480" s="31"/>
      <c r="DX480" s="31"/>
      <c r="DY480" s="31"/>
      <c r="DZ480" s="31"/>
      <c r="EA480" s="31"/>
      <c r="EB480" s="31"/>
      <c r="EC480" s="31"/>
      <c r="ED480" s="31"/>
      <c r="EE480" s="31"/>
      <c r="EF480" s="31"/>
      <c r="EG480" s="31"/>
      <c r="EH480" s="31"/>
      <c r="EI480" s="31"/>
      <c r="EJ480" s="31"/>
      <c r="EK480" s="31"/>
      <c r="EL480" s="31"/>
      <c r="EM480" s="31"/>
      <c r="EN480" s="31"/>
      <c r="EO480" s="31"/>
      <c r="EP480" s="31"/>
      <c r="EQ480" s="31"/>
      <c r="ER480" s="31"/>
      <c r="ES480" s="31"/>
      <c r="ET480" s="31"/>
      <c r="EU480" s="31"/>
      <c r="EV480" s="31"/>
      <c r="EW480" s="31"/>
      <c r="EX480" s="31"/>
      <c r="EY480" s="31"/>
      <c r="EZ480" s="31"/>
      <c r="FA480" s="31"/>
      <c r="FB480" s="31"/>
      <c r="FC480" s="31"/>
      <c r="FD480" s="31"/>
      <c r="FE480" s="31"/>
      <c r="FF480" s="31"/>
      <c r="FG480" s="31"/>
      <c r="FH480" s="31"/>
      <c r="FI480" s="31"/>
      <c r="FJ480" s="31"/>
      <c r="FK480" s="31"/>
      <c r="FL480" s="31"/>
      <c r="FM480" s="31"/>
      <c r="FN480" s="31"/>
      <c r="FO480" s="31"/>
      <c r="FP480" s="31"/>
      <c r="FQ480" s="31"/>
      <c r="FR480" s="31"/>
      <c r="FS480" s="31"/>
      <c r="FT480" s="31"/>
      <c r="FU480" s="31"/>
      <c r="FV480" s="31"/>
      <c r="FW480" s="31"/>
      <c r="FX480" s="31"/>
      <c r="FY480" s="31"/>
      <c r="FZ480" s="31"/>
      <c r="GA480" s="31"/>
      <c r="GB480" s="31"/>
      <c r="GC480" s="31"/>
      <c r="GD480" s="31"/>
      <c r="GE480" s="31"/>
      <c r="GF480" s="31"/>
      <c r="GG480" s="31"/>
      <c r="GH480" s="31"/>
      <c r="GI480" s="31"/>
      <c r="GJ480" s="31"/>
      <c r="GK480" s="31"/>
      <c r="GL480" s="31"/>
      <c r="GM480" s="31"/>
      <c r="GN480" s="31"/>
      <c r="GO480" s="31"/>
      <c r="GP480" s="31"/>
      <c r="GQ480" s="31"/>
      <c r="GR480" s="31"/>
      <c r="GS480" s="31"/>
      <c r="GT480" s="31"/>
      <c r="GU480" s="31"/>
      <c r="GV480" s="31"/>
      <c r="GW480" s="31"/>
      <c r="GX480" s="31"/>
      <c r="GY480" s="31"/>
      <c r="GZ480" s="31"/>
      <c r="HA480" s="31"/>
      <c r="HB480" s="31"/>
      <c r="HC480" s="31"/>
      <c r="HD480" s="31"/>
      <c r="HE480" s="31"/>
      <c r="HF480" s="31"/>
      <c r="HG480" s="31"/>
      <c r="HH480" s="31"/>
      <c r="HI480" s="31"/>
      <c r="HJ480" s="31"/>
      <c r="HK480" s="31"/>
      <c r="HL480" s="31"/>
      <c r="HM480" s="31"/>
      <c r="HN480" s="31"/>
      <c r="HO480" s="31"/>
      <c r="HP480" s="31"/>
      <c r="HQ480" s="31"/>
      <c r="HR480" s="31"/>
      <c r="HS480" s="31"/>
      <c r="HT480" s="31"/>
      <c r="HU480" s="31"/>
      <c r="HV480" s="31"/>
      <c r="HW480" s="31"/>
      <c r="HX480" s="31"/>
      <c r="HY480" s="31"/>
      <c r="HZ480" s="31"/>
      <c r="IA480" s="31"/>
      <c r="IB480" s="31"/>
      <c r="IC480" s="31"/>
      <c r="ID480" s="31"/>
      <c r="IE480" s="31"/>
      <c r="IF480" s="31"/>
      <c r="IG480" s="31"/>
      <c r="IH480" s="31"/>
      <c r="II480" s="31"/>
      <c r="IJ480" s="31"/>
      <c r="IK480" s="31"/>
      <c r="IL480" s="31"/>
      <c r="IM480" s="31"/>
      <c r="IN480" s="31"/>
      <c r="IO480" s="31"/>
      <c r="IP480" s="31"/>
      <c r="IQ480" s="31"/>
      <c r="IR480" s="31"/>
      <c r="IS480" s="31"/>
      <c r="IT480" s="31"/>
      <c r="IU480" s="31"/>
      <c r="IV480" s="31"/>
      <c r="IW480" s="31"/>
      <c r="IX480" s="31"/>
      <c r="IY480" s="31"/>
      <c r="IZ480" s="31"/>
      <c r="JA480" s="31"/>
      <c r="JB480" s="31"/>
      <c r="JC480" s="31"/>
      <c r="JD480" s="31"/>
      <c r="JE480" s="31"/>
      <c r="JF480" s="31"/>
      <c r="JG480" s="31"/>
      <c r="JH480" s="31"/>
      <c r="JI480" s="31"/>
      <c r="JJ480" s="31"/>
      <c r="JK480" s="31"/>
      <c r="JL480" s="31"/>
      <c r="JM480" s="31"/>
      <c r="JN480" s="31"/>
      <c r="JO480" s="31"/>
      <c r="JP480" s="31"/>
      <c r="JQ480" s="31"/>
      <c r="JR480" s="31"/>
      <c r="JS480" s="31"/>
      <c r="JT480" s="31"/>
      <c r="JU480" s="31"/>
      <c r="JV480" s="31"/>
      <c r="JW480" s="31"/>
      <c r="JX480" s="31"/>
      <c r="JY480" s="31"/>
      <c r="JZ480" s="31"/>
      <c r="KA480" s="31"/>
      <c r="KB480" s="31"/>
      <c r="KC480" s="31"/>
      <c r="KD480" s="31"/>
      <c r="KE480" s="31"/>
      <c r="KF480" s="31"/>
      <c r="KG480" s="31"/>
      <c r="KH480" s="31"/>
      <c r="KI480" s="31"/>
      <c r="KJ480" s="31"/>
      <c r="KK480" s="31"/>
      <c r="KL480" s="31"/>
      <c r="KM480" s="31"/>
      <c r="KN480" s="31"/>
      <c r="KO480" s="31"/>
      <c r="KP480" s="31"/>
      <c r="KQ480" s="31"/>
      <c r="KR480" s="31"/>
      <c r="KS480" s="31"/>
      <c r="KT480" s="31"/>
      <c r="KU480" s="31"/>
      <c r="KV480" s="31"/>
      <c r="KW480" s="31"/>
      <c r="KX480" s="31"/>
      <c r="KY480" s="31"/>
      <c r="KZ480" s="31"/>
      <c r="LA480" s="31"/>
      <c r="LB480" s="31"/>
      <c r="LC480" s="31"/>
      <c r="LD480" s="31"/>
      <c r="LE480" s="31"/>
      <c r="LF480" s="31"/>
      <c r="LG480" s="31"/>
      <c r="LH480" s="31"/>
      <c r="LI480" s="31"/>
      <c r="LJ480" s="31"/>
      <c r="LK480" s="31"/>
      <c r="LL480" s="31"/>
      <c r="LM480" s="31"/>
      <c r="LN480" s="31"/>
      <c r="LO480" s="31"/>
      <c r="LP480" s="31"/>
      <c r="LQ480" s="31"/>
      <c r="LR480" s="31"/>
      <c r="LS480" s="31"/>
      <c r="LT480" s="31"/>
      <c r="LU480" s="31"/>
      <c r="LV480" s="31"/>
      <c r="LW480" s="31"/>
      <c r="LX480" s="31"/>
      <c r="LY480" s="31"/>
      <c r="LZ480" s="31"/>
      <c r="MA480" s="31"/>
      <c r="MB480" s="31"/>
      <c r="MC480" s="31"/>
      <c r="MD480" s="31"/>
      <c r="ME480" s="31"/>
      <c r="MF480" s="31"/>
      <c r="MG480" s="31"/>
      <c r="MH480" s="31"/>
      <c r="MI480" s="31"/>
      <c r="MJ480" s="31"/>
      <c r="MK480" s="31"/>
      <c r="ML480" s="31"/>
      <c r="MM480" s="31"/>
      <c r="MN480" s="31"/>
      <c r="MO480" s="31"/>
      <c r="MP480" s="31"/>
      <c r="MQ480" s="31"/>
      <c r="MR480" s="31"/>
      <c r="MS480" s="31"/>
      <c r="MT480" s="31"/>
      <c r="MU480" s="31"/>
      <c r="MV480" s="31"/>
      <c r="MW480" s="31"/>
      <c r="MX480" s="31"/>
      <c r="MY480" s="31"/>
      <c r="MZ480" s="31"/>
      <c r="NA480" s="31"/>
      <c r="NB480" s="31"/>
      <c r="NC480" s="31"/>
      <c r="ND480" s="31"/>
      <c r="NE480" s="31"/>
      <c r="NF480" s="31"/>
      <c r="NG480" s="31"/>
      <c r="NH480" s="31"/>
      <c r="NI480" s="31"/>
      <c r="NJ480" s="31"/>
      <c r="NK480" s="31"/>
      <c r="NL480" s="31"/>
      <c r="NM480" s="31"/>
      <c r="NN480" s="31"/>
      <c r="NO480" s="31"/>
      <c r="NP480" s="31"/>
      <c r="NQ480" s="31"/>
      <c r="NR480" s="31"/>
      <c r="NS480" s="31"/>
      <c r="NT480" s="31"/>
      <c r="NU480" s="31"/>
      <c r="NV480" s="31"/>
      <c r="NW480" s="31"/>
      <c r="NX480" s="31"/>
      <c r="NY480" s="31"/>
      <c r="NZ480" s="31"/>
      <c r="OA480" s="31"/>
      <c r="OB480" s="31"/>
      <c r="OC480" s="31"/>
      <c r="OD480" s="31"/>
      <c r="OE480" s="31"/>
      <c r="OF480" s="31"/>
      <c r="OG480" s="31"/>
      <c r="OH480" s="31"/>
      <c r="OI480" s="31"/>
      <c r="OJ480" s="31"/>
      <c r="OK480" s="31"/>
      <c r="OL480" s="31"/>
      <c r="OM480" s="31"/>
      <c r="ON480" s="31"/>
      <c r="OO480" s="31"/>
      <c r="OP480" s="31"/>
      <c r="OQ480" s="31"/>
      <c r="OR480" s="31"/>
      <c r="OS480" s="31"/>
      <c r="OT480" s="31"/>
      <c r="OU480" s="31"/>
      <c r="OV480" s="31"/>
      <c r="OW480" s="31"/>
      <c r="OX480" s="31"/>
    </row>
    <row r="481" spans="2:414" s="25" customFormat="1" ht="15.6">
      <c r="B481" s="51" t="s">
        <v>1018</v>
      </c>
      <c r="C481" s="27" t="s">
        <v>213</v>
      </c>
      <c r="D481" s="30" t="s">
        <v>355</v>
      </c>
      <c r="G481" s="42">
        <v>80</v>
      </c>
      <c r="H481" s="89">
        <v>26.109000000000002</v>
      </c>
      <c r="I481" s="38">
        <f t="shared" si="150"/>
        <v>2088.7200000000003</v>
      </c>
      <c r="K481" s="42">
        <v>80</v>
      </c>
      <c r="L481" s="90">
        <v>26.849599999999999</v>
      </c>
      <c r="M481" s="38">
        <f t="shared" si="151"/>
        <v>2147.9679999999998</v>
      </c>
      <c r="O481" s="42">
        <v>505</v>
      </c>
      <c r="P481" s="38">
        <v>26.728300000000001</v>
      </c>
      <c r="Q481" s="38">
        <f t="shared" si="152"/>
        <v>13497.791500000001</v>
      </c>
      <c r="R481" s="43">
        <f t="shared" si="149"/>
        <v>665</v>
      </c>
      <c r="S481" s="38">
        <f t="shared" si="153"/>
        <v>17734.479500000001</v>
      </c>
      <c r="T481" s="52">
        <v>240</v>
      </c>
      <c r="U481" s="48">
        <v>26.82</v>
      </c>
      <c r="V481" s="38">
        <f t="shared" si="161"/>
        <v>6436.8</v>
      </c>
      <c r="W481" s="48">
        <v>505</v>
      </c>
      <c r="X481" s="48">
        <v>26.73</v>
      </c>
      <c r="Y481" s="42">
        <f t="shared" si="159"/>
        <v>13498.65</v>
      </c>
      <c r="AB481" s="42">
        <f t="shared" si="160"/>
        <v>0</v>
      </c>
      <c r="AF481" s="42">
        <f t="shared" si="147"/>
        <v>0</v>
      </c>
      <c r="AU481" s="98"/>
      <c r="AV481" s="35"/>
      <c r="AW481" s="77"/>
      <c r="AZ481" s="42">
        <f t="shared" si="148"/>
        <v>0</v>
      </c>
      <c r="BD481" s="38">
        <f t="shared" si="154"/>
        <v>0</v>
      </c>
      <c r="BH481" s="38">
        <f t="shared" si="155"/>
        <v>0</v>
      </c>
      <c r="BL481" s="38">
        <f t="shared" si="156"/>
        <v>0</v>
      </c>
      <c r="BR481" s="42">
        <f t="shared" si="157"/>
        <v>19935.45</v>
      </c>
      <c r="BS481" s="43"/>
      <c r="BT481" s="25">
        <v>2200.9699999999998</v>
      </c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  <c r="CF481" s="31"/>
      <c r="CG481" s="31"/>
      <c r="CH481" s="31"/>
      <c r="CI481" s="31"/>
      <c r="CJ481" s="31"/>
      <c r="CK481" s="31"/>
      <c r="CL481" s="31"/>
      <c r="CM481" s="31"/>
      <c r="CN481" s="31"/>
      <c r="CO481" s="31"/>
      <c r="CP481" s="31"/>
      <c r="CQ481" s="31"/>
      <c r="CR481" s="31"/>
      <c r="CS481" s="31"/>
      <c r="CT481" s="31"/>
      <c r="CU481" s="31"/>
      <c r="CV481" s="31"/>
      <c r="CW481" s="31"/>
      <c r="CX481" s="31"/>
      <c r="CY481" s="31"/>
      <c r="CZ481" s="31"/>
      <c r="DA481" s="31"/>
      <c r="DB481" s="31"/>
      <c r="DC481" s="31"/>
      <c r="DD481" s="31"/>
      <c r="DE481" s="31"/>
      <c r="DF481" s="31"/>
      <c r="DG481" s="31"/>
      <c r="DH481" s="31"/>
      <c r="DI481" s="31"/>
      <c r="DJ481" s="31"/>
      <c r="DK481" s="31"/>
      <c r="DL481" s="31"/>
      <c r="DM481" s="31"/>
      <c r="DN481" s="31"/>
      <c r="DO481" s="31"/>
      <c r="DP481" s="31"/>
      <c r="DQ481" s="31"/>
      <c r="DR481" s="31"/>
      <c r="DS481" s="31"/>
      <c r="DT481" s="31"/>
      <c r="DU481" s="31"/>
      <c r="DV481" s="31"/>
      <c r="DW481" s="31"/>
      <c r="DX481" s="31"/>
      <c r="DY481" s="31"/>
      <c r="DZ481" s="31"/>
      <c r="EA481" s="31"/>
      <c r="EB481" s="31"/>
      <c r="EC481" s="31"/>
      <c r="ED481" s="31"/>
      <c r="EE481" s="31"/>
      <c r="EF481" s="31"/>
      <c r="EG481" s="31"/>
      <c r="EH481" s="31"/>
      <c r="EI481" s="31"/>
      <c r="EJ481" s="31"/>
      <c r="EK481" s="31"/>
      <c r="EL481" s="31"/>
      <c r="EM481" s="31"/>
      <c r="EN481" s="31"/>
      <c r="EO481" s="31"/>
      <c r="EP481" s="31"/>
      <c r="EQ481" s="31"/>
      <c r="ER481" s="31"/>
      <c r="ES481" s="31"/>
      <c r="ET481" s="31"/>
      <c r="EU481" s="31"/>
      <c r="EV481" s="31"/>
      <c r="EW481" s="31"/>
      <c r="EX481" s="31"/>
      <c r="EY481" s="31"/>
      <c r="EZ481" s="31"/>
      <c r="FA481" s="31"/>
      <c r="FB481" s="31"/>
      <c r="FC481" s="31"/>
      <c r="FD481" s="31"/>
      <c r="FE481" s="31"/>
      <c r="FF481" s="31"/>
      <c r="FG481" s="31"/>
      <c r="FH481" s="31"/>
      <c r="FI481" s="31"/>
      <c r="FJ481" s="31"/>
      <c r="FK481" s="31"/>
      <c r="FL481" s="31"/>
      <c r="FM481" s="31"/>
      <c r="FN481" s="31"/>
      <c r="FO481" s="31"/>
      <c r="FP481" s="31"/>
      <c r="FQ481" s="31"/>
      <c r="FR481" s="31"/>
      <c r="FS481" s="31"/>
      <c r="FT481" s="31"/>
      <c r="FU481" s="31"/>
      <c r="FV481" s="31"/>
      <c r="FW481" s="31"/>
      <c r="FX481" s="31"/>
      <c r="FY481" s="31"/>
      <c r="FZ481" s="31"/>
      <c r="GA481" s="31"/>
      <c r="GB481" s="31"/>
      <c r="GC481" s="31"/>
      <c r="GD481" s="31"/>
      <c r="GE481" s="31"/>
      <c r="GF481" s="31"/>
      <c r="GG481" s="31"/>
      <c r="GH481" s="31"/>
      <c r="GI481" s="31"/>
      <c r="GJ481" s="31"/>
      <c r="GK481" s="31"/>
      <c r="GL481" s="31"/>
      <c r="GM481" s="31"/>
      <c r="GN481" s="31"/>
      <c r="GO481" s="31"/>
      <c r="GP481" s="31"/>
      <c r="GQ481" s="31"/>
      <c r="GR481" s="31"/>
      <c r="GS481" s="31"/>
      <c r="GT481" s="31"/>
      <c r="GU481" s="31"/>
      <c r="GV481" s="31"/>
      <c r="GW481" s="31"/>
      <c r="GX481" s="31"/>
      <c r="GY481" s="31"/>
      <c r="GZ481" s="31"/>
      <c r="HA481" s="31"/>
      <c r="HB481" s="31"/>
      <c r="HC481" s="31"/>
      <c r="HD481" s="31"/>
      <c r="HE481" s="31"/>
      <c r="HF481" s="31"/>
      <c r="HG481" s="31"/>
      <c r="HH481" s="31"/>
      <c r="HI481" s="31"/>
      <c r="HJ481" s="31"/>
      <c r="HK481" s="31"/>
      <c r="HL481" s="31"/>
      <c r="HM481" s="31"/>
      <c r="HN481" s="31"/>
      <c r="HO481" s="31"/>
      <c r="HP481" s="31"/>
      <c r="HQ481" s="31"/>
      <c r="HR481" s="31"/>
      <c r="HS481" s="31"/>
      <c r="HT481" s="31"/>
      <c r="HU481" s="31"/>
      <c r="HV481" s="31"/>
      <c r="HW481" s="31"/>
      <c r="HX481" s="31"/>
      <c r="HY481" s="31"/>
      <c r="HZ481" s="31"/>
      <c r="IA481" s="31"/>
      <c r="IB481" s="31"/>
      <c r="IC481" s="31"/>
      <c r="ID481" s="31"/>
      <c r="IE481" s="31"/>
      <c r="IF481" s="31"/>
      <c r="IG481" s="31"/>
      <c r="IH481" s="31"/>
      <c r="II481" s="31"/>
      <c r="IJ481" s="31"/>
      <c r="IK481" s="31"/>
      <c r="IL481" s="31"/>
      <c r="IM481" s="31"/>
      <c r="IN481" s="31"/>
      <c r="IO481" s="31"/>
      <c r="IP481" s="31"/>
      <c r="IQ481" s="31"/>
      <c r="IR481" s="31"/>
      <c r="IS481" s="31"/>
      <c r="IT481" s="31"/>
      <c r="IU481" s="31"/>
      <c r="IV481" s="31"/>
      <c r="IW481" s="31"/>
      <c r="IX481" s="31"/>
      <c r="IY481" s="31"/>
      <c r="IZ481" s="31"/>
      <c r="JA481" s="31"/>
      <c r="JB481" s="31"/>
      <c r="JC481" s="31"/>
      <c r="JD481" s="31"/>
      <c r="JE481" s="31"/>
      <c r="JF481" s="31"/>
      <c r="JG481" s="31"/>
      <c r="JH481" s="31"/>
      <c r="JI481" s="31"/>
      <c r="JJ481" s="31"/>
      <c r="JK481" s="31"/>
      <c r="JL481" s="31"/>
      <c r="JM481" s="31"/>
      <c r="JN481" s="31"/>
      <c r="JO481" s="31"/>
      <c r="JP481" s="31"/>
      <c r="JQ481" s="31"/>
      <c r="JR481" s="31"/>
      <c r="JS481" s="31"/>
      <c r="JT481" s="31"/>
      <c r="JU481" s="31"/>
      <c r="JV481" s="31"/>
      <c r="JW481" s="31"/>
      <c r="JX481" s="31"/>
      <c r="JY481" s="31"/>
      <c r="JZ481" s="31"/>
      <c r="KA481" s="31"/>
      <c r="KB481" s="31"/>
      <c r="KC481" s="31"/>
      <c r="KD481" s="31"/>
      <c r="KE481" s="31"/>
      <c r="KF481" s="31"/>
      <c r="KG481" s="31"/>
      <c r="KH481" s="31"/>
      <c r="KI481" s="31"/>
      <c r="KJ481" s="31"/>
      <c r="KK481" s="31"/>
      <c r="KL481" s="31"/>
      <c r="KM481" s="31"/>
      <c r="KN481" s="31"/>
      <c r="KO481" s="31"/>
      <c r="KP481" s="31"/>
      <c r="KQ481" s="31"/>
      <c r="KR481" s="31"/>
      <c r="KS481" s="31"/>
      <c r="KT481" s="31"/>
      <c r="KU481" s="31"/>
      <c r="KV481" s="31"/>
      <c r="KW481" s="31"/>
      <c r="KX481" s="31"/>
      <c r="KY481" s="31"/>
      <c r="KZ481" s="31"/>
      <c r="LA481" s="31"/>
      <c r="LB481" s="31"/>
      <c r="LC481" s="31"/>
      <c r="LD481" s="31"/>
      <c r="LE481" s="31"/>
      <c r="LF481" s="31"/>
      <c r="LG481" s="31"/>
      <c r="LH481" s="31"/>
      <c r="LI481" s="31"/>
      <c r="LJ481" s="31"/>
      <c r="LK481" s="31"/>
      <c r="LL481" s="31"/>
      <c r="LM481" s="31"/>
      <c r="LN481" s="31"/>
      <c r="LO481" s="31"/>
      <c r="LP481" s="31"/>
      <c r="LQ481" s="31"/>
      <c r="LR481" s="31"/>
      <c r="LS481" s="31"/>
      <c r="LT481" s="31"/>
      <c r="LU481" s="31"/>
      <c r="LV481" s="31"/>
      <c r="LW481" s="31"/>
      <c r="LX481" s="31"/>
      <c r="LY481" s="31"/>
      <c r="LZ481" s="31"/>
      <c r="MA481" s="31"/>
      <c r="MB481" s="31"/>
      <c r="MC481" s="31"/>
      <c r="MD481" s="31"/>
      <c r="ME481" s="31"/>
      <c r="MF481" s="31"/>
      <c r="MG481" s="31"/>
      <c r="MH481" s="31"/>
      <c r="MI481" s="31"/>
      <c r="MJ481" s="31"/>
      <c r="MK481" s="31"/>
      <c r="ML481" s="31"/>
      <c r="MM481" s="31"/>
      <c r="MN481" s="31"/>
      <c r="MO481" s="31"/>
      <c r="MP481" s="31"/>
      <c r="MQ481" s="31"/>
      <c r="MR481" s="31"/>
      <c r="MS481" s="31"/>
      <c r="MT481" s="31"/>
      <c r="MU481" s="31"/>
      <c r="MV481" s="31"/>
      <c r="MW481" s="31"/>
      <c r="MX481" s="31"/>
      <c r="MY481" s="31"/>
      <c r="MZ481" s="31"/>
      <c r="NA481" s="31"/>
      <c r="NB481" s="31"/>
      <c r="NC481" s="31"/>
      <c r="ND481" s="31"/>
      <c r="NE481" s="31"/>
      <c r="NF481" s="31"/>
      <c r="NG481" s="31"/>
      <c r="NH481" s="31"/>
      <c r="NI481" s="31"/>
      <c r="NJ481" s="31"/>
      <c r="NK481" s="31"/>
      <c r="NL481" s="31"/>
      <c r="NM481" s="31"/>
      <c r="NN481" s="31"/>
      <c r="NO481" s="31"/>
      <c r="NP481" s="31"/>
      <c r="NQ481" s="31"/>
      <c r="NR481" s="31"/>
      <c r="NS481" s="31"/>
      <c r="NT481" s="31"/>
      <c r="NU481" s="31"/>
      <c r="NV481" s="31"/>
      <c r="NW481" s="31"/>
      <c r="NX481" s="31"/>
      <c r="NY481" s="31"/>
      <c r="NZ481" s="31"/>
      <c r="OA481" s="31"/>
      <c r="OB481" s="31"/>
      <c r="OC481" s="31"/>
      <c r="OD481" s="31"/>
      <c r="OE481" s="31"/>
      <c r="OF481" s="31"/>
      <c r="OG481" s="31"/>
      <c r="OH481" s="31"/>
      <c r="OI481" s="31"/>
      <c r="OJ481" s="31"/>
      <c r="OK481" s="31"/>
      <c r="OL481" s="31"/>
      <c r="OM481" s="31"/>
      <c r="ON481" s="31"/>
      <c r="OO481" s="31"/>
      <c r="OP481" s="31"/>
      <c r="OQ481" s="31"/>
      <c r="OR481" s="31"/>
      <c r="OS481" s="31"/>
      <c r="OT481" s="31"/>
      <c r="OU481" s="31"/>
      <c r="OV481" s="31"/>
      <c r="OW481" s="31"/>
      <c r="OX481" s="31"/>
    </row>
    <row r="482" spans="2:414" s="25" customFormat="1" ht="15.6">
      <c r="B482" s="51" t="s">
        <v>839</v>
      </c>
      <c r="C482" s="27" t="s">
        <v>263</v>
      </c>
      <c r="D482" s="30" t="s">
        <v>355</v>
      </c>
      <c r="G482" s="42">
        <v>80</v>
      </c>
      <c r="H482" s="89">
        <v>26.109000000000002</v>
      </c>
      <c r="I482" s="38">
        <f t="shared" si="150"/>
        <v>2088.7200000000003</v>
      </c>
      <c r="K482" s="42">
        <v>80</v>
      </c>
      <c r="L482" s="90">
        <v>26.849599999999999</v>
      </c>
      <c r="M482" s="38">
        <f t="shared" si="151"/>
        <v>2147.9679999999998</v>
      </c>
      <c r="O482" s="42">
        <v>505</v>
      </c>
      <c r="P482" s="38">
        <v>26.728300000000001</v>
      </c>
      <c r="Q482" s="38">
        <f t="shared" si="152"/>
        <v>13497.791500000001</v>
      </c>
      <c r="R482" s="43">
        <f t="shared" si="149"/>
        <v>665</v>
      </c>
      <c r="S482" s="38">
        <f t="shared" si="153"/>
        <v>17734.479500000001</v>
      </c>
      <c r="T482" s="52">
        <v>239</v>
      </c>
      <c r="U482" s="48">
        <v>26.82</v>
      </c>
      <c r="V482" s="38">
        <f t="shared" si="161"/>
        <v>6409.9800000000005</v>
      </c>
      <c r="W482" s="48">
        <v>506</v>
      </c>
      <c r="X482" s="48">
        <v>26.569800000000001</v>
      </c>
      <c r="Y482" s="42">
        <f t="shared" si="159"/>
        <v>13444.318800000001</v>
      </c>
      <c r="AB482" s="42">
        <f t="shared" si="160"/>
        <v>0</v>
      </c>
      <c r="AF482" s="42">
        <f t="shared" si="147"/>
        <v>0</v>
      </c>
      <c r="AU482" s="98"/>
      <c r="AV482" s="35"/>
      <c r="AW482" s="77"/>
      <c r="AZ482" s="42">
        <f t="shared" si="148"/>
        <v>0</v>
      </c>
      <c r="BD482" s="38">
        <f t="shared" si="154"/>
        <v>0</v>
      </c>
      <c r="BH482" s="38">
        <f t="shared" si="155"/>
        <v>0</v>
      </c>
      <c r="BL482" s="38">
        <f t="shared" si="156"/>
        <v>0</v>
      </c>
      <c r="BR482" s="42">
        <f t="shared" si="157"/>
        <v>19854.2988</v>
      </c>
      <c r="BS482" s="43"/>
      <c r="BT482" s="25">
        <v>2119.8200000000002</v>
      </c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  <c r="CF482" s="31"/>
      <c r="CG482" s="31"/>
      <c r="CH482" s="31"/>
      <c r="CI482" s="31"/>
      <c r="CJ482" s="31"/>
      <c r="CK482" s="31"/>
      <c r="CL482" s="31"/>
      <c r="CM482" s="31"/>
      <c r="CN482" s="31"/>
      <c r="CO482" s="31"/>
      <c r="CP482" s="31"/>
      <c r="CQ482" s="31"/>
      <c r="CR482" s="31"/>
      <c r="CS482" s="31"/>
      <c r="CT482" s="31"/>
      <c r="CU482" s="31"/>
      <c r="CV482" s="31"/>
      <c r="CW482" s="31"/>
      <c r="CX482" s="31"/>
      <c r="CY482" s="31"/>
      <c r="CZ482" s="31"/>
      <c r="DA482" s="31"/>
      <c r="DB482" s="31"/>
      <c r="DC482" s="31"/>
      <c r="DD482" s="31"/>
      <c r="DE482" s="31"/>
      <c r="DF482" s="31"/>
      <c r="DG482" s="31"/>
      <c r="DH482" s="31"/>
      <c r="DI482" s="31"/>
      <c r="DJ482" s="31"/>
      <c r="DK482" s="31"/>
      <c r="DL482" s="31"/>
      <c r="DM482" s="31"/>
      <c r="DN482" s="31"/>
      <c r="DO482" s="31"/>
      <c r="DP482" s="31"/>
      <c r="DQ482" s="31"/>
      <c r="DR482" s="31"/>
      <c r="DS482" s="31"/>
      <c r="DT482" s="31"/>
      <c r="DU482" s="31"/>
      <c r="DV482" s="31"/>
      <c r="DW482" s="31"/>
      <c r="DX482" s="31"/>
      <c r="DY482" s="31"/>
      <c r="DZ482" s="31"/>
      <c r="EA482" s="31"/>
      <c r="EB482" s="31"/>
      <c r="EC482" s="31"/>
      <c r="ED482" s="31"/>
      <c r="EE482" s="31"/>
      <c r="EF482" s="31"/>
      <c r="EG482" s="31"/>
      <c r="EH482" s="31"/>
      <c r="EI482" s="31"/>
      <c r="EJ482" s="31"/>
      <c r="EK482" s="31"/>
      <c r="EL482" s="31"/>
      <c r="EM482" s="31"/>
      <c r="EN482" s="31"/>
      <c r="EO482" s="31"/>
      <c r="EP482" s="31"/>
      <c r="EQ482" s="31"/>
      <c r="ER482" s="31"/>
      <c r="ES482" s="31"/>
      <c r="ET482" s="31"/>
      <c r="EU482" s="31"/>
      <c r="EV482" s="31"/>
      <c r="EW482" s="31"/>
      <c r="EX482" s="31"/>
      <c r="EY482" s="31"/>
      <c r="EZ482" s="31"/>
      <c r="FA482" s="31"/>
      <c r="FB482" s="31"/>
      <c r="FC482" s="31"/>
      <c r="FD482" s="31"/>
      <c r="FE482" s="31"/>
      <c r="FF482" s="31"/>
      <c r="FG482" s="31"/>
      <c r="FH482" s="31"/>
      <c r="FI482" s="31"/>
      <c r="FJ482" s="31"/>
      <c r="FK482" s="31"/>
      <c r="FL482" s="31"/>
      <c r="FM482" s="31"/>
      <c r="FN482" s="31"/>
      <c r="FO482" s="31"/>
      <c r="FP482" s="31"/>
      <c r="FQ482" s="31"/>
      <c r="FR482" s="31"/>
      <c r="FS482" s="31"/>
      <c r="FT482" s="31"/>
      <c r="FU482" s="31"/>
      <c r="FV482" s="31"/>
      <c r="FW482" s="31"/>
      <c r="FX482" s="31"/>
      <c r="FY482" s="31"/>
      <c r="FZ482" s="31"/>
      <c r="GA482" s="31"/>
      <c r="GB482" s="31"/>
      <c r="GC482" s="31"/>
      <c r="GD482" s="31"/>
      <c r="GE482" s="31"/>
      <c r="GF482" s="31"/>
      <c r="GG482" s="31"/>
      <c r="GH482" s="31"/>
      <c r="GI482" s="31"/>
      <c r="GJ482" s="31"/>
      <c r="GK482" s="31"/>
      <c r="GL482" s="31"/>
      <c r="GM482" s="31"/>
      <c r="GN482" s="31"/>
      <c r="GO482" s="31"/>
      <c r="GP482" s="31"/>
      <c r="GQ482" s="31"/>
      <c r="GR482" s="31"/>
      <c r="GS482" s="31"/>
      <c r="GT482" s="31"/>
      <c r="GU482" s="31"/>
      <c r="GV482" s="31"/>
      <c r="GW482" s="31"/>
      <c r="GX482" s="31"/>
      <c r="GY482" s="31"/>
      <c r="GZ482" s="31"/>
      <c r="HA482" s="31"/>
      <c r="HB482" s="31"/>
      <c r="HC482" s="31"/>
      <c r="HD482" s="31"/>
      <c r="HE482" s="31"/>
      <c r="HF482" s="31"/>
      <c r="HG482" s="31"/>
      <c r="HH482" s="31"/>
      <c r="HI482" s="31"/>
      <c r="HJ482" s="31"/>
      <c r="HK482" s="31"/>
      <c r="HL482" s="31"/>
      <c r="HM482" s="31"/>
      <c r="HN482" s="31"/>
      <c r="HO482" s="31"/>
      <c r="HP482" s="31"/>
      <c r="HQ482" s="31"/>
      <c r="HR482" s="31"/>
      <c r="HS482" s="31"/>
      <c r="HT482" s="31"/>
      <c r="HU482" s="31"/>
      <c r="HV482" s="31"/>
      <c r="HW482" s="31"/>
      <c r="HX482" s="31"/>
      <c r="HY482" s="31"/>
      <c r="HZ482" s="31"/>
      <c r="IA482" s="31"/>
      <c r="IB482" s="31"/>
      <c r="IC482" s="31"/>
      <c r="ID482" s="31"/>
      <c r="IE482" s="31"/>
      <c r="IF482" s="31"/>
      <c r="IG482" s="31"/>
      <c r="IH482" s="31"/>
      <c r="II482" s="31"/>
      <c r="IJ482" s="31"/>
      <c r="IK482" s="31"/>
      <c r="IL482" s="31"/>
      <c r="IM482" s="31"/>
      <c r="IN482" s="31"/>
      <c r="IO482" s="31"/>
      <c r="IP482" s="31"/>
      <c r="IQ482" s="31"/>
      <c r="IR482" s="31"/>
      <c r="IS482" s="31"/>
      <c r="IT482" s="31"/>
      <c r="IU482" s="31"/>
      <c r="IV482" s="31"/>
      <c r="IW482" s="31"/>
      <c r="IX482" s="31"/>
      <c r="IY482" s="31"/>
      <c r="IZ482" s="31"/>
      <c r="JA482" s="31"/>
      <c r="JB482" s="31"/>
      <c r="JC482" s="31"/>
      <c r="JD482" s="31"/>
      <c r="JE482" s="31"/>
      <c r="JF482" s="31"/>
      <c r="JG482" s="31"/>
      <c r="JH482" s="31"/>
      <c r="JI482" s="31"/>
      <c r="JJ482" s="31"/>
      <c r="JK482" s="31"/>
      <c r="JL482" s="31"/>
      <c r="JM482" s="31"/>
      <c r="JN482" s="31"/>
      <c r="JO482" s="31"/>
      <c r="JP482" s="31"/>
      <c r="JQ482" s="31"/>
      <c r="JR482" s="31"/>
      <c r="JS482" s="31"/>
      <c r="JT482" s="31"/>
      <c r="JU482" s="31"/>
      <c r="JV482" s="31"/>
      <c r="JW482" s="31"/>
      <c r="JX482" s="31"/>
      <c r="JY482" s="31"/>
      <c r="JZ482" s="31"/>
      <c r="KA482" s="31"/>
      <c r="KB482" s="31"/>
      <c r="KC482" s="31"/>
      <c r="KD482" s="31"/>
      <c r="KE482" s="31"/>
      <c r="KF482" s="31"/>
      <c r="KG482" s="31"/>
      <c r="KH482" s="31"/>
      <c r="KI482" s="31"/>
      <c r="KJ482" s="31"/>
      <c r="KK482" s="31"/>
      <c r="KL482" s="31"/>
      <c r="KM482" s="31"/>
      <c r="KN482" s="31"/>
      <c r="KO482" s="31"/>
      <c r="KP482" s="31"/>
      <c r="KQ482" s="31"/>
      <c r="KR482" s="31"/>
      <c r="KS482" s="31"/>
      <c r="KT482" s="31"/>
      <c r="KU482" s="31"/>
      <c r="KV482" s="31"/>
      <c r="KW482" s="31"/>
      <c r="KX482" s="31"/>
      <c r="KY482" s="31"/>
      <c r="KZ482" s="31"/>
      <c r="LA482" s="31"/>
      <c r="LB482" s="31"/>
      <c r="LC482" s="31"/>
      <c r="LD482" s="31"/>
      <c r="LE482" s="31"/>
      <c r="LF482" s="31"/>
      <c r="LG482" s="31"/>
      <c r="LH482" s="31"/>
      <c r="LI482" s="31"/>
      <c r="LJ482" s="31"/>
      <c r="LK482" s="31"/>
      <c r="LL482" s="31"/>
      <c r="LM482" s="31"/>
      <c r="LN482" s="31"/>
      <c r="LO482" s="31"/>
      <c r="LP482" s="31"/>
      <c r="LQ482" s="31"/>
      <c r="LR482" s="31"/>
      <c r="LS482" s="31"/>
      <c r="LT482" s="31"/>
      <c r="LU482" s="31"/>
      <c r="LV482" s="31"/>
      <c r="LW482" s="31"/>
      <c r="LX482" s="31"/>
      <c r="LY482" s="31"/>
      <c r="LZ482" s="31"/>
      <c r="MA482" s="31"/>
      <c r="MB482" s="31"/>
      <c r="MC482" s="31"/>
      <c r="MD482" s="31"/>
      <c r="ME482" s="31"/>
      <c r="MF482" s="31"/>
      <c r="MG482" s="31"/>
      <c r="MH482" s="31"/>
      <c r="MI482" s="31"/>
      <c r="MJ482" s="31"/>
      <c r="MK482" s="31"/>
      <c r="ML482" s="31"/>
      <c r="MM482" s="31"/>
      <c r="MN482" s="31"/>
      <c r="MO482" s="31"/>
      <c r="MP482" s="31"/>
      <c r="MQ482" s="31"/>
      <c r="MR482" s="31"/>
      <c r="MS482" s="31"/>
      <c r="MT482" s="31"/>
      <c r="MU482" s="31"/>
      <c r="MV482" s="31"/>
      <c r="MW482" s="31"/>
      <c r="MX482" s="31"/>
      <c r="MY482" s="31"/>
      <c r="MZ482" s="31"/>
      <c r="NA482" s="31"/>
      <c r="NB482" s="31"/>
      <c r="NC482" s="31"/>
      <c r="ND482" s="31"/>
      <c r="NE482" s="31"/>
      <c r="NF482" s="31"/>
      <c r="NG482" s="31"/>
      <c r="NH482" s="31"/>
      <c r="NI482" s="31"/>
      <c r="NJ482" s="31"/>
      <c r="NK482" s="31"/>
      <c r="NL482" s="31"/>
      <c r="NM482" s="31"/>
      <c r="NN482" s="31"/>
      <c r="NO482" s="31"/>
      <c r="NP482" s="31"/>
      <c r="NQ482" s="31"/>
      <c r="NR482" s="31"/>
      <c r="NS482" s="31"/>
      <c r="NT482" s="31"/>
      <c r="NU482" s="31"/>
      <c r="NV482" s="31"/>
      <c r="NW482" s="31"/>
      <c r="NX482" s="31"/>
      <c r="NY482" s="31"/>
      <c r="NZ482" s="31"/>
      <c r="OA482" s="31"/>
      <c r="OB482" s="31"/>
      <c r="OC482" s="31"/>
      <c r="OD482" s="31"/>
      <c r="OE482" s="31"/>
      <c r="OF482" s="31"/>
      <c r="OG482" s="31"/>
      <c r="OH482" s="31"/>
      <c r="OI482" s="31"/>
      <c r="OJ482" s="31"/>
      <c r="OK482" s="31"/>
      <c r="OL482" s="31"/>
      <c r="OM482" s="31"/>
      <c r="ON482" s="31"/>
      <c r="OO482" s="31"/>
      <c r="OP482" s="31"/>
      <c r="OQ482" s="31"/>
      <c r="OR482" s="31"/>
      <c r="OS482" s="31"/>
      <c r="OT482" s="31"/>
      <c r="OU482" s="31"/>
      <c r="OV482" s="31"/>
      <c r="OW482" s="31"/>
      <c r="OX482" s="31"/>
    </row>
    <row r="483" spans="2:414" s="25" customFormat="1" ht="15.6">
      <c r="B483" s="51" t="s">
        <v>828</v>
      </c>
      <c r="C483" s="27" t="s">
        <v>1019</v>
      </c>
      <c r="D483" s="30" t="s">
        <v>355</v>
      </c>
      <c r="G483" s="42">
        <v>80</v>
      </c>
      <c r="H483" s="89">
        <v>26.109000000000002</v>
      </c>
      <c r="I483" s="38">
        <f t="shared" si="150"/>
        <v>2088.7200000000003</v>
      </c>
      <c r="K483" s="42">
        <v>80</v>
      </c>
      <c r="L483" s="90">
        <v>26.849599999999999</v>
      </c>
      <c r="M483" s="38">
        <f t="shared" si="151"/>
        <v>2147.9679999999998</v>
      </c>
      <c r="O483" s="42">
        <v>505</v>
      </c>
      <c r="P483" s="38">
        <v>26.728300000000001</v>
      </c>
      <c r="Q483" s="38">
        <f t="shared" si="152"/>
        <v>13497.791500000001</v>
      </c>
      <c r="R483" s="43">
        <f t="shared" si="149"/>
        <v>665</v>
      </c>
      <c r="S483" s="38">
        <f t="shared" si="153"/>
        <v>17734.479500000001</v>
      </c>
      <c r="T483" s="52">
        <v>240</v>
      </c>
      <c r="U483" s="48">
        <v>26.3004</v>
      </c>
      <c r="V483" s="38">
        <f t="shared" si="161"/>
        <v>6312.0959999999995</v>
      </c>
      <c r="W483" s="48">
        <v>505</v>
      </c>
      <c r="X483" s="48">
        <v>26.57</v>
      </c>
      <c r="Y483" s="42">
        <f t="shared" si="159"/>
        <v>13417.85</v>
      </c>
      <c r="AB483" s="42">
        <f t="shared" si="160"/>
        <v>0</v>
      </c>
      <c r="AF483" s="42">
        <f t="shared" si="147"/>
        <v>0</v>
      </c>
      <c r="AU483" s="98"/>
      <c r="AV483" s="35"/>
      <c r="AW483" s="77"/>
      <c r="AZ483" s="42">
        <f t="shared" si="148"/>
        <v>0</v>
      </c>
      <c r="BD483" s="38">
        <f t="shared" si="154"/>
        <v>0</v>
      </c>
      <c r="BH483" s="38">
        <f t="shared" si="155"/>
        <v>0</v>
      </c>
      <c r="BL483" s="38">
        <f t="shared" si="156"/>
        <v>0</v>
      </c>
      <c r="BR483" s="42">
        <f t="shared" si="157"/>
        <v>19729.946</v>
      </c>
      <c r="BS483" s="43"/>
      <c r="BT483" s="25">
        <v>1995.47</v>
      </c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  <c r="CF483" s="31"/>
      <c r="CG483" s="31"/>
      <c r="CH483" s="31"/>
      <c r="CI483" s="31"/>
      <c r="CJ483" s="31"/>
      <c r="CK483" s="31"/>
      <c r="CL483" s="31"/>
      <c r="CM483" s="31"/>
      <c r="CN483" s="31"/>
      <c r="CO483" s="31"/>
      <c r="CP483" s="31"/>
      <c r="CQ483" s="31"/>
      <c r="CR483" s="31"/>
      <c r="CS483" s="31"/>
      <c r="CT483" s="31"/>
      <c r="CU483" s="31"/>
      <c r="CV483" s="31"/>
      <c r="CW483" s="31"/>
      <c r="CX483" s="31"/>
      <c r="CY483" s="31"/>
      <c r="CZ483" s="31"/>
      <c r="DA483" s="31"/>
      <c r="DB483" s="31"/>
      <c r="DC483" s="31"/>
      <c r="DD483" s="31"/>
      <c r="DE483" s="31"/>
      <c r="DF483" s="31"/>
      <c r="DG483" s="31"/>
      <c r="DH483" s="31"/>
      <c r="DI483" s="31"/>
      <c r="DJ483" s="31"/>
      <c r="DK483" s="31"/>
      <c r="DL483" s="31"/>
      <c r="DM483" s="31"/>
      <c r="DN483" s="31"/>
      <c r="DO483" s="31"/>
      <c r="DP483" s="31"/>
      <c r="DQ483" s="31"/>
      <c r="DR483" s="31"/>
      <c r="DS483" s="31"/>
      <c r="DT483" s="31"/>
      <c r="DU483" s="31"/>
      <c r="DV483" s="31"/>
      <c r="DW483" s="31"/>
      <c r="DX483" s="31"/>
      <c r="DY483" s="31"/>
      <c r="DZ483" s="31"/>
      <c r="EA483" s="31"/>
      <c r="EB483" s="31"/>
      <c r="EC483" s="31"/>
      <c r="ED483" s="31"/>
      <c r="EE483" s="31"/>
      <c r="EF483" s="31"/>
      <c r="EG483" s="31"/>
      <c r="EH483" s="31"/>
      <c r="EI483" s="31"/>
      <c r="EJ483" s="31"/>
      <c r="EK483" s="31"/>
      <c r="EL483" s="31"/>
      <c r="EM483" s="31"/>
      <c r="EN483" s="31"/>
      <c r="EO483" s="31"/>
      <c r="EP483" s="31"/>
      <c r="EQ483" s="31"/>
      <c r="ER483" s="31"/>
      <c r="ES483" s="31"/>
      <c r="ET483" s="31"/>
      <c r="EU483" s="31"/>
      <c r="EV483" s="31"/>
      <c r="EW483" s="31"/>
      <c r="EX483" s="31"/>
      <c r="EY483" s="31"/>
      <c r="EZ483" s="31"/>
      <c r="FA483" s="31"/>
      <c r="FB483" s="31"/>
      <c r="FC483" s="31"/>
      <c r="FD483" s="31"/>
      <c r="FE483" s="31"/>
      <c r="FF483" s="31"/>
      <c r="FG483" s="31"/>
      <c r="FH483" s="31"/>
      <c r="FI483" s="31"/>
      <c r="FJ483" s="31"/>
      <c r="FK483" s="31"/>
      <c r="FL483" s="31"/>
      <c r="FM483" s="31"/>
      <c r="FN483" s="31"/>
      <c r="FO483" s="31"/>
      <c r="FP483" s="31"/>
      <c r="FQ483" s="31"/>
      <c r="FR483" s="31"/>
      <c r="FS483" s="31"/>
      <c r="FT483" s="31"/>
      <c r="FU483" s="31"/>
      <c r="FV483" s="31"/>
      <c r="FW483" s="31"/>
      <c r="FX483" s="31"/>
      <c r="FY483" s="31"/>
      <c r="FZ483" s="31"/>
      <c r="GA483" s="31"/>
      <c r="GB483" s="31"/>
      <c r="GC483" s="31"/>
      <c r="GD483" s="31"/>
      <c r="GE483" s="31"/>
      <c r="GF483" s="31"/>
      <c r="GG483" s="31"/>
      <c r="GH483" s="31"/>
      <c r="GI483" s="31"/>
      <c r="GJ483" s="31"/>
      <c r="GK483" s="31"/>
      <c r="GL483" s="31"/>
      <c r="GM483" s="31"/>
      <c r="GN483" s="31"/>
      <c r="GO483" s="31"/>
      <c r="GP483" s="31"/>
      <c r="GQ483" s="31"/>
      <c r="GR483" s="31"/>
      <c r="GS483" s="31"/>
      <c r="GT483" s="31"/>
      <c r="GU483" s="31"/>
      <c r="GV483" s="31"/>
      <c r="GW483" s="31"/>
      <c r="GX483" s="31"/>
      <c r="GY483" s="31"/>
      <c r="GZ483" s="31"/>
      <c r="HA483" s="31"/>
      <c r="HB483" s="31"/>
      <c r="HC483" s="31"/>
      <c r="HD483" s="31"/>
      <c r="HE483" s="31"/>
      <c r="HF483" s="31"/>
      <c r="HG483" s="31"/>
      <c r="HH483" s="31"/>
      <c r="HI483" s="31"/>
      <c r="HJ483" s="31"/>
      <c r="HK483" s="31"/>
      <c r="HL483" s="31"/>
      <c r="HM483" s="31"/>
      <c r="HN483" s="31"/>
      <c r="HO483" s="31"/>
      <c r="HP483" s="31"/>
      <c r="HQ483" s="31"/>
      <c r="HR483" s="31"/>
      <c r="HS483" s="31"/>
      <c r="HT483" s="31"/>
      <c r="HU483" s="31"/>
      <c r="HV483" s="31"/>
      <c r="HW483" s="31"/>
      <c r="HX483" s="31"/>
      <c r="HY483" s="31"/>
      <c r="HZ483" s="31"/>
      <c r="IA483" s="31"/>
      <c r="IB483" s="31"/>
      <c r="IC483" s="31"/>
      <c r="ID483" s="31"/>
      <c r="IE483" s="31"/>
      <c r="IF483" s="31"/>
      <c r="IG483" s="31"/>
      <c r="IH483" s="31"/>
      <c r="II483" s="31"/>
      <c r="IJ483" s="31"/>
      <c r="IK483" s="31"/>
      <c r="IL483" s="31"/>
      <c r="IM483" s="31"/>
      <c r="IN483" s="31"/>
      <c r="IO483" s="31"/>
      <c r="IP483" s="31"/>
      <c r="IQ483" s="31"/>
      <c r="IR483" s="31"/>
      <c r="IS483" s="31"/>
      <c r="IT483" s="31"/>
      <c r="IU483" s="31"/>
      <c r="IV483" s="31"/>
      <c r="IW483" s="31"/>
      <c r="IX483" s="31"/>
      <c r="IY483" s="31"/>
      <c r="IZ483" s="31"/>
      <c r="JA483" s="31"/>
      <c r="JB483" s="31"/>
      <c r="JC483" s="31"/>
      <c r="JD483" s="31"/>
      <c r="JE483" s="31"/>
      <c r="JF483" s="31"/>
      <c r="JG483" s="31"/>
      <c r="JH483" s="31"/>
      <c r="JI483" s="31"/>
      <c r="JJ483" s="31"/>
      <c r="JK483" s="31"/>
      <c r="JL483" s="31"/>
      <c r="JM483" s="31"/>
      <c r="JN483" s="31"/>
      <c r="JO483" s="31"/>
      <c r="JP483" s="31"/>
      <c r="JQ483" s="31"/>
      <c r="JR483" s="31"/>
      <c r="JS483" s="31"/>
      <c r="JT483" s="31"/>
      <c r="JU483" s="31"/>
      <c r="JV483" s="31"/>
      <c r="JW483" s="31"/>
      <c r="JX483" s="31"/>
      <c r="JY483" s="31"/>
      <c r="JZ483" s="31"/>
      <c r="KA483" s="31"/>
      <c r="KB483" s="31"/>
      <c r="KC483" s="31"/>
      <c r="KD483" s="31"/>
      <c r="KE483" s="31"/>
      <c r="KF483" s="31"/>
      <c r="KG483" s="31"/>
      <c r="KH483" s="31"/>
      <c r="KI483" s="31"/>
      <c r="KJ483" s="31"/>
      <c r="KK483" s="31"/>
      <c r="KL483" s="31"/>
      <c r="KM483" s="31"/>
      <c r="KN483" s="31"/>
      <c r="KO483" s="31"/>
      <c r="KP483" s="31"/>
      <c r="KQ483" s="31"/>
      <c r="KR483" s="31"/>
      <c r="KS483" s="31"/>
      <c r="KT483" s="31"/>
      <c r="KU483" s="31"/>
      <c r="KV483" s="31"/>
      <c r="KW483" s="31"/>
      <c r="KX483" s="31"/>
      <c r="KY483" s="31"/>
      <c r="KZ483" s="31"/>
      <c r="LA483" s="31"/>
      <c r="LB483" s="31"/>
      <c r="LC483" s="31"/>
      <c r="LD483" s="31"/>
      <c r="LE483" s="31"/>
      <c r="LF483" s="31"/>
      <c r="LG483" s="31"/>
      <c r="LH483" s="31"/>
      <c r="LI483" s="31"/>
      <c r="LJ483" s="31"/>
      <c r="LK483" s="31"/>
      <c r="LL483" s="31"/>
      <c r="LM483" s="31"/>
      <c r="LN483" s="31"/>
      <c r="LO483" s="31"/>
      <c r="LP483" s="31"/>
      <c r="LQ483" s="31"/>
      <c r="LR483" s="31"/>
      <c r="LS483" s="31"/>
      <c r="LT483" s="31"/>
      <c r="LU483" s="31"/>
      <c r="LV483" s="31"/>
      <c r="LW483" s="31"/>
      <c r="LX483" s="31"/>
      <c r="LY483" s="31"/>
      <c r="LZ483" s="31"/>
      <c r="MA483" s="31"/>
      <c r="MB483" s="31"/>
      <c r="MC483" s="31"/>
      <c r="MD483" s="31"/>
      <c r="ME483" s="31"/>
      <c r="MF483" s="31"/>
      <c r="MG483" s="31"/>
      <c r="MH483" s="31"/>
      <c r="MI483" s="31"/>
      <c r="MJ483" s="31"/>
      <c r="MK483" s="31"/>
      <c r="ML483" s="31"/>
      <c r="MM483" s="31"/>
      <c r="MN483" s="31"/>
      <c r="MO483" s="31"/>
      <c r="MP483" s="31"/>
      <c r="MQ483" s="31"/>
      <c r="MR483" s="31"/>
      <c r="MS483" s="31"/>
      <c r="MT483" s="31"/>
      <c r="MU483" s="31"/>
      <c r="MV483" s="31"/>
      <c r="MW483" s="31"/>
      <c r="MX483" s="31"/>
      <c r="MY483" s="31"/>
      <c r="MZ483" s="31"/>
      <c r="NA483" s="31"/>
      <c r="NB483" s="31"/>
      <c r="NC483" s="31"/>
      <c r="ND483" s="31"/>
      <c r="NE483" s="31"/>
      <c r="NF483" s="31"/>
      <c r="NG483" s="31"/>
      <c r="NH483" s="31"/>
      <c r="NI483" s="31"/>
      <c r="NJ483" s="31"/>
      <c r="NK483" s="31"/>
      <c r="NL483" s="31"/>
      <c r="NM483" s="31"/>
      <c r="NN483" s="31"/>
      <c r="NO483" s="31"/>
      <c r="NP483" s="31"/>
      <c r="NQ483" s="31"/>
      <c r="NR483" s="31"/>
      <c r="NS483" s="31"/>
      <c r="NT483" s="31"/>
      <c r="NU483" s="31"/>
      <c r="NV483" s="31"/>
      <c r="NW483" s="31"/>
      <c r="NX483" s="31"/>
      <c r="NY483" s="31"/>
      <c r="NZ483" s="31"/>
      <c r="OA483" s="31"/>
      <c r="OB483" s="31"/>
      <c r="OC483" s="31"/>
      <c r="OD483" s="31"/>
      <c r="OE483" s="31"/>
      <c r="OF483" s="31"/>
      <c r="OG483" s="31"/>
      <c r="OH483" s="31"/>
      <c r="OI483" s="31"/>
      <c r="OJ483" s="31"/>
      <c r="OK483" s="31"/>
      <c r="OL483" s="31"/>
      <c r="OM483" s="31"/>
      <c r="ON483" s="31"/>
      <c r="OO483" s="31"/>
      <c r="OP483" s="31"/>
      <c r="OQ483" s="31"/>
      <c r="OR483" s="31"/>
      <c r="OS483" s="31"/>
      <c r="OT483" s="31"/>
      <c r="OU483" s="31"/>
      <c r="OV483" s="31"/>
      <c r="OW483" s="31"/>
      <c r="OX483" s="31"/>
    </row>
    <row r="484" spans="2:414" s="25" customFormat="1" ht="15.6">
      <c r="B484" s="51" t="s">
        <v>659</v>
      </c>
      <c r="C484" s="27" t="s">
        <v>1020</v>
      </c>
      <c r="D484" s="30" t="s">
        <v>355</v>
      </c>
      <c r="G484" s="42">
        <v>80</v>
      </c>
      <c r="H484" s="89">
        <v>26.109000000000002</v>
      </c>
      <c r="I484" s="38">
        <f t="shared" si="150"/>
        <v>2088.7200000000003</v>
      </c>
      <c r="K484" s="42">
        <v>80</v>
      </c>
      <c r="L484" s="90">
        <v>26.849599999999999</v>
      </c>
      <c r="M484" s="38">
        <f t="shared" si="151"/>
        <v>2147.9679999999998</v>
      </c>
      <c r="O484" s="42">
        <v>505</v>
      </c>
      <c r="P484" s="38">
        <v>26.728300000000001</v>
      </c>
      <c r="Q484" s="38">
        <f t="shared" si="152"/>
        <v>13497.791500000001</v>
      </c>
      <c r="R484" s="43">
        <f t="shared" si="149"/>
        <v>665</v>
      </c>
      <c r="S484" s="38">
        <f t="shared" si="153"/>
        <v>17734.479500000001</v>
      </c>
      <c r="T484" s="52">
        <v>240</v>
      </c>
      <c r="U484" s="48">
        <v>26.3</v>
      </c>
      <c r="V484" s="38">
        <f t="shared" si="161"/>
        <v>6312</v>
      </c>
      <c r="W484" s="48">
        <v>505</v>
      </c>
      <c r="X484" s="48">
        <v>26.57</v>
      </c>
      <c r="Y484" s="42">
        <f t="shared" si="159"/>
        <v>13417.85</v>
      </c>
      <c r="AB484" s="42">
        <f t="shared" si="160"/>
        <v>0</v>
      </c>
      <c r="AF484" s="42">
        <f t="shared" si="147"/>
        <v>0</v>
      </c>
      <c r="AU484" s="98"/>
      <c r="AV484" s="35"/>
      <c r="AW484" s="77"/>
      <c r="AZ484" s="42">
        <f t="shared" si="148"/>
        <v>0</v>
      </c>
      <c r="BD484" s="38">
        <f t="shared" si="154"/>
        <v>0</v>
      </c>
      <c r="BH484" s="38">
        <f t="shared" si="155"/>
        <v>0</v>
      </c>
      <c r="BL484" s="38">
        <f t="shared" si="156"/>
        <v>0</v>
      </c>
      <c r="BR484" s="42">
        <f t="shared" si="157"/>
        <v>19729.849999999999</v>
      </c>
      <c r="BS484" s="43"/>
      <c r="BT484" s="25">
        <v>1995.37</v>
      </c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  <c r="CF484" s="31"/>
      <c r="CG484" s="31"/>
      <c r="CH484" s="31"/>
      <c r="CI484" s="31"/>
      <c r="CJ484" s="31"/>
      <c r="CK484" s="31"/>
      <c r="CL484" s="31"/>
      <c r="CM484" s="31"/>
      <c r="CN484" s="31"/>
      <c r="CO484" s="31"/>
      <c r="CP484" s="31"/>
      <c r="CQ484" s="31"/>
      <c r="CR484" s="31"/>
      <c r="CS484" s="31"/>
      <c r="CT484" s="31"/>
      <c r="CU484" s="31"/>
      <c r="CV484" s="31"/>
      <c r="CW484" s="31"/>
      <c r="CX484" s="31"/>
      <c r="CY484" s="31"/>
      <c r="CZ484" s="31"/>
      <c r="DA484" s="31"/>
      <c r="DB484" s="31"/>
      <c r="DC484" s="31"/>
      <c r="DD484" s="31"/>
      <c r="DE484" s="31"/>
      <c r="DF484" s="31"/>
      <c r="DG484" s="31"/>
      <c r="DH484" s="31"/>
      <c r="DI484" s="31"/>
      <c r="DJ484" s="31"/>
      <c r="DK484" s="31"/>
      <c r="DL484" s="31"/>
      <c r="DM484" s="31"/>
      <c r="DN484" s="31"/>
      <c r="DO484" s="31"/>
      <c r="DP484" s="31"/>
      <c r="DQ484" s="31"/>
      <c r="DR484" s="31"/>
      <c r="DS484" s="31"/>
      <c r="DT484" s="31"/>
      <c r="DU484" s="31"/>
      <c r="DV484" s="31"/>
      <c r="DW484" s="31"/>
      <c r="DX484" s="31"/>
      <c r="DY484" s="31"/>
      <c r="DZ484" s="31"/>
      <c r="EA484" s="31"/>
      <c r="EB484" s="31"/>
      <c r="EC484" s="31"/>
      <c r="ED484" s="31"/>
      <c r="EE484" s="31"/>
      <c r="EF484" s="31"/>
      <c r="EG484" s="31"/>
      <c r="EH484" s="31"/>
      <c r="EI484" s="31"/>
      <c r="EJ484" s="31"/>
      <c r="EK484" s="31"/>
      <c r="EL484" s="31"/>
      <c r="EM484" s="31"/>
      <c r="EN484" s="31"/>
      <c r="EO484" s="31"/>
      <c r="EP484" s="31"/>
      <c r="EQ484" s="31"/>
      <c r="ER484" s="31"/>
      <c r="ES484" s="31"/>
      <c r="ET484" s="31"/>
      <c r="EU484" s="31"/>
      <c r="EV484" s="31"/>
      <c r="EW484" s="31"/>
      <c r="EX484" s="31"/>
      <c r="EY484" s="31"/>
      <c r="EZ484" s="31"/>
      <c r="FA484" s="31"/>
      <c r="FB484" s="31"/>
      <c r="FC484" s="31"/>
      <c r="FD484" s="31"/>
      <c r="FE484" s="31"/>
      <c r="FF484" s="31"/>
      <c r="FG484" s="31"/>
      <c r="FH484" s="31"/>
      <c r="FI484" s="31"/>
      <c r="FJ484" s="31"/>
      <c r="FK484" s="31"/>
      <c r="FL484" s="31"/>
      <c r="FM484" s="31"/>
      <c r="FN484" s="31"/>
      <c r="FO484" s="31"/>
      <c r="FP484" s="31"/>
      <c r="FQ484" s="31"/>
      <c r="FR484" s="31"/>
      <c r="FS484" s="31"/>
      <c r="FT484" s="31"/>
      <c r="FU484" s="31"/>
      <c r="FV484" s="31"/>
      <c r="FW484" s="31"/>
      <c r="FX484" s="31"/>
      <c r="FY484" s="31"/>
      <c r="FZ484" s="31"/>
      <c r="GA484" s="31"/>
      <c r="GB484" s="31"/>
      <c r="GC484" s="31"/>
      <c r="GD484" s="31"/>
      <c r="GE484" s="31"/>
      <c r="GF484" s="31"/>
      <c r="GG484" s="31"/>
      <c r="GH484" s="31"/>
      <c r="GI484" s="31"/>
      <c r="GJ484" s="31"/>
      <c r="GK484" s="31"/>
      <c r="GL484" s="31"/>
      <c r="GM484" s="31"/>
      <c r="GN484" s="31"/>
      <c r="GO484" s="31"/>
      <c r="GP484" s="31"/>
      <c r="GQ484" s="31"/>
      <c r="GR484" s="31"/>
      <c r="GS484" s="31"/>
      <c r="GT484" s="31"/>
      <c r="GU484" s="31"/>
      <c r="GV484" s="31"/>
      <c r="GW484" s="31"/>
      <c r="GX484" s="31"/>
      <c r="GY484" s="31"/>
      <c r="GZ484" s="31"/>
      <c r="HA484" s="31"/>
      <c r="HB484" s="31"/>
      <c r="HC484" s="31"/>
      <c r="HD484" s="31"/>
      <c r="HE484" s="31"/>
      <c r="HF484" s="31"/>
      <c r="HG484" s="31"/>
      <c r="HH484" s="31"/>
      <c r="HI484" s="31"/>
      <c r="HJ484" s="31"/>
      <c r="HK484" s="31"/>
      <c r="HL484" s="31"/>
      <c r="HM484" s="31"/>
      <c r="HN484" s="31"/>
      <c r="HO484" s="31"/>
      <c r="HP484" s="31"/>
      <c r="HQ484" s="31"/>
      <c r="HR484" s="31"/>
      <c r="HS484" s="31"/>
      <c r="HT484" s="31"/>
      <c r="HU484" s="31"/>
      <c r="HV484" s="31"/>
      <c r="HW484" s="31"/>
      <c r="HX484" s="31"/>
      <c r="HY484" s="31"/>
      <c r="HZ484" s="31"/>
      <c r="IA484" s="31"/>
      <c r="IB484" s="31"/>
      <c r="IC484" s="31"/>
      <c r="ID484" s="31"/>
      <c r="IE484" s="31"/>
      <c r="IF484" s="31"/>
      <c r="IG484" s="31"/>
      <c r="IH484" s="31"/>
      <c r="II484" s="31"/>
      <c r="IJ484" s="31"/>
      <c r="IK484" s="31"/>
      <c r="IL484" s="31"/>
      <c r="IM484" s="31"/>
      <c r="IN484" s="31"/>
      <c r="IO484" s="31"/>
      <c r="IP484" s="31"/>
      <c r="IQ484" s="31"/>
      <c r="IR484" s="31"/>
      <c r="IS484" s="31"/>
      <c r="IT484" s="31"/>
      <c r="IU484" s="31"/>
      <c r="IV484" s="31"/>
      <c r="IW484" s="31"/>
      <c r="IX484" s="31"/>
      <c r="IY484" s="31"/>
      <c r="IZ484" s="31"/>
      <c r="JA484" s="31"/>
      <c r="JB484" s="31"/>
      <c r="JC484" s="31"/>
      <c r="JD484" s="31"/>
      <c r="JE484" s="31"/>
      <c r="JF484" s="31"/>
      <c r="JG484" s="31"/>
      <c r="JH484" s="31"/>
      <c r="JI484" s="31"/>
      <c r="JJ484" s="31"/>
      <c r="JK484" s="31"/>
      <c r="JL484" s="31"/>
      <c r="JM484" s="31"/>
      <c r="JN484" s="31"/>
      <c r="JO484" s="31"/>
      <c r="JP484" s="31"/>
      <c r="JQ484" s="31"/>
      <c r="JR484" s="31"/>
      <c r="JS484" s="31"/>
      <c r="JT484" s="31"/>
      <c r="JU484" s="31"/>
      <c r="JV484" s="31"/>
      <c r="JW484" s="31"/>
      <c r="JX484" s="31"/>
      <c r="JY484" s="31"/>
      <c r="JZ484" s="31"/>
      <c r="KA484" s="31"/>
      <c r="KB484" s="31"/>
      <c r="KC484" s="31"/>
      <c r="KD484" s="31"/>
      <c r="KE484" s="31"/>
      <c r="KF484" s="31"/>
      <c r="KG484" s="31"/>
      <c r="KH484" s="31"/>
      <c r="KI484" s="31"/>
      <c r="KJ484" s="31"/>
      <c r="KK484" s="31"/>
      <c r="KL484" s="31"/>
      <c r="KM484" s="31"/>
      <c r="KN484" s="31"/>
      <c r="KO484" s="31"/>
      <c r="KP484" s="31"/>
      <c r="KQ484" s="31"/>
      <c r="KR484" s="31"/>
      <c r="KS484" s="31"/>
      <c r="KT484" s="31"/>
      <c r="KU484" s="31"/>
      <c r="KV484" s="31"/>
      <c r="KW484" s="31"/>
      <c r="KX484" s="31"/>
      <c r="KY484" s="31"/>
      <c r="KZ484" s="31"/>
      <c r="LA484" s="31"/>
      <c r="LB484" s="31"/>
      <c r="LC484" s="31"/>
      <c r="LD484" s="31"/>
      <c r="LE484" s="31"/>
      <c r="LF484" s="31"/>
      <c r="LG484" s="31"/>
      <c r="LH484" s="31"/>
      <c r="LI484" s="31"/>
      <c r="LJ484" s="31"/>
      <c r="LK484" s="31"/>
      <c r="LL484" s="31"/>
      <c r="LM484" s="31"/>
      <c r="LN484" s="31"/>
      <c r="LO484" s="31"/>
      <c r="LP484" s="31"/>
      <c r="LQ484" s="31"/>
      <c r="LR484" s="31"/>
      <c r="LS484" s="31"/>
      <c r="LT484" s="31"/>
      <c r="LU484" s="31"/>
      <c r="LV484" s="31"/>
      <c r="LW484" s="31"/>
      <c r="LX484" s="31"/>
      <c r="LY484" s="31"/>
      <c r="LZ484" s="31"/>
      <c r="MA484" s="31"/>
      <c r="MB484" s="31"/>
      <c r="MC484" s="31"/>
      <c r="MD484" s="31"/>
      <c r="ME484" s="31"/>
      <c r="MF484" s="31"/>
      <c r="MG484" s="31"/>
      <c r="MH484" s="31"/>
      <c r="MI484" s="31"/>
      <c r="MJ484" s="31"/>
      <c r="MK484" s="31"/>
      <c r="ML484" s="31"/>
      <c r="MM484" s="31"/>
      <c r="MN484" s="31"/>
      <c r="MO484" s="31"/>
      <c r="MP484" s="31"/>
      <c r="MQ484" s="31"/>
      <c r="MR484" s="31"/>
      <c r="MS484" s="31"/>
      <c r="MT484" s="31"/>
      <c r="MU484" s="31"/>
      <c r="MV484" s="31"/>
      <c r="MW484" s="31"/>
      <c r="MX484" s="31"/>
      <c r="MY484" s="31"/>
      <c r="MZ484" s="31"/>
      <c r="NA484" s="31"/>
      <c r="NB484" s="31"/>
      <c r="NC484" s="31"/>
      <c r="ND484" s="31"/>
      <c r="NE484" s="31"/>
      <c r="NF484" s="31"/>
      <c r="NG484" s="31"/>
      <c r="NH484" s="31"/>
      <c r="NI484" s="31"/>
      <c r="NJ484" s="31"/>
      <c r="NK484" s="31"/>
      <c r="NL484" s="31"/>
      <c r="NM484" s="31"/>
      <c r="NN484" s="31"/>
      <c r="NO484" s="31"/>
      <c r="NP484" s="31"/>
      <c r="NQ484" s="31"/>
      <c r="NR484" s="31"/>
      <c r="NS484" s="31"/>
      <c r="NT484" s="31"/>
      <c r="NU484" s="31"/>
      <c r="NV484" s="31"/>
      <c r="NW484" s="31"/>
      <c r="NX484" s="31"/>
      <c r="NY484" s="31"/>
      <c r="NZ484" s="31"/>
      <c r="OA484" s="31"/>
      <c r="OB484" s="31"/>
      <c r="OC484" s="31"/>
      <c r="OD484" s="31"/>
      <c r="OE484" s="31"/>
      <c r="OF484" s="31"/>
      <c r="OG484" s="31"/>
      <c r="OH484" s="31"/>
      <c r="OI484" s="31"/>
      <c r="OJ484" s="31"/>
      <c r="OK484" s="31"/>
      <c r="OL484" s="31"/>
      <c r="OM484" s="31"/>
      <c r="ON484" s="31"/>
      <c r="OO484" s="31"/>
      <c r="OP484" s="31"/>
      <c r="OQ484" s="31"/>
      <c r="OR484" s="31"/>
      <c r="OS484" s="31"/>
      <c r="OT484" s="31"/>
      <c r="OU484" s="31"/>
      <c r="OV484" s="31"/>
      <c r="OW484" s="31"/>
      <c r="OX484" s="31"/>
    </row>
    <row r="485" spans="2:414" s="25" customFormat="1" ht="15.6">
      <c r="B485" s="51" t="s">
        <v>1021</v>
      </c>
      <c r="C485" s="27" t="s">
        <v>121</v>
      </c>
      <c r="D485" s="30" t="s">
        <v>355</v>
      </c>
      <c r="G485" s="42">
        <v>80</v>
      </c>
      <c r="H485" s="89">
        <v>26.109000000000002</v>
      </c>
      <c r="I485" s="38">
        <f t="shared" si="150"/>
        <v>2088.7200000000003</v>
      </c>
      <c r="K485" s="42">
        <v>80</v>
      </c>
      <c r="L485" s="90">
        <v>26.849599999999999</v>
      </c>
      <c r="M485" s="38">
        <f t="shared" si="151"/>
        <v>2147.9679999999998</v>
      </c>
      <c r="O485" s="42">
        <v>505</v>
      </c>
      <c r="P485" s="38">
        <v>26.728300000000001</v>
      </c>
      <c r="Q485" s="38">
        <f t="shared" si="152"/>
        <v>13497.791500000001</v>
      </c>
      <c r="R485" s="43">
        <f t="shared" si="149"/>
        <v>665</v>
      </c>
      <c r="S485" s="38">
        <f t="shared" si="153"/>
        <v>17734.479500000001</v>
      </c>
      <c r="T485" s="52">
        <v>240</v>
      </c>
      <c r="U485" s="48">
        <v>26.3</v>
      </c>
      <c r="V485" s="38">
        <f t="shared" si="161"/>
        <v>6312</v>
      </c>
      <c r="W485" s="48">
        <v>505</v>
      </c>
      <c r="X485" s="48">
        <v>26.57</v>
      </c>
      <c r="Y485" s="42">
        <f t="shared" si="159"/>
        <v>13417.85</v>
      </c>
      <c r="AB485" s="42">
        <f t="shared" si="160"/>
        <v>0</v>
      </c>
      <c r="AF485" s="42">
        <f t="shared" ref="AF485:AF548" si="162">AD485*AE485</f>
        <v>0</v>
      </c>
      <c r="AU485" s="98"/>
      <c r="AV485" s="35"/>
      <c r="AW485" s="77"/>
      <c r="AZ485" s="42">
        <f t="shared" si="148"/>
        <v>0</v>
      </c>
      <c r="BD485" s="38">
        <f t="shared" si="154"/>
        <v>0</v>
      </c>
      <c r="BH485" s="38">
        <f t="shared" si="155"/>
        <v>0</v>
      </c>
      <c r="BL485" s="38">
        <f t="shared" si="156"/>
        <v>0</v>
      </c>
      <c r="BR485" s="42">
        <f t="shared" si="157"/>
        <v>19729.849999999999</v>
      </c>
      <c r="BS485" s="43"/>
      <c r="BT485" s="25">
        <v>1995.37</v>
      </c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  <c r="CF485" s="31"/>
      <c r="CG485" s="31"/>
      <c r="CH485" s="31"/>
      <c r="CI485" s="31"/>
      <c r="CJ485" s="31"/>
      <c r="CK485" s="31"/>
      <c r="CL485" s="31"/>
      <c r="CM485" s="31"/>
      <c r="CN485" s="31"/>
      <c r="CO485" s="31"/>
      <c r="CP485" s="31"/>
      <c r="CQ485" s="31"/>
      <c r="CR485" s="31"/>
      <c r="CS485" s="31"/>
      <c r="CT485" s="31"/>
      <c r="CU485" s="31"/>
      <c r="CV485" s="31"/>
      <c r="CW485" s="31"/>
      <c r="CX485" s="31"/>
      <c r="CY485" s="31"/>
      <c r="CZ485" s="31"/>
      <c r="DA485" s="31"/>
      <c r="DB485" s="31"/>
      <c r="DC485" s="31"/>
      <c r="DD485" s="31"/>
      <c r="DE485" s="31"/>
      <c r="DF485" s="31"/>
      <c r="DG485" s="31"/>
      <c r="DH485" s="31"/>
      <c r="DI485" s="31"/>
      <c r="DJ485" s="31"/>
      <c r="DK485" s="31"/>
      <c r="DL485" s="31"/>
      <c r="DM485" s="31"/>
      <c r="DN485" s="31"/>
      <c r="DO485" s="31"/>
      <c r="DP485" s="31"/>
      <c r="DQ485" s="31"/>
      <c r="DR485" s="31"/>
      <c r="DS485" s="31"/>
      <c r="DT485" s="31"/>
      <c r="DU485" s="31"/>
      <c r="DV485" s="31"/>
      <c r="DW485" s="31"/>
      <c r="DX485" s="31"/>
      <c r="DY485" s="31"/>
      <c r="DZ485" s="31"/>
      <c r="EA485" s="31"/>
      <c r="EB485" s="31"/>
      <c r="EC485" s="31"/>
      <c r="ED485" s="31"/>
      <c r="EE485" s="31"/>
      <c r="EF485" s="31"/>
      <c r="EG485" s="31"/>
      <c r="EH485" s="31"/>
      <c r="EI485" s="31"/>
      <c r="EJ485" s="31"/>
      <c r="EK485" s="31"/>
      <c r="EL485" s="31"/>
      <c r="EM485" s="31"/>
      <c r="EN485" s="31"/>
      <c r="EO485" s="31"/>
      <c r="EP485" s="31"/>
      <c r="EQ485" s="31"/>
      <c r="ER485" s="31"/>
      <c r="ES485" s="31"/>
      <c r="ET485" s="31"/>
      <c r="EU485" s="31"/>
      <c r="EV485" s="31"/>
      <c r="EW485" s="31"/>
      <c r="EX485" s="31"/>
      <c r="EY485" s="31"/>
      <c r="EZ485" s="31"/>
      <c r="FA485" s="31"/>
      <c r="FB485" s="31"/>
      <c r="FC485" s="31"/>
      <c r="FD485" s="31"/>
      <c r="FE485" s="31"/>
      <c r="FF485" s="31"/>
      <c r="FG485" s="31"/>
      <c r="FH485" s="31"/>
      <c r="FI485" s="31"/>
      <c r="FJ485" s="31"/>
      <c r="FK485" s="31"/>
      <c r="FL485" s="31"/>
      <c r="FM485" s="31"/>
      <c r="FN485" s="31"/>
      <c r="FO485" s="31"/>
      <c r="FP485" s="31"/>
      <c r="FQ485" s="31"/>
      <c r="FR485" s="31"/>
      <c r="FS485" s="31"/>
      <c r="FT485" s="31"/>
      <c r="FU485" s="31"/>
      <c r="FV485" s="31"/>
      <c r="FW485" s="31"/>
      <c r="FX485" s="31"/>
      <c r="FY485" s="31"/>
      <c r="FZ485" s="31"/>
      <c r="GA485" s="31"/>
      <c r="GB485" s="31"/>
      <c r="GC485" s="31"/>
      <c r="GD485" s="31"/>
      <c r="GE485" s="31"/>
      <c r="GF485" s="31"/>
      <c r="GG485" s="31"/>
      <c r="GH485" s="31"/>
      <c r="GI485" s="31"/>
      <c r="GJ485" s="31"/>
      <c r="GK485" s="31"/>
      <c r="GL485" s="31"/>
      <c r="GM485" s="31"/>
      <c r="GN485" s="31"/>
      <c r="GO485" s="31"/>
      <c r="GP485" s="31"/>
      <c r="GQ485" s="31"/>
      <c r="GR485" s="31"/>
      <c r="GS485" s="31"/>
      <c r="GT485" s="31"/>
      <c r="GU485" s="31"/>
      <c r="GV485" s="31"/>
      <c r="GW485" s="31"/>
      <c r="GX485" s="31"/>
      <c r="GY485" s="31"/>
      <c r="GZ485" s="31"/>
      <c r="HA485" s="31"/>
      <c r="HB485" s="31"/>
      <c r="HC485" s="31"/>
      <c r="HD485" s="31"/>
      <c r="HE485" s="31"/>
      <c r="HF485" s="31"/>
      <c r="HG485" s="31"/>
      <c r="HH485" s="31"/>
      <c r="HI485" s="31"/>
      <c r="HJ485" s="31"/>
      <c r="HK485" s="31"/>
      <c r="HL485" s="31"/>
      <c r="HM485" s="31"/>
      <c r="HN485" s="31"/>
      <c r="HO485" s="31"/>
      <c r="HP485" s="31"/>
      <c r="HQ485" s="31"/>
      <c r="HR485" s="31"/>
      <c r="HS485" s="31"/>
      <c r="HT485" s="31"/>
      <c r="HU485" s="31"/>
      <c r="HV485" s="31"/>
      <c r="HW485" s="31"/>
      <c r="HX485" s="31"/>
      <c r="HY485" s="31"/>
      <c r="HZ485" s="31"/>
      <c r="IA485" s="31"/>
      <c r="IB485" s="31"/>
      <c r="IC485" s="31"/>
      <c r="ID485" s="31"/>
      <c r="IE485" s="31"/>
      <c r="IF485" s="31"/>
      <c r="IG485" s="31"/>
      <c r="IH485" s="31"/>
      <c r="II485" s="31"/>
      <c r="IJ485" s="31"/>
      <c r="IK485" s="31"/>
      <c r="IL485" s="31"/>
      <c r="IM485" s="31"/>
      <c r="IN485" s="31"/>
      <c r="IO485" s="31"/>
      <c r="IP485" s="31"/>
      <c r="IQ485" s="31"/>
      <c r="IR485" s="31"/>
      <c r="IS485" s="31"/>
      <c r="IT485" s="31"/>
      <c r="IU485" s="31"/>
      <c r="IV485" s="31"/>
      <c r="IW485" s="31"/>
      <c r="IX485" s="31"/>
      <c r="IY485" s="31"/>
      <c r="IZ485" s="31"/>
      <c r="JA485" s="31"/>
      <c r="JB485" s="31"/>
      <c r="JC485" s="31"/>
      <c r="JD485" s="31"/>
      <c r="JE485" s="31"/>
      <c r="JF485" s="31"/>
      <c r="JG485" s="31"/>
      <c r="JH485" s="31"/>
      <c r="JI485" s="31"/>
      <c r="JJ485" s="31"/>
      <c r="JK485" s="31"/>
      <c r="JL485" s="31"/>
      <c r="JM485" s="31"/>
      <c r="JN485" s="31"/>
      <c r="JO485" s="31"/>
      <c r="JP485" s="31"/>
      <c r="JQ485" s="31"/>
      <c r="JR485" s="31"/>
      <c r="JS485" s="31"/>
      <c r="JT485" s="31"/>
      <c r="JU485" s="31"/>
      <c r="JV485" s="31"/>
      <c r="JW485" s="31"/>
      <c r="JX485" s="31"/>
      <c r="JY485" s="31"/>
      <c r="JZ485" s="31"/>
      <c r="KA485" s="31"/>
      <c r="KB485" s="31"/>
      <c r="KC485" s="31"/>
      <c r="KD485" s="31"/>
      <c r="KE485" s="31"/>
      <c r="KF485" s="31"/>
      <c r="KG485" s="31"/>
      <c r="KH485" s="31"/>
      <c r="KI485" s="31"/>
      <c r="KJ485" s="31"/>
      <c r="KK485" s="31"/>
      <c r="KL485" s="31"/>
      <c r="KM485" s="31"/>
      <c r="KN485" s="31"/>
      <c r="KO485" s="31"/>
      <c r="KP485" s="31"/>
      <c r="KQ485" s="31"/>
      <c r="KR485" s="31"/>
      <c r="KS485" s="31"/>
      <c r="KT485" s="31"/>
      <c r="KU485" s="31"/>
      <c r="KV485" s="31"/>
      <c r="KW485" s="31"/>
      <c r="KX485" s="31"/>
      <c r="KY485" s="31"/>
      <c r="KZ485" s="31"/>
      <c r="LA485" s="31"/>
      <c r="LB485" s="31"/>
      <c r="LC485" s="31"/>
      <c r="LD485" s="31"/>
      <c r="LE485" s="31"/>
      <c r="LF485" s="31"/>
      <c r="LG485" s="31"/>
      <c r="LH485" s="31"/>
      <c r="LI485" s="31"/>
      <c r="LJ485" s="31"/>
      <c r="LK485" s="31"/>
      <c r="LL485" s="31"/>
      <c r="LM485" s="31"/>
      <c r="LN485" s="31"/>
      <c r="LO485" s="31"/>
      <c r="LP485" s="31"/>
      <c r="LQ485" s="31"/>
      <c r="LR485" s="31"/>
      <c r="LS485" s="31"/>
      <c r="LT485" s="31"/>
      <c r="LU485" s="31"/>
      <c r="LV485" s="31"/>
      <c r="LW485" s="31"/>
      <c r="LX485" s="31"/>
      <c r="LY485" s="31"/>
      <c r="LZ485" s="31"/>
      <c r="MA485" s="31"/>
      <c r="MB485" s="31"/>
      <c r="MC485" s="31"/>
      <c r="MD485" s="31"/>
      <c r="ME485" s="31"/>
      <c r="MF485" s="31"/>
      <c r="MG485" s="31"/>
      <c r="MH485" s="31"/>
      <c r="MI485" s="31"/>
      <c r="MJ485" s="31"/>
      <c r="MK485" s="31"/>
      <c r="ML485" s="31"/>
      <c r="MM485" s="31"/>
      <c r="MN485" s="31"/>
      <c r="MO485" s="31"/>
      <c r="MP485" s="31"/>
      <c r="MQ485" s="31"/>
      <c r="MR485" s="31"/>
      <c r="MS485" s="31"/>
      <c r="MT485" s="31"/>
      <c r="MU485" s="31"/>
      <c r="MV485" s="31"/>
      <c r="MW485" s="31"/>
      <c r="MX485" s="31"/>
      <c r="MY485" s="31"/>
      <c r="MZ485" s="31"/>
      <c r="NA485" s="31"/>
      <c r="NB485" s="31"/>
      <c r="NC485" s="31"/>
      <c r="ND485" s="31"/>
      <c r="NE485" s="31"/>
      <c r="NF485" s="31"/>
      <c r="NG485" s="31"/>
      <c r="NH485" s="31"/>
      <c r="NI485" s="31"/>
      <c r="NJ485" s="31"/>
      <c r="NK485" s="31"/>
      <c r="NL485" s="31"/>
      <c r="NM485" s="31"/>
      <c r="NN485" s="31"/>
      <c r="NO485" s="31"/>
      <c r="NP485" s="31"/>
      <c r="NQ485" s="31"/>
      <c r="NR485" s="31"/>
      <c r="NS485" s="31"/>
      <c r="NT485" s="31"/>
      <c r="NU485" s="31"/>
      <c r="NV485" s="31"/>
      <c r="NW485" s="31"/>
      <c r="NX485" s="31"/>
      <c r="NY485" s="31"/>
      <c r="NZ485" s="31"/>
      <c r="OA485" s="31"/>
      <c r="OB485" s="31"/>
      <c r="OC485" s="31"/>
      <c r="OD485" s="31"/>
      <c r="OE485" s="31"/>
      <c r="OF485" s="31"/>
      <c r="OG485" s="31"/>
      <c r="OH485" s="31"/>
      <c r="OI485" s="31"/>
      <c r="OJ485" s="31"/>
      <c r="OK485" s="31"/>
      <c r="OL485" s="31"/>
      <c r="OM485" s="31"/>
      <c r="ON485" s="31"/>
      <c r="OO485" s="31"/>
      <c r="OP485" s="31"/>
      <c r="OQ485" s="31"/>
      <c r="OR485" s="31"/>
      <c r="OS485" s="31"/>
      <c r="OT485" s="31"/>
      <c r="OU485" s="31"/>
      <c r="OV485" s="31"/>
      <c r="OW485" s="31"/>
      <c r="OX485" s="31"/>
    </row>
    <row r="486" spans="2:414" s="25" customFormat="1" ht="15.6">
      <c r="B486" s="51" t="s">
        <v>595</v>
      </c>
      <c r="C486" s="27" t="s">
        <v>594</v>
      </c>
      <c r="D486" s="30" t="s">
        <v>355</v>
      </c>
      <c r="G486" s="42">
        <v>80</v>
      </c>
      <c r="H486" s="89">
        <v>26.109000000000002</v>
      </c>
      <c r="I486" s="38">
        <f t="shared" si="150"/>
        <v>2088.7200000000003</v>
      </c>
      <c r="K486" s="42">
        <v>80</v>
      </c>
      <c r="L486" s="90">
        <v>26.849599999999999</v>
      </c>
      <c r="M486" s="38">
        <f t="shared" si="151"/>
        <v>2147.9679999999998</v>
      </c>
      <c r="O486" s="42">
        <v>505</v>
      </c>
      <c r="P486" s="38">
        <v>26.728300000000001</v>
      </c>
      <c r="Q486" s="38">
        <f t="shared" si="152"/>
        <v>13497.791500000001</v>
      </c>
      <c r="R486" s="43">
        <f t="shared" si="149"/>
        <v>665</v>
      </c>
      <c r="S486" s="38">
        <f t="shared" si="153"/>
        <v>17734.479500000001</v>
      </c>
      <c r="T486" s="52">
        <v>240</v>
      </c>
      <c r="U486" s="48">
        <v>26.789100000000001</v>
      </c>
      <c r="V486" s="38">
        <f t="shared" si="161"/>
        <v>6429.384</v>
      </c>
      <c r="W486" s="48">
        <v>505</v>
      </c>
      <c r="X486" s="48">
        <v>26.57</v>
      </c>
      <c r="Y486" s="42">
        <f t="shared" si="159"/>
        <v>13417.85</v>
      </c>
      <c r="AB486" s="42">
        <f t="shared" si="160"/>
        <v>0</v>
      </c>
      <c r="AF486" s="42">
        <f t="shared" si="162"/>
        <v>0</v>
      </c>
      <c r="AU486" s="98"/>
      <c r="AV486" s="35"/>
      <c r="AW486" s="77"/>
      <c r="AZ486" s="42">
        <f t="shared" si="148"/>
        <v>0</v>
      </c>
      <c r="BD486" s="38">
        <f t="shared" si="154"/>
        <v>0</v>
      </c>
      <c r="BH486" s="38">
        <f t="shared" si="155"/>
        <v>0</v>
      </c>
      <c r="BL486" s="38">
        <f t="shared" si="156"/>
        <v>0</v>
      </c>
      <c r="BR486" s="42">
        <f t="shared" si="157"/>
        <v>19847.234</v>
      </c>
      <c r="BS486" s="43"/>
      <c r="BT486" s="25">
        <v>2112.75</v>
      </c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  <c r="CF486" s="31"/>
      <c r="CG486" s="31"/>
      <c r="CH486" s="31"/>
      <c r="CI486" s="31"/>
      <c r="CJ486" s="31"/>
      <c r="CK486" s="31"/>
      <c r="CL486" s="31"/>
      <c r="CM486" s="31"/>
      <c r="CN486" s="31"/>
      <c r="CO486" s="31"/>
      <c r="CP486" s="31"/>
      <c r="CQ486" s="31"/>
      <c r="CR486" s="31"/>
      <c r="CS486" s="31"/>
      <c r="CT486" s="31"/>
      <c r="CU486" s="31"/>
      <c r="CV486" s="31"/>
      <c r="CW486" s="31"/>
      <c r="CX486" s="31"/>
      <c r="CY486" s="31"/>
      <c r="CZ486" s="31"/>
      <c r="DA486" s="31"/>
      <c r="DB486" s="31"/>
      <c r="DC486" s="31"/>
      <c r="DD486" s="31"/>
      <c r="DE486" s="31"/>
      <c r="DF486" s="31"/>
      <c r="DG486" s="31"/>
      <c r="DH486" s="31"/>
      <c r="DI486" s="31"/>
      <c r="DJ486" s="31"/>
      <c r="DK486" s="31"/>
      <c r="DL486" s="31"/>
      <c r="DM486" s="31"/>
      <c r="DN486" s="31"/>
      <c r="DO486" s="31"/>
      <c r="DP486" s="31"/>
      <c r="DQ486" s="31"/>
      <c r="DR486" s="31"/>
      <c r="DS486" s="31"/>
      <c r="DT486" s="31"/>
      <c r="DU486" s="31"/>
      <c r="DV486" s="31"/>
      <c r="DW486" s="31"/>
      <c r="DX486" s="31"/>
      <c r="DY486" s="31"/>
      <c r="DZ486" s="31"/>
      <c r="EA486" s="31"/>
      <c r="EB486" s="31"/>
      <c r="EC486" s="31"/>
      <c r="ED486" s="31"/>
      <c r="EE486" s="31"/>
      <c r="EF486" s="31"/>
      <c r="EG486" s="31"/>
      <c r="EH486" s="31"/>
      <c r="EI486" s="31"/>
      <c r="EJ486" s="31"/>
      <c r="EK486" s="31"/>
      <c r="EL486" s="31"/>
      <c r="EM486" s="31"/>
      <c r="EN486" s="31"/>
      <c r="EO486" s="31"/>
      <c r="EP486" s="31"/>
      <c r="EQ486" s="31"/>
      <c r="ER486" s="31"/>
      <c r="ES486" s="31"/>
      <c r="ET486" s="31"/>
      <c r="EU486" s="31"/>
      <c r="EV486" s="31"/>
      <c r="EW486" s="31"/>
      <c r="EX486" s="31"/>
      <c r="EY486" s="31"/>
      <c r="EZ486" s="31"/>
      <c r="FA486" s="31"/>
      <c r="FB486" s="31"/>
      <c r="FC486" s="31"/>
      <c r="FD486" s="31"/>
      <c r="FE486" s="31"/>
      <c r="FF486" s="31"/>
      <c r="FG486" s="31"/>
      <c r="FH486" s="31"/>
      <c r="FI486" s="31"/>
      <c r="FJ486" s="31"/>
      <c r="FK486" s="31"/>
      <c r="FL486" s="31"/>
      <c r="FM486" s="31"/>
      <c r="FN486" s="31"/>
      <c r="FO486" s="31"/>
      <c r="FP486" s="31"/>
      <c r="FQ486" s="31"/>
      <c r="FR486" s="31"/>
      <c r="FS486" s="31"/>
      <c r="FT486" s="31"/>
      <c r="FU486" s="31"/>
      <c r="FV486" s="31"/>
      <c r="FW486" s="31"/>
      <c r="FX486" s="31"/>
      <c r="FY486" s="31"/>
      <c r="FZ486" s="31"/>
      <c r="GA486" s="31"/>
      <c r="GB486" s="31"/>
      <c r="GC486" s="31"/>
      <c r="GD486" s="31"/>
      <c r="GE486" s="31"/>
      <c r="GF486" s="31"/>
      <c r="GG486" s="31"/>
      <c r="GH486" s="31"/>
      <c r="GI486" s="31"/>
      <c r="GJ486" s="31"/>
      <c r="GK486" s="31"/>
      <c r="GL486" s="31"/>
      <c r="GM486" s="31"/>
      <c r="GN486" s="31"/>
      <c r="GO486" s="31"/>
      <c r="GP486" s="31"/>
      <c r="GQ486" s="31"/>
      <c r="GR486" s="31"/>
      <c r="GS486" s="31"/>
      <c r="GT486" s="31"/>
      <c r="GU486" s="31"/>
      <c r="GV486" s="31"/>
      <c r="GW486" s="31"/>
      <c r="GX486" s="31"/>
      <c r="GY486" s="31"/>
      <c r="GZ486" s="31"/>
      <c r="HA486" s="31"/>
      <c r="HB486" s="31"/>
      <c r="HC486" s="31"/>
      <c r="HD486" s="31"/>
      <c r="HE486" s="31"/>
      <c r="HF486" s="31"/>
      <c r="HG486" s="31"/>
      <c r="HH486" s="31"/>
      <c r="HI486" s="31"/>
      <c r="HJ486" s="31"/>
      <c r="HK486" s="31"/>
      <c r="HL486" s="31"/>
      <c r="HM486" s="31"/>
      <c r="HN486" s="31"/>
      <c r="HO486" s="31"/>
      <c r="HP486" s="31"/>
      <c r="HQ486" s="31"/>
      <c r="HR486" s="31"/>
      <c r="HS486" s="31"/>
      <c r="HT486" s="31"/>
      <c r="HU486" s="31"/>
      <c r="HV486" s="31"/>
      <c r="HW486" s="31"/>
      <c r="HX486" s="31"/>
      <c r="HY486" s="31"/>
      <c r="HZ486" s="31"/>
      <c r="IA486" s="31"/>
      <c r="IB486" s="31"/>
      <c r="IC486" s="31"/>
      <c r="ID486" s="31"/>
      <c r="IE486" s="31"/>
      <c r="IF486" s="31"/>
      <c r="IG486" s="31"/>
      <c r="IH486" s="31"/>
      <c r="II486" s="31"/>
      <c r="IJ486" s="31"/>
      <c r="IK486" s="31"/>
      <c r="IL486" s="31"/>
      <c r="IM486" s="31"/>
      <c r="IN486" s="31"/>
      <c r="IO486" s="31"/>
      <c r="IP486" s="31"/>
      <c r="IQ486" s="31"/>
      <c r="IR486" s="31"/>
      <c r="IS486" s="31"/>
      <c r="IT486" s="31"/>
      <c r="IU486" s="31"/>
      <c r="IV486" s="31"/>
      <c r="IW486" s="31"/>
      <c r="IX486" s="31"/>
      <c r="IY486" s="31"/>
      <c r="IZ486" s="31"/>
      <c r="JA486" s="31"/>
      <c r="JB486" s="31"/>
      <c r="JC486" s="31"/>
      <c r="JD486" s="31"/>
      <c r="JE486" s="31"/>
      <c r="JF486" s="31"/>
      <c r="JG486" s="31"/>
      <c r="JH486" s="31"/>
      <c r="JI486" s="31"/>
      <c r="JJ486" s="31"/>
      <c r="JK486" s="31"/>
      <c r="JL486" s="31"/>
      <c r="JM486" s="31"/>
      <c r="JN486" s="31"/>
      <c r="JO486" s="31"/>
      <c r="JP486" s="31"/>
      <c r="JQ486" s="31"/>
      <c r="JR486" s="31"/>
      <c r="JS486" s="31"/>
      <c r="JT486" s="31"/>
      <c r="JU486" s="31"/>
      <c r="JV486" s="31"/>
      <c r="JW486" s="31"/>
      <c r="JX486" s="31"/>
      <c r="JY486" s="31"/>
      <c r="JZ486" s="31"/>
      <c r="KA486" s="31"/>
      <c r="KB486" s="31"/>
      <c r="KC486" s="31"/>
      <c r="KD486" s="31"/>
      <c r="KE486" s="31"/>
      <c r="KF486" s="31"/>
      <c r="KG486" s="31"/>
      <c r="KH486" s="31"/>
      <c r="KI486" s="31"/>
      <c r="KJ486" s="31"/>
      <c r="KK486" s="31"/>
      <c r="KL486" s="31"/>
      <c r="KM486" s="31"/>
      <c r="KN486" s="31"/>
      <c r="KO486" s="31"/>
      <c r="KP486" s="31"/>
      <c r="KQ486" s="31"/>
      <c r="KR486" s="31"/>
      <c r="KS486" s="31"/>
      <c r="KT486" s="31"/>
      <c r="KU486" s="31"/>
      <c r="KV486" s="31"/>
      <c r="KW486" s="31"/>
      <c r="KX486" s="31"/>
      <c r="KY486" s="31"/>
      <c r="KZ486" s="31"/>
      <c r="LA486" s="31"/>
      <c r="LB486" s="31"/>
      <c r="LC486" s="31"/>
      <c r="LD486" s="31"/>
      <c r="LE486" s="31"/>
      <c r="LF486" s="31"/>
      <c r="LG486" s="31"/>
      <c r="LH486" s="31"/>
      <c r="LI486" s="31"/>
      <c r="LJ486" s="31"/>
      <c r="LK486" s="31"/>
      <c r="LL486" s="31"/>
      <c r="LM486" s="31"/>
      <c r="LN486" s="31"/>
      <c r="LO486" s="31"/>
      <c r="LP486" s="31"/>
      <c r="LQ486" s="31"/>
      <c r="LR486" s="31"/>
      <c r="LS486" s="31"/>
      <c r="LT486" s="31"/>
      <c r="LU486" s="31"/>
      <c r="LV486" s="31"/>
      <c r="LW486" s="31"/>
      <c r="LX486" s="31"/>
      <c r="LY486" s="31"/>
      <c r="LZ486" s="31"/>
      <c r="MA486" s="31"/>
      <c r="MB486" s="31"/>
      <c r="MC486" s="31"/>
      <c r="MD486" s="31"/>
      <c r="ME486" s="31"/>
      <c r="MF486" s="31"/>
      <c r="MG486" s="31"/>
      <c r="MH486" s="31"/>
      <c r="MI486" s="31"/>
      <c r="MJ486" s="31"/>
      <c r="MK486" s="31"/>
      <c r="ML486" s="31"/>
      <c r="MM486" s="31"/>
      <c r="MN486" s="31"/>
      <c r="MO486" s="31"/>
      <c r="MP486" s="31"/>
      <c r="MQ486" s="31"/>
      <c r="MR486" s="31"/>
      <c r="MS486" s="31"/>
      <c r="MT486" s="31"/>
      <c r="MU486" s="31"/>
      <c r="MV486" s="31"/>
      <c r="MW486" s="31"/>
      <c r="MX486" s="31"/>
      <c r="MY486" s="31"/>
      <c r="MZ486" s="31"/>
      <c r="NA486" s="31"/>
      <c r="NB486" s="31"/>
      <c r="NC486" s="31"/>
      <c r="ND486" s="31"/>
      <c r="NE486" s="31"/>
      <c r="NF486" s="31"/>
      <c r="NG486" s="31"/>
      <c r="NH486" s="31"/>
      <c r="NI486" s="31"/>
      <c r="NJ486" s="31"/>
      <c r="NK486" s="31"/>
      <c r="NL486" s="31"/>
      <c r="NM486" s="31"/>
      <c r="NN486" s="31"/>
      <c r="NO486" s="31"/>
      <c r="NP486" s="31"/>
      <c r="NQ486" s="31"/>
      <c r="NR486" s="31"/>
      <c r="NS486" s="31"/>
      <c r="NT486" s="31"/>
      <c r="NU486" s="31"/>
      <c r="NV486" s="31"/>
      <c r="NW486" s="31"/>
      <c r="NX486" s="31"/>
      <c r="NY486" s="31"/>
      <c r="NZ486" s="31"/>
      <c r="OA486" s="31"/>
      <c r="OB486" s="31"/>
      <c r="OC486" s="31"/>
      <c r="OD486" s="31"/>
      <c r="OE486" s="31"/>
      <c r="OF486" s="31"/>
      <c r="OG486" s="31"/>
      <c r="OH486" s="31"/>
      <c r="OI486" s="31"/>
      <c r="OJ486" s="31"/>
      <c r="OK486" s="31"/>
      <c r="OL486" s="31"/>
      <c r="OM486" s="31"/>
      <c r="ON486" s="31"/>
      <c r="OO486" s="31"/>
      <c r="OP486" s="31"/>
      <c r="OQ486" s="31"/>
      <c r="OR486" s="31"/>
      <c r="OS486" s="31"/>
      <c r="OT486" s="31"/>
      <c r="OU486" s="31"/>
      <c r="OV486" s="31"/>
      <c r="OW486" s="31"/>
      <c r="OX486" s="31"/>
    </row>
    <row r="487" spans="2:414" s="25" customFormat="1" ht="15.6">
      <c r="B487" s="51" t="s">
        <v>1022</v>
      </c>
      <c r="C487" s="27" t="s">
        <v>153</v>
      </c>
      <c r="D487" s="30" t="s">
        <v>355</v>
      </c>
      <c r="G487" s="42">
        <v>80</v>
      </c>
      <c r="H487" s="89">
        <v>26.109000000000002</v>
      </c>
      <c r="I487" s="38">
        <f t="shared" si="150"/>
        <v>2088.7200000000003</v>
      </c>
      <c r="K487" s="42">
        <v>80</v>
      </c>
      <c r="L487" s="90">
        <v>26.849599999999999</v>
      </c>
      <c r="M487" s="38">
        <f t="shared" si="151"/>
        <v>2147.9679999999998</v>
      </c>
      <c r="O487" s="42">
        <v>505</v>
      </c>
      <c r="P487" s="38">
        <v>26.728300000000001</v>
      </c>
      <c r="Q487" s="38">
        <f t="shared" si="152"/>
        <v>13497.791500000001</v>
      </c>
      <c r="R487" s="43">
        <f t="shared" si="149"/>
        <v>665</v>
      </c>
      <c r="S487" s="38">
        <f t="shared" si="153"/>
        <v>17734.479500000001</v>
      </c>
      <c r="T487" s="52">
        <v>240</v>
      </c>
      <c r="U487" s="48">
        <v>26.570799999999998</v>
      </c>
      <c r="V487" s="38">
        <f t="shared" si="161"/>
        <v>6376.9919999999993</v>
      </c>
      <c r="W487" s="48">
        <v>505</v>
      </c>
      <c r="X487" s="48">
        <v>26.57</v>
      </c>
      <c r="Y487" s="42">
        <f t="shared" si="159"/>
        <v>13417.85</v>
      </c>
      <c r="AB487" s="42">
        <f t="shared" si="160"/>
        <v>0</v>
      </c>
      <c r="AF487" s="42">
        <f t="shared" si="162"/>
        <v>0</v>
      </c>
      <c r="AU487" s="98"/>
      <c r="AV487" s="35"/>
      <c r="AW487" s="77"/>
      <c r="AZ487" s="42">
        <f t="shared" si="148"/>
        <v>0</v>
      </c>
      <c r="BD487" s="38">
        <f t="shared" si="154"/>
        <v>0</v>
      </c>
      <c r="BH487" s="38">
        <f t="shared" si="155"/>
        <v>0</v>
      </c>
      <c r="BL487" s="38">
        <f t="shared" si="156"/>
        <v>0</v>
      </c>
      <c r="BR487" s="42">
        <f t="shared" si="157"/>
        <v>19794.842000000001</v>
      </c>
      <c r="BS487" s="43"/>
      <c r="BT487" s="25">
        <v>2030.36</v>
      </c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  <c r="CF487" s="31"/>
      <c r="CG487" s="31"/>
      <c r="CH487" s="31"/>
      <c r="CI487" s="31"/>
      <c r="CJ487" s="31"/>
      <c r="CK487" s="31"/>
      <c r="CL487" s="31"/>
      <c r="CM487" s="31"/>
      <c r="CN487" s="31"/>
      <c r="CO487" s="31"/>
      <c r="CP487" s="31"/>
      <c r="CQ487" s="31"/>
      <c r="CR487" s="31"/>
      <c r="CS487" s="31"/>
      <c r="CT487" s="31"/>
      <c r="CU487" s="31"/>
      <c r="CV487" s="31"/>
      <c r="CW487" s="31"/>
      <c r="CX487" s="31"/>
      <c r="CY487" s="31"/>
      <c r="CZ487" s="31"/>
      <c r="DA487" s="31"/>
      <c r="DB487" s="31"/>
      <c r="DC487" s="31"/>
      <c r="DD487" s="31"/>
      <c r="DE487" s="31"/>
      <c r="DF487" s="31"/>
      <c r="DG487" s="31"/>
      <c r="DH487" s="31"/>
      <c r="DI487" s="31"/>
      <c r="DJ487" s="31"/>
      <c r="DK487" s="31"/>
      <c r="DL487" s="31"/>
      <c r="DM487" s="31"/>
      <c r="DN487" s="31"/>
      <c r="DO487" s="31"/>
      <c r="DP487" s="31"/>
      <c r="DQ487" s="31"/>
      <c r="DR487" s="31"/>
      <c r="DS487" s="31"/>
      <c r="DT487" s="31"/>
      <c r="DU487" s="31"/>
      <c r="DV487" s="31"/>
      <c r="DW487" s="31"/>
      <c r="DX487" s="31"/>
      <c r="DY487" s="31"/>
      <c r="DZ487" s="31"/>
      <c r="EA487" s="31"/>
      <c r="EB487" s="31"/>
      <c r="EC487" s="31"/>
      <c r="ED487" s="31"/>
      <c r="EE487" s="31"/>
      <c r="EF487" s="31"/>
      <c r="EG487" s="31"/>
      <c r="EH487" s="31"/>
      <c r="EI487" s="31"/>
      <c r="EJ487" s="31"/>
      <c r="EK487" s="31"/>
      <c r="EL487" s="31"/>
      <c r="EM487" s="31"/>
      <c r="EN487" s="31"/>
      <c r="EO487" s="31"/>
      <c r="EP487" s="31"/>
      <c r="EQ487" s="31"/>
      <c r="ER487" s="31"/>
      <c r="ES487" s="31"/>
      <c r="ET487" s="31"/>
      <c r="EU487" s="31"/>
      <c r="EV487" s="31"/>
      <c r="EW487" s="31"/>
      <c r="EX487" s="31"/>
      <c r="EY487" s="31"/>
      <c r="EZ487" s="31"/>
      <c r="FA487" s="31"/>
      <c r="FB487" s="31"/>
      <c r="FC487" s="31"/>
      <c r="FD487" s="31"/>
      <c r="FE487" s="31"/>
      <c r="FF487" s="31"/>
      <c r="FG487" s="31"/>
      <c r="FH487" s="31"/>
      <c r="FI487" s="31"/>
      <c r="FJ487" s="31"/>
      <c r="FK487" s="31"/>
      <c r="FL487" s="31"/>
      <c r="FM487" s="31"/>
      <c r="FN487" s="31"/>
      <c r="FO487" s="31"/>
      <c r="FP487" s="31"/>
      <c r="FQ487" s="31"/>
      <c r="FR487" s="31"/>
      <c r="FS487" s="31"/>
      <c r="FT487" s="31"/>
      <c r="FU487" s="31"/>
      <c r="FV487" s="31"/>
      <c r="FW487" s="31"/>
      <c r="FX487" s="31"/>
      <c r="FY487" s="31"/>
      <c r="FZ487" s="31"/>
      <c r="GA487" s="31"/>
      <c r="GB487" s="31"/>
      <c r="GC487" s="31"/>
      <c r="GD487" s="31"/>
      <c r="GE487" s="31"/>
      <c r="GF487" s="31"/>
      <c r="GG487" s="31"/>
      <c r="GH487" s="31"/>
      <c r="GI487" s="31"/>
      <c r="GJ487" s="31"/>
      <c r="GK487" s="31"/>
      <c r="GL487" s="31"/>
      <c r="GM487" s="31"/>
      <c r="GN487" s="31"/>
      <c r="GO487" s="31"/>
      <c r="GP487" s="31"/>
      <c r="GQ487" s="31"/>
      <c r="GR487" s="31"/>
      <c r="GS487" s="31"/>
      <c r="GT487" s="31"/>
      <c r="GU487" s="31"/>
      <c r="GV487" s="31"/>
      <c r="GW487" s="31"/>
      <c r="GX487" s="31"/>
      <c r="GY487" s="31"/>
      <c r="GZ487" s="31"/>
      <c r="HA487" s="31"/>
      <c r="HB487" s="31"/>
      <c r="HC487" s="31"/>
      <c r="HD487" s="31"/>
      <c r="HE487" s="31"/>
      <c r="HF487" s="31"/>
      <c r="HG487" s="31"/>
      <c r="HH487" s="31"/>
      <c r="HI487" s="31"/>
      <c r="HJ487" s="31"/>
      <c r="HK487" s="31"/>
      <c r="HL487" s="31"/>
      <c r="HM487" s="31"/>
      <c r="HN487" s="31"/>
      <c r="HO487" s="31"/>
      <c r="HP487" s="31"/>
      <c r="HQ487" s="31"/>
      <c r="HR487" s="31"/>
      <c r="HS487" s="31"/>
      <c r="HT487" s="31"/>
      <c r="HU487" s="31"/>
      <c r="HV487" s="31"/>
      <c r="HW487" s="31"/>
      <c r="HX487" s="31"/>
      <c r="HY487" s="31"/>
      <c r="HZ487" s="31"/>
      <c r="IA487" s="31"/>
      <c r="IB487" s="31"/>
      <c r="IC487" s="31"/>
      <c r="ID487" s="31"/>
      <c r="IE487" s="31"/>
      <c r="IF487" s="31"/>
      <c r="IG487" s="31"/>
      <c r="IH487" s="31"/>
      <c r="II487" s="31"/>
      <c r="IJ487" s="31"/>
      <c r="IK487" s="31"/>
      <c r="IL487" s="31"/>
      <c r="IM487" s="31"/>
      <c r="IN487" s="31"/>
      <c r="IO487" s="31"/>
      <c r="IP487" s="31"/>
      <c r="IQ487" s="31"/>
      <c r="IR487" s="31"/>
      <c r="IS487" s="31"/>
      <c r="IT487" s="31"/>
      <c r="IU487" s="31"/>
      <c r="IV487" s="31"/>
      <c r="IW487" s="31"/>
      <c r="IX487" s="31"/>
      <c r="IY487" s="31"/>
      <c r="IZ487" s="31"/>
      <c r="JA487" s="31"/>
      <c r="JB487" s="31"/>
      <c r="JC487" s="31"/>
      <c r="JD487" s="31"/>
      <c r="JE487" s="31"/>
      <c r="JF487" s="31"/>
      <c r="JG487" s="31"/>
      <c r="JH487" s="31"/>
      <c r="JI487" s="31"/>
      <c r="JJ487" s="31"/>
      <c r="JK487" s="31"/>
      <c r="JL487" s="31"/>
      <c r="JM487" s="31"/>
      <c r="JN487" s="31"/>
      <c r="JO487" s="31"/>
      <c r="JP487" s="31"/>
      <c r="JQ487" s="31"/>
      <c r="JR487" s="31"/>
      <c r="JS487" s="31"/>
      <c r="JT487" s="31"/>
      <c r="JU487" s="31"/>
      <c r="JV487" s="31"/>
      <c r="JW487" s="31"/>
      <c r="JX487" s="31"/>
      <c r="JY487" s="31"/>
      <c r="JZ487" s="31"/>
      <c r="KA487" s="31"/>
      <c r="KB487" s="31"/>
      <c r="KC487" s="31"/>
      <c r="KD487" s="31"/>
      <c r="KE487" s="31"/>
      <c r="KF487" s="31"/>
      <c r="KG487" s="31"/>
      <c r="KH487" s="31"/>
      <c r="KI487" s="31"/>
      <c r="KJ487" s="31"/>
      <c r="KK487" s="31"/>
      <c r="KL487" s="31"/>
      <c r="KM487" s="31"/>
      <c r="KN487" s="31"/>
      <c r="KO487" s="31"/>
      <c r="KP487" s="31"/>
      <c r="KQ487" s="31"/>
      <c r="KR487" s="31"/>
      <c r="KS487" s="31"/>
      <c r="KT487" s="31"/>
      <c r="KU487" s="31"/>
      <c r="KV487" s="31"/>
      <c r="KW487" s="31"/>
      <c r="KX487" s="31"/>
      <c r="KY487" s="31"/>
      <c r="KZ487" s="31"/>
      <c r="LA487" s="31"/>
      <c r="LB487" s="31"/>
      <c r="LC487" s="31"/>
      <c r="LD487" s="31"/>
      <c r="LE487" s="31"/>
      <c r="LF487" s="31"/>
      <c r="LG487" s="31"/>
      <c r="LH487" s="31"/>
      <c r="LI487" s="31"/>
      <c r="LJ487" s="31"/>
      <c r="LK487" s="31"/>
      <c r="LL487" s="31"/>
      <c r="LM487" s="31"/>
      <c r="LN487" s="31"/>
      <c r="LO487" s="31"/>
      <c r="LP487" s="31"/>
      <c r="LQ487" s="31"/>
      <c r="LR487" s="31"/>
      <c r="LS487" s="31"/>
      <c r="LT487" s="31"/>
      <c r="LU487" s="31"/>
      <c r="LV487" s="31"/>
      <c r="LW487" s="31"/>
      <c r="LX487" s="31"/>
      <c r="LY487" s="31"/>
      <c r="LZ487" s="31"/>
      <c r="MA487" s="31"/>
      <c r="MB487" s="31"/>
      <c r="MC487" s="31"/>
      <c r="MD487" s="31"/>
      <c r="ME487" s="31"/>
      <c r="MF487" s="31"/>
      <c r="MG487" s="31"/>
      <c r="MH487" s="31"/>
      <c r="MI487" s="31"/>
      <c r="MJ487" s="31"/>
      <c r="MK487" s="31"/>
      <c r="ML487" s="31"/>
      <c r="MM487" s="31"/>
      <c r="MN487" s="31"/>
      <c r="MO487" s="31"/>
      <c r="MP487" s="31"/>
      <c r="MQ487" s="31"/>
      <c r="MR487" s="31"/>
      <c r="MS487" s="31"/>
      <c r="MT487" s="31"/>
      <c r="MU487" s="31"/>
      <c r="MV487" s="31"/>
      <c r="MW487" s="31"/>
      <c r="MX487" s="31"/>
      <c r="MY487" s="31"/>
      <c r="MZ487" s="31"/>
      <c r="NA487" s="31"/>
      <c r="NB487" s="31"/>
      <c r="NC487" s="31"/>
      <c r="ND487" s="31"/>
      <c r="NE487" s="31"/>
      <c r="NF487" s="31"/>
      <c r="NG487" s="31"/>
      <c r="NH487" s="31"/>
      <c r="NI487" s="31"/>
      <c r="NJ487" s="31"/>
      <c r="NK487" s="31"/>
      <c r="NL487" s="31"/>
      <c r="NM487" s="31"/>
      <c r="NN487" s="31"/>
      <c r="NO487" s="31"/>
      <c r="NP487" s="31"/>
      <c r="NQ487" s="31"/>
      <c r="NR487" s="31"/>
      <c r="NS487" s="31"/>
      <c r="NT487" s="31"/>
      <c r="NU487" s="31"/>
      <c r="NV487" s="31"/>
      <c r="NW487" s="31"/>
      <c r="NX487" s="31"/>
      <c r="NY487" s="31"/>
      <c r="NZ487" s="31"/>
      <c r="OA487" s="31"/>
      <c r="OB487" s="31"/>
      <c r="OC487" s="31"/>
      <c r="OD487" s="31"/>
      <c r="OE487" s="31"/>
      <c r="OF487" s="31"/>
      <c r="OG487" s="31"/>
      <c r="OH487" s="31"/>
      <c r="OI487" s="31"/>
      <c r="OJ487" s="31"/>
      <c r="OK487" s="31"/>
      <c r="OL487" s="31"/>
      <c r="OM487" s="31"/>
      <c r="ON487" s="31"/>
      <c r="OO487" s="31"/>
      <c r="OP487" s="31"/>
      <c r="OQ487" s="31"/>
      <c r="OR487" s="31"/>
      <c r="OS487" s="31"/>
      <c r="OT487" s="31"/>
      <c r="OU487" s="31"/>
      <c r="OV487" s="31"/>
      <c r="OW487" s="31"/>
      <c r="OX487" s="31"/>
    </row>
    <row r="488" spans="2:414" s="25" customFormat="1" ht="15.6">
      <c r="B488" s="51" t="s">
        <v>1023</v>
      </c>
      <c r="C488" s="27" t="s">
        <v>1024</v>
      </c>
      <c r="D488" s="30" t="s">
        <v>355</v>
      </c>
      <c r="G488" s="42">
        <v>80</v>
      </c>
      <c r="H488" s="89">
        <v>26.109000000000002</v>
      </c>
      <c r="I488" s="38">
        <f t="shared" si="150"/>
        <v>2088.7200000000003</v>
      </c>
      <c r="K488" s="42">
        <v>80</v>
      </c>
      <c r="L488" s="90">
        <v>26.849599999999999</v>
      </c>
      <c r="M488" s="38">
        <f t="shared" si="151"/>
        <v>2147.9679999999998</v>
      </c>
      <c r="O488" s="42">
        <v>505</v>
      </c>
      <c r="P488" s="38">
        <v>26.728300000000001</v>
      </c>
      <c r="Q488" s="38">
        <f t="shared" si="152"/>
        <v>13497.791500000001</v>
      </c>
      <c r="R488" s="43">
        <f t="shared" si="149"/>
        <v>665</v>
      </c>
      <c r="S488" s="38">
        <f t="shared" si="153"/>
        <v>17734.479500000001</v>
      </c>
      <c r="T488" s="52">
        <v>240</v>
      </c>
      <c r="U488" s="48">
        <v>26.750599999999999</v>
      </c>
      <c r="V488" s="38">
        <f t="shared" si="161"/>
        <v>6420.1439999999993</v>
      </c>
      <c r="W488" s="48">
        <v>505</v>
      </c>
      <c r="X488" s="48">
        <v>26.57</v>
      </c>
      <c r="Y488" s="42">
        <f t="shared" si="159"/>
        <v>13417.85</v>
      </c>
      <c r="AB488" s="42">
        <f t="shared" si="160"/>
        <v>0</v>
      </c>
      <c r="AF488" s="42">
        <f t="shared" si="162"/>
        <v>0</v>
      </c>
      <c r="AU488" s="98"/>
      <c r="AV488" s="35"/>
      <c r="AW488" s="77"/>
      <c r="AZ488" s="42">
        <f t="shared" si="148"/>
        <v>0</v>
      </c>
      <c r="BD488" s="38">
        <f t="shared" si="154"/>
        <v>0</v>
      </c>
      <c r="BH488" s="38">
        <f t="shared" si="155"/>
        <v>0</v>
      </c>
      <c r="BL488" s="38">
        <f t="shared" si="156"/>
        <v>0</v>
      </c>
      <c r="BR488" s="42">
        <f t="shared" si="157"/>
        <v>19837.993999999999</v>
      </c>
      <c r="BS488" s="43"/>
      <c r="BT488" s="25">
        <v>2103.5100000000002</v>
      </c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  <c r="CF488" s="31"/>
      <c r="CG488" s="31"/>
      <c r="CH488" s="31"/>
      <c r="CI488" s="31"/>
      <c r="CJ488" s="31"/>
      <c r="CK488" s="31"/>
      <c r="CL488" s="31"/>
      <c r="CM488" s="31"/>
      <c r="CN488" s="31"/>
      <c r="CO488" s="31"/>
      <c r="CP488" s="31"/>
      <c r="CQ488" s="31"/>
      <c r="CR488" s="31"/>
      <c r="CS488" s="31"/>
      <c r="CT488" s="31"/>
      <c r="CU488" s="31"/>
      <c r="CV488" s="31"/>
      <c r="CW488" s="31"/>
      <c r="CX488" s="31"/>
      <c r="CY488" s="31"/>
      <c r="CZ488" s="31"/>
      <c r="DA488" s="31"/>
      <c r="DB488" s="31"/>
      <c r="DC488" s="31"/>
      <c r="DD488" s="31"/>
      <c r="DE488" s="31"/>
      <c r="DF488" s="31"/>
      <c r="DG488" s="31"/>
      <c r="DH488" s="31"/>
      <c r="DI488" s="31"/>
      <c r="DJ488" s="31"/>
      <c r="DK488" s="31"/>
      <c r="DL488" s="31"/>
      <c r="DM488" s="31"/>
      <c r="DN488" s="31"/>
      <c r="DO488" s="31"/>
      <c r="DP488" s="31"/>
      <c r="DQ488" s="31"/>
      <c r="DR488" s="31"/>
      <c r="DS488" s="31"/>
      <c r="DT488" s="31"/>
      <c r="DU488" s="31"/>
      <c r="DV488" s="31"/>
      <c r="DW488" s="31"/>
      <c r="DX488" s="31"/>
      <c r="DY488" s="31"/>
      <c r="DZ488" s="31"/>
      <c r="EA488" s="31"/>
      <c r="EB488" s="31"/>
      <c r="EC488" s="31"/>
      <c r="ED488" s="31"/>
      <c r="EE488" s="31"/>
      <c r="EF488" s="31"/>
      <c r="EG488" s="31"/>
      <c r="EH488" s="31"/>
      <c r="EI488" s="31"/>
      <c r="EJ488" s="31"/>
      <c r="EK488" s="31"/>
      <c r="EL488" s="31"/>
      <c r="EM488" s="31"/>
      <c r="EN488" s="31"/>
      <c r="EO488" s="31"/>
      <c r="EP488" s="31"/>
      <c r="EQ488" s="31"/>
      <c r="ER488" s="31"/>
      <c r="ES488" s="31"/>
      <c r="ET488" s="31"/>
      <c r="EU488" s="31"/>
      <c r="EV488" s="31"/>
      <c r="EW488" s="31"/>
      <c r="EX488" s="31"/>
      <c r="EY488" s="31"/>
      <c r="EZ488" s="31"/>
      <c r="FA488" s="31"/>
      <c r="FB488" s="31"/>
      <c r="FC488" s="31"/>
      <c r="FD488" s="31"/>
      <c r="FE488" s="31"/>
      <c r="FF488" s="31"/>
      <c r="FG488" s="31"/>
      <c r="FH488" s="31"/>
      <c r="FI488" s="31"/>
      <c r="FJ488" s="31"/>
      <c r="FK488" s="31"/>
      <c r="FL488" s="31"/>
      <c r="FM488" s="31"/>
      <c r="FN488" s="31"/>
      <c r="FO488" s="31"/>
      <c r="FP488" s="31"/>
      <c r="FQ488" s="31"/>
      <c r="FR488" s="31"/>
      <c r="FS488" s="31"/>
      <c r="FT488" s="31"/>
      <c r="FU488" s="31"/>
      <c r="FV488" s="31"/>
      <c r="FW488" s="31"/>
      <c r="FX488" s="31"/>
      <c r="FY488" s="31"/>
      <c r="FZ488" s="31"/>
      <c r="GA488" s="31"/>
      <c r="GB488" s="31"/>
      <c r="GC488" s="31"/>
      <c r="GD488" s="31"/>
      <c r="GE488" s="31"/>
      <c r="GF488" s="31"/>
      <c r="GG488" s="31"/>
      <c r="GH488" s="31"/>
      <c r="GI488" s="31"/>
      <c r="GJ488" s="31"/>
      <c r="GK488" s="31"/>
      <c r="GL488" s="31"/>
      <c r="GM488" s="31"/>
      <c r="GN488" s="31"/>
      <c r="GO488" s="31"/>
      <c r="GP488" s="31"/>
      <c r="GQ488" s="31"/>
      <c r="GR488" s="31"/>
      <c r="GS488" s="31"/>
      <c r="GT488" s="31"/>
      <c r="GU488" s="31"/>
      <c r="GV488" s="31"/>
      <c r="GW488" s="31"/>
      <c r="GX488" s="31"/>
      <c r="GY488" s="31"/>
      <c r="GZ488" s="31"/>
      <c r="HA488" s="31"/>
      <c r="HB488" s="31"/>
      <c r="HC488" s="31"/>
      <c r="HD488" s="31"/>
      <c r="HE488" s="31"/>
      <c r="HF488" s="31"/>
      <c r="HG488" s="31"/>
      <c r="HH488" s="31"/>
      <c r="HI488" s="31"/>
      <c r="HJ488" s="31"/>
      <c r="HK488" s="31"/>
      <c r="HL488" s="31"/>
      <c r="HM488" s="31"/>
      <c r="HN488" s="31"/>
      <c r="HO488" s="31"/>
      <c r="HP488" s="31"/>
      <c r="HQ488" s="31"/>
      <c r="HR488" s="31"/>
      <c r="HS488" s="31"/>
      <c r="HT488" s="31"/>
      <c r="HU488" s="31"/>
      <c r="HV488" s="31"/>
      <c r="HW488" s="31"/>
      <c r="HX488" s="31"/>
      <c r="HY488" s="31"/>
      <c r="HZ488" s="31"/>
      <c r="IA488" s="31"/>
      <c r="IB488" s="31"/>
      <c r="IC488" s="31"/>
      <c r="ID488" s="31"/>
      <c r="IE488" s="31"/>
      <c r="IF488" s="31"/>
      <c r="IG488" s="31"/>
      <c r="IH488" s="31"/>
      <c r="II488" s="31"/>
      <c r="IJ488" s="31"/>
      <c r="IK488" s="31"/>
      <c r="IL488" s="31"/>
      <c r="IM488" s="31"/>
      <c r="IN488" s="31"/>
      <c r="IO488" s="31"/>
      <c r="IP488" s="31"/>
      <c r="IQ488" s="31"/>
      <c r="IR488" s="31"/>
      <c r="IS488" s="31"/>
      <c r="IT488" s="31"/>
      <c r="IU488" s="31"/>
      <c r="IV488" s="31"/>
      <c r="IW488" s="31"/>
      <c r="IX488" s="31"/>
      <c r="IY488" s="31"/>
      <c r="IZ488" s="31"/>
      <c r="JA488" s="31"/>
      <c r="JB488" s="31"/>
      <c r="JC488" s="31"/>
      <c r="JD488" s="31"/>
      <c r="JE488" s="31"/>
      <c r="JF488" s="31"/>
      <c r="JG488" s="31"/>
      <c r="JH488" s="31"/>
      <c r="JI488" s="31"/>
      <c r="JJ488" s="31"/>
      <c r="JK488" s="31"/>
      <c r="JL488" s="31"/>
      <c r="JM488" s="31"/>
      <c r="JN488" s="31"/>
      <c r="JO488" s="31"/>
      <c r="JP488" s="31"/>
      <c r="JQ488" s="31"/>
      <c r="JR488" s="31"/>
      <c r="JS488" s="31"/>
      <c r="JT488" s="31"/>
      <c r="JU488" s="31"/>
      <c r="JV488" s="31"/>
      <c r="JW488" s="31"/>
      <c r="JX488" s="31"/>
      <c r="JY488" s="31"/>
      <c r="JZ488" s="31"/>
      <c r="KA488" s="31"/>
      <c r="KB488" s="31"/>
      <c r="KC488" s="31"/>
      <c r="KD488" s="31"/>
      <c r="KE488" s="31"/>
      <c r="KF488" s="31"/>
      <c r="KG488" s="31"/>
      <c r="KH488" s="31"/>
      <c r="KI488" s="31"/>
      <c r="KJ488" s="31"/>
      <c r="KK488" s="31"/>
      <c r="KL488" s="31"/>
      <c r="KM488" s="31"/>
      <c r="KN488" s="31"/>
      <c r="KO488" s="31"/>
      <c r="KP488" s="31"/>
      <c r="KQ488" s="31"/>
      <c r="KR488" s="31"/>
      <c r="KS488" s="31"/>
      <c r="KT488" s="31"/>
      <c r="KU488" s="31"/>
      <c r="KV488" s="31"/>
      <c r="KW488" s="31"/>
      <c r="KX488" s="31"/>
      <c r="KY488" s="31"/>
      <c r="KZ488" s="31"/>
      <c r="LA488" s="31"/>
      <c r="LB488" s="31"/>
      <c r="LC488" s="31"/>
      <c r="LD488" s="31"/>
      <c r="LE488" s="31"/>
      <c r="LF488" s="31"/>
      <c r="LG488" s="31"/>
      <c r="LH488" s="31"/>
      <c r="LI488" s="31"/>
      <c r="LJ488" s="31"/>
      <c r="LK488" s="31"/>
      <c r="LL488" s="31"/>
      <c r="LM488" s="31"/>
      <c r="LN488" s="31"/>
      <c r="LO488" s="31"/>
      <c r="LP488" s="31"/>
      <c r="LQ488" s="31"/>
      <c r="LR488" s="31"/>
      <c r="LS488" s="31"/>
      <c r="LT488" s="31"/>
      <c r="LU488" s="31"/>
      <c r="LV488" s="31"/>
      <c r="LW488" s="31"/>
      <c r="LX488" s="31"/>
      <c r="LY488" s="31"/>
      <c r="LZ488" s="31"/>
      <c r="MA488" s="31"/>
      <c r="MB488" s="31"/>
      <c r="MC488" s="31"/>
      <c r="MD488" s="31"/>
      <c r="ME488" s="31"/>
      <c r="MF488" s="31"/>
      <c r="MG488" s="31"/>
      <c r="MH488" s="31"/>
      <c r="MI488" s="31"/>
      <c r="MJ488" s="31"/>
      <c r="MK488" s="31"/>
      <c r="ML488" s="31"/>
      <c r="MM488" s="31"/>
      <c r="MN488" s="31"/>
      <c r="MO488" s="31"/>
      <c r="MP488" s="31"/>
      <c r="MQ488" s="31"/>
      <c r="MR488" s="31"/>
      <c r="MS488" s="31"/>
      <c r="MT488" s="31"/>
      <c r="MU488" s="31"/>
      <c r="MV488" s="31"/>
      <c r="MW488" s="31"/>
      <c r="MX488" s="31"/>
      <c r="MY488" s="31"/>
      <c r="MZ488" s="31"/>
      <c r="NA488" s="31"/>
      <c r="NB488" s="31"/>
      <c r="NC488" s="31"/>
      <c r="ND488" s="31"/>
      <c r="NE488" s="31"/>
      <c r="NF488" s="31"/>
      <c r="NG488" s="31"/>
      <c r="NH488" s="31"/>
      <c r="NI488" s="31"/>
      <c r="NJ488" s="31"/>
      <c r="NK488" s="31"/>
      <c r="NL488" s="31"/>
      <c r="NM488" s="31"/>
      <c r="NN488" s="31"/>
      <c r="NO488" s="31"/>
      <c r="NP488" s="31"/>
      <c r="NQ488" s="31"/>
      <c r="NR488" s="31"/>
      <c r="NS488" s="31"/>
      <c r="NT488" s="31"/>
      <c r="NU488" s="31"/>
      <c r="NV488" s="31"/>
      <c r="NW488" s="31"/>
      <c r="NX488" s="31"/>
      <c r="NY488" s="31"/>
      <c r="NZ488" s="31"/>
      <c r="OA488" s="31"/>
      <c r="OB488" s="31"/>
      <c r="OC488" s="31"/>
      <c r="OD488" s="31"/>
      <c r="OE488" s="31"/>
      <c r="OF488" s="31"/>
      <c r="OG488" s="31"/>
      <c r="OH488" s="31"/>
      <c r="OI488" s="31"/>
      <c r="OJ488" s="31"/>
      <c r="OK488" s="31"/>
      <c r="OL488" s="31"/>
      <c r="OM488" s="31"/>
      <c r="ON488" s="31"/>
      <c r="OO488" s="31"/>
      <c r="OP488" s="31"/>
      <c r="OQ488" s="31"/>
      <c r="OR488" s="31"/>
      <c r="OS488" s="31"/>
      <c r="OT488" s="31"/>
      <c r="OU488" s="31"/>
      <c r="OV488" s="31"/>
      <c r="OW488" s="31"/>
      <c r="OX488" s="31"/>
    </row>
    <row r="489" spans="2:414" s="25" customFormat="1" ht="15.6">
      <c r="B489" s="51" t="s">
        <v>1025</v>
      </c>
      <c r="C489" s="27" t="s">
        <v>799</v>
      </c>
      <c r="D489" s="30" t="s">
        <v>355</v>
      </c>
      <c r="G489" s="42">
        <v>80</v>
      </c>
      <c r="H489" s="89">
        <v>26.109000000000002</v>
      </c>
      <c r="I489" s="38">
        <f t="shared" si="150"/>
        <v>2088.7200000000003</v>
      </c>
      <c r="K489" s="42">
        <v>80</v>
      </c>
      <c r="L489" s="90">
        <v>26.849599999999999</v>
      </c>
      <c r="M489" s="38">
        <f t="shared" si="151"/>
        <v>2147.9679999999998</v>
      </c>
      <c r="O489" s="42">
        <v>505</v>
      </c>
      <c r="P489" s="38">
        <v>26.728300000000001</v>
      </c>
      <c r="Q489" s="38">
        <f t="shared" si="152"/>
        <v>13497.791500000001</v>
      </c>
      <c r="R489" s="43">
        <f t="shared" si="149"/>
        <v>665</v>
      </c>
      <c r="S489" s="38">
        <f t="shared" si="153"/>
        <v>17734.479500000001</v>
      </c>
      <c r="T489" s="52">
        <v>240</v>
      </c>
      <c r="U489" s="48">
        <v>26.673500000000001</v>
      </c>
      <c r="V489" s="38">
        <f t="shared" si="161"/>
        <v>6401.64</v>
      </c>
      <c r="W489" s="48">
        <v>505</v>
      </c>
      <c r="X489" s="48">
        <v>26.57</v>
      </c>
      <c r="Y489" s="42">
        <f t="shared" si="159"/>
        <v>13417.85</v>
      </c>
      <c r="AB489" s="42">
        <f t="shared" si="160"/>
        <v>0</v>
      </c>
      <c r="AF489" s="42">
        <f t="shared" si="162"/>
        <v>0</v>
      </c>
      <c r="AU489" s="98"/>
      <c r="AV489" s="35"/>
      <c r="AW489" s="77"/>
      <c r="AZ489" s="42">
        <f t="shared" si="148"/>
        <v>0</v>
      </c>
      <c r="BD489" s="38">
        <f t="shared" si="154"/>
        <v>0</v>
      </c>
      <c r="BH489" s="38">
        <f t="shared" si="155"/>
        <v>0</v>
      </c>
      <c r="BL489" s="38">
        <f t="shared" si="156"/>
        <v>0</v>
      </c>
      <c r="BR489" s="42">
        <f t="shared" si="157"/>
        <v>19819.490000000002</v>
      </c>
      <c r="BS489" s="43"/>
      <c r="BT489" s="25">
        <v>2085.0100000000002</v>
      </c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  <c r="CF489" s="31"/>
      <c r="CG489" s="31"/>
      <c r="CH489" s="31"/>
      <c r="CI489" s="31"/>
      <c r="CJ489" s="31"/>
      <c r="CK489" s="31"/>
      <c r="CL489" s="31"/>
      <c r="CM489" s="31"/>
      <c r="CN489" s="31"/>
      <c r="CO489" s="31"/>
      <c r="CP489" s="31"/>
      <c r="CQ489" s="31"/>
      <c r="CR489" s="31"/>
      <c r="CS489" s="31"/>
      <c r="CT489" s="31"/>
      <c r="CU489" s="31"/>
      <c r="CV489" s="31"/>
      <c r="CW489" s="31"/>
      <c r="CX489" s="31"/>
      <c r="CY489" s="31"/>
      <c r="CZ489" s="31"/>
      <c r="DA489" s="31"/>
      <c r="DB489" s="31"/>
      <c r="DC489" s="31"/>
      <c r="DD489" s="31"/>
      <c r="DE489" s="31"/>
      <c r="DF489" s="31"/>
      <c r="DG489" s="31"/>
      <c r="DH489" s="31"/>
      <c r="DI489" s="31"/>
      <c r="DJ489" s="31"/>
      <c r="DK489" s="31"/>
      <c r="DL489" s="31"/>
      <c r="DM489" s="31"/>
      <c r="DN489" s="31"/>
      <c r="DO489" s="31"/>
      <c r="DP489" s="31"/>
      <c r="DQ489" s="31"/>
      <c r="DR489" s="31"/>
      <c r="DS489" s="31"/>
      <c r="DT489" s="31"/>
      <c r="DU489" s="31"/>
      <c r="DV489" s="31"/>
      <c r="DW489" s="31"/>
      <c r="DX489" s="31"/>
      <c r="DY489" s="31"/>
      <c r="DZ489" s="31"/>
      <c r="EA489" s="31"/>
      <c r="EB489" s="31"/>
      <c r="EC489" s="31"/>
      <c r="ED489" s="31"/>
      <c r="EE489" s="31"/>
      <c r="EF489" s="31"/>
      <c r="EG489" s="31"/>
      <c r="EH489" s="31"/>
      <c r="EI489" s="31"/>
      <c r="EJ489" s="31"/>
      <c r="EK489" s="31"/>
      <c r="EL489" s="31"/>
      <c r="EM489" s="31"/>
      <c r="EN489" s="31"/>
      <c r="EO489" s="31"/>
      <c r="EP489" s="31"/>
      <c r="EQ489" s="31"/>
      <c r="ER489" s="31"/>
      <c r="ES489" s="31"/>
      <c r="ET489" s="31"/>
      <c r="EU489" s="31"/>
      <c r="EV489" s="31"/>
      <c r="EW489" s="31"/>
      <c r="EX489" s="31"/>
      <c r="EY489" s="31"/>
      <c r="EZ489" s="31"/>
      <c r="FA489" s="31"/>
      <c r="FB489" s="31"/>
      <c r="FC489" s="31"/>
      <c r="FD489" s="31"/>
      <c r="FE489" s="31"/>
      <c r="FF489" s="31"/>
      <c r="FG489" s="31"/>
      <c r="FH489" s="31"/>
      <c r="FI489" s="31"/>
      <c r="FJ489" s="31"/>
      <c r="FK489" s="31"/>
      <c r="FL489" s="31"/>
      <c r="FM489" s="31"/>
      <c r="FN489" s="31"/>
      <c r="FO489" s="31"/>
      <c r="FP489" s="31"/>
      <c r="FQ489" s="31"/>
      <c r="FR489" s="31"/>
      <c r="FS489" s="31"/>
      <c r="FT489" s="31"/>
      <c r="FU489" s="31"/>
      <c r="FV489" s="31"/>
      <c r="FW489" s="31"/>
      <c r="FX489" s="31"/>
      <c r="FY489" s="31"/>
      <c r="FZ489" s="31"/>
      <c r="GA489" s="31"/>
      <c r="GB489" s="31"/>
      <c r="GC489" s="31"/>
      <c r="GD489" s="31"/>
      <c r="GE489" s="31"/>
      <c r="GF489" s="31"/>
      <c r="GG489" s="31"/>
      <c r="GH489" s="31"/>
      <c r="GI489" s="31"/>
      <c r="GJ489" s="31"/>
      <c r="GK489" s="31"/>
      <c r="GL489" s="31"/>
      <c r="GM489" s="31"/>
      <c r="GN489" s="31"/>
      <c r="GO489" s="31"/>
      <c r="GP489" s="31"/>
      <c r="GQ489" s="31"/>
      <c r="GR489" s="31"/>
      <c r="GS489" s="31"/>
      <c r="GT489" s="31"/>
      <c r="GU489" s="31"/>
      <c r="GV489" s="31"/>
      <c r="GW489" s="31"/>
      <c r="GX489" s="31"/>
      <c r="GY489" s="31"/>
      <c r="GZ489" s="31"/>
      <c r="HA489" s="31"/>
      <c r="HB489" s="31"/>
      <c r="HC489" s="31"/>
      <c r="HD489" s="31"/>
      <c r="HE489" s="31"/>
      <c r="HF489" s="31"/>
      <c r="HG489" s="31"/>
      <c r="HH489" s="31"/>
      <c r="HI489" s="31"/>
      <c r="HJ489" s="31"/>
      <c r="HK489" s="31"/>
      <c r="HL489" s="31"/>
      <c r="HM489" s="31"/>
      <c r="HN489" s="31"/>
      <c r="HO489" s="31"/>
      <c r="HP489" s="31"/>
      <c r="HQ489" s="31"/>
      <c r="HR489" s="31"/>
      <c r="HS489" s="31"/>
      <c r="HT489" s="31"/>
      <c r="HU489" s="31"/>
      <c r="HV489" s="31"/>
      <c r="HW489" s="31"/>
      <c r="HX489" s="31"/>
      <c r="HY489" s="31"/>
      <c r="HZ489" s="31"/>
      <c r="IA489" s="31"/>
      <c r="IB489" s="31"/>
      <c r="IC489" s="31"/>
      <c r="ID489" s="31"/>
      <c r="IE489" s="31"/>
      <c r="IF489" s="31"/>
      <c r="IG489" s="31"/>
      <c r="IH489" s="31"/>
      <c r="II489" s="31"/>
      <c r="IJ489" s="31"/>
      <c r="IK489" s="31"/>
      <c r="IL489" s="31"/>
      <c r="IM489" s="31"/>
      <c r="IN489" s="31"/>
      <c r="IO489" s="31"/>
      <c r="IP489" s="31"/>
      <c r="IQ489" s="31"/>
      <c r="IR489" s="31"/>
      <c r="IS489" s="31"/>
      <c r="IT489" s="31"/>
      <c r="IU489" s="31"/>
      <c r="IV489" s="31"/>
      <c r="IW489" s="31"/>
      <c r="IX489" s="31"/>
      <c r="IY489" s="31"/>
      <c r="IZ489" s="31"/>
      <c r="JA489" s="31"/>
      <c r="JB489" s="31"/>
      <c r="JC489" s="31"/>
      <c r="JD489" s="31"/>
      <c r="JE489" s="31"/>
      <c r="JF489" s="31"/>
      <c r="JG489" s="31"/>
      <c r="JH489" s="31"/>
      <c r="JI489" s="31"/>
      <c r="JJ489" s="31"/>
      <c r="JK489" s="31"/>
      <c r="JL489" s="31"/>
      <c r="JM489" s="31"/>
      <c r="JN489" s="31"/>
      <c r="JO489" s="31"/>
      <c r="JP489" s="31"/>
      <c r="JQ489" s="31"/>
      <c r="JR489" s="31"/>
      <c r="JS489" s="31"/>
      <c r="JT489" s="31"/>
      <c r="JU489" s="31"/>
      <c r="JV489" s="31"/>
      <c r="JW489" s="31"/>
      <c r="JX489" s="31"/>
      <c r="JY489" s="31"/>
      <c r="JZ489" s="31"/>
      <c r="KA489" s="31"/>
      <c r="KB489" s="31"/>
      <c r="KC489" s="31"/>
      <c r="KD489" s="31"/>
      <c r="KE489" s="31"/>
      <c r="KF489" s="31"/>
      <c r="KG489" s="31"/>
      <c r="KH489" s="31"/>
      <c r="KI489" s="31"/>
      <c r="KJ489" s="31"/>
      <c r="KK489" s="31"/>
      <c r="KL489" s="31"/>
      <c r="KM489" s="31"/>
      <c r="KN489" s="31"/>
      <c r="KO489" s="31"/>
      <c r="KP489" s="31"/>
      <c r="KQ489" s="31"/>
      <c r="KR489" s="31"/>
      <c r="KS489" s="31"/>
      <c r="KT489" s="31"/>
      <c r="KU489" s="31"/>
      <c r="KV489" s="31"/>
      <c r="KW489" s="31"/>
      <c r="KX489" s="31"/>
      <c r="KY489" s="31"/>
      <c r="KZ489" s="31"/>
      <c r="LA489" s="31"/>
      <c r="LB489" s="31"/>
      <c r="LC489" s="31"/>
      <c r="LD489" s="31"/>
      <c r="LE489" s="31"/>
      <c r="LF489" s="31"/>
      <c r="LG489" s="31"/>
      <c r="LH489" s="31"/>
      <c r="LI489" s="31"/>
      <c r="LJ489" s="31"/>
      <c r="LK489" s="31"/>
      <c r="LL489" s="31"/>
      <c r="LM489" s="31"/>
      <c r="LN489" s="31"/>
      <c r="LO489" s="31"/>
      <c r="LP489" s="31"/>
      <c r="LQ489" s="31"/>
      <c r="LR489" s="31"/>
      <c r="LS489" s="31"/>
      <c r="LT489" s="31"/>
      <c r="LU489" s="31"/>
      <c r="LV489" s="31"/>
      <c r="LW489" s="31"/>
      <c r="LX489" s="31"/>
      <c r="LY489" s="31"/>
      <c r="LZ489" s="31"/>
      <c r="MA489" s="31"/>
      <c r="MB489" s="31"/>
      <c r="MC489" s="31"/>
      <c r="MD489" s="31"/>
      <c r="ME489" s="31"/>
      <c r="MF489" s="31"/>
      <c r="MG489" s="31"/>
      <c r="MH489" s="31"/>
      <c r="MI489" s="31"/>
      <c r="MJ489" s="31"/>
      <c r="MK489" s="31"/>
      <c r="ML489" s="31"/>
      <c r="MM489" s="31"/>
      <c r="MN489" s="31"/>
      <c r="MO489" s="31"/>
      <c r="MP489" s="31"/>
      <c r="MQ489" s="31"/>
      <c r="MR489" s="31"/>
      <c r="MS489" s="31"/>
      <c r="MT489" s="31"/>
      <c r="MU489" s="31"/>
      <c r="MV489" s="31"/>
      <c r="MW489" s="31"/>
      <c r="MX489" s="31"/>
      <c r="MY489" s="31"/>
      <c r="MZ489" s="31"/>
      <c r="NA489" s="31"/>
      <c r="NB489" s="31"/>
      <c r="NC489" s="31"/>
      <c r="ND489" s="31"/>
      <c r="NE489" s="31"/>
      <c r="NF489" s="31"/>
      <c r="NG489" s="31"/>
      <c r="NH489" s="31"/>
      <c r="NI489" s="31"/>
      <c r="NJ489" s="31"/>
      <c r="NK489" s="31"/>
      <c r="NL489" s="31"/>
      <c r="NM489" s="31"/>
      <c r="NN489" s="31"/>
      <c r="NO489" s="31"/>
      <c r="NP489" s="31"/>
      <c r="NQ489" s="31"/>
      <c r="NR489" s="31"/>
      <c r="NS489" s="31"/>
      <c r="NT489" s="31"/>
      <c r="NU489" s="31"/>
      <c r="NV489" s="31"/>
      <c r="NW489" s="31"/>
      <c r="NX489" s="31"/>
      <c r="NY489" s="31"/>
      <c r="NZ489" s="31"/>
      <c r="OA489" s="31"/>
      <c r="OB489" s="31"/>
      <c r="OC489" s="31"/>
      <c r="OD489" s="31"/>
      <c r="OE489" s="31"/>
      <c r="OF489" s="31"/>
      <c r="OG489" s="31"/>
      <c r="OH489" s="31"/>
      <c r="OI489" s="31"/>
      <c r="OJ489" s="31"/>
      <c r="OK489" s="31"/>
      <c r="OL489" s="31"/>
      <c r="OM489" s="31"/>
      <c r="ON489" s="31"/>
      <c r="OO489" s="31"/>
      <c r="OP489" s="31"/>
      <c r="OQ489" s="31"/>
      <c r="OR489" s="31"/>
      <c r="OS489" s="31"/>
      <c r="OT489" s="31"/>
      <c r="OU489" s="31"/>
      <c r="OV489" s="31"/>
      <c r="OW489" s="31"/>
      <c r="OX489" s="31"/>
    </row>
    <row r="490" spans="2:414" s="25" customFormat="1" ht="15.6">
      <c r="B490" s="51" t="s">
        <v>688</v>
      </c>
      <c r="C490" s="27" t="s">
        <v>146</v>
      </c>
      <c r="D490" s="30" t="s">
        <v>355</v>
      </c>
      <c r="G490" s="42">
        <v>80</v>
      </c>
      <c r="H490" s="89">
        <v>26.109000000000002</v>
      </c>
      <c r="I490" s="38">
        <f t="shared" si="150"/>
        <v>2088.7200000000003</v>
      </c>
      <c r="K490" s="42">
        <v>80</v>
      </c>
      <c r="L490" s="90">
        <v>26.849599999999999</v>
      </c>
      <c r="M490" s="38">
        <f t="shared" si="151"/>
        <v>2147.9679999999998</v>
      </c>
      <c r="O490" s="42">
        <v>505</v>
      </c>
      <c r="P490" s="38">
        <v>26.728300000000001</v>
      </c>
      <c r="Q490" s="38">
        <f t="shared" si="152"/>
        <v>13497.791500000001</v>
      </c>
      <c r="R490" s="43">
        <f t="shared" si="149"/>
        <v>665</v>
      </c>
      <c r="S490" s="38">
        <f t="shared" si="153"/>
        <v>17734.479500000001</v>
      </c>
      <c r="T490" s="27"/>
      <c r="V490" s="38">
        <f t="shared" si="161"/>
        <v>0</v>
      </c>
      <c r="W490" s="48">
        <v>505</v>
      </c>
      <c r="X490" s="48">
        <v>26.677399999999999</v>
      </c>
      <c r="Y490" s="42">
        <f t="shared" si="159"/>
        <v>13472.087</v>
      </c>
      <c r="AB490" s="42">
        <f t="shared" si="160"/>
        <v>0</v>
      </c>
      <c r="AF490" s="42">
        <f t="shared" si="162"/>
        <v>0</v>
      </c>
      <c r="AU490" s="98"/>
      <c r="AV490" s="35"/>
      <c r="AW490" s="77"/>
      <c r="AZ490" s="42">
        <f t="shared" si="148"/>
        <v>0</v>
      </c>
      <c r="BD490" s="38">
        <f t="shared" si="154"/>
        <v>0</v>
      </c>
      <c r="BH490" s="38">
        <f t="shared" si="155"/>
        <v>0</v>
      </c>
      <c r="BL490" s="38">
        <f t="shared" si="156"/>
        <v>0</v>
      </c>
      <c r="BR490" s="42">
        <f t="shared" si="157"/>
        <v>13472.087</v>
      </c>
      <c r="BS490" s="43">
        <f t="shared" si="158"/>
        <v>4262.3925000000017</v>
      </c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  <c r="CF490" s="31"/>
      <c r="CG490" s="31"/>
      <c r="CH490" s="31"/>
      <c r="CI490" s="31"/>
      <c r="CJ490" s="31"/>
      <c r="CK490" s="31"/>
      <c r="CL490" s="31"/>
      <c r="CM490" s="31"/>
      <c r="CN490" s="31"/>
      <c r="CO490" s="31"/>
      <c r="CP490" s="31"/>
      <c r="CQ490" s="31"/>
      <c r="CR490" s="31"/>
      <c r="CS490" s="31"/>
      <c r="CT490" s="31"/>
      <c r="CU490" s="31"/>
      <c r="CV490" s="31"/>
      <c r="CW490" s="31"/>
      <c r="CX490" s="31"/>
      <c r="CY490" s="31"/>
      <c r="CZ490" s="31"/>
      <c r="DA490" s="31"/>
      <c r="DB490" s="31"/>
      <c r="DC490" s="31"/>
      <c r="DD490" s="31"/>
      <c r="DE490" s="31"/>
      <c r="DF490" s="31"/>
      <c r="DG490" s="31"/>
      <c r="DH490" s="31"/>
      <c r="DI490" s="31"/>
      <c r="DJ490" s="31"/>
      <c r="DK490" s="31"/>
      <c r="DL490" s="31"/>
      <c r="DM490" s="31"/>
      <c r="DN490" s="31"/>
      <c r="DO490" s="31"/>
      <c r="DP490" s="31"/>
      <c r="DQ490" s="31"/>
      <c r="DR490" s="31"/>
      <c r="DS490" s="31"/>
      <c r="DT490" s="31"/>
      <c r="DU490" s="31"/>
      <c r="DV490" s="31"/>
      <c r="DW490" s="31"/>
      <c r="DX490" s="31"/>
      <c r="DY490" s="31"/>
      <c r="DZ490" s="31"/>
      <c r="EA490" s="31"/>
      <c r="EB490" s="31"/>
      <c r="EC490" s="31"/>
      <c r="ED490" s="31"/>
      <c r="EE490" s="31"/>
      <c r="EF490" s="31"/>
      <c r="EG490" s="31"/>
      <c r="EH490" s="31"/>
      <c r="EI490" s="31"/>
      <c r="EJ490" s="31"/>
      <c r="EK490" s="31"/>
      <c r="EL490" s="31"/>
      <c r="EM490" s="31"/>
      <c r="EN490" s="31"/>
      <c r="EO490" s="31"/>
      <c r="EP490" s="31"/>
      <c r="EQ490" s="31"/>
      <c r="ER490" s="31"/>
      <c r="ES490" s="31"/>
      <c r="ET490" s="31"/>
      <c r="EU490" s="31"/>
      <c r="EV490" s="31"/>
      <c r="EW490" s="31"/>
      <c r="EX490" s="31"/>
      <c r="EY490" s="31"/>
      <c r="EZ490" s="31"/>
      <c r="FA490" s="31"/>
      <c r="FB490" s="31"/>
      <c r="FC490" s="31"/>
      <c r="FD490" s="31"/>
      <c r="FE490" s="31"/>
      <c r="FF490" s="31"/>
      <c r="FG490" s="31"/>
      <c r="FH490" s="31"/>
      <c r="FI490" s="31"/>
      <c r="FJ490" s="31"/>
      <c r="FK490" s="31"/>
      <c r="FL490" s="31"/>
      <c r="FM490" s="31"/>
      <c r="FN490" s="31"/>
      <c r="FO490" s="31"/>
      <c r="FP490" s="31"/>
      <c r="FQ490" s="31"/>
      <c r="FR490" s="31"/>
      <c r="FS490" s="31"/>
      <c r="FT490" s="31"/>
      <c r="FU490" s="31"/>
      <c r="FV490" s="31"/>
      <c r="FW490" s="31"/>
      <c r="FX490" s="31"/>
      <c r="FY490" s="31"/>
      <c r="FZ490" s="31"/>
      <c r="GA490" s="31"/>
      <c r="GB490" s="31"/>
      <c r="GC490" s="31"/>
      <c r="GD490" s="31"/>
      <c r="GE490" s="31"/>
      <c r="GF490" s="31"/>
      <c r="GG490" s="31"/>
      <c r="GH490" s="31"/>
      <c r="GI490" s="31"/>
      <c r="GJ490" s="31"/>
      <c r="GK490" s="31"/>
      <c r="GL490" s="31"/>
      <c r="GM490" s="31"/>
      <c r="GN490" s="31"/>
      <c r="GO490" s="31"/>
      <c r="GP490" s="31"/>
      <c r="GQ490" s="31"/>
      <c r="GR490" s="31"/>
      <c r="GS490" s="31"/>
      <c r="GT490" s="31"/>
      <c r="GU490" s="31"/>
      <c r="GV490" s="31"/>
      <c r="GW490" s="31"/>
      <c r="GX490" s="31"/>
      <c r="GY490" s="31"/>
      <c r="GZ490" s="31"/>
      <c r="HA490" s="31"/>
      <c r="HB490" s="31"/>
      <c r="HC490" s="31"/>
      <c r="HD490" s="31"/>
      <c r="HE490" s="31"/>
      <c r="HF490" s="31"/>
      <c r="HG490" s="31"/>
      <c r="HH490" s="31"/>
      <c r="HI490" s="31"/>
      <c r="HJ490" s="31"/>
      <c r="HK490" s="31"/>
      <c r="HL490" s="31"/>
      <c r="HM490" s="31"/>
      <c r="HN490" s="31"/>
      <c r="HO490" s="31"/>
      <c r="HP490" s="31"/>
      <c r="HQ490" s="31"/>
      <c r="HR490" s="31"/>
      <c r="HS490" s="31"/>
      <c r="HT490" s="31"/>
      <c r="HU490" s="31"/>
      <c r="HV490" s="31"/>
      <c r="HW490" s="31"/>
      <c r="HX490" s="31"/>
      <c r="HY490" s="31"/>
      <c r="HZ490" s="31"/>
      <c r="IA490" s="31"/>
      <c r="IB490" s="31"/>
      <c r="IC490" s="31"/>
      <c r="ID490" s="31"/>
      <c r="IE490" s="31"/>
      <c r="IF490" s="31"/>
      <c r="IG490" s="31"/>
      <c r="IH490" s="31"/>
      <c r="II490" s="31"/>
      <c r="IJ490" s="31"/>
      <c r="IK490" s="31"/>
      <c r="IL490" s="31"/>
      <c r="IM490" s="31"/>
      <c r="IN490" s="31"/>
      <c r="IO490" s="31"/>
      <c r="IP490" s="31"/>
      <c r="IQ490" s="31"/>
      <c r="IR490" s="31"/>
      <c r="IS490" s="31"/>
      <c r="IT490" s="31"/>
      <c r="IU490" s="31"/>
      <c r="IV490" s="31"/>
      <c r="IW490" s="31"/>
      <c r="IX490" s="31"/>
      <c r="IY490" s="31"/>
      <c r="IZ490" s="31"/>
      <c r="JA490" s="31"/>
      <c r="JB490" s="31"/>
      <c r="JC490" s="31"/>
      <c r="JD490" s="31"/>
      <c r="JE490" s="31"/>
      <c r="JF490" s="31"/>
      <c r="JG490" s="31"/>
      <c r="JH490" s="31"/>
      <c r="JI490" s="31"/>
      <c r="JJ490" s="31"/>
      <c r="JK490" s="31"/>
      <c r="JL490" s="31"/>
      <c r="JM490" s="31"/>
      <c r="JN490" s="31"/>
      <c r="JO490" s="31"/>
      <c r="JP490" s="31"/>
      <c r="JQ490" s="31"/>
      <c r="JR490" s="31"/>
      <c r="JS490" s="31"/>
      <c r="JT490" s="31"/>
      <c r="JU490" s="31"/>
      <c r="JV490" s="31"/>
      <c r="JW490" s="31"/>
      <c r="JX490" s="31"/>
      <c r="JY490" s="31"/>
      <c r="JZ490" s="31"/>
      <c r="KA490" s="31"/>
      <c r="KB490" s="31"/>
      <c r="KC490" s="31"/>
      <c r="KD490" s="31"/>
      <c r="KE490" s="31"/>
      <c r="KF490" s="31"/>
      <c r="KG490" s="31"/>
      <c r="KH490" s="31"/>
      <c r="KI490" s="31"/>
      <c r="KJ490" s="31"/>
      <c r="KK490" s="31"/>
      <c r="KL490" s="31"/>
      <c r="KM490" s="31"/>
      <c r="KN490" s="31"/>
      <c r="KO490" s="31"/>
      <c r="KP490" s="31"/>
      <c r="KQ490" s="31"/>
      <c r="KR490" s="31"/>
      <c r="KS490" s="31"/>
      <c r="KT490" s="31"/>
      <c r="KU490" s="31"/>
      <c r="KV490" s="31"/>
      <c r="KW490" s="31"/>
      <c r="KX490" s="31"/>
      <c r="KY490" s="31"/>
      <c r="KZ490" s="31"/>
      <c r="LA490" s="31"/>
      <c r="LB490" s="31"/>
      <c r="LC490" s="31"/>
      <c r="LD490" s="31"/>
      <c r="LE490" s="31"/>
      <c r="LF490" s="31"/>
      <c r="LG490" s="31"/>
      <c r="LH490" s="31"/>
      <c r="LI490" s="31"/>
      <c r="LJ490" s="31"/>
      <c r="LK490" s="31"/>
      <c r="LL490" s="31"/>
      <c r="LM490" s="31"/>
      <c r="LN490" s="31"/>
      <c r="LO490" s="31"/>
      <c r="LP490" s="31"/>
      <c r="LQ490" s="31"/>
      <c r="LR490" s="31"/>
      <c r="LS490" s="31"/>
      <c r="LT490" s="31"/>
      <c r="LU490" s="31"/>
      <c r="LV490" s="31"/>
      <c r="LW490" s="31"/>
      <c r="LX490" s="31"/>
      <c r="LY490" s="31"/>
      <c r="LZ490" s="31"/>
      <c r="MA490" s="31"/>
      <c r="MB490" s="31"/>
      <c r="MC490" s="31"/>
      <c r="MD490" s="31"/>
      <c r="ME490" s="31"/>
      <c r="MF490" s="31"/>
      <c r="MG490" s="31"/>
      <c r="MH490" s="31"/>
      <c r="MI490" s="31"/>
      <c r="MJ490" s="31"/>
      <c r="MK490" s="31"/>
      <c r="ML490" s="31"/>
      <c r="MM490" s="31"/>
      <c r="MN490" s="31"/>
      <c r="MO490" s="31"/>
      <c r="MP490" s="31"/>
      <c r="MQ490" s="31"/>
      <c r="MR490" s="31"/>
      <c r="MS490" s="31"/>
      <c r="MT490" s="31"/>
      <c r="MU490" s="31"/>
      <c r="MV490" s="31"/>
      <c r="MW490" s="31"/>
      <c r="MX490" s="31"/>
      <c r="MY490" s="31"/>
      <c r="MZ490" s="31"/>
      <c r="NA490" s="31"/>
      <c r="NB490" s="31"/>
      <c r="NC490" s="31"/>
      <c r="ND490" s="31"/>
      <c r="NE490" s="31"/>
      <c r="NF490" s="31"/>
      <c r="NG490" s="31"/>
      <c r="NH490" s="31"/>
      <c r="NI490" s="31"/>
      <c r="NJ490" s="31"/>
      <c r="NK490" s="31"/>
      <c r="NL490" s="31"/>
      <c r="NM490" s="31"/>
      <c r="NN490" s="31"/>
      <c r="NO490" s="31"/>
      <c r="NP490" s="31"/>
      <c r="NQ490" s="31"/>
      <c r="NR490" s="31"/>
      <c r="NS490" s="31"/>
      <c r="NT490" s="31"/>
      <c r="NU490" s="31"/>
      <c r="NV490" s="31"/>
      <c r="NW490" s="31"/>
      <c r="NX490" s="31"/>
      <c r="NY490" s="31"/>
      <c r="NZ490" s="31"/>
      <c r="OA490" s="31"/>
      <c r="OB490" s="31"/>
      <c r="OC490" s="31"/>
      <c r="OD490" s="31"/>
      <c r="OE490" s="31"/>
      <c r="OF490" s="31"/>
      <c r="OG490" s="31"/>
      <c r="OH490" s="31"/>
      <c r="OI490" s="31"/>
      <c r="OJ490" s="31"/>
      <c r="OK490" s="31"/>
      <c r="OL490" s="31"/>
      <c r="OM490" s="31"/>
      <c r="ON490" s="31"/>
      <c r="OO490" s="31"/>
      <c r="OP490" s="31"/>
      <c r="OQ490" s="31"/>
      <c r="OR490" s="31"/>
      <c r="OS490" s="31"/>
      <c r="OT490" s="31"/>
      <c r="OU490" s="31"/>
      <c r="OV490" s="31"/>
      <c r="OW490" s="31"/>
      <c r="OX490" s="31"/>
    </row>
    <row r="491" spans="2:414" s="25" customFormat="1" ht="15.6">
      <c r="B491" s="51" t="s">
        <v>747</v>
      </c>
      <c r="C491" s="27" t="s">
        <v>746</v>
      </c>
      <c r="D491" s="30" t="s">
        <v>355</v>
      </c>
      <c r="G491" s="42">
        <v>80</v>
      </c>
      <c r="H491" s="89">
        <v>26.109000000000002</v>
      </c>
      <c r="I491" s="38">
        <f t="shared" si="150"/>
        <v>2088.7200000000003</v>
      </c>
      <c r="K491" s="42">
        <v>80</v>
      </c>
      <c r="L491" s="90">
        <v>26.849599999999999</v>
      </c>
      <c r="M491" s="38">
        <f t="shared" si="151"/>
        <v>2147.9679999999998</v>
      </c>
      <c r="O491" s="42">
        <v>505</v>
      </c>
      <c r="P491" s="38">
        <v>26.728300000000001</v>
      </c>
      <c r="Q491" s="38">
        <f t="shared" si="152"/>
        <v>13497.791500000001</v>
      </c>
      <c r="R491" s="43">
        <f t="shared" si="149"/>
        <v>665</v>
      </c>
      <c r="S491" s="38">
        <f t="shared" si="153"/>
        <v>17734.479500000001</v>
      </c>
      <c r="T491" s="52">
        <v>240</v>
      </c>
      <c r="U491" s="48">
        <v>26.67</v>
      </c>
      <c r="V491" s="38">
        <f t="shared" si="161"/>
        <v>6400.8</v>
      </c>
      <c r="W491" s="48">
        <v>20</v>
      </c>
      <c r="X491" s="48">
        <v>26.68</v>
      </c>
      <c r="Y491" s="42">
        <f t="shared" si="159"/>
        <v>533.6</v>
      </c>
      <c r="AB491" s="42">
        <f t="shared" si="160"/>
        <v>0</v>
      </c>
      <c r="AF491" s="42">
        <f t="shared" si="162"/>
        <v>0</v>
      </c>
      <c r="AU491" s="98"/>
      <c r="AV491" s="35"/>
      <c r="AW491" s="77"/>
      <c r="AZ491" s="42">
        <f t="shared" si="148"/>
        <v>0</v>
      </c>
      <c r="BD491" s="38">
        <f t="shared" si="154"/>
        <v>0</v>
      </c>
      <c r="BH491" s="38">
        <f t="shared" si="155"/>
        <v>0</v>
      </c>
      <c r="BL491" s="38">
        <f t="shared" si="156"/>
        <v>0</v>
      </c>
      <c r="BR491" s="42">
        <f t="shared" si="157"/>
        <v>6934.4000000000005</v>
      </c>
      <c r="BS491" s="43">
        <f t="shared" si="158"/>
        <v>10800.0795</v>
      </c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  <c r="CF491" s="31"/>
      <c r="CG491" s="31"/>
      <c r="CH491" s="31"/>
      <c r="CI491" s="31"/>
      <c r="CJ491" s="31"/>
      <c r="CK491" s="31"/>
      <c r="CL491" s="31"/>
      <c r="CM491" s="31"/>
      <c r="CN491" s="31"/>
      <c r="CO491" s="31"/>
      <c r="CP491" s="31"/>
      <c r="CQ491" s="31"/>
      <c r="CR491" s="31"/>
      <c r="CS491" s="31"/>
      <c r="CT491" s="31"/>
      <c r="CU491" s="31"/>
      <c r="CV491" s="31"/>
      <c r="CW491" s="31"/>
      <c r="CX491" s="31"/>
      <c r="CY491" s="31"/>
      <c r="CZ491" s="31"/>
      <c r="DA491" s="31"/>
      <c r="DB491" s="31"/>
      <c r="DC491" s="31"/>
      <c r="DD491" s="31"/>
      <c r="DE491" s="31"/>
      <c r="DF491" s="31"/>
      <c r="DG491" s="31"/>
      <c r="DH491" s="31"/>
      <c r="DI491" s="31"/>
      <c r="DJ491" s="31"/>
      <c r="DK491" s="31"/>
      <c r="DL491" s="31"/>
      <c r="DM491" s="31"/>
      <c r="DN491" s="31"/>
      <c r="DO491" s="31"/>
      <c r="DP491" s="31"/>
      <c r="DQ491" s="31"/>
      <c r="DR491" s="31"/>
      <c r="DS491" s="31"/>
      <c r="DT491" s="31"/>
      <c r="DU491" s="31"/>
      <c r="DV491" s="31"/>
      <c r="DW491" s="31"/>
      <c r="DX491" s="31"/>
      <c r="DY491" s="31"/>
      <c r="DZ491" s="31"/>
      <c r="EA491" s="31"/>
      <c r="EB491" s="31"/>
      <c r="EC491" s="31"/>
      <c r="ED491" s="31"/>
      <c r="EE491" s="31"/>
      <c r="EF491" s="31"/>
      <c r="EG491" s="31"/>
      <c r="EH491" s="31"/>
      <c r="EI491" s="31"/>
      <c r="EJ491" s="31"/>
      <c r="EK491" s="31"/>
      <c r="EL491" s="31"/>
      <c r="EM491" s="31"/>
      <c r="EN491" s="31"/>
      <c r="EO491" s="31"/>
      <c r="EP491" s="31"/>
      <c r="EQ491" s="31"/>
      <c r="ER491" s="31"/>
      <c r="ES491" s="31"/>
      <c r="ET491" s="31"/>
      <c r="EU491" s="31"/>
      <c r="EV491" s="31"/>
      <c r="EW491" s="31"/>
      <c r="EX491" s="31"/>
      <c r="EY491" s="31"/>
      <c r="EZ491" s="31"/>
      <c r="FA491" s="31"/>
      <c r="FB491" s="31"/>
      <c r="FC491" s="31"/>
      <c r="FD491" s="31"/>
      <c r="FE491" s="31"/>
      <c r="FF491" s="31"/>
      <c r="FG491" s="31"/>
      <c r="FH491" s="31"/>
      <c r="FI491" s="31"/>
      <c r="FJ491" s="31"/>
      <c r="FK491" s="31"/>
      <c r="FL491" s="31"/>
      <c r="FM491" s="31"/>
      <c r="FN491" s="31"/>
      <c r="FO491" s="31"/>
      <c r="FP491" s="31"/>
      <c r="FQ491" s="31"/>
      <c r="FR491" s="31"/>
      <c r="FS491" s="31"/>
      <c r="FT491" s="31"/>
      <c r="FU491" s="31"/>
      <c r="FV491" s="31"/>
      <c r="FW491" s="31"/>
      <c r="FX491" s="31"/>
      <c r="FY491" s="31"/>
      <c r="FZ491" s="31"/>
      <c r="GA491" s="31"/>
      <c r="GB491" s="31"/>
      <c r="GC491" s="31"/>
      <c r="GD491" s="31"/>
      <c r="GE491" s="31"/>
      <c r="GF491" s="31"/>
      <c r="GG491" s="31"/>
      <c r="GH491" s="31"/>
      <c r="GI491" s="31"/>
      <c r="GJ491" s="31"/>
      <c r="GK491" s="31"/>
      <c r="GL491" s="31"/>
      <c r="GM491" s="31"/>
      <c r="GN491" s="31"/>
      <c r="GO491" s="31"/>
      <c r="GP491" s="31"/>
      <c r="GQ491" s="31"/>
      <c r="GR491" s="31"/>
      <c r="GS491" s="31"/>
      <c r="GT491" s="31"/>
      <c r="GU491" s="31"/>
      <c r="GV491" s="31"/>
      <c r="GW491" s="31"/>
      <c r="GX491" s="31"/>
      <c r="GY491" s="31"/>
      <c r="GZ491" s="31"/>
      <c r="HA491" s="31"/>
      <c r="HB491" s="31"/>
      <c r="HC491" s="31"/>
      <c r="HD491" s="31"/>
      <c r="HE491" s="31"/>
      <c r="HF491" s="31"/>
      <c r="HG491" s="31"/>
      <c r="HH491" s="31"/>
      <c r="HI491" s="31"/>
      <c r="HJ491" s="31"/>
      <c r="HK491" s="31"/>
      <c r="HL491" s="31"/>
      <c r="HM491" s="31"/>
      <c r="HN491" s="31"/>
      <c r="HO491" s="31"/>
      <c r="HP491" s="31"/>
      <c r="HQ491" s="31"/>
      <c r="HR491" s="31"/>
      <c r="HS491" s="31"/>
      <c r="HT491" s="31"/>
      <c r="HU491" s="31"/>
      <c r="HV491" s="31"/>
      <c r="HW491" s="31"/>
      <c r="HX491" s="31"/>
      <c r="HY491" s="31"/>
      <c r="HZ491" s="31"/>
      <c r="IA491" s="31"/>
      <c r="IB491" s="31"/>
      <c r="IC491" s="31"/>
      <c r="ID491" s="31"/>
      <c r="IE491" s="31"/>
      <c r="IF491" s="31"/>
      <c r="IG491" s="31"/>
      <c r="IH491" s="31"/>
      <c r="II491" s="31"/>
      <c r="IJ491" s="31"/>
      <c r="IK491" s="31"/>
      <c r="IL491" s="31"/>
      <c r="IM491" s="31"/>
      <c r="IN491" s="31"/>
      <c r="IO491" s="31"/>
      <c r="IP491" s="31"/>
      <c r="IQ491" s="31"/>
      <c r="IR491" s="31"/>
      <c r="IS491" s="31"/>
      <c r="IT491" s="31"/>
      <c r="IU491" s="31"/>
      <c r="IV491" s="31"/>
      <c r="IW491" s="31"/>
      <c r="IX491" s="31"/>
      <c r="IY491" s="31"/>
      <c r="IZ491" s="31"/>
      <c r="JA491" s="31"/>
      <c r="JB491" s="31"/>
      <c r="JC491" s="31"/>
      <c r="JD491" s="31"/>
      <c r="JE491" s="31"/>
      <c r="JF491" s="31"/>
      <c r="JG491" s="31"/>
      <c r="JH491" s="31"/>
      <c r="JI491" s="31"/>
      <c r="JJ491" s="31"/>
      <c r="JK491" s="31"/>
      <c r="JL491" s="31"/>
      <c r="JM491" s="31"/>
      <c r="JN491" s="31"/>
      <c r="JO491" s="31"/>
      <c r="JP491" s="31"/>
      <c r="JQ491" s="31"/>
      <c r="JR491" s="31"/>
      <c r="JS491" s="31"/>
      <c r="JT491" s="31"/>
      <c r="JU491" s="31"/>
      <c r="JV491" s="31"/>
      <c r="JW491" s="31"/>
      <c r="JX491" s="31"/>
      <c r="JY491" s="31"/>
      <c r="JZ491" s="31"/>
      <c r="KA491" s="31"/>
      <c r="KB491" s="31"/>
      <c r="KC491" s="31"/>
      <c r="KD491" s="31"/>
      <c r="KE491" s="31"/>
      <c r="KF491" s="31"/>
      <c r="KG491" s="31"/>
      <c r="KH491" s="31"/>
      <c r="KI491" s="31"/>
      <c r="KJ491" s="31"/>
      <c r="KK491" s="31"/>
      <c r="KL491" s="31"/>
      <c r="KM491" s="31"/>
      <c r="KN491" s="31"/>
      <c r="KO491" s="31"/>
      <c r="KP491" s="31"/>
      <c r="KQ491" s="31"/>
      <c r="KR491" s="31"/>
      <c r="KS491" s="31"/>
      <c r="KT491" s="31"/>
      <c r="KU491" s="31"/>
      <c r="KV491" s="31"/>
      <c r="KW491" s="31"/>
      <c r="KX491" s="31"/>
      <c r="KY491" s="31"/>
      <c r="KZ491" s="31"/>
      <c r="LA491" s="31"/>
      <c r="LB491" s="31"/>
      <c r="LC491" s="31"/>
      <c r="LD491" s="31"/>
      <c r="LE491" s="31"/>
      <c r="LF491" s="31"/>
      <c r="LG491" s="31"/>
      <c r="LH491" s="31"/>
      <c r="LI491" s="31"/>
      <c r="LJ491" s="31"/>
      <c r="LK491" s="31"/>
      <c r="LL491" s="31"/>
      <c r="LM491" s="31"/>
      <c r="LN491" s="31"/>
      <c r="LO491" s="31"/>
      <c r="LP491" s="31"/>
      <c r="LQ491" s="31"/>
      <c r="LR491" s="31"/>
      <c r="LS491" s="31"/>
      <c r="LT491" s="31"/>
      <c r="LU491" s="31"/>
      <c r="LV491" s="31"/>
      <c r="LW491" s="31"/>
      <c r="LX491" s="31"/>
      <c r="LY491" s="31"/>
      <c r="LZ491" s="31"/>
      <c r="MA491" s="31"/>
      <c r="MB491" s="31"/>
      <c r="MC491" s="31"/>
      <c r="MD491" s="31"/>
      <c r="ME491" s="31"/>
      <c r="MF491" s="31"/>
      <c r="MG491" s="31"/>
      <c r="MH491" s="31"/>
      <c r="MI491" s="31"/>
      <c r="MJ491" s="31"/>
      <c r="MK491" s="31"/>
      <c r="ML491" s="31"/>
      <c r="MM491" s="31"/>
      <c r="MN491" s="31"/>
      <c r="MO491" s="31"/>
      <c r="MP491" s="31"/>
      <c r="MQ491" s="31"/>
      <c r="MR491" s="31"/>
      <c r="MS491" s="31"/>
      <c r="MT491" s="31"/>
      <c r="MU491" s="31"/>
      <c r="MV491" s="31"/>
      <c r="MW491" s="31"/>
      <c r="MX491" s="31"/>
      <c r="MY491" s="31"/>
      <c r="MZ491" s="31"/>
      <c r="NA491" s="31"/>
      <c r="NB491" s="31"/>
      <c r="NC491" s="31"/>
      <c r="ND491" s="31"/>
      <c r="NE491" s="31"/>
      <c r="NF491" s="31"/>
      <c r="NG491" s="31"/>
      <c r="NH491" s="31"/>
      <c r="NI491" s="31"/>
      <c r="NJ491" s="31"/>
      <c r="NK491" s="31"/>
      <c r="NL491" s="31"/>
      <c r="NM491" s="31"/>
      <c r="NN491" s="31"/>
      <c r="NO491" s="31"/>
      <c r="NP491" s="31"/>
      <c r="NQ491" s="31"/>
      <c r="NR491" s="31"/>
      <c r="NS491" s="31"/>
      <c r="NT491" s="31"/>
      <c r="NU491" s="31"/>
      <c r="NV491" s="31"/>
      <c r="NW491" s="31"/>
      <c r="NX491" s="31"/>
      <c r="NY491" s="31"/>
      <c r="NZ491" s="31"/>
      <c r="OA491" s="31"/>
      <c r="OB491" s="31"/>
      <c r="OC491" s="31"/>
      <c r="OD491" s="31"/>
      <c r="OE491" s="31"/>
      <c r="OF491" s="31"/>
      <c r="OG491" s="31"/>
      <c r="OH491" s="31"/>
      <c r="OI491" s="31"/>
      <c r="OJ491" s="31"/>
      <c r="OK491" s="31"/>
      <c r="OL491" s="31"/>
      <c r="OM491" s="31"/>
      <c r="ON491" s="31"/>
      <c r="OO491" s="31"/>
      <c r="OP491" s="31"/>
      <c r="OQ491" s="31"/>
      <c r="OR491" s="31"/>
      <c r="OS491" s="31"/>
      <c r="OT491" s="31"/>
      <c r="OU491" s="31"/>
      <c r="OV491" s="31"/>
      <c r="OW491" s="31"/>
      <c r="OX491" s="31"/>
    </row>
    <row r="492" spans="2:414" s="25" customFormat="1" ht="15.6">
      <c r="B492" s="51" t="s">
        <v>1026</v>
      </c>
      <c r="C492" s="27" t="s">
        <v>148</v>
      </c>
      <c r="D492" s="30" t="s">
        <v>355</v>
      </c>
      <c r="G492" s="42">
        <v>80</v>
      </c>
      <c r="H492" s="89">
        <v>26.109000000000002</v>
      </c>
      <c r="I492" s="38">
        <f t="shared" si="150"/>
        <v>2088.7200000000003</v>
      </c>
      <c r="K492" s="42">
        <v>80</v>
      </c>
      <c r="L492" s="90">
        <v>26.849599999999999</v>
      </c>
      <c r="M492" s="38">
        <f t="shared" si="151"/>
        <v>2147.9679999999998</v>
      </c>
      <c r="O492" s="42">
        <v>505</v>
      </c>
      <c r="P492" s="38">
        <v>26.728300000000001</v>
      </c>
      <c r="Q492" s="38">
        <f t="shared" si="152"/>
        <v>13497.791500000001</v>
      </c>
      <c r="R492" s="43">
        <f t="shared" si="149"/>
        <v>665</v>
      </c>
      <c r="S492" s="38">
        <f t="shared" si="153"/>
        <v>17734.479500000001</v>
      </c>
      <c r="T492" s="52">
        <v>240</v>
      </c>
      <c r="U492" s="48">
        <v>26.67</v>
      </c>
      <c r="V492" s="38">
        <f t="shared" si="161"/>
        <v>6400.8</v>
      </c>
      <c r="W492" s="48">
        <v>505</v>
      </c>
      <c r="X492" s="48">
        <v>26.68</v>
      </c>
      <c r="Y492" s="42">
        <f t="shared" si="159"/>
        <v>13473.4</v>
      </c>
      <c r="AB492" s="42">
        <f t="shared" si="160"/>
        <v>0</v>
      </c>
      <c r="AF492" s="42">
        <f t="shared" si="162"/>
        <v>0</v>
      </c>
      <c r="AU492" s="98"/>
      <c r="AV492" s="35"/>
      <c r="AW492" s="77"/>
      <c r="AZ492" s="42">
        <f t="shared" si="148"/>
        <v>0</v>
      </c>
      <c r="BD492" s="38">
        <f t="shared" si="154"/>
        <v>0</v>
      </c>
      <c r="BH492" s="38">
        <f t="shared" si="155"/>
        <v>0</v>
      </c>
      <c r="BL492" s="38">
        <f t="shared" si="156"/>
        <v>0</v>
      </c>
      <c r="BR492" s="42">
        <f t="shared" si="157"/>
        <v>19874.2</v>
      </c>
      <c r="BS492" s="43"/>
      <c r="BT492" s="25">
        <v>2139.7199999999998</v>
      </c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  <c r="CF492" s="31"/>
      <c r="CG492" s="31"/>
      <c r="CH492" s="31"/>
      <c r="CI492" s="31"/>
      <c r="CJ492" s="31"/>
      <c r="CK492" s="31"/>
      <c r="CL492" s="31"/>
      <c r="CM492" s="31"/>
      <c r="CN492" s="31"/>
      <c r="CO492" s="31"/>
      <c r="CP492" s="31"/>
      <c r="CQ492" s="31"/>
      <c r="CR492" s="31"/>
      <c r="CS492" s="31"/>
      <c r="CT492" s="31"/>
      <c r="CU492" s="31"/>
      <c r="CV492" s="31"/>
      <c r="CW492" s="31"/>
      <c r="CX492" s="31"/>
      <c r="CY492" s="31"/>
      <c r="CZ492" s="31"/>
      <c r="DA492" s="31"/>
      <c r="DB492" s="31"/>
      <c r="DC492" s="31"/>
      <c r="DD492" s="31"/>
      <c r="DE492" s="31"/>
      <c r="DF492" s="31"/>
      <c r="DG492" s="31"/>
      <c r="DH492" s="31"/>
      <c r="DI492" s="31"/>
      <c r="DJ492" s="31"/>
      <c r="DK492" s="31"/>
      <c r="DL492" s="31"/>
      <c r="DM492" s="31"/>
      <c r="DN492" s="31"/>
      <c r="DO492" s="31"/>
      <c r="DP492" s="31"/>
      <c r="DQ492" s="31"/>
      <c r="DR492" s="31"/>
      <c r="DS492" s="31"/>
      <c r="DT492" s="31"/>
      <c r="DU492" s="31"/>
      <c r="DV492" s="31"/>
      <c r="DW492" s="31"/>
      <c r="DX492" s="31"/>
      <c r="DY492" s="31"/>
      <c r="DZ492" s="31"/>
      <c r="EA492" s="31"/>
      <c r="EB492" s="31"/>
      <c r="EC492" s="31"/>
      <c r="ED492" s="31"/>
      <c r="EE492" s="31"/>
      <c r="EF492" s="31"/>
      <c r="EG492" s="31"/>
      <c r="EH492" s="31"/>
      <c r="EI492" s="31"/>
      <c r="EJ492" s="31"/>
      <c r="EK492" s="31"/>
      <c r="EL492" s="31"/>
      <c r="EM492" s="31"/>
      <c r="EN492" s="31"/>
      <c r="EO492" s="31"/>
      <c r="EP492" s="31"/>
      <c r="EQ492" s="31"/>
      <c r="ER492" s="31"/>
      <c r="ES492" s="31"/>
      <c r="ET492" s="31"/>
      <c r="EU492" s="31"/>
      <c r="EV492" s="31"/>
      <c r="EW492" s="31"/>
      <c r="EX492" s="31"/>
      <c r="EY492" s="31"/>
      <c r="EZ492" s="31"/>
      <c r="FA492" s="31"/>
      <c r="FB492" s="31"/>
      <c r="FC492" s="31"/>
      <c r="FD492" s="31"/>
      <c r="FE492" s="31"/>
      <c r="FF492" s="31"/>
      <c r="FG492" s="31"/>
      <c r="FH492" s="31"/>
      <c r="FI492" s="31"/>
      <c r="FJ492" s="31"/>
      <c r="FK492" s="31"/>
      <c r="FL492" s="31"/>
      <c r="FM492" s="31"/>
      <c r="FN492" s="31"/>
      <c r="FO492" s="31"/>
      <c r="FP492" s="31"/>
      <c r="FQ492" s="31"/>
      <c r="FR492" s="31"/>
      <c r="FS492" s="31"/>
      <c r="FT492" s="31"/>
      <c r="FU492" s="31"/>
      <c r="FV492" s="31"/>
      <c r="FW492" s="31"/>
      <c r="FX492" s="31"/>
      <c r="FY492" s="31"/>
      <c r="FZ492" s="31"/>
      <c r="GA492" s="31"/>
      <c r="GB492" s="31"/>
      <c r="GC492" s="31"/>
      <c r="GD492" s="31"/>
      <c r="GE492" s="31"/>
      <c r="GF492" s="31"/>
      <c r="GG492" s="31"/>
      <c r="GH492" s="31"/>
      <c r="GI492" s="31"/>
      <c r="GJ492" s="31"/>
      <c r="GK492" s="31"/>
      <c r="GL492" s="31"/>
      <c r="GM492" s="31"/>
      <c r="GN492" s="31"/>
      <c r="GO492" s="31"/>
      <c r="GP492" s="31"/>
      <c r="GQ492" s="31"/>
      <c r="GR492" s="31"/>
      <c r="GS492" s="31"/>
      <c r="GT492" s="31"/>
      <c r="GU492" s="31"/>
      <c r="GV492" s="31"/>
      <c r="GW492" s="31"/>
      <c r="GX492" s="31"/>
      <c r="GY492" s="31"/>
      <c r="GZ492" s="31"/>
      <c r="HA492" s="31"/>
      <c r="HB492" s="31"/>
      <c r="HC492" s="31"/>
      <c r="HD492" s="31"/>
      <c r="HE492" s="31"/>
      <c r="HF492" s="31"/>
      <c r="HG492" s="31"/>
      <c r="HH492" s="31"/>
      <c r="HI492" s="31"/>
      <c r="HJ492" s="31"/>
      <c r="HK492" s="31"/>
      <c r="HL492" s="31"/>
      <c r="HM492" s="31"/>
      <c r="HN492" s="31"/>
      <c r="HO492" s="31"/>
      <c r="HP492" s="31"/>
      <c r="HQ492" s="31"/>
      <c r="HR492" s="31"/>
      <c r="HS492" s="31"/>
      <c r="HT492" s="31"/>
      <c r="HU492" s="31"/>
      <c r="HV492" s="31"/>
      <c r="HW492" s="31"/>
      <c r="HX492" s="31"/>
      <c r="HY492" s="31"/>
      <c r="HZ492" s="31"/>
      <c r="IA492" s="31"/>
      <c r="IB492" s="31"/>
      <c r="IC492" s="31"/>
      <c r="ID492" s="31"/>
      <c r="IE492" s="31"/>
      <c r="IF492" s="31"/>
      <c r="IG492" s="31"/>
      <c r="IH492" s="31"/>
      <c r="II492" s="31"/>
      <c r="IJ492" s="31"/>
      <c r="IK492" s="31"/>
      <c r="IL492" s="31"/>
      <c r="IM492" s="31"/>
      <c r="IN492" s="31"/>
      <c r="IO492" s="31"/>
      <c r="IP492" s="31"/>
      <c r="IQ492" s="31"/>
      <c r="IR492" s="31"/>
      <c r="IS492" s="31"/>
      <c r="IT492" s="31"/>
      <c r="IU492" s="31"/>
      <c r="IV492" s="31"/>
      <c r="IW492" s="31"/>
      <c r="IX492" s="31"/>
      <c r="IY492" s="31"/>
      <c r="IZ492" s="31"/>
      <c r="JA492" s="31"/>
      <c r="JB492" s="31"/>
      <c r="JC492" s="31"/>
      <c r="JD492" s="31"/>
      <c r="JE492" s="31"/>
      <c r="JF492" s="31"/>
      <c r="JG492" s="31"/>
      <c r="JH492" s="31"/>
      <c r="JI492" s="31"/>
      <c r="JJ492" s="31"/>
      <c r="JK492" s="31"/>
      <c r="JL492" s="31"/>
      <c r="JM492" s="31"/>
      <c r="JN492" s="31"/>
      <c r="JO492" s="31"/>
      <c r="JP492" s="31"/>
      <c r="JQ492" s="31"/>
      <c r="JR492" s="31"/>
      <c r="JS492" s="31"/>
      <c r="JT492" s="31"/>
      <c r="JU492" s="31"/>
      <c r="JV492" s="31"/>
      <c r="JW492" s="31"/>
      <c r="JX492" s="31"/>
      <c r="JY492" s="31"/>
      <c r="JZ492" s="31"/>
      <c r="KA492" s="31"/>
      <c r="KB492" s="31"/>
      <c r="KC492" s="31"/>
      <c r="KD492" s="31"/>
      <c r="KE492" s="31"/>
      <c r="KF492" s="31"/>
      <c r="KG492" s="31"/>
      <c r="KH492" s="31"/>
      <c r="KI492" s="31"/>
      <c r="KJ492" s="31"/>
      <c r="KK492" s="31"/>
      <c r="KL492" s="31"/>
      <c r="KM492" s="31"/>
      <c r="KN492" s="31"/>
      <c r="KO492" s="31"/>
      <c r="KP492" s="31"/>
      <c r="KQ492" s="31"/>
      <c r="KR492" s="31"/>
      <c r="KS492" s="31"/>
      <c r="KT492" s="31"/>
      <c r="KU492" s="31"/>
      <c r="KV492" s="31"/>
      <c r="KW492" s="31"/>
      <c r="KX492" s="31"/>
      <c r="KY492" s="31"/>
      <c r="KZ492" s="31"/>
      <c r="LA492" s="31"/>
      <c r="LB492" s="31"/>
      <c r="LC492" s="31"/>
      <c r="LD492" s="31"/>
      <c r="LE492" s="31"/>
      <c r="LF492" s="31"/>
      <c r="LG492" s="31"/>
      <c r="LH492" s="31"/>
      <c r="LI492" s="31"/>
      <c r="LJ492" s="31"/>
      <c r="LK492" s="31"/>
      <c r="LL492" s="31"/>
      <c r="LM492" s="31"/>
      <c r="LN492" s="31"/>
      <c r="LO492" s="31"/>
      <c r="LP492" s="31"/>
      <c r="LQ492" s="31"/>
      <c r="LR492" s="31"/>
      <c r="LS492" s="31"/>
      <c r="LT492" s="31"/>
      <c r="LU492" s="31"/>
      <c r="LV492" s="31"/>
      <c r="LW492" s="31"/>
      <c r="LX492" s="31"/>
      <c r="LY492" s="31"/>
      <c r="LZ492" s="31"/>
      <c r="MA492" s="31"/>
      <c r="MB492" s="31"/>
      <c r="MC492" s="31"/>
      <c r="MD492" s="31"/>
      <c r="ME492" s="31"/>
      <c r="MF492" s="31"/>
      <c r="MG492" s="31"/>
      <c r="MH492" s="31"/>
      <c r="MI492" s="31"/>
      <c r="MJ492" s="31"/>
      <c r="MK492" s="31"/>
      <c r="ML492" s="31"/>
      <c r="MM492" s="31"/>
      <c r="MN492" s="31"/>
      <c r="MO492" s="31"/>
      <c r="MP492" s="31"/>
      <c r="MQ492" s="31"/>
      <c r="MR492" s="31"/>
      <c r="MS492" s="31"/>
      <c r="MT492" s="31"/>
      <c r="MU492" s="31"/>
      <c r="MV492" s="31"/>
      <c r="MW492" s="31"/>
      <c r="MX492" s="31"/>
      <c r="MY492" s="31"/>
      <c r="MZ492" s="31"/>
      <c r="NA492" s="31"/>
      <c r="NB492" s="31"/>
      <c r="NC492" s="31"/>
      <c r="ND492" s="31"/>
      <c r="NE492" s="31"/>
      <c r="NF492" s="31"/>
      <c r="NG492" s="31"/>
      <c r="NH492" s="31"/>
      <c r="NI492" s="31"/>
      <c r="NJ492" s="31"/>
      <c r="NK492" s="31"/>
      <c r="NL492" s="31"/>
      <c r="NM492" s="31"/>
      <c r="NN492" s="31"/>
      <c r="NO492" s="31"/>
      <c r="NP492" s="31"/>
      <c r="NQ492" s="31"/>
      <c r="NR492" s="31"/>
      <c r="NS492" s="31"/>
      <c r="NT492" s="31"/>
      <c r="NU492" s="31"/>
      <c r="NV492" s="31"/>
      <c r="NW492" s="31"/>
      <c r="NX492" s="31"/>
      <c r="NY492" s="31"/>
      <c r="NZ492" s="31"/>
      <c r="OA492" s="31"/>
      <c r="OB492" s="31"/>
      <c r="OC492" s="31"/>
      <c r="OD492" s="31"/>
      <c r="OE492" s="31"/>
      <c r="OF492" s="31"/>
      <c r="OG492" s="31"/>
      <c r="OH492" s="31"/>
      <c r="OI492" s="31"/>
      <c r="OJ492" s="31"/>
      <c r="OK492" s="31"/>
      <c r="OL492" s="31"/>
      <c r="OM492" s="31"/>
      <c r="ON492" s="31"/>
      <c r="OO492" s="31"/>
      <c r="OP492" s="31"/>
      <c r="OQ492" s="31"/>
      <c r="OR492" s="31"/>
      <c r="OS492" s="31"/>
      <c r="OT492" s="31"/>
      <c r="OU492" s="31"/>
      <c r="OV492" s="31"/>
      <c r="OW492" s="31"/>
      <c r="OX492" s="31"/>
    </row>
    <row r="493" spans="2:414" s="25" customFormat="1" ht="15.6">
      <c r="B493" s="51" t="s">
        <v>1027</v>
      </c>
      <c r="C493" s="27" t="s">
        <v>319</v>
      </c>
      <c r="D493" s="30" t="s">
        <v>355</v>
      </c>
      <c r="G493" s="42">
        <v>80</v>
      </c>
      <c r="H493" s="89">
        <v>26.109000000000002</v>
      </c>
      <c r="I493" s="38">
        <f t="shared" si="150"/>
        <v>2088.7200000000003</v>
      </c>
      <c r="K493" s="42">
        <v>80</v>
      </c>
      <c r="L493" s="90">
        <v>26.849599999999999</v>
      </c>
      <c r="M493" s="38">
        <f t="shared" si="151"/>
        <v>2147.9679999999998</v>
      </c>
      <c r="O493" s="42">
        <v>505</v>
      </c>
      <c r="P493" s="38">
        <v>26.728300000000001</v>
      </c>
      <c r="Q493" s="38">
        <f t="shared" si="152"/>
        <v>13497.791500000001</v>
      </c>
      <c r="R493" s="43">
        <f t="shared" si="149"/>
        <v>665</v>
      </c>
      <c r="S493" s="38">
        <f t="shared" si="153"/>
        <v>17734.479500000001</v>
      </c>
      <c r="T493" s="27"/>
      <c r="V493" s="38">
        <f t="shared" si="161"/>
        <v>0</v>
      </c>
      <c r="Y493" s="42">
        <f t="shared" si="159"/>
        <v>0</v>
      </c>
      <c r="AB493" s="42">
        <f t="shared" si="160"/>
        <v>0</v>
      </c>
      <c r="AF493" s="42">
        <f t="shared" si="162"/>
        <v>0</v>
      </c>
      <c r="AU493" s="98"/>
      <c r="AV493" s="35"/>
      <c r="AW493" s="77"/>
      <c r="AZ493" s="42">
        <f t="shared" si="148"/>
        <v>0</v>
      </c>
      <c r="BD493" s="38">
        <f t="shared" si="154"/>
        <v>0</v>
      </c>
      <c r="BH493" s="38">
        <f t="shared" si="155"/>
        <v>0</v>
      </c>
      <c r="BL493" s="38">
        <f t="shared" si="156"/>
        <v>0</v>
      </c>
      <c r="BR493" s="42">
        <f t="shared" si="157"/>
        <v>0</v>
      </c>
      <c r="BS493" s="43">
        <f t="shared" si="158"/>
        <v>17734.479500000001</v>
      </c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  <c r="CF493" s="31"/>
      <c r="CG493" s="31"/>
      <c r="CH493" s="31"/>
      <c r="CI493" s="31"/>
      <c r="CJ493" s="31"/>
      <c r="CK493" s="31"/>
      <c r="CL493" s="31"/>
      <c r="CM493" s="31"/>
      <c r="CN493" s="31"/>
      <c r="CO493" s="31"/>
      <c r="CP493" s="31"/>
      <c r="CQ493" s="31"/>
      <c r="CR493" s="31"/>
      <c r="CS493" s="31"/>
      <c r="CT493" s="31"/>
      <c r="CU493" s="31"/>
      <c r="CV493" s="31"/>
      <c r="CW493" s="31"/>
      <c r="CX493" s="31"/>
      <c r="CY493" s="31"/>
      <c r="CZ493" s="31"/>
      <c r="DA493" s="31"/>
      <c r="DB493" s="31"/>
      <c r="DC493" s="31"/>
      <c r="DD493" s="31"/>
      <c r="DE493" s="31"/>
      <c r="DF493" s="31"/>
      <c r="DG493" s="31"/>
      <c r="DH493" s="31"/>
      <c r="DI493" s="31"/>
      <c r="DJ493" s="31"/>
      <c r="DK493" s="31"/>
      <c r="DL493" s="31"/>
      <c r="DM493" s="31"/>
      <c r="DN493" s="31"/>
      <c r="DO493" s="31"/>
      <c r="DP493" s="31"/>
      <c r="DQ493" s="31"/>
      <c r="DR493" s="31"/>
      <c r="DS493" s="31"/>
      <c r="DT493" s="31"/>
      <c r="DU493" s="31"/>
      <c r="DV493" s="31"/>
      <c r="DW493" s="31"/>
      <c r="DX493" s="31"/>
      <c r="DY493" s="31"/>
      <c r="DZ493" s="31"/>
      <c r="EA493" s="31"/>
      <c r="EB493" s="31"/>
      <c r="EC493" s="31"/>
      <c r="ED493" s="31"/>
      <c r="EE493" s="31"/>
      <c r="EF493" s="31"/>
      <c r="EG493" s="31"/>
      <c r="EH493" s="31"/>
      <c r="EI493" s="31"/>
      <c r="EJ493" s="31"/>
      <c r="EK493" s="31"/>
      <c r="EL493" s="31"/>
      <c r="EM493" s="31"/>
      <c r="EN493" s="31"/>
      <c r="EO493" s="31"/>
      <c r="EP493" s="31"/>
      <c r="EQ493" s="31"/>
      <c r="ER493" s="31"/>
      <c r="ES493" s="31"/>
      <c r="ET493" s="31"/>
      <c r="EU493" s="31"/>
      <c r="EV493" s="31"/>
      <c r="EW493" s="31"/>
      <c r="EX493" s="31"/>
      <c r="EY493" s="31"/>
      <c r="EZ493" s="31"/>
      <c r="FA493" s="31"/>
      <c r="FB493" s="31"/>
      <c r="FC493" s="31"/>
      <c r="FD493" s="31"/>
      <c r="FE493" s="31"/>
      <c r="FF493" s="31"/>
      <c r="FG493" s="31"/>
      <c r="FH493" s="31"/>
      <c r="FI493" s="31"/>
      <c r="FJ493" s="31"/>
      <c r="FK493" s="31"/>
      <c r="FL493" s="31"/>
      <c r="FM493" s="31"/>
      <c r="FN493" s="31"/>
      <c r="FO493" s="31"/>
      <c r="FP493" s="31"/>
      <c r="FQ493" s="31"/>
      <c r="FR493" s="31"/>
      <c r="FS493" s="31"/>
      <c r="FT493" s="31"/>
      <c r="FU493" s="31"/>
      <c r="FV493" s="31"/>
      <c r="FW493" s="31"/>
      <c r="FX493" s="31"/>
      <c r="FY493" s="31"/>
      <c r="FZ493" s="31"/>
      <c r="GA493" s="31"/>
      <c r="GB493" s="31"/>
      <c r="GC493" s="31"/>
      <c r="GD493" s="31"/>
      <c r="GE493" s="31"/>
      <c r="GF493" s="31"/>
      <c r="GG493" s="31"/>
      <c r="GH493" s="31"/>
      <c r="GI493" s="31"/>
      <c r="GJ493" s="31"/>
      <c r="GK493" s="31"/>
      <c r="GL493" s="31"/>
      <c r="GM493" s="31"/>
      <c r="GN493" s="31"/>
      <c r="GO493" s="31"/>
      <c r="GP493" s="31"/>
      <c r="GQ493" s="31"/>
      <c r="GR493" s="31"/>
      <c r="GS493" s="31"/>
      <c r="GT493" s="31"/>
      <c r="GU493" s="31"/>
      <c r="GV493" s="31"/>
      <c r="GW493" s="31"/>
      <c r="GX493" s="31"/>
      <c r="GY493" s="31"/>
      <c r="GZ493" s="31"/>
      <c r="HA493" s="31"/>
      <c r="HB493" s="31"/>
      <c r="HC493" s="31"/>
      <c r="HD493" s="31"/>
      <c r="HE493" s="31"/>
      <c r="HF493" s="31"/>
      <c r="HG493" s="31"/>
      <c r="HH493" s="31"/>
      <c r="HI493" s="31"/>
      <c r="HJ493" s="31"/>
      <c r="HK493" s="31"/>
      <c r="HL493" s="31"/>
      <c r="HM493" s="31"/>
      <c r="HN493" s="31"/>
      <c r="HO493" s="31"/>
      <c r="HP493" s="31"/>
      <c r="HQ493" s="31"/>
      <c r="HR493" s="31"/>
      <c r="HS493" s="31"/>
      <c r="HT493" s="31"/>
      <c r="HU493" s="31"/>
      <c r="HV493" s="31"/>
      <c r="HW493" s="31"/>
      <c r="HX493" s="31"/>
      <c r="HY493" s="31"/>
      <c r="HZ493" s="31"/>
      <c r="IA493" s="31"/>
      <c r="IB493" s="31"/>
      <c r="IC493" s="31"/>
      <c r="ID493" s="31"/>
      <c r="IE493" s="31"/>
      <c r="IF493" s="31"/>
      <c r="IG493" s="31"/>
      <c r="IH493" s="31"/>
      <c r="II493" s="31"/>
      <c r="IJ493" s="31"/>
      <c r="IK493" s="31"/>
      <c r="IL493" s="31"/>
      <c r="IM493" s="31"/>
      <c r="IN493" s="31"/>
      <c r="IO493" s="31"/>
      <c r="IP493" s="31"/>
      <c r="IQ493" s="31"/>
      <c r="IR493" s="31"/>
      <c r="IS493" s="31"/>
      <c r="IT493" s="31"/>
      <c r="IU493" s="31"/>
      <c r="IV493" s="31"/>
      <c r="IW493" s="31"/>
      <c r="IX493" s="31"/>
      <c r="IY493" s="31"/>
      <c r="IZ493" s="31"/>
      <c r="JA493" s="31"/>
      <c r="JB493" s="31"/>
      <c r="JC493" s="31"/>
      <c r="JD493" s="31"/>
      <c r="JE493" s="31"/>
      <c r="JF493" s="31"/>
      <c r="JG493" s="31"/>
      <c r="JH493" s="31"/>
      <c r="JI493" s="31"/>
      <c r="JJ493" s="31"/>
      <c r="JK493" s="31"/>
      <c r="JL493" s="31"/>
      <c r="JM493" s="31"/>
      <c r="JN493" s="31"/>
      <c r="JO493" s="31"/>
      <c r="JP493" s="31"/>
      <c r="JQ493" s="31"/>
      <c r="JR493" s="31"/>
      <c r="JS493" s="31"/>
      <c r="JT493" s="31"/>
      <c r="JU493" s="31"/>
      <c r="JV493" s="31"/>
      <c r="JW493" s="31"/>
      <c r="JX493" s="31"/>
      <c r="JY493" s="31"/>
      <c r="JZ493" s="31"/>
      <c r="KA493" s="31"/>
      <c r="KB493" s="31"/>
      <c r="KC493" s="31"/>
      <c r="KD493" s="31"/>
      <c r="KE493" s="31"/>
      <c r="KF493" s="31"/>
      <c r="KG493" s="31"/>
      <c r="KH493" s="31"/>
      <c r="KI493" s="31"/>
      <c r="KJ493" s="31"/>
      <c r="KK493" s="31"/>
      <c r="KL493" s="31"/>
      <c r="KM493" s="31"/>
      <c r="KN493" s="31"/>
      <c r="KO493" s="31"/>
      <c r="KP493" s="31"/>
      <c r="KQ493" s="31"/>
      <c r="KR493" s="31"/>
      <c r="KS493" s="31"/>
      <c r="KT493" s="31"/>
      <c r="KU493" s="31"/>
      <c r="KV493" s="31"/>
      <c r="KW493" s="31"/>
      <c r="KX493" s="31"/>
      <c r="KY493" s="31"/>
      <c r="KZ493" s="31"/>
      <c r="LA493" s="31"/>
      <c r="LB493" s="31"/>
      <c r="LC493" s="31"/>
      <c r="LD493" s="31"/>
      <c r="LE493" s="31"/>
      <c r="LF493" s="31"/>
      <c r="LG493" s="31"/>
      <c r="LH493" s="31"/>
      <c r="LI493" s="31"/>
      <c r="LJ493" s="31"/>
      <c r="LK493" s="31"/>
      <c r="LL493" s="31"/>
      <c r="LM493" s="31"/>
      <c r="LN493" s="31"/>
      <c r="LO493" s="31"/>
      <c r="LP493" s="31"/>
      <c r="LQ493" s="31"/>
      <c r="LR493" s="31"/>
      <c r="LS493" s="31"/>
      <c r="LT493" s="31"/>
      <c r="LU493" s="31"/>
      <c r="LV493" s="31"/>
      <c r="LW493" s="31"/>
      <c r="LX493" s="31"/>
      <c r="LY493" s="31"/>
      <c r="LZ493" s="31"/>
      <c r="MA493" s="31"/>
      <c r="MB493" s="31"/>
      <c r="MC493" s="31"/>
      <c r="MD493" s="31"/>
      <c r="ME493" s="31"/>
      <c r="MF493" s="31"/>
      <c r="MG493" s="31"/>
      <c r="MH493" s="31"/>
      <c r="MI493" s="31"/>
      <c r="MJ493" s="31"/>
      <c r="MK493" s="31"/>
      <c r="ML493" s="31"/>
      <c r="MM493" s="31"/>
      <c r="MN493" s="31"/>
      <c r="MO493" s="31"/>
      <c r="MP493" s="31"/>
      <c r="MQ493" s="31"/>
      <c r="MR493" s="31"/>
      <c r="MS493" s="31"/>
      <c r="MT493" s="31"/>
      <c r="MU493" s="31"/>
      <c r="MV493" s="31"/>
      <c r="MW493" s="31"/>
      <c r="MX493" s="31"/>
      <c r="MY493" s="31"/>
      <c r="MZ493" s="31"/>
      <c r="NA493" s="31"/>
      <c r="NB493" s="31"/>
      <c r="NC493" s="31"/>
      <c r="ND493" s="31"/>
      <c r="NE493" s="31"/>
      <c r="NF493" s="31"/>
      <c r="NG493" s="31"/>
      <c r="NH493" s="31"/>
      <c r="NI493" s="31"/>
      <c r="NJ493" s="31"/>
      <c r="NK493" s="31"/>
      <c r="NL493" s="31"/>
      <c r="NM493" s="31"/>
      <c r="NN493" s="31"/>
      <c r="NO493" s="31"/>
      <c r="NP493" s="31"/>
      <c r="NQ493" s="31"/>
      <c r="NR493" s="31"/>
      <c r="NS493" s="31"/>
      <c r="NT493" s="31"/>
      <c r="NU493" s="31"/>
      <c r="NV493" s="31"/>
      <c r="NW493" s="31"/>
      <c r="NX493" s="31"/>
      <c r="NY493" s="31"/>
      <c r="NZ493" s="31"/>
      <c r="OA493" s="31"/>
      <c r="OB493" s="31"/>
      <c r="OC493" s="31"/>
      <c r="OD493" s="31"/>
      <c r="OE493" s="31"/>
      <c r="OF493" s="31"/>
      <c r="OG493" s="31"/>
      <c r="OH493" s="31"/>
      <c r="OI493" s="31"/>
      <c r="OJ493" s="31"/>
      <c r="OK493" s="31"/>
      <c r="OL493" s="31"/>
      <c r="OM493" s="31"/>
      <c r="ON493" s="31"/>
      <c r="OO493" s="31"/>
      <c r="OP493" s="31"/>
      <c r="OQ493" s="31"/>
      <c r="OR493" s="31"/>
      <c r="OS493" s="31"/>
      <c r="OT493" s="31"/>
      <c r="OU493" s="31"/>
      <c r="OV493" s="31"/>
      <c r="OW493" s="31"/>
      <c r="OX493" s="31"/>
    </row>
    <row r="494" spans="2:414" s="25" customFormat="1" ht="15.6">
      <c r="B494" s="51" t="s">
        <v>784</v>
      </c>
      <c r="C494" s="27" t="s">
        <v>785</v>
      </c>
      <c r="D494" s="30" t="s">
        <v>355</v>
      </c>
      <c r="G494" s="42">
        <v>80</v>
      </c>
      <c r="H494" s="89">
        <v>26.109000000000002</v>
      </c>
      <c r="I494" s="38">
        <f t="shared" si="150"/>
        <v>2088.7200000000003</v>
      </c>
      <c r="K494" s="42">
        <v>80</v>
      </c>
      <c r="L494" s="90">
        <v>26.849599999999999</v>
      </c>
      <c r="M494" s="38">
        <f t="shared" si="151"/>
        <v>2147.9679999999998</v>
      </c>
      <c r="O494" s="42">
        <v>505</v>
      </c>
      <c r="P494" s="38">
        <v>26.728300000000001</v>
      </c>
      <c r="Q494" s="38">
        <f t="shared" si="152"/>
        <v>13497.791500000001</v>
      </c>
      <c r="R494" s="43">
        <f t="shared" si="149"/>
        <v>665</v>
      </c>
      <c r="S494" s="38">
        <f t="shared" si="153"/>
        <v>17734.479500000001</v>
      </c>
      <c r="T494" s="52">
        <v>260</v>
      </c>
      <c r="U494" s="48">
        <v>26.67</v>
      </c>
      <c r="V494" s="38">
        <f t="shared" si="161"/>
        <v>6934.2000000000007</v>
      </c>
      <c r="W494" s="48">
        <v>160</v>
      </c>
      <c r="X494" s="48">
        <v>26.68</v>
      </c>
      <c r="Y494" s="42">
        <f t="shared" si="159"/>
        <v>4268.8</v>
      </c>
      <c r="AB494" s="42">
        <f t="shared" si="160"/>
        <v>0</v>
      </c>
      <c r="AF494" s="42">
        <f t="shared" si="162"/>
        <v>0</v>
      </c>
      <c r="AU494" s="98"/>
      <c r="AV494" s="35"/>
      <c r="AW494" s="77"/>
      <c r="AZ494" s="42">
        <f t="shared" si="148"/>
        <v>0</v>
      </c>
      <c r="BD494" s="38">
        <f t="shared" si="154"/>
        <v>0</v>
      </c>
      <c r="BH494" s="38">
        <f t="shared" si="155"/>
        <v>0</v>
      </c>
      <c r="BL494" s="38">
        <f t="shared" si="156"/>
        <v>0</v>
      </c>
      <c r="BR494" s="42">
        <f t="shared" si="157"/>
        <v>11203</v>
      </c>
      <c r="BS494" s="43">
        <f t="shared" si="158"/>
        <v>6531.4795000000013</v>
      </c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  <c r="CF494" s="31"/>
      <c r="CG494" s="31"/>
      <c r="CH494" s="31"/>
      <c r="CI494" s="31"/>
      <c r="CJ494" s="31"/>
      <c r="CK494" s="31"/>
      <c r="CL494" s="31"/>
      <c r="CM494" s="31"/>
      <c r="CN494" s="31"/>
      <c r="CO494" s="31"/>
      <c r="CP494" s="31"/>
      <c r="CQ494" s="31"/>
      <c r="CR494" s="31"/>
      <c r="CS494" s="31"/>
      <c r="CT494" s="31"/>
      <c r="CU494" s="31"/>
      <c r="CV494" s="31"/>
      <c r="CW494" s="31"/>
      <c r="CX494" s="31"/>
      <c r="CY494" s="31"/>
      <c r="CZ494" s="31"/>
      <c r="DA494" s="31"/>
      <c r="DB494" s="31"/>
      <c r="DC494" s="31"/>
      <c r="DD494" s="31"/>
      <c r="DE494" s="31"/>
      <c r="DF494" s="31"/>
      <c r="DG494" s="31"/>
      <c r="DH494" s="31"/>
      <c r="DI494" s="31"/>
      <c r="DJ494" s="31"/>
      <c r="DK494" s="31"/>
      <c r="DL494" s="31"/>
      <c r="DM494" s="31"/>
      <c r="DN494" s="31"/>
      <c r="DO494" s="31"/>
      <c r="DP494" s="31"/>
      <c r="DQ494" s="31"/>
      <c r="DR494" s="31"/>
      <c r="DS494" s="31"/>
      <c r="DT494" s="31"/>
      <c r="DU494" s="31"/>
      <c r="DV494" s="31"/>
      <c r="DW494" s="31"/>
      <c r="DX494" s="31"/>
      <c r="DY494" s="31"/>
      <c r="DZ494" s="31"/>
      <c r="EA494" s="31"/>
      <c r="EB494" s="31"/>
      <c r="EC494" s="31"/>
      <c r="ED494" s="31"/>
      <c r="EE494" s="31"/>
      <c r="EF494" s="31"/>
      <c r="EG494" s="31"/>
      <c r="EH494" s="31"/>
      <c r="EI494" s="31"/>
      <c r="EJ494" s="31"/>
      <c r="EK494" s="31"/>
      <c r="EL494" s="31"/>
      <c r="EM494" s="31"/>
      <c r="EN494" s="31"/>
      <c r="EO494" s="31"/>
      <c r="EP494" s="31"/>
      <c r="EQ494" s="31"/>
      <c r="ER494" s="31"/>
      <c r="ES494" s="31"/>
      <c r="ET494" s="31"/>
      <c r="EU494" s="31"/>
      <c r="EV494" s="31"/>
      <c r="EW494" s="31"/>
      <c r="EX494" s="31"/>
      <c r="EY494" s="31"/>
      <c r="EZ494" s="31"/>
      <c r="FA494" s="31"/>
      <c r="FB494" s="31"/>
      <c r="FC494" s="31"/>
      <c r="FD494" s="31"/>
      <c r="FE494" s="31"/>
      <c r="FF494" s="31"/>
      <c r="FG494" s="31"/>
      <c r="FH494" s="31"/>
      <c r="FI494" s="31"/>
      <c r="FJ494" s="31"/>
      <c r="FK494" s="31"/>
      <c r="FL494" s="31"/>
      <c r="FM494" s="31"/>
      <c r="FN494" s="31"/>
      <c r="FO494" s="31"/>
      <c r="FP494" s="31"/>
      <c r="FQ494" s="31"/>
      <c r="FR494" s="31"/>
      <c r="FS494" s="31"/>
      <c r="FT494" s="31"/>
      <c r="FU494" s="31"/>
      <c r="FV494" s="31"/>
      <c r="FW494" s="31"/>
      <c r="FX494" s="31"/>
      <c r="FY494" s="31"/>
      <c r="FZ494" s="31"/>
      <c r="GA494" s="31"/>
      <c r="GB494" s="31"/>
      <c r="GC494" s="31"/>
      <c r="GD494" s="31"/>
      <c r="GE494" s="31"/>
      <c r="GF494" s="31"/>
      <c r="GG494" s="31"/>
      <c r="GH494" s="31"/>
      <c r="GI494" s="31"/>
      <c r="GJ494" s="31"/>
      <c r="GK494" s="31"/>
      <c r="GL494" s="31"/>
      <c r="GM494" s="31"/>
      <c r="GN494" s="31"/>
      <c r="GO494" s="31"/>
      <c r="GP494" s="31"/>
      <c r="GQ494" s="31"/>
      <c r="GR494" s="31"/>
      <c r="GS494" s="31"/>
      <c r="GT494" s="31"/>
      <c r="GU494" s="31"/>
      <c r="GV494" s="31"/>
      <c r="GW494" s="31"/>
      <c r="GX494" s="31"/>
      <c r="GY494" s="31"/>
      <c r="GZ494" s="31"/>
      <c r="HA494" s="31"/>
      <c r="HB494" s="31"/>
      <c r="HC494" s="31"/>
      <c r="HD494" s="31"/>
      <c r="HE494" s="31"/>
      <c r="HF494" s="31"/>
      <c r="HG494" s="31"/>
      <c r="HH494" s="31"/>
      <c r="HI494" s="31"/>
      <c r="HJ494" s="31"/>
      <c r="HK494" s="31"/>
      <c r="HL494" s="31"/>
      <c r="HM494" s="31"/>
      <c r="HN494" s="31"/>
      <c r="HO494" s="31"/>
      <c r="HP494" s="31"/>
      <c r="HQ494" s="31"/>
      <c r="HR494" s="31"/>
      <c r="HS494" s="31"/>
      <c r="HT494" s="31"/>
      <c r="HU494" s="31"/>
      <c r="HV494" s="31"/>
      <c r="HW494" s="31"/>
      <c r="HX494" s="31"/>
      <c r="HY494" s="31"/>
      <c r="HZ494" s="31"/>
      <c r="IA494" s="31"/>
      <c r="IB494" s="31"/>
      <c r="IC494" s="31"/>
      <c r="ID494" s="31"/>
      <c r="IE494" s="31"/>
      <c r="IF494" s="31"/>
      <c r="IG494" s="31"/>
      <c r="IH494" s="31"/>
      <c r="II494" s="31"/>
      <c r="IJ494" s="31"/>
      <c r="IK494" s="31"/>
      <c r="IL494" s="31"/>
      <c r="IM494" s="31"/>
      <c r="IN494" s="31"/>
      <c r="IO494" s="31"/>
      <c r="IP494" s="31"/>
      <c r="IQ494" s="31"/>
      <c r="IR494" s="31"/>
      <c r="IS494" s="31"/>
      <c r="IT494" s="31"/>
      <c r="IU494" s="31"/>
      <c r="IV494" s="31"/>
      <c r="IW494" s="31"/>
      <c r="IX494" s="31"/>
      <c r="IY494" s="31"/>
      <c r="IZ494" s="31"/>
      <c r="JA494" s="31"/>
      <c r="JB494" s="31"/>
      <c r="JC494" s="31"/>
      <c r="JD494" s="31"/>
      <c r="JE494" s="31"/>
      <c r="JF494" s="31"/>
      <c r="JG494" s="31"/>
      <c r="JH494" s="31"/>
      <c r="JI494" s="31"/>
      <c r="JJ494" s="31"/>
      <c r="JK494" s="31"/>
      <c r="JL494" s="31"/>
      <c r="JM494" s="31"/>
      <c r="JN494" s="31"/>
      <c r="JO494" s="31"/>
      <c r="JP494" s="31"/>
      <c r="JQ494" s="31"/>
      <c r="JR494" s="31"/>
      <c r="JS494" s="31"/>
      <c r="JT494" s="31"/>
      <c r="JU494" s="31"/>
      <c r="JV494" s="31"/>
      <c r="JW494" s="31"/>
      <c r="JX494" s="31"/>
      <c r="JY494" s="31"/>
      <c r="JZ494" s="31"/>
      <c r="KA494" s="31"/>
      <c r="KB494" s="31"/>
      <c r="KC494" s="31"/>
      <c r="KD494" s="31"/>
      <c r="KE494" s="31"/>
      <c r="KF494" s="31"/>
      <c r="KG494" s="31"/>
      <c r="KH494" s="31"/>
      <c r="KI494" s="31"/>
      <c r="KJ494" s="31"/>
      <c r="KK494" s="31"/>
      <c r="KL494" s="31"/>
      <c r="KM494" s="31"/>
      <c r="KN494" s="31"/>
      <c r="KO494" s="31"/>
      <c r="KP494" s="31"/>
      <c r="KQ494" s="31"/>
      <c r="KR494" s="31"/>
      <c r="KS494" s="31"/>
      <c r="KT494" s="31"/>
      <c r="KU494" s="31"/>
      <c r="KV494" s="31"/>
      <c r="KW494" s="31"/>
      <c r="KX494" s="31"/>
      <c r="KY494" s="31"/>
      <c r="KZ494" s="31"/>
      <c r="LA494" s="31"/>
      <c r="LB494" s="31"/>
      <c r="LC494" s="31"/>
      <c r="LD494" s="31"/>
      <c r="LE494" s="31"/>
      <c r="LF494" s="31"/>
      <c r="LG494" s="31"/>
      <c r="LH494" s="31"/>
      <c r="LI494" s="31"/>
      <c r="LJ494" s="31"/>
      <c r="LK494" s="31"/>
      <c r="LL494" s="31"/>
      <c r="LM494" s="31"/>
      <c r="LN494" s="31"/>
      <c r="LO494" s="31"/>
      <c r="LP494" s="31"/>
      <c r="LQ494" s="31"/>
      <c r="LR494" s="31"/>
      <c r="LS494" s="31"/>
      <c r="LT494" s="31"/>
      <c r="LU494" s="31"/>
      <c r="LV494" s="31"/>
      <c r="LW494" s="31"/>
      <c r="LX494" s="31"/>
      <c r="LY494" s="31"/>
      <c r="LZ494" s="31"/>
      <c r="MA494" s="31"/>
      <c r="MB494" s="31"/>
      <c r="MC494" s="31"/>
      <c r="MD494" s="31"/>
      <c r="ME494" s="31"/>
      <c r="MF494" s="31"/>
      <c r="MG494" s="31"/>
      <c r="MH494" s="31"/>
      <c r="MI494" s="31"/>
      <c r="MJ494" s="31"/>
      <c r="MK494" s="31"/>
      <c r="ML494" s="31"/>
      <c r="MM494" s="31"/>
      <c r="MN494" s="31"/>
      <c r="MO494" s="31"/>
      <c r="MP494" s="31"/>
      <c r="MQ494" s="31"/>
      <c r="MR494" s="31"/>
      <c r="MS494" s="31"/>
      <c r="MT494" s="31"/>
      <c r="MU494" s="31"/>
      <c r="MV494" s="31"/>
      <c r="MW494" s="31"/>
      <c r="MX494" s="31"/>
      <c r="MY494" s="31"/>
      <c r="MZ494" s="31"/>
      <c r="NA494" s="31"/>
      <c r="NB494" s="31"/>
      <c r="NC494" s="31"/>
      <c r="ND494" s="31"/>
      <c r="NE494" s="31"/>
      <c r="NF494" s="31"/>
      <c r="NG494" s="31"/>
      <c r="NH494" s="31"/>
      <c r="NI494" s="31"/>
      <c r="NJ494" s="31"/>
      <c r="NK494" s="31"/>
      <c r="NL494" s="31"/>
      <c r="NM494" s="31"/>
      <c r="NN494" s="31"/>
      <c r="NO494" s="31"/>
      <c r="NP494" s="31"/>
      <c r="NQ494" s="31"/>
      <c r="NR494" s="31"/>
      <c r="NS494" s="31"/>
      <c r="NT494" s="31"/>
      <c r="NU494" s="31"/>
      <c r="NV494" s="31"/>
      <c r="NW494" s="31"/>
      <c r="NX494" s="31"/>
      <c r="NY494" s="31"/>
      <c r="NZ494" s="31"/>
      <c r="OA494" s="31"/>
      <c r="OB494" s="31"/>
      <c r="OC494" s="31"/>
      <c r="OD494" s="31"/>
      <c r="OE494" s="31"/>
      <c r="OF494" s="31"/>
      <c r="OG494" s="31"/>
      <c r="OH494" s="31"/>
      <c r="OI494" s="31"/>
      <c r="OJ494" s="31"/>
      <c r="OK494" s="31"/>
      <c r="OL494" s="31"/>
      <c r="OM494" s="31"/>
      <c r="ON494" s="31"/>
      <c r="OO494" s="31"/>
      <c r="OP494" s="31"/>
      <c r="OQ494" s="31"/>
      <c r="OR494" s="31"/>
      <c r="OS494" s="31"/>
      <c r="OT494" s="31"/>
      <c r="OU494" s="31"/>
      <c r="OV494" s="31"/>
      <c r="OW494" s="31"/>
      <c r="OX494" s="31"/>
    </row>
    <row r="495" spans="2:414" s="25" customFormat="1" ht="15.6">
      <c r="B495" s="51" t="s">
        <v>875</v>
      </c>
      <c r="C495" s="27" t="s">
        <v>874</v>
      </c>
      <c r="D495" s="30" t="s">
        <v>355</v>
      </c>
      <c r="G495" s="42">
        <v>80</v>
      </c>
      <c r="H495" s="89">
        <v>26.109000000000002</v>
      </c>
      <c r="I495" s="38">
        <f t="shared" si="150"/>
        <v>2088.7200000000003</v>
      </c>
      <c r="K495" s="42">
        <v>80</v>
      </c>
      <c r="L495" s="90">
        <v>26.849599999999999</v>
      </c>
      <c r="M495" s="38">
        <f t="shared" si="151"/>
        <v>2147.9679999999998</v>
      </c>
      <c r="O495" s="42">
        <v>505</v>
      </c>
      <c r="P495" s="38">
        <v>26.728300000000001</v>
      </c>
      <c r="Q495" s="38">
        <f t="shared" si="152"/>
        <v>13497.791500000001</v>
      </c>
      <c r="R495" s="43">
        <f t="shared" si="149"/>
        <v>665</v>
      </c>
      <c r="S495" s="38">
        <f t="shared" si="153"/>
        <v>17734.479500000001</v>
      </c>
      <c r="T495" s="52">
        <v>240</v>
      </c>
      <c r="U495" s="48">
        <v>26.56</v>
      </c>
      <c r="V495" s="38">
        <f t="shared" si="161"/>
        <v>6374.4</v>
      </c>
      <c r="W495" s="48">
        <v>390</v>
      </c>
      <c r="X495" s="48">
        <v>26.564699999999998</v>
      </c>
      <c r="Y495" s="42">
        <f t="shared" si="159"/>
        <v>10360.233</v>
      </c>
      <c r="AB495" s="42">
        <f t="shared" si="160"/>
        <v>0</v>
      </c>
      <c r="AF495" s="42">
        <f t="shared" si="162"/>
        <v>0</v>
      </c>
      <c r="AU495" s="98"/>
      <c r="AV495" s="35"/>
      <c r="AW495" s="77"/>
      <c r="AZ495" s="42">
        <f t="shared" si="148"/>
        <v>0</v>
      </c>
      <c r="BD495" s="38">
        <f t="shared" si="154"/>
        <v>0</v>
      </c>
      <c r="BH495" s="38">
        <f t="shared" si="155"/>
        <v>0</v>
      </c>
      <c r="BL495" s="38">
        <f t="shared" si="156"/>
        <v>0</v>
      </c>
      <c r="BR495" s="42">
        <f t="shared" si="157"/>
        <v>16734.633000000002</v>
      </c>
      <c r="BS495" s="43">
        <f t="shared" si="158"/>
        <v>999.84649999999965</v>
      </c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  <c r="CF495" s="31"/>
      <c r="CG495" s="31"/>
      <c r="CH495" s="31"/>
      <c r="CI495" s="31"/>
      <c r="CJ495" s="31"/>
      <c r="CK495" s="31"/>
      <c r="CL495" s="31"/>
      <c r="CM495" s="31"/>
      <c r="CN495" s="31"/>
      <c r="CO495" s="31"/>
      <c r="CP495" s="31"/>
      <c r="CQ495" s="31"/>
      <c r="CR495" s="31"/>
      <c r="CS495" s="31"/>
      <c r="CT495" s="31"/>
      <c r="CU495" s="31"/>
      <c r="CV495" s="31"/>
      <c r="CW495" s="31"/>
      <c r="CX495" s="31"/>
      <c r="CY495" s="31"/>
      <c r="CZ495" s="31"/>
      <c r="DA495" s="31"/>
      <c r="DB495" s="31"/>
      <c r="DC495" s="31"/>
      <c r="DD495" s="31"/>
      <c r="DE495" s="31"/>
      <c r="DF495" s="31"/>
      <c r="DG495" s="31"/>
      <c r="DH495" s="31"/>
      <c r="DI495" s="31"/>
      <c r="DJ495" s="31"/>
      <c r="DK495" s="31"/>
      <c r="DL495" s="31"/>
      <c r="DM495" s="31"/>
      <c r="DN495" s="31"/>
      <c r="DO495" s="31"/>
      <c r="DP495" s="31"/>
      <c r="DQ495" s="31"/>
      <c r="DR495" s="31"/>
      <c r="DS495" s="31"/>
      <c r="DT495" s="31"/>
      <c r="DU495" s="31"/>
      <c r="DV495" s="31"/>
      <c r="DW495" s="31"/>
      <c r="DX495" s="31"/>
      <c r="DY495" s="31"/>
      <c r="DZ495" s="31"/>
      <c r="EA495" s="31"/>
      <c r="EB495" s="31"/>
      <c r="EC495" s="31"/>
      <c r="ED495" s="31"/>
      <c r="EE495" s="31"/>
      <c r="EF495" s="31"/>
      <c r="EG495" s="31"/>
      <c r="EH495" s="31"/>
      <c r="EI495" s="31"/>
      <c r="EJ495" s="31"/>
      <c r="EK495" s="31"/>
      <c r="EL495" s="31"/>
      <c r="EM495" s="31"/>
      <c r="EN495" s="31"/>
      <c r="EO495" s="31"/>
      <c r="EP495" s="31"/>
      <c r="EQ495" s="31"/>
      <c r="ER495" s="31"/>
      <c r="ES495" s="31"/>
      <c r="ET495" s="31"/>
      <c r="EU495" s="31"/>
      <c r="EV495" s="31"/>
      <c r="EW495" s="31"/>
      <c r="EX495" s="31"/>
      <c r="EY495" s="31"/>
      <c r="EZ495" s="31"/>
      <c r="FA495" s="31"/>
      <c r="FB495" s="31"/>
      <c r="FC495" s="31"/>
      <c r="FD495" s="31"/>
      <c r="FE495" s="31"/>
      <c r="FF495" s="31"/>
      <c r="FG495" s="31"/>
      <c r="FH495" s="31"/>
      <c r="FI495" s="31"/>
      <c r="FJ495" s="31"/>
      <c r="FK495" s="31"/>
      <c r="FL495" s="31"/>
      <c r="FM495" s="31"/>
      <c r="FN495" s="31"/>
      <c r="FO495" s="31"/>
      <c r="FP495" s="31"/>
      <c r="FQ495" s="31"/>
      <c r="FR495" s="31"/>
      <c r="FS495" s="31"/>
      <c r="FT495" s="31"/>
      <c r="FU495" s="31"/>
      <c r="FV495" s="31"/>
      <c r="FW495" s="31"/>
      <c r="FX495" s="31"/>
      <c r="FY495" s="31"/>
      <c r="FZ495" s="31"/>
      <c r="GA495" s="31"/>
      <c r="GB495" s="31"/>
      <c r="GC495" s="31"/>
      <c r="GD495" s="31"/>
      <c r="GE495" s="31"/>
      <c r="GF495" s="31"/>
      <c r="GG495" s="31"/>
      <c r="GH495" s="31"/>
      <c r="GI495" s="31"/>
      <c r="GJ495" s="31"/>
      <c r="GK495" s="31"/>
      <c r="GL495" s="31"/>
      <c r="GM495" s="31"/>
      <c r="GN495" s="31"/>
      <c r="GO495" s="31"/>
      <c r="GP495" s="31"/>
      <c r="GQ495" s="31"/>
      <c r="GR495" s="31"/>
      <c r="GS495" s="31"/>
      <c r="GT495" s="31"/>
      <c r="GU495" s="31"/>
      <c r="GV495" s="31"/>
      <c r="GW495" s="31"/>
      <c r="GX495" s="31"/>
      <c r="GY495" s="31"/>
      <c r="GZ495" s="31"/>
      <c r="HA495" s="31"/>
      <c r="HB495" s="31"/>
      <c r="HC495" s="31"/>
      <c r="HD495" s="31"/>
      <c r="HE495" s="31"/>
      <c r="HF495" s="31"/>
      <c r="HG495" s="31"/>
      <c r="HH495" s="31"/>
      <c r="HI495" s="31"/>
      <c r="HJ495" s="31"/>
      <c r="HK495" s="31"/>
      <c r="HL495" s="31"/>
      <c r="HM495" s="31"/>
      <c r="HN495" s="31"/>
      <c r="HO495" s="31"/>
      <c r="HP495" s="31"/>
      <c r="HQ495" s="31"/>
      <c r="HR495" s="31"/>
      <c r="HS495" s="31"/>
      <c r="HT495" s="31"/>
      <c r="HU495" s="31"/>
      <c r="HV495" s="31"/>
      <c r="HW495" s="31"/>
      <c r="HX495" s="31"/>
      <c r="HY495" s="31"/>
      <c r="HZ495" s="31"/>
      <c r="IA495" s="31"/>
      <c r="IB495" s="31"/>
      <c r="IC495" s="31"/>
      <c r="ID495" s="31"/>
      <c r="IE495" s="31"/>
      <c r="IF495" s="31"/>
      <c r="IG495" s="31"/>
      <c r="IH495" s="31"/>
      <c r="II495" s="31"/>
      <c r="IJ495" s="31"/>
      <c r="IK495" s="31"/>
      <c r="IL495" s="31"/>
      <c r="IM495" s="31"/>
      <c r="IN495" s="31"/>
      <c r="IO495" s="31"/>
      <c r="IP495" s="31"/>
      <c r="IQ495" s="31"/>
      <c r="IR495" s="31"/>
      <c r="IS495" s="31"/>
      <c r="IT495" s="31"/>
      <c r="IU495" s="31"/>
      <c r="IV495" s="31"/>
      <c r="IW495" s="31"/>
      <c r="IX495" s="31"/>
      <c r="IY495" s="31"/>
      <c r="IZ495" s="31"/>
      <c r="JA495" s="31"/>
      <c r="JB495" s="31"/>
      <c r="JC495" s="31"/>
      <c r="JD495" s="31"/>
      <c r="JE495" s="31"/>
      <c r="JF495" s="31"/>
      <c r="JG495" s="31"/>
      <c r="JH495" s="31"/>
      <c r="JI495" s="31"/>
      <c r="JJ495" s="31"/>
      <c r="JK495" s="31"/>
      <c r="JL495" s="31"/>
      <c r="JM495" s="31"/>
      <c r="JN495" s="31"/>
      <c r="JO495" s="31"/>
      <c r="JP495" s="31"/>
      <c r="JQ495" s="31"/>
      <c r="JR495" s="31"/>
      <c r="JS495" s="31"/>
      <c r="JT495" s="31"/>
      <c r="JU495" s="31"/>
      <c r="JV495" s="31"/>
      <c r="JW495" s="31"/>
      <c r="JX495" s="31"/>
      <c r="JY495" s="31"/>
      <c r="JZ495" s="31"/>
      <c r="KA495" s="31"/>
      <c r="KB495" s="31"/>
      <c r="KC495" s="31"/>
      <c r="KD495" s="31"/>
      <c r="KE495" s="31"/>
      <c r="KF495" s="31"/>
      <c r="KG495" s="31"/>
      <c r="KH495" s="31"/>
      <c r="KI495" s="31"/>
      <c r="KJ495" s="31"/>
      <c r="KK495" s="31"/>
      <c r="KL495" s="31"/>
      <c r="KM495" s="31"/>
      <c r="KN495" s="31"/>
      <c r="KO495" s="31"/>
      <c r="KP495" s="31"/>
      <c r="KQ495" s="31"/>
      <c r="KR495" s="31"/>
      <c r="KS495" s="31"/>
      <c r="KT495" s="31"/>
      <c r="KU495" s="31"/>
      <c r="KV495" s="31"/>
      <c r="KW495" s="31"/>
      <c r="KX495" s="31"/>
      <c r="KY495" s="31"/>
      <c r="KZ495" s="31"/>
      <c r="LA495" s="31"/>
      <c r="LB495" s="31"/>
      <c r="LC495" s="31"/>
      <c r="LD495" s="31"/>
      <c r="LE495" s="31"/>
      <c r="LF495" s="31"/>
      <c r="LG495" s="31"/>
      <c r="LH495" s="31"/>
      <c r="LI495" s="31"/>
      <c r="LJ495" s="31"/>
      <c r="LK495" s="31"/>
      <c r="LL495" s="31"/>
      <c r="LM495" s="31"/>
      <c r="LN495" s="31"/>
      <c r="LO495" s="31"/>
      <c r="LP495" s="31"/>
      <c r="LQ495" s="31"/>
      <c r="LR495" s="31"/>
      <c r="LS495" s="31"/>
      <c r="LT495" s="31"/>
      <c r="LU495" s="31"/>
      <c r="LV495" s="31"/>
      <c r="LW495" s="31"/>
      <c r="LX495" s="31"/>
      <c r="LY495" s="31"/>
      <c r="LZ495" s="31"/>
      <c r="MA495" s="31"/>
      <c r="MB495" s="31"/>
      <c r="MC495" s="31"/>
      <c r="MD495" s="31"/>
      <c r="ME495" s="31"/>
      <c r="MF495" s="31"/>
      <c r="MG495" s="31"/>
      <c r="MH495" s="31"/>
      <c r="MI495" s="31"/>
      <c r="MJ495" s="31"/>
      <c r="MK495" s="31"/>
      <c r="ML495" s="31"/>
      <c r="MM495" s="31"/>
      <c r="MN495" s="31"/>
      <c r="MO495" s="31"/>
      <c r="MP495" s="31"/>
      <c r="MQ495" s="31"/>
      <c r="MR495" s="31"/>
      <c r="MS495" s="31"/>
      <c r="MT495" s="31"/>
      <c r="MU495" s="31"/>
      <c r="MV495" s="31"/>
      <c r="MW495" s="31"/>
      <c r="MX495" s="31"/>
      <c r="MY495" s="31"/>
      <c r="MZ495" s="31"/>
      <c r="NA495" s="31"/>
      <c r="NB495" s="31"/>
      <c r="NC495" s="31"/>
      <c r="ND495" s="31"/>
      <c r="NE495" s="31"/>
      <c r="NF495" s="31"/>
      <c r="NG495" s="31"/>
      <c r="NH495" s="31"/>
      <c r="NI495" s="31"/>
      <c r="NJ495" s="31"/>
      <c r="NK495" s="31"/>
      <c r="NL495" s="31"/>
      <c r="NM495" s="31"/>
      <c r="NN495" s="31"/>
      <c r="NO495" s="31"/>
      <c r="NP495" s="31"/>
      <c r="NQ495" s="31"/>
      <c r="NR495" s="31"/>
      <c r="NS495" s="31"/>
      <c r="NT495" s="31"/>
      <c r="NU495" s="31"/>
      <c r="NV495" s="31"/>
      <c r="NW495" s="31"/>
      <c r="NX495" s="31"/>
      <c r="NY495" s="31"/>
      <c r="NZ495" s="31"/>
      <c r="OA495" s="31"/>
      <c r="OB495" s="31"/>
      <c r="OC495" s="31"/>
      <c r="OD495" s="31"/>
      <c r="OE495" s="31"/>
      <c r="OF495" s="31"/>
      <c r="OG495" s="31"/>
      <c r="OH495" s="31"/>
      <c r="OI495" s="31"/>
      <c r="OJ495" s="31"/>
      <c r="OK495" s="31"/>
      <c r="OL495" s="31"/>
      <c r="OM495" s="31"/>
      <c r="ON495" s="31"/>
      <c r="OO495" s="31"/>
      <c r="OP495" s="31"/>
      <c r="OQ495" s="31"/>
      <c r="OR495" s="31"/>
      <c r="OS495" s="31"/>
      <c r="OT495" s="31"/>
      <c r="OU495" s="31"/>
      <c r="OV495" s="31"/>
      <c r="OW495" s="31"/>
      <c r="OX495" s="31"/>
    </row>
    <row r="496" spans="2:414" s="25" customFormat="1" ht="15.6">
      <c r="B496" s="51" t="s">
        <v>1028</v>
      </c>
      <c r="C496" s="27" t="s">
        <v>633</v>
      </c>
      <c r="D496" s="30" t="s">
        <v>355</v>
      </c>
      <c r="G496" s="42">
        <v>80</v>
      </c>
      <c r="H496" s="89">
        <v>26.109000000000002</v>
      </c>
      <c r="I496" s="38">
        <f t="shared" si="150"/>
        <v>2088.7200000000003</v>
      </c>
      <c r="K496" s="42">
        <v>80</v>
      </c>
      <c r="L496" s="90">
        <v>26.849599999999999</v>
      </c>
      <c r="M496" s="38">
        <f t="shared" si="151"/>
        <v>2147.9679999999998</v>
      </c>
      <c r="O496" s="42">
        <v>505</v>
      </c>
      <c r="P496" s="38">
        <v>26.728300000000001</v>
      </c>
      <c r="Q496" s="38">
        <f t="shared" si="152"/>
        <v>13497.791500000001</v>
      </c>
      <c r="R496" s="43">
        <f t="shared" si="149"/>
        <v>665</v>
      </c>
      <c r="S496" s="38">
        <f t="shared" si="153"/>
        <v>17734.479500000001</v>
      </c>
      <c r="T496" s="52">
        <v>240</v>
      </c>
      <c r="U496" s="48">
        <v>26.56</v>
      </c>
      <c r="V496" s="38">
        <f t="shared" si="161"/>
        <v>6374.4</v>
      </c>
      <c r="W496" s="48">
        <v>505</v>
      </c>
      <c r="X496" s="48">
        <v>26.7165</v>
      </c>
      <c r="Y496" s="42">
        <f t="shared" si="159"/>
        <v>13491.8325</v>
      </c>
      <c r="AB496" s="42">
        <f t="shared" si="160"/>
        <v>0</v>
      </c>
      <c r="AF496" s="42">
        <f t="shared" si="162"/>
        <v>0</v>
      </c>
      <c r="AU496" s="98"/>
      <c r="AV496" s="35"/>
      <c r="AW496" s="77"/>
      <c r="AZ496" s="42">
        <f t="shared" si="148"/>
        <v>0</v>
      </c>
      <c r="BD496" s="38">
        <f t="shared" si="154"/>
        <v>0</v>
      </c>
      <c r="BH496" s="38">
        <f t="shared" si="155"/>
        <v>0</v>
      </c>
      <c r="BL496" s="38">
        <f t="shared" si="156"/>
        <v>0</v>
      </c>
      <c r="BR496" s="42">
        <f t="shared" si="157"/>
        <v>19866.232499999998</v>
      </c>
      <c r="BS496" s="43"/>
      <c r="BT496" s="25">
        <v>2131.75</v>
      </c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  <c r="CF496" s="31"/>
      <c r="CG496" s="31"/>
      <c r="CH496" s="31"/>
      <c r="CI496" s="31"/>
      <c r="CJ496" s="31"/>
      <c r="CK496" s="31"/>
      <c r="CL496" s="31"/>
      <c r="CM496" s="31"/>
      <c r="CN496" s="31"/>
      <c r="CO496" s="31"/>
      <c r="CP496" s="31"/>
      <c r="CQ496" s="31"/>
      <c r="CR496" s="31"/>
      <c r="CS496" s="31"/>
      <c r="CT496" s="31"/>
      <c r="CU496" s="31"/>
      <c r="CV496" s="31"/>
      <c r="CW496" s="31"/>
      <c r="CX496" s="31"/>
      <c r="CY496" s="31"/>
      <c r="CZ496" s="31"/>
      <c r="DA496" s="31"/>
      <c r="DB496" s="31"/>
      <c r="DC496" s="31"/>
      <c r="DD496" s="31"/>
      <c r="DE496" s="31"/>
      <c r="DF496" s="31"/>
      <c r="DG496" s="31"/>
      <c r="DH496" s="31"/>
      <c r="DI496" s="31"/>
      <c r="DJ496" s="31"/>
      <c r="DK496" s="31"/>
      <c r="DL496" s="31"/>
      <c r="DM496" s="31"/>
      <c r="DN496" s="31"/>
      <c r="DO496" s="31"/>
      <c r="DP496" s="31"/>
      <c r="DQ496" s="31"/>
      <c r="DR496" s="31"/>
      <c r="DS496" s="31"/>
      <c r="DT496" s="31"/>
      <c r="DU496" s="31"/>
      <c r="DV496" s="31"/>
      <c r="DW496" s="31"/>
      <c r="DX496" s="31"/>
      <c r="DY496" s="31"/>
      <c r="DZ496" s="31"/>
      <c r="EA496" s="31"/>
      <c r="EB496" s="31"/>
      <c r="EC496" s="31"/>
      <c r="ED496" s="31"/>
      <c r="EE496" s="31"/>
      <c r="EF496" s="31"/>
      <c r="EG496" s="31"/>
      <c r="EH496" s="31"/>
      <c r="EI496" s="31"/>
      <c r="EJ496" s="31"/>
      <c r="EK496" s="31"/>
      <c r="EL496" s="31"/>
      <c r="EM496" s="31"/>
      <c r="EN496" s="31"/>
      <c r="EO496" s="31"/>
      <c r="EP496" s="31"/>
      <c r="EQ496" s="31"/>
      <c r="ER496" s="31"/>
      <c r="ES496" s="31"/>
      <c r="ET496" s="31"/>
      <c r="EU496" s="31"/>
      <c r="EV496" s="31"/>
      <c r="EW496" s="31"/>
      <c r="EX496" s="31"/>
      <c r="EY496" s="31"/>
      <c r="EZ496" s="31"/>
      <c r="FA496" s="31"/>
      <c r="FB496" s="31"/>
      <c r="FC496" s="31"/>
      <c r="FD496" s="31"/>
      <c r="FE496" s="31"/>
      <c r="FF496" s="31"/>
      <c r="FG496" s="31"/>
      <c r="FH496" s="31"/>
      <c r="FI496" s="31"/>
      <c r="FJ496" s="31"/>
      <c r="FK496" s="31"/>
      <c r="FL496" s="31"/>
      <c r="FM496" s="31"/>
      <c r="FN496" s="31"/>
      <c r="FO496" s="31"/>
      <c r="FP496" s="31"/>
      <c r="FQ496" s="31"/>
      <c r="FR496" s="31"/>
      <c r="FS496" s="31"/>
      <c r="FT496" s="31"/>
      <c r="FU496" s="31"/>
      <c r="FV496" s="31"/>
      <c r="FW496" s="31"/>
      <c r="FX496" s="31"/>
      <c r="FY496" s="31"/>
      <c r="FZ496" s="31"/>
      <c r="GA496" s="31"/>
      <c r="GB496" s="31"/>
      <c r="GC496" s="31"/>
      <c r="GD496" s="31"/>
      <c r="GE496" s="31"/>
      <c r="GF496" s="31"/>
      <c r="GG496" s="31"/>
      <c r="GH496" s="31"/>
      <c r="GI496" s="31"/>
      <c r="GJ496" s="31"/>
      <c r="GK496" s="31"/>
      <c r="GL496" s="31"/>
      <c r="GM496" s="31"/>
      <c r="GN496" s="31"/>
      <c r="GO496" s="31"/>
      <c r="GP496" s="31"/>
      <c r="GQ496" s="31"/>
      <c r="GR496" s="31"/>
      <c r="GS496" s="31"/>
      <c r="GT496" s="31"/>
      <c r="GU496" s="31"/>
      <c r="GV496" s="31"/>
      <c r="GW496" s="31"/>
      <c r="GX496" s="31"/>
      <c r="GY496" s="31"/>
      <c r="GZ496" s="31"/>
      <c r="HA496" s="31"/>
      <c r="HB496" s="31"/>
      <c r="HC496" s="31"/>
      <c r="HD496" s="31"/>
      <c r="HE496" s="31"/>
      <c r="HF496" s="31"/>
      <c r="HG496" s="31"/>
      <c r="HH496" s="31"/>
      <c r="HI496" s="31"/>
      <c r="HJ496" s="31"/>
      <c r="HK496" s="31"/>
      <c r="HL496" s="31"/>
      <c r="HM496" s="31"/>
      <c r="HN496" s="31"/>
      <c r="HO496" s="31"/>
      <c r="HP496" s="31"/>
      <c r="HQ496" s="31"/>
      <c r="HR496" s="31"/>
      <c r="HS496" s="31"/>
      <c r="HT496" s="31"/>
      <c r="HU496" s="31"/>
      <c r="HV496" s="31"/>
      <c r="HW496" s="31"/>
      <c r="HX496" s="31"/>
      <c r="HY496" s="31"/>
      <c r="HZ496" s="31"/>
      <c r="IA496" s="31"/>
      <c r="IB496" s="31"/>
      <c r="IC496" s="31"/>
      <c r="ID496" s="31"/>
      <c r="IE496" s="31"/>
      <c r="IF496" s="31"/>
      <c r="IG496" s="31"/>
      <c r="IH496" s="31"/>
      <c r="II496" s="31"/>
      <c r="IJ496" s="31"/>
      <c r="IK496" s="31"/>
      <c r="IL496" s="31"/>
      <c r="IM496" s="31"/>
      <c r="IN496" s="31"/>
      <c r="IO496" s="31"/>
      <c r="IP496" s="31"/>
      <c r="IQ496" s="31"/>
      <c r="IR496" s="31"/>
      <c r="IS496" s="31"/>
      <c r="IT496" s="31"/>
      <c r="IU496" s="31"/>
      <c r="IV496" s="31"/>
      <c r="IW496" s="31"/>
      <c r="IX496" s="31"/>
      <c r="IY496" s="31"/>
      <c r="IZ496" s="31"/>
      <c r="JA496" s="31"/>
      <c r="JB496" s="31"/>
      <c r="JC496" s="31"/>
      <c r="JD496" s="31"/>
      <c r="JE496" s="31"/>
      <c r="JF496" s="31"/>
      <c r="JG496" s="31"/>
      <c r="JH496" s="31"/>
      <c r="JI496" s="31"/>
      <c r="JJ496" s="31"/>
      <c r="JK496" s="31"/>
      <c r="JL496" s="31"/>
      <c r="JM496" s="31"/>
      <c r="JN496" s="31"/>
      <c r="JO496" s="31"/>
      <c r="JP496" s="31"/>
      <c r="JQ496" s="31"/>
      <c r="JR496" s="31"/>
      <c r="JS496" s="31"/>
      <c r="JT496" s="31"/>
      <c r="JU496" s="31"/>
      <c r="JV496" s="31"/>
      <c r="JW496" s="31"/>
      <c r="JX496" s="31"/>
      <c r="JY496" s="31"/>
      <c r="JZ496" s="31"/>
      <c r="KA496" s="31"/>
      <c r="KB496" s="31"/>
      <c r="KC496" s="31"/>
      <c r="KD496" s="31"/>
      <c r="KE496" s="31"/>
      <c r="KF496" s="31"/>
      <c r="KG496" s="31"/>
      <c r="KH496" s="31"/>
      <c r="KI496" s="31"/>
      <c r="KJ496" s="31"/>
      <c r="KK496" s="31"/>
      <c r="KL496" s="31"/>
      <c r="KM496" s="31"/>
      <c r="KN496" s="31"/>
      <c r="KO496" s="31"/>
      <c r="KP496" s="31"/>
      <c r="KQ496" s="31"/>
      <c r="KR496" s="31"/>
      <c r="KS496" s="31"/>
      <c r="KT496" s="31"/>
      <c r="KU496" s="31"/>
      <c r="KV496" s="31"/>
      <c r="KW496" s="31"/>
      <c r="KX496" s="31"/>
      <c r="KY496" s="31"/>
      <c r="KZ496" s="31"/>
      <c r="LA496" s="31"/>
      <c r="LB496" s="31"/>
      <c r="LC496" s="31"/>
      <c r="LD496" s="31"/>
      <c r="LE496" s="31"/>
      <c r="LF496" s="31"/>
      <c r="LG496" s="31"/>
      <c r="LH496" s="31"/>
      <c r="LI496" s="31"/>
      <c r="LJ496" s="31"/>
      <c r="LK496" s="31"/>
      <c r="LL496" s="31"/>
      <c r="LM496" s="31"/>
      <c r="LN496" s="31"/>
      <c r="LO496" s="31"/>
      <c r="LP496" s="31"/>
      <c r="LQ496" s="31"/>
      <c r="LR496" s="31"/>
      <c r="LS496" s="31"/>
      <c r="LT496" s="31"/>
      <c r="LU496" s="31"/>
      <c r="LV496" s="31"/>
      <c r="LW496" s="31"/>
      <c r="LX496" s="31"/>
      <c r="LY496" s="31"/>
      <c r="LZ496" s="31"/>
      <c r="MA496" s="31"/>
      <c r="MB496" s="31"/>
      <c r="MC496" s="31"/>
      <c r="MD496" s="31"/>
      <c r="ME496" s="31"/>
      <c r="MF496" s="31"/>
      <c r="MG496" s="31"/>
      <c r="MH496" s="31"/>
      <c r="MI496" s="31"/>
      <c r="MJ496" s="31"/>
      <c r="MK496" s="31"/>
      <c r="ML496" s="31"/>
      <c r="MM496" s="31"/>
      <c r="MN496" s="31"/>
      <c r="MO496" s="31"/>
      <c r="MP496" s="31"/>
      <c r="MQ496" s="31"/>
      <c r="MR496" s="31"/>
      <c r="MS496" s="31"/>
      <c r="MT496" s="31"/>
      <c r="MU496" s="31"/>
      <c r="MV496" s="31"/>
      <c r="MW496" s="31"/>
      <c r="MX496" s="31"/>
      <c r="MY496" s="31"/>
      <c r="MZ496" s="31"/>
      <c r="NA496" s="31"/>
      <c r="NB496" s="31"/>
      <c r="NC496" s="31"/>
      <c r="ND496" s="31"/>
      <c r="NE496" s="31"/>
      <c r="NF496" s="31"/>
      <c r="NG496" s="31"/>
      <c r="NH496" s="31"/>
      <c r="NI496" s="31"/>
      <c r="NJ496" s="31"/>
      <c r="NK496" s="31"/>
      <c r="NL496" s="31"/>
      <c r="NM496" s="31"/>
      <c r="NN496" s="31"/>
      <c r="NO496" s="31"/>
      <c r="NP496" s="31"/>
      <c r="NQ496" s="31"/>
      <c r="NR496" s="31"/>
      <c r="NS496" s="31"/>
      <c r="NT496" s="31"/>
      <c r="NU496" s="31"/>
      <c r="NV496" s="31"/>
      <c r="NW496" s="31"/>
      <c r="NX496" s="31"/>
      <c r="NY496" s="31"/>
      <c r="NZ496" s="31"/>
      <c r="OA496" s="31"/>
      <c r="OB496" s="31"/>
      <c r="OC496" s="31"/>
      <c r="OD496" s="31"/>
      <c r="OE496" s="31"/>
      <c r="OF496" s="31"/>
      <c r="OG496" s="31"/>
      <c r="OH496" s="31"/>
      <c r="OI496" s="31"/>
      <c r="OJ496" s="31"/>
      <c r="OK496" s="31"/>
      <c r="OL496" s="31"/>
      <c r="OM496" s="31"/>
      <c r="ON496" s="31"/>
      <c r="OO496" s="31"/>
      <c r="OP496" s="31"/>
      <c r="OQ496" s="31"/>
      <c r="OR496" s="31"/>
      <c r="OS496" s="31"/>
      <c r="OT496" s="31"/>
      <c r="OU496" s="31"/>
      <c r="OV496" s="31"/>
      <c r="OW496" s="31"/>
      <c r="OX496" s="31"/>
    </row>
    <row r="497" spans="2:414" s="25" customFormat="1" ht="15.6">
      <c r="B497" s="51" t="s">
        <v>578</v>
      </c>
      <c r="C497" s="27" t="s">
        <v>1029</v>
      </c>
      <c r="D497" s="30" t="s">
        <v>355</v>
      </c>
      <c r="G497" s="42">
        <v>80</v>
      </c>
      <c r="H497" s="89">
        <v>26.109000000000002</v>
      </c>
      <c r="I497" s="38">
        <f t="shared" si="150"/>
        <v>2088.7200000000003</v>
      </c>
      <c r="K497" s="42">
        <v>80</v>
      </c>
      <c r="L497" s="90">
        <v>26.849599999999999</v>
      </c>
      <c r="M497" s="38">
        <f t="shared" si="151"/>
        <v>2147.9679999999998</v>
      </c>
      <c r="O497" s="42">
        <v>505</v>
      </c>
      <c r="P497" s="38">
        <v>26.728300000000001</v>
      </c>
      <c r="Q497" s="38">
        <f t="shared" si="152"/>
        <v>13497.791500000001</v>
      </c>
      <c r="R497" s="43">
        <f t="shared" si="149"/>
        <v>665</v>
      </c>
      <c r="S497" s="38">
        <f t="shared" si="153"/>
        <v>17734.479500000001</v>
      </c>
      <c r="T497" s="52">
        <v>240</v>
      </c>
      <c r="U497" s="48">
        <v>26.465199999999999</v>
      </c>
      <c r="V497" s="38">
        <f t="shared" si="161"/>
        <v>6351.6480000000001</v>
      </c>
      <c r="W497" s="48">
        <v>505</v>
      </c>
      <c r="X497" s="48">
        <v>26.6478</v>
      </c>
      <c r="Y497" s="42">
        <f t="shared" si="159"/>
        <v>13457.138999999999</v>
      </c>
      <c r="AB497" s="42">
        <f t="shared" si="160"/>
        <v>0</v>
      </c>
      <c r="AF497" s="42">
        <f t="shared" si="162"/>
        <v>0</v>
      </c>
      <c r="AU497" s="98"/>
      <c r="AV497" s="35"/>
      <c r="AW497" s="77"/>
      <c r="AZ497" s="42">
        <f t="shared" si="148"/>
        <v>0</v>
      </c>
      <c r="BD497" s="38">
        <f t="shared" si="154"/>
        <v>0</v>
      </c>
      <c r="BH497" s="38">
        <f t="shared" si="155"/>
        <v>0</v>
      </c>
      <c r="BL497" s="38">
        <f t="shared" si="156"/>
        <v>0</v>
      </c>
      <c r="BR497" s="42">
        <f t="shared" si="157"/>
        <v>19808.787</v>
      </c>
      <c r="BS497" s="43"/>
      <c r="BT497" s="25">
        <v>2074.31</v>
      </c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  <c r="CF497" s="31"/>
      <c r="CG497" s="31"/>
      <c r="CH497" s="31"/>
      <c r="CI497" s="31"/>
      <c r="CJ497" s="31"/>
      <c r="CK497" s="31"/>
      <c r="CL497" s="31"/>
      <c r="CM497" s="31"/>
      <c r="CN497" s="31"/>
      <c r="CO497" s="31"/>
      <c r="CP497" s="31"/>
      <c r="CQ497" s="31"/>
      <c r="CR497" s="31"/>
      <c r="CS497" s="31"/>
      <c r="CT497" s="31"/>
      <c r="CU497" s="31"/>
      <c r="CV497" s="31"/>
      <c r="CW497" s="31"/>
      <c r="CX497" s="31"/>
      <c r="CY497" s="31"/>
      <c r="CZ497" s="31"/>
      <c r="DA497" s="31"/>
      <c r="DB497" s="31"/>
      <c r="DC497" s="31"/>
      <c r="DD497" s="31"/>
      <c r="DE497" s="31"/>
      <c r="DF497" s="31"/>
      <c r="DG497" s="31"/>
      <c r="DH497" s="31"/>
      <c r="DI497" s="31"/>
      <c r="DJ497" s="31"/>
      <c r="DK497" s="31"/>
      <c r="DL497" s="31"/>
      <c r="DM497" s="31"/>
      <c r="DN497" s="31"/>
      <c r="DO497" s="31"/>
      <c r="DP497" s="31"/>
      <c r="DQ497" s="31"/>
      <c r="DR497" s="31"/>
      <c r="DS497" s="31"/>
      <c r="DT497" s="31"/>
      <c r="DU497" s="31"/>
      <c r="DV497" s="31"/>
      <c r="DW497" s="31"/>
      <c r="DX497" s="31"/>
      <c r="DY497" s="31"/>
      <c r="DZ497" s="31"/>
      <c r="EA497" s="31"/>
      <c r="EB497" s="31"/>
      <c r="EC497" s="31"/>
      <c r="ED497" s="31"/>
      <c r="EE497" s="31"/>
      <c r="EF497" s="31"/>
      <c r="EG497" s="31"/>
      <c r="EH497" s="31"/>
      <c r="EI497" s="31"/>
      <c r="EJ497" s="31"/>
      <c r="EK497" s="31"/>
      <c r="EL497" s="31"/>
      <c r="EM497" s="31"/>
      <c r="EN497" s="31"/>
      <c r="EO497" s="31"/>
      <c r="EP497" s="31"/>
      <c r="EQ497" s="31"/>
      <c r="ER497" s="31"/>
      <c r="ES497" s="31"/>
      <c r="ET497" s="31"/>
      <c r="EU497" s="31"/>
      <c r="EV497" s="31"/>
      <c r="EW497" s="31"/>
      <c r="EX497" s="31"/>
      <c r="EY497" s="31"/>
      <c r="EZ497" s="31"/>
      <c r="FA497" s="31"/>
      <c r="FB497" s="31"/>
      <c r="FC497" s="31"/>
      <c r="FD497" s="31"/>
      <c r="FE497" s="31"/>
      <c r="FF497" s="31"/>
      <c r="FG497" s="31"/>
      <c r="FH497" s="31"/>
      <c r="FI497" s="31"/>
      <c r="FJ497" s="31"/>
      <c r="FK497" s="31"/>
      <c r="FL497" s="31"/>
      <c r="FM497" s="31"/>
      <c r="FN497" s="31"/>
      <c r="FO497" s="31"/>
      <c r="FP497" s="31"/>
      <c r="FQ497" s="31"/>
      <c r="FR497" s="31"/>
      <c r="FS497" s="31"/>
      <c r="FT497" s="31"/>
      <c r="FU497" s="31"/>
      <c r="FV497" s="31"/>
      <c r="FW497" s="31"/>
      <c r="FX497" s="31"/>
      <c r="FY497" s="31"/>
      <c r="FZ497" s="31"/>
      <c r="GA497" s="31"/>
      <c r="GB497" s="31"/>
      <c r="GC497" s="31"/>
      <c r="GD497" s="31"/>
      <c r="GE497" s="31"/>
      <c r="GF497" s="31"/>
      <c r="GG497" s="31"/>
      <c r="GH497" s="31"/>
      <c r="GI497" s="31"/>
      <c r="GJ497" s="31"/>
      <c r="GK497" s="31"/>
      <c r="GL497" s="31"/>
      <c r="GM497" s="31"/>
      <c r="GN497" s="31"/>
      <c r="GO497" s="31"/>
      <c r="GP497" s="31"/>
      <c r="GQ497" s="31"/>
      <c r="GR497" s="31"/>
      <c r="GS497" s="31"/>
      <c r="GT497" s="31"/>
      <c r="GU497" s="31"/>
      <c r="GV497" s="31"/>
      <c r="GW497" s="31"/>
      <c r="GX497" s="31"/>
      <c r="GY497" s="31"/>
      <c r="GZ497" s="31"/>
      <c r="HA497" s="31"/>
      <c r="HB497" s="31"/>
      <c r="HC497" s="31"/>
      <c r="HD497" s="31"/>
      <c r="HE497" s="31"/>
      <c r="HF497" s="31"/>
      <c r="HG497" s="31"/>
      <c r="HH497" s="31"/>
      <c r="HI497" s="31"/>
      <c r="HJ497" s="31"/>
      <c r="HK497" s="31"/>
      <c r="HL497" s="31"/>
      <c r="HM497" s="31"/>
      <c r="HN497" s="31"/>
      <c r="HO497" s="31"/>
      <c r="HP497" s="31"/>
      <c r="HQ497" s="31"/>
      <c r="HR497" s="31"/>
      <c r="HS497" s="31"/>
      <c r="HT497" s="31"/>
      <c r="HU497" s="31"/>
      <c r="HV497" s="31"/>
      <c r="HW497" s="31"/>
      <c r="HX497" s="31"/>
      <c r="HY497" s="31"/>
      <c r="HZ497" s="31"/>
      <c r="IA497" s="31"/>
      <c r="IB497" s="31"/>
      <c r="IC497" s="31"/>
      <c r="ID497" s="31"/>
      <c r="IE497" s="31"/>
      <c r="IF497" s="31"/>
      <c r="IG497" s="31"/>
      <c r="IH497" s="31"/>
      <c r="II497" s="31"/>
      <c r="IJ497" s="31"/>
      <c r="IK497" s="31"/>
      <c r="IL497" s="31"/>
      <c r="IM497" s="31"/>
      <c r="IN497" s="31"/>
      <c r="IO497" s="31"/>
      <c r="IP497" s="31"/>
      <c r="IQ497" s="31"/>
      <c r="IR497" s="31"/>
      <c r="IS497" s="31"/>
      <c r="IT497" s="31"/>
      <c r="IU497" s="31"/>
      <c r="IV497" s="31"/>
      <c r="IW497" s="31"/>
      <c r="IX497" s="31"/>
      <c r="IY497" s="31"/>
      <c r="IZ497" s="31"/>
      <c r="JA497" s="31"/>
      <c r="JB497" s="31"/>
      <c r="JC497" s="31"/>
      <c r="JD497" s="31"/>
      <c r="JE497" s="31"/>
      <c r="JF497" s="31"/>
      <c r="JG497" s="31"/>
      <c r="JH497" s="31"/>
      <c r="JI497" s="31"/>
      <c r="JJ497" s="31"/>
      <c r="JK497" s="31"/>
      <c r="JL497" s="31"/>
      <c r="JM497" s="31"/>
      <c r="JN497" s="31"/>
      <c r="JO497" s="31"/>
      <c r="JP497" s="31"/>
      <c r="JQ497" s="31"/>
      <c r="JR497" s="31"/>
      <c r="JS497" s="31"/>
      <c r="JT497" s="31"/>
      <c r="JU497" s="31"/>
      <c r="JV497" s="31"/>
      <c r="JW497" s="31"/>
      <c r="JX497" s="31"/>
      <c r="JY497" s="31"/>
      <c r="JZ497" s="31"/>
      <c r="KA497" s="31"/>
      <c r="KB497" s="31"/>
      <c r="KC497" s="31"/>
      <c r="KD497" s="31"/>
      <c r="KE497" s="31"/>
      <c r="KF497" s="31"/>
      <c r="KG497" s="31"/>
      <c r="KH497" s="31"/>
      <c r="KI497" s="31"/>
      <c r="KJ497" s="31"/>
      <c r="KK497" s="31"/>
      <c r="KL497" s="31"/>
      <c r="KM497" s="31"/>
      <c r="KN497" s="31"/>
      <c r="KO497" s="31"/>
      <c r="KP497" s="31"/>
      <c r="KQ497" s="31"/>
      <c r="KR497" s="31"/>
      <c r="KS497" s="31"/>
      <c r="KT497" s="31"/>
      <c r="KU497" s="31"/>
      <c r="KV497" s="31"/>
      <c r="KW497" s="31"/>
      <c r="KX497" s="31"/>
      <c r="KY497" s="31"/>
      <c r="KZ497" s="31"/>
      <c r="LA497" s="31"/>
      <c r="LB497" s="31"/>
      <c r="LC497" s="31"/>
      <c r="LD497" s="31"/>
      <c r="LE497" s="31"/>
      <c r="LF497" s="31"/>
      <c r="LG497" s="31"/>
      <c r="LH497" s="31"/>
      <c r="LI497" s="31"/>
      <c r="LJ497" s="31"/>
      <c r="LK497" s="31"/>
      <c r="LL497" s="31"/>
      <c r="LM497" s="31"/>
      <c r="LN497" s="31"/>
      <c r="LO497" s="31"/>
      <c r="LP497" s="31"/>
      <c r="LQ497" s="31"/>
      <c r="LR497" s="31"/>
      <c r="LS497" s="31"/>
      <c r="LT497" s="31"/>
      <c r="LU497" s="31"/>
      <c r="LV497" s="31"/>
      <c r="LW497" s="31"/>
      <c r="LX497" s="31"/>
      <c r="LY497" s="31"/>
      <c r="LZ497" s="31"/>
      <c r="MA497" s="31"/>
      <c r="MB497" s="31"/>
      <c r="MC497" s="31"/>
      <c r="MD497" s="31"/>
      <c r="ME497" s="31"/>
      <c r="MF497" s="31"/>
      <c r="MG497" s="31"/>
      <c r="MH497" s="31"/>
      <c r="MI497" s="31"/>
      <c r="MJ497" s="31"/>
      <c r="MK497" s="31"/>
      <c r="ML497" s="31"/>
      <c r="MM497" s="31"/>
      <c r="MN497" s="31"/>
      <c r="MO497" s="31"/>
      <c r="MP497" s="31"/>
      <c r="MQ497" s="31"/>
      <c r="MR497" s="31"/>
      <c r="MS497" s="31"/>
      <c r="MT497" s="31"/>
      <c r="MU497" s="31"/>
      <c r="MV497" s="31"/>
      <c r="MW497" s="31"/>
      <c r="MX497" s="31"/>
      <c r="MY497" s="31"/>
      <c r="MZ497" s="31"/>
      <c r="NA497" s="31"/>
      <c r="NB497" s="31"/>
      <c r="NC497" s="31"/>
      <c r="ND497" s="31"/>
      <c r="NE497" s="31"/>
      <c r="NF497" s="31"/>
      <c r="NG497" s="31"/>
      <c r="NH497" s="31"/>
      <c r="NI497" s="31"/>
      <c r="NJ497" s="31"/>
      <c r="NK497" s="31"/>
      <c r="NL497" s="31"/>
      <c r="NM497" s="31"/>
      <c r="NN497" s="31"/>
      <c r="NO497" s="31"/>
      <c r="NP497" s="31"/>
      <c r="NQ497" s="31"/>
      <c r="NR497" s="31"/>
      <c r="NS497" s="31"/>
      <c r="NT497" s="31"/>
      <c r="NU497" s="31"/>
      <c r="NV497" s="31"/>
      <c r="NW497" s="31"/>
      <c r="NX497" s="31"/>
      <c r="NY497" s="31"/>
      <c r="NZ497" s="31"/>
      <c r="OA497" s="31"/>
      <c r="OB497" s="31"/>
      <c r="OC497" s="31"/>
      <c r="OD497" s="31"/>
      <c r="OE497" s="31"/>
      <c r="OF497" s="31"/>
      <c r="OG497" s="31"/>
      <c r="OH497" s="31"/>
      <c r="OI497" s="31"/>
      <c r="OJ497" s="31"/>
      <c r="OK497" s="31"/>
      <c r="OL497" s="31"/>
      <c r="OM497" s="31"/>
      <c r="ON497" s="31"/>
      <c r="OO497" s="31"/>
      <c r="OP497" s="31"/>
      <c r="OQ497" s="31"/>
      <c r="OR497" s="31"/>
      <c r="OS497" s="31"/>
      <c r="OT497" s="31"/>
      <c r="OU497" s="31"/>
      <c r="OV497" s="31"/>
      <c r="OW497" s="31"/>
      <c r="OX497" s="31"/>
    </row>
    <row r="498" spans="2:414" s="25" customFormat="1" ht="15.6">
      <c r="B498" s="51" t="s">
        <v>962</v>
      </c>
      <c r="C498" s="27" t="s">
        <v>19</v>
      </c>
      <c r="D498" s="30" t="s">
        <v>355</v>
      </c>
      <c r="G498" s="42">
        <v>80</v>
      </c>
      <c r="H498" s="89">
        <v>26.109000000000002</v>
      </c>
      <c r="I498" s="38">
        <f t="shared" si="150"/>
        <v>2088.7200000000003</v>
      </c>
      <c r="K498" s="42">
        <v>80</v>
      </c>
      <c r="L498" s="90">
        <v>26.849599999999999</v>
      </c>
      <c r="M498" s="38">
        <f t="shared" si="151"/>
        <v>2147.9679999999998</v>
      </c>
      <c r="O498" s="42">
        <v>505</v>
      </c>
      <c r="P498" s="38">
        <v>26.728300000000001</v>
      </c>
      <c r="Q498" s="38">
        <f t="shared" si="152"/>
        <v>13497.791500000001</v>
      </c>
      <c r="R498" s="43">
        <f t="shared" si="149"/>
        <v>665</v>
      </c>
      <c r="S498" s="38">
        <f t="shared" si="153"/>
        <v>17734.479500000001</v>
      </c>
      <c r="T498" s="52">
        <v>240</v>
      </c>
      <c r="U498" s="48">
        <v>26.47</v>
      </c>
      <c r="V498" s="38">
        <f t="shared" si="161"/>
        <v>6352.7999999999993</v>
      </c>
      <c r="W498" s="48">
        <v>505</v>
      </c>
      <c r="X498" s="48">
        <v>26.65</v>
      </c>
      <c r="Y498" s="42">
        <f t="shared" si="159"/>
        <v>13458.25</v>
      </c>
      <c r="AB498" s="42">
        <f t="shared" si="160"/>
        <v>0</v>
      </c>
      <c r="AF498" s="42">
        <f t="shared" si="162"/>
        <v>0</v>
      </c>
      <c r="AU498" s="98"/>
      <c r="AV498" s="35"/>
      <c r="AW498" s="77"/>
      <c r="AZ498" s="42">
        <f t="shared" si="148"/>
        <v>0</v>
      </c>
      <c r="BD498" s="38">
        <f t="shared" si="154"/>
        <v>0</v>
      </c>
      <c r="BH498" s="38">
        <f t="shared" si="155"/>
        <v>0</v>
      </c>
      <c r="BL498" s="38">
        <f t="shared" si="156"/>
        <v>0</v>
      </c>
      <c r="BR498" s="42">
        <f t="shared" si="157"/>
        <v>19811.05</v>
      </c>
      <c r="BS498" s="43"/>
      <c r="BT498" s="25">
        <v>2076.5700000000002</v>
      </c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  <c r="CF498" s="31"/>
      <c r="CG498" s="31"/>
      <c r="CH498" s="31"/>
      <c r="CI498" s="31"/>
      <c r="CJ498" s="31"/>
      <c r="CK498" s="31"/>
      <c r="CL498" s="31"/>
      <c r="CM498" s="31"/>
      <c r="CN498" s="31"/>
      <c r="CO498" s="31"/>
      <c r="CP498" s="31"/>
      <c r="CQ498" s="31"/>
      <c r="CR498" s="31"/>
      <c r="CS498" s="31"/>
      <c r="CT498" s="31"/>
      <c r="CU498" s="31"/>
      <c r="CV498" s="31"/>
      <c r="CW498" s="31"/>
      <c r="CX498" s="31"/>
      <c r="CY498" s="31"/>
      <c r="CZ498" s="31"/>
      <c r="DA498" s="31"/>
      <c r="DB498" s="31"/>
      <c r="DC498" s="31"/>
      <c r="DD498" s="31"/>
      <c r="DE498" s="31"/>
      <c r="DF498" s="31"/>
      <c r="DG498" s="31"/>
      <c r="DH498" s="31"/>
      <c r="DI498" s="31"/>
      <c r="DJ498" s="31"/>
      <c r="DK498" s="31"/>
      <c r="DL498" s="31"/>
      <c r="DM498" s="31"/>
      <c r="DN498" s="31"/>
      <c r="DO498" s="31"/>
      <c r="DP498" s="31"/>
      <c r="DQ498" s="31"/>
      <c r="DR498" s="31"/>
      <c r="DS498" s="31"/>
      <c r="DT498" s="31"/>
      <c r="DU498" s="31"/>
      <c r="DV498" s="31"/>
      <c r="DW498" s="31"/>
      <c r="DX498" s="31"/>
      <c r="DY498" s="31"/>
      <c r="DZ498" s="31"/>
      <c r="EA498" s="31"/>
      <c r="EB498" s="31"/>
      <c r="EC498" s="31"/>
      <c r="ED498" s="31"/>
      <c r="EE498" s="31"/>
      <c r="EF498" s="31"/>
      <c r="EG498" s="31"/>
      <c r="EH498" s="31"/>
      <c r="EI498" s="31"/>
      <c r="EJ498" s="31"/>
      <c r="EK498" s="31"/>
      <c r="EL498" s="31"/>
      <c r="EM498" s="31"/>
      <c r="EN498" s="31"/>
      <c r="EO498" s="31"/>
      <c r="EP498" s="31"/>
      <c r="EQ498" s="31"/>
      <c r="ER498" s="31"/>
      <c r="ES498" s="31"/>
      <c r="ET498" s="31"/>
      <c r="EU498" s="31"/>
      <c r="EV498" s="31"/>
      <c r="EW498" s="31"/>
      <c r="EX498" s="31"/>
      <c r="EY498" s="31"/>
      <c r="EZ498" s="31"/>
      <c r="FA498" s="31"/>
      <c r="FB498" s="31"/>
      <c r="FC498" s="31"/>
      <c r="FD498" s="31"/>
      <c r="FE498" s="31"/>
      <c r="FF498" s="31"/>
      <c r="FG498" s="31"/>
      <c r="FH498" s="31"/>
      <c r="FI498" s="31"/>
      <c r="FJ498" s="31"/>
      <c r="FK498" s="31"/>
      <c r="FL498" s="31"/>
      <c r="FM498" s="31"/>
      <c r="FN498" s="31"/>
      <c r="FO498" s="31"/>
      <c r="FP498" s="31"/>
      <c r="FQ498" s="31"/>
      <c r="FR498" s="31"/>
      <c r="FS498" s="31"/>
      <c r="FT498" s="31"/>
      <c r="FU498" s="31"/>
      <c r="FV498" s="31"/>
      <c r="FW498" s="31"/>
      <c r="FX498" s="31"/>
      <c r="FY498" s="31"/>
      <c r="FZ498" s="31"/>
      <c r="GA498" s="31"/>
      <c r="GB498" s="31"/>
      <c r="GC498" s="31"/>
      <c r="GD498" s="31"/>
      <c r="GE498" s="31"/>
      <c r="GF498" s="31"/>
      <c r="GG498" s="31"/>
      <c r="GH498" s="31"/>
      <c r="GI498" s="31"/>
      <c r="GJ498" s="31"/>
      <c r="GK498" s="31"/>
      <c r="GL498" s="31"/>
      <c r="GM498" s="31"/>
      <c r="GN498" s="31"/>
      <c r="GO498" s="31"/>
      <c r="GP498" s="31"/>
      <c r="GQ498" s="31"/>
      <c r="GR498" s="31"/>
      <c r="GS498" s="31"/>
      <c r="GT498" s="31"/>
      <c r="GU498" s="31"/>
      <c r="GV498" s="31"/>
      <c r="GW498" s="31"/>
      <c r="GX498" s="31"/>
      <c r="GY498" s="31"/>
      <c r="GZ498" s="31"/>
      <c r="HA498" s="31"/>
      <c r="HB498" s="31"/>
      <c r="HC498" s="31"/>
      <c r="HD498" s="31"/>
      <c r="HE498" s="31"/>
      <c r="HF498" s="31"/>
      <c r="HG498" s="31"/>
      <c r="HH498" s="31"/>
      <c r="HI498" s="31"/>
      <c r="HJ498" s="31"/>
      <c r="HK498" s="31"/>
      <c r="HL498" s="31"/>
      <c r="HM498" s="31"/>
      <c r="HN498" s="31"/>
      <c r="HO498" s="31"/>
      <c r="HP498" s="31"/>
      <c r="HQ498" s="31"/>
      <c r="HR498" s="31"/>
      <c r="HS498" s="31"/>
      <c r="HT498" s="31"/>
      <c r="HU498" s="31"/>
      <c r="HV498" s="31"/>
      <c r="HW498" s="31"/>
      <c r="HX498" s="31"/>
      <c r="HY498" s="31"/>
      <c r="HZ498" s="31"/>
      <c r="IA498" s="31"/>
      <c r="IB498" s="31"/>
      <c r="IC498" s="31"/>
      <c r="ID498" s="31"/>
      <c r="IE498" s="31"/>
      <c r="IF498" s="31"/>
      <c r="IG498" s="31"/>
      <c r="IH498" s="31"/>
      <c r="II498" s="31"/>
      <c r="IJ498" s="31"/>
      <c r="IK498" s="31"/>
      <c r="IL498" s="31"/>
      <c r="IM498" s="31"/>
      <c r="IN498" s="31"/>
      <c r="IO498" s="31"/>
      <c r="IP498" s="31"/>
      <c r="IQ498" s="31"/>
      <c r="IR498" s="31"/>
      <c r="IS498" s="31"/>
      <c r="IT498" s="31"/>
      <c r="IU498" s="31"/>
      <c r="IV498" s="31"/>
      <c r="IW498" s="31"/>
      <c r="IX498" s="31"/>
      <c r="IY498" s="31"/>
      <c r="IZ498" s="31"/>
      <c r="JA498" s="31"/>
      <c r="JB498" s="31"/>
      <c r="JC498" s="31"/>
      <c r="JD498" s="31"/>
      <c r="JE498" s="31"/>
      <c r="JF498" s="31"/>
      <c r="JG498" s="31"/>
      <c r="JH498" s="31"/>
      <c r="JI498" s="31"/>
      <c r="JJ498" s="31"/>
      <c r="JK498" s="31"/>
      <c r="JL498" s="31"/>
      <c r="JM498" s="31"/>
      <c r="JN498" s="31"/>
      <c r="JO498" s="31"/>
      <c r="JP498" s="31"/>
      <c r="JQ498" s="31"/>
      <c r="JR498" s="31"/>
      <c r="JS498" s="31"/>
      <c r="JT498" s="31"/>
      <c r="JU498" s="31"/>
      <c r="JV498" s="31"/>
      <c r="JW498" s="31"/>
      <c r="JX498" s="31"/>
      <c r="JY498" s="31"/>
      <c r="JZ498" s="31"/>
      <c r="KA498" s="31"/>
      <c r="KB498" s="31"/>
      <c r="KC498" s="31"/>
      <c r="KD498" s="31"/>
      <c r="KE498" s="31"/>
      <c r="KF498" s="31"/>
      <c r="KG498" s="31"/>
      <c r="KH498" s="31"/>
      <c r="KI498" s="31"/>
      <c r="KJ498" s="31"/>
      <c r="KK498" s="31"/>
      <c r="KL498" s="31"/>
      <c r="KM498" s="31"/>
      <c r="KN498" s="31"/>
      <c r="KO498" s="31"/>
      <c r="KP498" s="31"/>
      <c r="KQ498" s="31"/>
      <c r="KR498" s="31"/>
      <c r="KS498" s="31"/>
      <c r="KT498" s="31"/>
      <c r="KU498" s="31"/>
      <c r="KV498" s="31"/>
      <c r="KW498" s="31"/>
      <c r="KX498" s="31"/>
      <c r="KY498" s="31"/>
      <c r="KZ498" s="31"/>
      <c r="LA498" s="31"/>
      <c r="LB498" s="31"/>
      <c r="LC498" s="31"/>
      <c r="LD498" s="31"/>
      <c r="LE498" s="31"/>
      <c r="LF498" s="31"/>
      <c r="LG498" s="31"/>
      <c r="LH498" s="31"/>
      <c r="LI498" s="31"/>
      <c r="LJ498" s="31"/>
      <c r="LK498" s="31"/>
      <c r="LL498" s="31"/>
      <c r="LM498" s="31"/>
      <c r="LN498" s="31"/>
      <c r="LO498" s="31"/>
      <c r="LP498" s="31"/>
      <c r="LQ498" s="31"/>
      <c r="LR498" s="31"/>
      <c r="LS498" s="31"/>
      <c r="LT498" s="31"/>
      <c r="LU498" s="31"/>
      <c r="LV498" s="31"/>
      <c r="LW498" s="31"/>
      <c r="LX498" s="31"/>
      <c r="LY498" s="31"/>
      <c r="LZ498" s="31"/>
      <c r="MA498" s="31"/>
      <c r="MB498" s="31"/>
      <c r="MC498" s="31"/>
      <c r="MD498" s="31"/>
      <c r="ME498" s="31"/>
      <c r="MF498" s="31"/>
      <c r="MG498" s="31"/>
      <c r="MH498" s="31"/>
      <c r="MI498" s="31"/>
      <c r="MJ498" s="31"/>
      <c r="MK498" s="31"/>
      <c r="ML498" s="31"/>
      <c r="MM498" s="31"/>
      <c r="MN498" s="31"/>
      <c r="MO498" s="31"/>
      <c r="MP498" s="31"/>
      <c r="MQ498" s="31"/>
      <c r="MR498" s="31"/>
      <c r="MS498" s="31"/>
      <c r="MT498" s="31"/>
      <c r="MU498" s="31"/>
      <c r="MV498" s="31"/>
      <c r="MW498" s="31"/>
      <c r="MX498" s="31"/>
      <c r="MY498" s="31"/>
      <c r="MZ498" s="31"/>
      <c r="NA498" s="31"/>
      <c r="NB498" s="31"/>
      <c r="NC498" s="31"/>
      <c r="ND498" s="31"/>
      <c r="NE498" s="31"/>
      <c r="NF498" s="31"/>
      <c r="NG498" s="31"/>
      <c r="NH498" s="31"/>
      <c r="NI498" s="31"/>
      <c r="NJ498" s="31"/>
      <c r="NK498" s="31"/>
      <c r="NL498" s="31"/>
      <c r="NM498" s="31"/>
      <c r="NN498" s="31"/>
      <c r="NO498" s="31"/>
      <c r="NP498" s="31"/>
      <c r="NQ498" s="31"/>
      <c r="NR498" s="31"/>
      <c r="NS498" s="31"/>
      <c r="NT498" s="31"/>
      <c r="NU498" s="31"/>
      <c r="NV498" s="31"/>
      <c r="NW498" s="31"/>
      <c r="NX498" s="31"/>
      <c r="NY498" s="31"/>
      <c r="NZ498" s="31"/>
      <c r="OA498" s="31"/>
      <c r="OB498" s="31"/>
      <c r="OC498" s="31"/>
      <c r="OD498" s="31"/>
      <c r="OE498" s="31"/>
      <c r="OF498" s="31"/>
      <c r="OG498" s="31"/>
      <c r="OH498" s="31"/>
      <c r="OI498" s="31"/>
      <c r="OJ498" s="31"/>
      <c r="OK498" s="31"/>
      <c r="OL498" s="31"/>
      <c r="OM498" s="31"/>
      <c r="ON498" s="31"/>
      <c r="OO498" s="31"/>
      <c r="OP498" s="31"/>
      <c r="OQ498" s="31"/>
      <c r="OR498" s="31"/>
      <c r="OS498" s="31"/>
      <c r="OT498" s="31"/>
      <c r="OU498" s="31"/>
      <c r="OV498" s="31"/>
      <c r="OW498" s="31"/>
      <c r="OX498" s="31"/>
    </row>
    <row r="499" spans="2:414" s="25" customFormat="1" ht="15.6">
      <c r="B499" s="51" t="s">
        <v>694</v>
      </c>
      <c r="C499" s="27" t="s">
        <v>19</v>
      </c>
      <c r="D499" s="30" t="s">
        <v>355</v>
      </c>
      <c r="G499" s="42">
        <v>80</v>
      </c>
      <c r="H499" s="89">
        <v>26.109000000000002</v>
      </c>
      <c r="I499" s="38">
        <f t="shared" si="150"/>
        <v>2088.7200000000003</v>
      </c>
      <c r="K499" s="42">
        <v>80</v>
      </c>
      <c r="L499" s="90">
        <v>26.849599999999999</v>
      </c>
      <c r="M499" s="38">
        <f t="shared" si="151"/>
        <v>2147.9679999999998</v>
      </c>
      <c r="O499" s="42">
        <v>505</v>
      </c>
      <c r="P499" s="38">
        <v>26.728300000000001</v>
      </c>
      <c r="Q499" s="38">
        <f t="shared" si="152"/>
        <v>13497.791500000001</v>
      </c>
      <c r="R499" s="43">
        <f t="shared" si="149"/>
        <v>665</v>
      </c>
      <c r="S499" s="38">
        <f t="shared" si="153"/>
        <v>17734.479500000001</v>
      </c>
      <c r="T499" s="52">
        <v>240</v>
      </c>
      <c r="U499" s="48">
        <v>26.47</v>
      </c>
      <c r="V499" s="38">
        <f t="shared" si="161"/>
        <v>6352.7999999999993</v>
      </c>
      <c r="W499" s="48">
        <v>505</v>
      </c>
      <c r="X499" s="48">
        <v>26.72</v>
      </c>
      <c r="Y499" s="42">
        <f t="shared" si="159"/>
        <v>13493.599999999999</v>
      </c>
      <c r="AB499" s="42">
        <f t="shared" si="160"/>
        <v>0</v>
      </c>
      <c r="AF499" s="42">
        <f t="shared" si="162"/>
        <v>0</v>
      </c>
      <c r="AU499" s="98"/>
      <c r="AV499" s="35"/>
      <c r="AW499" s="77"/>
      <c r="AZ499" s="42">
        <f t="shared" si="148"/>
        <v>0</v>
      </c>
      <c r="BD499" s="38">
        <f t="shared" si="154"/>
        <v>0</v>
      </c>
      <c r="BH499" s="38">
        <f t="shared" si="155"/>
        <v>0</v>
      </c>
      <c r="BL499" s="38">
        <f t="shared" si="156"/>
        <v>0</v>
      </c>
      <c r="BR499" s="42">
        <f t="shared" si="157"/>
        <v>19846.399999999998</v>
      </c>
      <c r="BS499" s="43"/>
      <c r="BT499" s="25">
        <v>2111.92</v>
      </c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  <c r="CF499" s="31"/>
      <c r="CG499" s="31"/>
      <c r="CH499" s="31"/>
      <c r="CI499" s="31"/>
      <c r="CJ499" s="31"/>
      <c r="CK499" s="31"/>
      <c r="CL499" s="31"/>
      <c r="CM499" s="31"/>
      <c r="CN499" s="31"/>
      <c r="CO499" s="31"/>
      <c r="CP499" s="31"/>
      <c r="CQ499" s="31"/>
      <c r="CR499" s="31"/>
      <c r="CS499" s="31"/>
      <c r="CT499" s="31"/>
      <c r="CU499" s="31"/>
      <c r="CV499" s="31"/>
      <c r="CW499" s="31"/>
      <c r="CX499" s="31"/>
      <c r="CY499" s="31"/>
      <c r="CZ499" s="31"/>
      <c r="DA499" s="31"/>
      <c r="DB499" s="31"/>
      <c r="DC499" s="31"/>
      <c r="DD499" s="31"/>
      <c r="DE499" s="31"/>
      <c r="DF499" s="31"/>
      <c r="DG499" s="31"/>
      <c r="DH499" s="31"/>
      <c r="DI499" s="31"/>
      <c r="DJ499" s="31"/>
      <c r="DK499" s="31"/>
      <c r="DL499" s="31"/>
      <c r="DM499" s="31"/>
      <c r="DN499" s="31"/>
      <c r="DO499" s="31"/>
      <c r="DP499" s="31"/>
      <c r="DQ499" s="31"/>
      <c r="DR499" s="31"/>
      <c r="DS499" s="31"/>
      <c r="DT499" s="31"/>
      <c r="DU499" s="31"/>
      <c r="DV499" s="31"/>
      <c r="DW499" s="31"/>
      <c r="DX499" s="31"/>
      <c r="DY499" s="31"/>
      <c r="DZ499" s="31"/>
      <c r="EA499" s="31"/>
      <c r="EB499" s="31"/>
      <c r="EC499" s="31"/>
      <c r="ED499" s="31"/>
      <c r="EE499" s="31"/>
      <c r="EF499" s="31"/>
      <c r="EG499" s="31"/>
      <c r="EH499" s="31"/>
      <c r="EI499" s="31"/>
      <c r="EJ499" s="31"/>
      <c r="EK499" s="31"/>
      <c r="EL499" s="31"/>
      <c r="EM499" s="31"/>
      <c r="EN499" s="31"/>
      <c r="EO499" s="31"/>
      <c r="EP499" s="31"/>
      <c r="EQ499" s="31"/>
      <c r="ER499" s="31"/>
      <c r="ES499" s="31"/>
      <c r="ET499" s="31"/>
      <c r="EU499" s="31"/>
      <c r="EV499" s="31"/>
      <c r="EW499" s="31"/>
      <c r="EX499" s="31"/>
      <c r="EY499" s="31"/>
      <c r="EZ499" s="31"/>
      <c r="FA499" s="31"/>
      <c r="FB499" s="31"/>
      <c r="FC499" s="31"/>
      <c r="FD499" s="31"/>
      <c r="FE499" s="31"/>
      <c r="FF499" s="31"/>
      <c r="FG499" s="31"/>
      <c r="FH499" s="31"/>
      <c r="FI499" s="31"/>
      <c r="FJ499" s="31"/>
      <c r="FK499" s="31"/>
      <c r="FL499" s="31"/>
      <c r="FM499" s="31"/>
      <c r="FN499" s="31"/>
      <c r="FO499" s="31"/>
      <c r="FP499" s="31"/>
      <c r="FQ499" s="31"/>
      <c r="FR499" s="31"/>
      <c r="FS499" s="31"/>
      <c r="FT499" s="31"/>
      <c r="FU499" s="31"/>
      <c r="FV499" s="31"/>
      <c r="FW499" s="31"/>
      <c r="FX499" s="31"/>
      <c r="FY499" s="31"/>
      <c r="FZ499" s="31"/>
      <c r="GA499" s="31"/>
      <c r="GB499" s="31"/>
      <c r="GC499" s="31"/>
      <c r="GD499" s="31"/>
      <c r="GE499" s="31"/>
      <c r="GF499" s="31"/>
      <c r="GG499" s="31"/>
      <c r="GH499" s="31"/>
      <c r="GI499" s="31"/>
      <c r="GJ499" s="31"/>
      <c r="GK499" s="31"/>
      <c r="GL499" s="31"/>
      <c r="GM499" s="31"/>
      <c r="GN499" s="31"/>
      <c r="GO499" s="31"/>
      <c r="GP499" s="31"/>
      <c r="GQ499" s="31"/>
      <c r="GR499" s="31"/>
      <c r="GS499" s="31"/>
      <c r="GT499" s="31"/>
      <c r="GU499" s="31"/>
      <c r="GV499" s="31"/>
      <c r="GW499" s="31"/>
      <c r="GX499" s="31"/>
      <c r="GY499" s="31"/>
      <c r="GZ499" s="31"/>
      <c r="HA499" s="31"/>
      <c r="HB499" s="31"/>
      <c r="HC499" s="31"/>
      <c r="HD499" s="31"/>
      <c r="HE499" s="31"/>
      <c r="HF499" s="31"/>
      <c r="HG499" s="31"/>
      <c r="HH499" s="31"/>
      <c r="HI499" s="31"/>
      <c r="HJ499" s="31"/>
      <c r="HK499" s="31"/>
      <c r="HL499" s="31"/>
      <c r="HM499" s="31"/>
      <c r="HN499" s="31"/>
      <c r="HO499" s="31"/>
      <c r="HP499" s="31"/>
      <c r="HQ499" s="31"/>
      <c r="HR499" s="31"/>
      <c r="HS499" s="31"/>
      <c r="HT499" s="31"/>
      <c r="HU499" s="31"/>
      <c r="HV499" s="31"/>
      <c r="HW499" s="31"/>
      <c r="HX499" s="31"/>
      <c r="HY499" s="31"/>
      <c r="HZ499" s="31"/>
      <c r="IA499" s="31"/>
      <c r="IB499" s="31"/>
      <c r="IC499" s="31"/>
      <c r="ID499" s="31"/>
      <c r="IE499" s="31"/>
      <c r="IF499" s="31"/>
      <c r="IG499" s="31"/>
      <c r="IH499" s="31"/>
      <c r="II499" s="31"/>
      <c r="IJ499" s="31"/>
      <c r="IK499" s="31"/>
      <c r="IL499" s="31"/>
      <c r="IM499" s="31"/>
      <c r="IN499" s="31"/>
      <c r="IO499" s="31"/>
      <c r="IP499" s="31"/>
      <c r="IQ499" s="31"/>
      <c r="IR499" s="31"/>
      <c r="IS499" s="31"/>
      <c r="IT499" s="31"/>
      <c r="IU499" s="31"/>
      <c r="IV499" s="31"/>
      <c r="IW499" s="31"/>
      <c r="IX499" s="31"/>
      <c r="IY499" s="31"/>
      <c r="IZ499" s="31"/>
      <c r="JA499" s="31"/>
      <c r="JB499" s="31"/>
      <c r="JC499" s="31"/>
      <c r="JD499" s="31"/>
      <c r="JE499" s="31"/>
      <c r="JF499" s="31"/>
      <c r="JG499" s="31"/>
      <c r="JH499" s="31"/>
      <c r="JI499" s="31"/>
      <c r="JJ499" s="31"/>
      <c r="JK499" s="31"/>
      <c r="JL499" s="31"/>
      <c r="JM499" s="31"/>
      <c r="JN499" s="31"/>
      <c r="JO499" s="31"/>
      <c r="JP499" s="31"/>
      <c r="JQ499" s="31"/>
      <c r="JR499" s="31"/>
      <c r="JS499" s="31"/>
      <c r="JT499" s="31"/>
      <c r="JU499" s="31"/>
      <c r="JV499" s="31"/>
      <c r="JW499" s="31"/>
      <c r="JX499" s="31"/>
      <c r="JY499" s="31"/>
      <c r="JZ499" s="31"/>
      <c r="KA499" s="31"/>
      <c r="KB499" s="31"/>
      <c r="KC499" s="31"/>
      <c r="KD499" s="31"/>
      <c r="KE499" s="31"/>
      <c r="KF499" s="31"/>
      <c r="KG499" s="31"/>
      <c r="KH499" s="31"/>
      <c r="KI499" s="31"/>
      <c r="KJ499" s="31"/>
      <c r="KK499" s="31"/>
      <c r="KL499" s="31"/>
      <c r="KM499" s="31"/>
      <c r="KN499" s="31"/>
      <c r="KO499" s="31"/>
      <c r="KP499" s="31"/>
      <c r="KQ499" s="31"/>
      <c r="KR499" s="31"/>
      <c r="KS499" s="31"/>
      <c r="KT499" s="31"/>
      <c r="KU499" s="31"/>
      <c r="KV499" s="31"/>
      <c r="KW499" s="31"/>
      <c r="KX499" s="31"/>
      <c r="KY499" s="31"/>
      <c r="KZ499" s="31"/>
      <c r="LA499" s="31"/>
      <c r="LB499" s="31"/>
      <c r="LC499" s="31"/>
      <c r="LD499" s="31"/>
      <c r="LE499" s="31"/>
      <c r="LF499" s="31"/>
      <c r="LG499" s="31"/>
      <c r="LH499" s="31"/>
      <c r="LI499" s="31"/>
      <c r="LJ499" s="31"/>
      <c r="LK499" s="31"/>
      <c r="LL499" s="31"/>
      <c r="LM499" s="31"/>
      <c r="LN499" s="31"/>
      <c r="LO499" s="31"/>
      <c r="LP499" s="31"/>
      <c r="LQ499" s="31"/>
      <c r="LR499" s="31"/>
      <c r="LS499" s="31"/>
      <c r="LT499" s="31"/>
      <c r="LU499" s="31"/>
      <c r="LV499" s="31"/>
      <c r="LW499" s="31"/>
      <c r="LX499" s="31"/>
      <c r="LY499" s="31"/>
      <c r="LZ499" s="31"/>
      <c r="MA499" s="31"/>
      <c r="MB499" s="31"/>
      <c r="MC499" s="31"/>
      <c r="MD499" s="31"/>
      <c r="ME499" s="31"/>
      <c r="MF499" s="31"/>
      <c r="MG499" s="31"/>
      <c r="MH499" s="31"/>
      <c r="MI499" s="31"/>
      <c r="MJ499" s="31"/>
      <c r="MK499" s="31"/>
      <c r="ML499" s="31"/>
      <c r="MM499" s="31"/>
      <c r="MN499" s="31"/>
      <c r="MO499" s="31"/>
      <c r="MP499" s="31"/>
      <c r="MQ499" s="31"/>
      <c r="MR499" s="31"/>
      <c r="MS499" s="31"/>
      <c r="MT499" s="31"/>
      <c r="MU499" s="31"/>
      <c r="MV499" s="31"/>
      <c r="MW499" s="31"/>
      <c r="MX499" s="31"/>
      <c r="MY499" s="31"/>
      <c r="MZ499" s="31"/>
      <c r="NA499" s="31"/>
      <c r="NB499" s="31"/>
      <c r="NC499" s="31"/>
      <c r="ND499" s="31"/>
      <c r="NE499" s="31"/>
      <c r="NF499" s="31"/>
      <c r="NG499" s="31"/>
      <c r="NH499" s="31"/>
      <c r="NI499" s="31"/>
      <c r="NJ499" s="31"/>
      <c r="NK499" s="31"/>
      <c r="NL499" s="31"/>
      <c r="NM499" s="31"/>
      <c r="NN499" s="31"/>
      <c r="NO499" s="31"/>
      <c r="NP499" s="31"/>
      <c r="NQ499" s="31"/>
      <c r="NR499" s="31"/>
      <c r="NS499" s="31"/>
      <c r="NT499" s="31"/>
      <c r="NU499" s="31"/>
      <c r="NV499" s="31"/>
      <c r="NW499" s="31"/>
      <c r="NX499" s="31"/>
      <c r="NY499" s="31"/>
      <c r="NZ499" s="31"/>
      <c r="OA499" s="31"/>
      <c r="OB499" s="31"/>
      <c r="OC499" s="31"/>
      <c r="OD499" s="31"/>
      <c r="OE499" s="31"/>
      <c r="OF499" s="31"/>
      <c r="OG499" s="31"/>
      <c r="OH499" s="31"/>
      <c r="OI499" s="31"/>
      <c r="OJ499" s="31"/>
      <c r="OK499" s="31"/>
      <c r="OL499" s="31"/>
      <c r="OM499" s="31"/>
      <c r="ON499" s="31"/>
      <c r="OO499" s="31"/>
      <c r="OP499" s="31"/>
      <c r="OQ499" s="31"/>
      <c r="OR499" s="31"/>
      <c r="OS499" s="31"/>
      <c r="OT499" s="31"/>
      <c r="OU499" s="31"/>
      <c r="OV499" s="31"/>
      <c r="OW499" s="31"/>
      <c r="OX499" s="31"/>
    </row>
    <row r="500" spans="2:414" s="25" customFormat="1" ht="15.6">
      <c r="B500" s="51" t="s">
        <v>1030</v>
      </c>
      <c r="C500" s="27" t="s">
        <v>17</v>
      </c>
      <c r="D500" s="30" t="s">
        <v>355</v>
      </c>
      <c r="G500" s="42">
        <v>80</v>
      </c>
      <c r="H500" s="89">
        <v>26.109000000000002</v>
      </c>
      <c r="I500" s="38">
        <f t="shared" si="150"/>
        <v>2088.7200000000003</v>
      </c>
      <c r="K500" s="42">
        <v>80</v>
      </c>
      <c r="L500" s="90">
        <v>26.849599999999999</v>
      </c>
      <c r="M500" s="38">
        <f t="shared" si="151"/>
        <v>2147.9679999999998</v>
      </c>
      <c r="O500" s="42">
        <v>505</v>
      </c>
      <c r="P500" s="38">
        <v>26.728300000000001</v>
      </c>
      <c r="Q500" s="38">
        <f t="shared" si="152"/>
        <v>13497.791500000001</v>
      </c>
      <c r="R500" s="43">
        <f t="shared" si="149"/>
        <v>665</v>
      </c>
      <c r="S500" s="38">
        <f t="shared" si="153"/>
        <v>17734.479500000001</v>
      </c>
      <c r="T500" s="52">
        <v>300</v>
      </c>
      <c r="U500" s="48">
        <v>26.67</v>
      </c>
      <c r="V500" s="38">
        <f t="shared" si="161"/>
        <v>8001.0000000000009</v>
      </c>
      <c r="W500" s="48">
        <v>390</v>
      </c>
      <c r="X500" s="48">
        <v>26.72</v>
      </c>
      <c r="Y500" s="42">
        <f t="shared" si="159"/>
        <v>10420.799999999999</v>
      </c>
      <c r="AB500" s="42">
        <f t="shared" si="160"/>
        <v>0</v>
      </c>
      <c r="AF500" s="42">
        <f t="shared" si="162"/>
        <v>0</v>
      </c>
      <c r="AU500" s="98"/>
      <c r="AV500" s="35"/>
      <c r="AW500" s="77"/>
      <c r="AZ500" s="42">
        <f t="shared" si="148"/>
        <v>0</v>
      </c>
      <c r="BD500" s="38">
        <f t="shared" si="154"/>
        <v>0</v>
      </c>
      <c r="BH500" s="38">
        <f t="shared" si="155"/>
        <v>0</v>
      </c>
      <c r="BL500" s="38">
        <f t="shared" si="156"/>
        <v>0</v>
      </c>
      <c r="BR500" s="42">
        <f t="shared" si="157"/>
        <v>18421.8</v>
      </c>
      <c r="BS500" s="43"/>
      <c r="BT500" s="25">
        <v>687.32</v>
      </c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  <c r="CF500" s="31"/>
      <c r="CG500" s="31"/>
      <c r="CH500" s="31"/>
      <c r="CI500" s="31"/>
      <c r="CJ500" s="31"/>
      <c r="CK500" s="31"/>
      <c r="CL500" s="31"/>
      <c r="CM500" s="31"/>
      <c r="CN500" s="31"/>
      <c r="CO500" s="31"/>
      <c r="CP500" s="31"/>
      <c r="CQ500" s="31"/>
      <c r="CR500" s="31"/>
      <c r="CS500" s="31"/>
      <c r="CT500" s="31"/>
      <c r="CU500" s="31"/>
      <c r="CV500" s="31"/>
      <c r="CW500" s="31"/>
      <c r="CX500" s="31"/>
      <c r="CY500" s="31"/>
      <c r="CZ500" s="31"/>
      <c r="DA500" s="31"/>
      <c r="DB500" s="31"/>
      <c r="DC500" s="31"/>
      <c r="DD500" s="31"/>
      <c r="DE500" s="31"/>
      <c r="DF500" s="31"/>
      <c r="DG500" s="31"/>
      <c r="DH500" s="31"/>
      <c r="DI500" s="31"/>
      <c r="DJ500" s="31"/>
      <c r="DK500" s="31"/>
      <c r="DL500" s="31"/>
      <c r="DM500" s="31"/>
      <c r="DN500" s="31"/>
      <c r="DO500" s="31"/>
      <c r="DP500" s="31"/>
      <c r="DQ500" s="31"/>
      <c r="DR500" s="31"/>
      <c r="DS500" s="31"/>
      <c r="DT500" s="31"/>
      <c r="DU500" s="31"/>
      <c r="DV500" s="31"/>
      <c r="DW500" s="31"/>
      <c r="DX500" s="31"/>
      <c r="DY500" s="31"/>
      <c r="DZ500" s="31"/>
      <c r="EA500" s="31"/>
      <c r="EB500" s="31"/>
      <c r="EC500" s="31"/>
      <c r="ED500" s="31"/>
      <c r="EE500" s="31"/>
      <c r="EF500" s="31"/>
      <c r="EG500" s="31"/>
      <c r="EH500" s="31"/>
      <c r="EI500" s="31"/>
      <c r="EJ500" s="31"/>
      <c r="EK500" s="31"/>
      <c r="EL500" s="31"/>
      <c r="EM500" s="31"/>
      <c r="EN500" s="31"/>
      <c r="EO500" s="31"/>
      <c r="EP500" s="31"/>
      <c r="EQ500" s="31"/>
      <c r="ER500" s="31"/>
      <c r="ES500" s="31"/>
      <c r="ET500" s="31"/>
      <c r="EU500" s="31"/>
      <c r="EV500" s="31"/>
      <c r="EW500" s="31"/>
      <c r="EX500" s="31"/>
      <c r="EY500" s="31"/>
      <c r="EZ500" s="31"/>
      <c r="FA500" s="31"/>
      <c r="FB500" s="31"/>
      <c r="FC500" s="31"/>
      <c r="FD500" s="31"/>
      <c r="FE500" s="31"/>
      <c r="FF500" s="31"/>
      <c r="FG500" s="31"/>
      <c r="FH500" s="31"/>
      <c r="FI500" s="31"/>
      <c r="FJ500" s="31"/>
      <c r="FK500" s="31"/>
      <c r="FL500" s="31"/>
      <c r="FM500" s="31"/>
      <c r="FN500" s="31"/>
      <c r="FO500" s="31"/>
      <c r="FP500" s="31"/>
      <c r="FQ500" s="31"/>
      <c r="FR500" s="31"/>
      <c r="FS500" s="31"/>
      <c r="FT500" s="31"/>
      <c r="FU500" s="31"/>
      <c r="FV500" s="31"/>
      <c r="FW500" s="31"/>
      <c r="FX500" s="31"/>
      <c r="FY500" s="31"/>
      <c r="FZ500" s="31"/>
      <c r="GA500" s="31"/>
      <c r="GB500" s="31"/>
      <c r="GC500" s="31"/>
      <c r="GD500" s="31"/>
      <c r="GE500" s="31"/>
      <c r="GF500" s="31"/>
      <c r="GG500" s="31"/>
      <c r="GH500" s="31"/>
      <c r="GI500" s="31"/>
      <c r="GJ500" s="31"/>
      <c r="GK500" s="31"/>
      <c r="GL500" s="31"/>
      <c r="GM500" s="31"/>
      <c r="GN500" s="31"/>
      <c r="GO500" s="31"/>
      <c r="GP500" s="31"/>
      <c r="GQ500" s="31"/>
      <c r="GR500" s="31"/>
      <c r="GS500" s="31"/>
      <c r="GT500" s="31"/>
      <c r="GU500" s="31"/>
      <c r="GV500" s="31"/>
      <c r="GW500" s="31"/>
      <c r="GX500" s="31"/>
      <c r="GY500" s="31"/>
      <c r="GZ500" s="31"/>
      <c r="HA500" s="31"/>
      <c r="HB500" s="31"/>
      <c r="HC500" s="31"/>
      <c r="HD500" s="31"/>
      <c r="HE500" s="31"/>
      <c r="HF500" s="31"/>
      <c r="HG500" s="31"/>
      <c r="HH500" s="31"/>
      <c r="HI500" s="31"/>
      <c r="HJ500" s="31"/>
      <c r="HK500" s="31"/>
      <c r="HL500" s="31"/>
      <c r="HM500" s="31"/>
      <c r="HN500" s="31"/>
      <c r="HO500" s="31"/>
      <c r="HP500" s="31"/>
      <c r="HQ500" s="31"/>
      <c r="HR500" s="31"/>
      <c r="HS500" s="31"/>
      <c r="HT500" s="31"/>
      <c r="HU500" s="31"/>
      <c r="HV500" s="31"/>
      <c r="HW500" s="31"/>
      <c r="HX500" s="31"/>
      <c r="HY500" s="31"/>
      <c r="HZ500" s="31"/>
      <c r="IA500" s="31"/>
      <c r="IB500" s="31"/>
      <c r="IC500" s="31"/>
      <c r="ID500" s="31"/>
      <c r="IE500" s="31"/>
      <c r="IF500" s="31"/>
      <c r="IG500" s="31"/>
      <c r="IH500" s="31"/>
      <c r="II500" s="31"/>
      <c r="IJ500" s="31"/>
      <c r="IK500" s="31"/>
      <c r="IL500" s="31"/>
      <c r="IM500" s="31"/>
      <c r="IN500" s="31"/>
      <c r="IO500" s="31"/>
      <c r="IP500" s="31"/>
      <c r="IQ500" s="31"/>
      <c r="IR500" s="31"/>
      <c r="IS500" s="31"/>
      <c r="IT500" s="31"/>
      <c r="IU500" s="31"/>
      <c r="IV500" s="31"/>
      <c r="IW500" s="31"/>
      <c r="IX500" s="31"/>
      <c r="IY500" s="31"/>
      <c r="IZ500" s="31"/>
      <c r="JA500" s="31"/>
      <c r="JB500" s="31"/>
      <c r="JC500" s="31"/>
      <c r="JD500" s="31"/>
      <c r="JE500" s="31"/>
      <c r="JF500" s="31"/>
      <c r="JG500" s="31"/>
      <c r="JH500" s="31"/>
      <c r="JI500" s="31"/>
      <c r="JJ500" s="31"/>
      <c r="JK500" s="31"/>
      <c r="JL500" s="31"/>
      <c r="JM500" s="31"/>
      <c r="JN500" s="31"/>
      <c r="JO500" s="31"/>
      <c r="JP500" s="31"/>
      <c r="JQ500" s="31"/>
      <c r="JR500" s="31"/>
      <c r="JS500" s="31"/>
      <c r="JT500" s="31"/>
      <c r="JU500" s="31"/>
      <c r="JV500" s="31"/>
      <c r="JW500" s="31"/>
      <c r="JX500" s="31"/>
      <c r="JY500" s="31"/>
      <c r="JZ500" s="31"/>
      <c r="KA500" s="31"/>
      <c r="KB500" s="31"/>
      <c r="KC500" s="31"/>
      <c r="KD500" s="31"/>
      <c r="KE500" s="31"/>
      <c r="KF500" s="31"/>
      <c r="KG500" s="31"/>
      <c r="KH500" s="31"/>
      <c r="KI500" s="31"/>
      <c r="KJ500" s="31"/>
      <c r="KK500" s="31"/>
      <c r="KL500" s="31"/>
      <c r="KM500" s="31"/>
      <c r="KN500" s="31"/>
      <c r="KO500" s="31"/>
      <c r="KP500" s="31"/>
      <c r="KQ500" s="31"/>
      <c r="KR500" s="31"/>
      <c r="KS500" s="31"/>
      <c r="KT500" s="31"/>
      <c r="KU500" s="31"/>
      <c r="KV500" s="31"/>
      <c r="KW500" s="31"/>
      <c r="KX500" s="31"/>
      <c r="KY500" s="31"/>
      <c r="KZ500" s="31"/>
      <c r="LA500" s="31"/>
      <c r="LB500" s="31"/>
      <c r="LC500" s="31"/>
      <c r="LD500" s="31"/>
      <c r="LE500" s="31"/>
      <c r="LF500" s="31"/>
      <c r="LG500" s="31"/>
      <c r="LH500" s="31"/>
      <c r="LI500" s="31"/>
      <c r="LJ500" s="31"/>
      <c r="LK500" s="31"/>
      <c r="LL500" s="31"/>
      <c r="LM500" s="31"/>
      <c r="LN500" s="31"/>
      <c r="LO500" s="31"/>
      <c r="LP500" s="31"/>
      <c r="LQ500" s="31"/>
      <c r="LR500" s="31"/>
      <c r="LS500" s="31"/>
      <c r="LT500" s="31"/>
      <c r="LU500" s="31"/>
      <c r="LV500" s="31"/>
      <c r="LW500" s="31"/>
      <c r="LX500" s="31"/>
      <c r="LY500" s="31"/>
      <c r="LZ500" s="31"/>
      <c r="MA500" s="31"/>
      <c r="MB500" s="31"/>
      <c r="MC500" s="31"/>
      <c r="MD500" s="31"/>
      <c r="ME500" s="31"/>
      <c r="MF500" s="31"/>
      <c r="MG500" s="31"/>
      <c r="MH500" s="31"/>
      <c r="MI500" s="31"/>
      <c r="MJ500" s="31"/>
      <c r="MK500" s="31"/>
      <c r="ML500" s="31"/>
      <c r="MM500" s="31"/>
      <c r="MN500" s="31"/>
      <c r="MO500" s="31"/>
      <c r="MP500" s="31"/>
      <c r="MQ500" s="31"/>
      <c r="MR500" s="31"/>
      <c r="MS500" s="31"/>
      <c r="MT500" s="31"/>
      <c r="MU500" s="31"/>
      <c r="MV500" s="31"/>
      <c r="MW500" s="31"/>
      <c r="MX500" s="31"/>
      <c r="MY500" s="31"/>
      <c r="MZ500" s="31"/>
      <c r="NA500" s="31"/>
      <c r="NB500" s="31"/>
      <c r="NC500" s="31"/>
      <c r="ND500" s="31"/>
      <c r="NE500" s="31"/>
      <c r="NF500" s="31"/>
      <c r="NG500" s="31"/>
      <c r="NH500" s="31"/>
      <c r="NI500" s="31"/>
      <c r="NJ500" s="31"/>
      <c r="NK500" s="31"/>
      <c r="NL500" s="31"/>
      <c r="NM500" s="31"/>
      <c r="NN500" s="31"/>
      <c r="NO500" s="31"/>
      <c r="NP500" s="31"/>
      <c r="NQ500" s="31"/>
      <c r="NR500" s="31"/>
      <c r="NS500" s="31"/>
      <c r="NT500" s="31"/>
      <c r="NU500" s="31"/>
      <c r="NV500" s="31"/>
      <c r="NW500" s="31"/>
      <c r="NX500" s="31"/>
      <c r="NY500" s="31"/>
      <c r="NZ500" s="31"/>
      <c r="OA500" s="31"/>
      <c r="OB500" s="31"/>
      <c r="OC500" s="31"/>
      <c r="OD500" s="31"/>
      <c r="OE500" s="31"/>
      <c r="OF500" s="31"/>
      <c r="OG500" s="31"/>
      <c r="OH500" s="31"/>
      <c r="OI500" s="31"/>
      <c r="OJ500" s="31"/>
      <c r="OK500" s="31"/>
      <c r="OL500" s="31"/>
      <c r="OM500" s="31"/>
      <c r="ON500" s="31"/>
      <c r="OO500" s="31"/>
      <c r="OP500" s="31"/>
      <c r="OQ500" s="31"/>
      <c r="OR500" s="31"/>
      <c r="OS500" s="31"/>
      <c r="OT500" s="31"/>
      <c r="OU500" s="31"/>
      <c r="OV500" s="31"/>
      <c r="OW500" s="31"/>
      <c r="OX500" s="31"/>
    </row>
    <row r="501" spans="2:414" s="25" customFormat="1" ht="15.6">
      <c r="B501" s="51" t="s">
        <v>1031</v>
      </c>
      <c r="C501" s="27" t="s">
        <v>455</v>
      </c>
      <c r="D501" s="30" t="s">
        <v>355</v>
      </c>
      <c r="G501" s="42">
        <v>80</v>
      </c>
      <c r="H501" s="89">
        <v>26.109000000000002</v>
      </c>
      <c r="I501" s="38">
        <f t="shared" si="150"/>
        <v>2088.7200000000003</v>
      </c>
      <c r="K501" s="42">
        <v>80</v>
      </c>
      <c r="L501" s="90">
        <v>26.849599999999999</v>
      </c>
      <c r="M501" s="38">
        <f t="shared" si="151"/>
        <v>2147.9679999999998</v>
      </c>
      <c r="O501" s="42">
        <v>505</v>
      </c>
      <c r="P501" s="38">
        <v>26.728300000000001</v>
      </c>
      <c r="Q501" s="38">
        <f t="shared" si="152"/>
        <v>13497.791500000001</v>
      </c>
      <c r="R501" s="43">
        <f t="shared" si="149"/>
        <v>665</v>
      </c>
      <c r="S501" s="38">
        <f t="shared" si="153"/>
        <v>17734.479500000001</v>
      </c>
      <c r="T501" s="27"/>
      <c r="V501" s="38">
        <f t="shared" si="161"/>
        <v>0</v>
      </c>
      <c r="W501" s="48">
        <v>505</v>
      </c>
      <c r="X501" s="48">
        <v>26.65</v>
      </c>
      <c r="Y501" s="42">
        <f t="shared" si="159"/>
        <v>13458.25</v>
      </c>
      <c r="AB501" s="42">
        <f t="shared" si="160"/>
        <v>0</v>
      </c>
      <c r="AF501" s="42">
        <f t="shared" si="162"/>
        <v>0</v>
      </c>
      <c r="AU501" s="98"/>
      <c r="AV501" s="35"/>
      <c r="AW501" s="77"/>
      <c r="AZ501" s="42">
        <f t="shared" si="148"/>
        <v>0</v>
      </c>
      <c r="BD501" s="38">
        <f t="shared" si="154"/>
        <v>0</v>
      </c>
      <c r="BH501" s="38">
        <f t="shared" si="155"/>
        <v>0</v>
      </c>
      <c r="BL501" s="38">
        <f t="shared" si="156"/>
        <v>0</v>
      </c>
      <c r="BR501" s="42">
        <f t="shared" si="157"/>
        <v>13458.25</v>
      </c>
      <c r="BS501" s="43">
        <f t="shared" si="158"/>
        <v>4276.2295000000013</v>
      </c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  <c r="CF501" s="31"/>
      <c r="CG501" s="31"/>
      <c r="CH501" s="31"/>
      <c r="CI501" s="31"/>
      <c r="CJ501" s="31"/>
      <c r="CK501" s="31"/>
      <c r="CL501" s="31"/>
      <c r="CM501" s="31"/>
      <c r="CN501" s="31"/>
      <c r="CO501" s="31"/>
      <c r="CP501" s="31"/>
      <c r="CQ501" s="31"/>
      <c r="CR501" s="31"/>
      <c r="CS501" s="31"/>
      <c r="CT501" s="31"/>
      <c r="CU501" s="31"/>
      <c r="CV501" s="31"/>
      <c r="CW501" s="31"/>
      <c r="CX501" s="31"/>
      <c r="CY501" s="31"/>
      <c r="CZ501" s="31"/>
      <c r="DA501" s="31"/>
      <c r="DB501" s="31"/>
      <c r="DC501" s="31"/>
      <c r="DD501" s="31"/>
      <c r="DE501" s="31"/>
      <c r="DF501" s="31"/>
      <c r="DG501" s="31"/>
      <c r="DH501" s="31"/>
      <c r="DI501" s="31"/>
      <c r="DJ501" s="31"/>
      <c r="DK501" s="31"/>
      <c r="DL501" s="31"/>
      <c r="DM501" s="31"/>
      <c r="DN501" s="31"/>
      <c r="DO501" s="31"/>
      <c r="DP501" s="31"/>
      <c r="DQ501" s="31"/>
      <c r="DR501" s="31"/>
      <c r="DS501" s="31"/>
      <c r="DT501" s="31"/>
      <c r="DU501" s="31"/>
      <c r="DV501" s="31"/>
      <c r="DW501" s="31"/>
      <c r="DX501" s="31"/>
      <c r="DY501" s="31"/>
      <c r="DZ501" s="31"/>
      <c r="EA501" s="31"/>
      <c r="EB501" s="31"/>
      <c r="EC501" s="31"/>
      <c r="ED501" s="31"/>
      <c r="EE501" s="31"/>
      <c r="EF501" s="31"/>
      <c r="EG501" s="31"/>
      <c r="EH501" s="31"/>
      <c r="EI501" s="31"/>
      <c r="EJ501" s="31"/>
      <c r="EK501" s="31"/>
      <c r="EL501" s="31"/>
      <c r="EM501" s="31"/>
      <c r="EN501" s="31"/>
      <c r="EO501" s="31"/>
      <c r="EP501" s="31"/>
      <c r="EQ501" s="31"/>
      <c r="ER501" s="31"/>
      <c r="ES501" s="31"/>
      <c r="ET501" s="31"/>
      <c r="EU501" s="31"/>
      <c r="EV501" s="31"/>
      <c r="EW501" s="31"/>
      <c r="EX501" s="31"/>
      <c r="EY501" s="31"/>
      <c r="EZ501" s="31"/>
      <c r="FA501" s="31"/>
      <c r="FB501" s="31"/>
      <c r="FC501" s="31"/>
      <c r="FD501" s="31"/>
      <c r="FE501" s="31"/>
      <c r="FF501" s="31"/>
      <c r="FG501" s="31"/>
      <c r="FH501" s="31"/>
      <c r="FI501" s="31"/>
      <c r="FJ501" s="31"/>
      <c r="FK501" s="31"/>
      <c r="FL501" s="31"/>
      <c r="FM501" s="31"/>
      <c r="FN501" s="31"/>
      <c r="FO501" s="31"/>
      <c r="FP501" s="31"/>
      <c r="FQ501" s="31"/>
      <c r="FR501" s="31"/>
      <c r="FS501" s="31"/>
      <c r="FT501" s="31"/>
      <c r="FU501" s="31"/>
      <c r="FV501" s="31"/>
      <c r="FW501" s="31"/>
      <c r="FX501" s="31"/>
      <c r="FY501" s="31"/>
      <c r="FZ501" s="31"/>
      <c r="GA501" s="31"/>
      <c r="GB501" s="31"/>
      <c r="GC501" s="31"/>
      <c r="GD501" s="31"/>
      <c r="GE501" s="31"/>
      <c r="GF501" s="31"/>
      <c r="GG501" s="31"/>
      <c r="GH501" s="31"/>
      <c r="GI501" s="31"/>
      <c r="GJ501" s="31"/>
      <c r="GK501" s="31"/>
      <c r="GL501" s="31"/>
      <c r="GM501" s="31"/>
      <c r="GN501" s="31"/>
      <c r="GO501" s="31"/>
      <c r="GP501" s="31"/>
      <c r="GQ501" s="31"/>
      <c r="GR501" s="31"/>
      <c r="GS501" s="31"/>
      <c r="GT501" s="31"/>
      <c r="GU501" s="31"/>
      <c r="GV501" s="31"/>
      <c r="GW501" s="31"/>
      <c r="GX501" s="31"/>
      <c r="GY501" s="31"/>
      <c r="GZ501" s="31"/>
      <c r="HA501" s="31"/>
      <c r="HB501" s="31"/>
      <c r="HC501" s="31"/>
      <c r="HD501" s="31"/>
      <c r="HE501" s="31"/>
      <c r="HF501" s="31"/>
      <c r="HG501" s="31"/>
      <c r="HH501" s="31"/>
      <c r="HI501" s="31"/>
      <c r="HJ501" s="31"/>
      <c r="HK501" s="31"/>
      <c r="HL501" s="31"/>
      <c r="HM501" s="31"/>
      <c r="HN501" s="31"/>
      <c r="HO501" s="31"/>
      <c r="HP501" s="31"/>
      <c r="HQ501" s="31"/>
      <c r="HR501" s="31"/>
      <c r="HS501" s="31"/>
      <c r="HT501" s="31"/>
      <c r="HU501" s="31"/>
      <c r="HV501" s="31"/>
      <c r="HW501" s="31"/>
      <c r="HX501" s="31"/>
      <c r="HY501" s="31"/>
      <c r="HZ501" s="31"/>
      <c r="IA501" s="31"/>
      <c r="IB501" s="31"/>
      <c r="IC501" s="31"/>
      <c r="ID501" s="31"/>
      <c r="IE501" s="31"/>
      <c r="IF501" s="31"/>
      <c r="IG501" s="31"/>
      <c r="IH501" s="31"/>
      <c r="II501" s="31"/>
      <c r="IJ501" s="31"/>
      <c r="IK501" s="31"/>
      <c r="IL501" s="31"/>
      <c r="IM501" s="31"/>
      <c r="IN501" s="31"/>
      <c r="IO501" s="31"/>
      <c r="IP501" s="31"/>
      <c r="IQ501" s="31"/>
      <c r="IR501" s="31"/>
      <c r="IS501" s="31"/>
      <c r="IT501" s="31"/>
      <c r="IU501" s="31"/>
      <c r="IV501" s="31"/>
      <c r="IW501" s="31"/>
      <c r="IX501" s="31"/>
      <c r="IY501" s="31"/>
      <c r="IZ501" s="31"/>
      <c r="JA501" s="31"/>
      <c r="JB501" s="31"/>
      <c r="JC501" s="31"/>
      <c r="JD501" s="31"/>
      <c r="JE501" s="31"/>
      <c r="JF501" s="31"/>
      <c r="JG501" s="31"/>
      <c r="JH501" s="31"/>
      <c r="JI501" s="31"/>
      <c r="JJ501" s="31"/>
      <c r="JK501" s="31"/>
      <c r="JL501" s="31"/>
      <c r="JM501" s="31"/>
      <c r="JN501" s="31"/>
      <c r="JO501" s="31"/>
      <c r="JP501" s="31"/>
      <c r="JQ501" s="31"/>
      <c r="JR501" s="31"/>
      <c r="JS501" s="31"/>
      <c r="JT501" s="31"/>
      <c r="JU501" s="31"/>
      <c r="JV501" s="31"/>
      <c r="JW501" s="31"/>
      <c r="JX501" s="31"/>
      <c r="JY501" s="31"/>
      <c r="JZ501" s="31"/>
      <c r="KA501" s="31"/>
      <c r="KB501" s="31"/>
      <c r="KC501" s="31"/>
      <c r="KD501" s="31"/>
      <c r="KE501" s="31"/>
      <c r="KF501" s="31"/>
      <c r="KG501" s="31"/>
      <c r="KH501" s="31"/>
      <c r="KI501" s="31"/>
      <c r="KJ501" s="31"/>
      <c r="KK501" s="31"/>
      <c r="KL501" s="31"/>
      <c r="KM501" s="31"/>
      <c r="KN501" s="31"/>
      <c r="KO501" s="31"/>
      <c r="KP501" s="31"/>
      <c r="KQ501" s="31"/>
      <c r="KR501" s="31"/>
      <c r="KS501" s="31"/>
      <c r="KT501" s="31"/>
      <c r="KU501" s="31"/>
      <c r="KV501" s="31"/>
      <c r="KW501" s="31"/>
      <c r="KX501" s="31"/>
      <c r="KY501" s="31"/>
      <c r="KZ501" s="31"/>
      <c r="LA501" s="31"/>
      <c r="LB501" s="31"/>
      <c r="LC501" s="31"/>
      <c r="LD501" s="31"/>
      <c r="LE501" s="31"/>
      <c r="LF501" s="31"/>
      <c r="LG501" s="31"/>
      <c r="LH501" s="31"/>
      <c r="LI501" s="31"/>
      <c r="LJ501" s="31"/>
      <c r="LK501" s="31"/>
      <c r="LL501" s="31"/>
      <c r="LM501" s="31"/>
      <c r="LN501" s="31"/>
      <c r="LO501" s="31"/>
      <c r="LP501" s="31"/>
      <c r="LQ501" s="31"/>
      <c r="LR501" s="31"/>
      <c r="LS501" s="31"/>
      <c r="LT501" s="31"/>
      <c r="LU501" s="31"/>
      <c r="LV501" s="31"/>
      <c r="LW501" s="31"/>
      <c r="LX501" s="31"/>
      <c r="LY501" s="31"/>
      <c r="LZ501" s="31"/>
      <c r="MA501" s="31"/>
      <c r="MB501" s="31"/>
      <c r="MC501" s="31"/>
      <c r="MD501" s="31"/>
      <c r="ME501" s="31"/>
      <c r="MF501" s="31"/>
      <c r="MG501" s="31"/>
      <c r="MH501" s="31"/>
      <c r="MI501" s="31"/>
      <c r="MJ501" s="31"/>
      <c r="MK501" s="31"/>
      <c r="ML501" s="31"/>
      <c r="MM501" s="31"/>
      <c r="MN501" s="31"/>
      <c r="MO501" s="31"/>
      <c r="MP501" s="31"/>
      <c r="MQ501" s="31"/>
      <c r="MR501" s="31"/>
      <c r="MS501" s="31"/>
      <c r="MT501" s="31"/>
      <c r="MU501" s="31"/>
      <c r="MV501" s="31"/>
      <c r="MW501" s="31"/>
      <c r="MX501" s="31"/>
      <c r="MY501" s="31"/>
      <c r="MZ501" s="31"/>
      <c r="NA501" s="31"/>
      <c r="NB501" s="31"/>
      <c r="NC501" s="31"/>
      <c r="ND501" s="31"/>
      <c r="NE501" s="31"/>
      <c r="NF501" s="31"/>
      <c r="NG501" s="31"/>
      <c r="NH501" s="31"/>
      <c r="NI501" s="31"/>
      <c r="NJ501" s="31"/>
      <c r="NK501" s="31"/>
      <c r="NL501" s="31"/>
      <c r="NM501" s="31"/>
      <c r="NN501" s="31"/>
      <c r="NO501" s="31"/>
      <c r="NP501" s="31"/>
      <c r="NQ501" s="31"/>
      <c r="NR501" s="31"/>
      <c r="NS501" s="31"/>
      <c r="NT501" s="31"/>
      <c r="NU501" s="31"/>
      <c r="NV501" s="31"/>
      <c r="NW501" s="31"/>
      <c r="NX501" s="31"/>
      <c r="NY501" s="31"/>
      <c r="NZ501" s="31"/>
      <c r="OA501" s="31"/>
      <c r="OB501" s="31"/>
      <c r="OC501" s="31"/>
      <c r="OD501" s="31"/>
      <c r="OE501" s="31"/>
      <c r="OF501" s="31"/>
      <c r="OG501" s="31"/>
      <c r="OH501" s="31"/>
      <c r="OI501" s="31"/>
      <c r="OJ501" s="31"/>
      <c r="OK501" s="31"/>
      <c r="OL501" s="31"/>
      <c r="OM501" s="31"/>
      <c r="ON501" s="31"/>
      <c r="OO501" s="31"/>
      <c r="OP501" s="31"/>
      <c r="OQ501" s="31"/>
      <c r="OR501" s="31"/>
      <c r="OS501" s="31"/>
      <c r="OT501" s="31"/>
      <c r="OU501" s="31"/>
      <c r="OV501" s="31"/>
      <c r="OW501" s="31"/>
      <c r="OX501" s="31"/>
    </row>
    <row r="502" spans="2:414" s="25" customFormat="1" ht="15.6">
      <c r="B502" s="51" t="s">
        <v>132</v>
      </c>
      <c r="C502" s="27" t="s">
        <v>146</v>
      </c>
      <c r="D502" s="30" t="s">
        <v>355</v>
      </c>
      <c r="G502" s="42">
        <v>80</v>
      </c>
      <c r="H502" s="89">
        <v>26.109000000000002</v>
      </c>
      <c r="I502" s="38">
        <f t="shared" si="150"/>
        <v>2088.7200000000003</v>
      </c>
      <c r="K502" s="42">
        <v>80</v>
      </c>
      <c r="L502" s="90">
        <v>26.849599999999999</v>
      </c>
      <c r="M502" s="38">
        <f t="shared" si="151"/>
        <v>2147.9679999999998</v>
      </c>
      <c r="O502" s="42">
        <v>505</v>
      </c>
      <c r="P502" s="38">
        <v>26.728300000000001</v>
      </c>
      <c r="Q502" s="38">
        <f t="shared" si="152"/>
        <v>13497.791500000001</v>
      </c>
      <c r="R502" s="43">
        <f t="shared" si="149"/>
        <v>665</v>
      </c>
      <c r="S502" s="38">
        <f t="shared" si="153"/>
        <v>17734.479500000001</v>
      </c>
      <c r="T502" s="52">
        <v>240</v>
      </c>
      <c r="U502" s="48">
        <v>26.67</v>
      </c>
      <c r="V502" s="38">
        <f t="shared" si="161"/>
        <v>6400.8</v>
      </c>
      <c r="W502" s="48">
        <v>505</v>
      </c>
      <c r="X502" s="48">
        <v>26.72</v>
      </c>
      <c r="Y502" s="42">
        <f t="shared" si="159"/>
        <v>13493.599999999999</v>
      </c>
      <c r="AB502" s="42">
        <f t="shared" si="160"/>
        <v>0</v>
      </c>
      <c r="AF502" s="42">
        <f t="shared" si="162"/>
        <v>0</v>
      </c>
      <c r="AU502" s="98"/>
      <c r="AV502" s="35"/>
      <c r="AW502" s="77"/>
      <c r="AZ502" s="42">
        <f t="shared" si="148"/>
        <v>0</v>
      </c>
      <c r="BD502" s="38">
        <f t="shared" si="154"/>
        <v>0</v>
      </c>
      <c r="BH502" s="38">
        <f t="shared" si="155"/>
        <v>0</v>
      </c>
      <c r="BL502" s="38">
        <f t="shared" si="156"/>
        <v>0</v>
      </c>
      <c r="BR502" s="42">
        <f t="shared" si="157"/>
        <v>19894.399999999998</v>
      </c>
      <c r="BS502" s="43"/>
      <c r="BT502" s="25">
        <v>2159.92</v>
      </c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  <c r="CF502" s="31"/>
      <c r="CG502" s="31"/>
      <c r="CH502" s="31"/>
      <c r="CI502" s="31"/>
      <c r="CJ502" s="31"/>
      <c r="CK502" s="31"/>
      <c r="CL502" s="31"/>
      <c r="CM502" s="31"/>
      <c r="CN502" s="31"/>
      <c r="CO502" s="31"/>
      <c r="CP502" s="31"/>
      <c r="CQ502" s="31"/>
      <c r="CR502" s="31"/>
      <c r="CS502" s="31"/>
      <c r="CT502" s="31"/>
      <c r="CU502" s="31"/>
      <c r="CV502" s="31"/>
      <c r="CW502" s="31"/>
      <c r="CX502" s="31"/>
      <c r="CY502" s="31"/>
      <c r="CZ502" s="31"/>
      <c r="DA502" s="31"/>
      <c r="DB502" s="31"/>
      <c r="DC502" s="31"/>
      <c r="DD502" s="31"/>
      <c r="DE502" s="31"/>
      <c r="DF502" s="31"/>
      <c r="DG502" s="31"/>
      <c r="DH502" s="31"/>
      <c r="DI502" s="31"/>
      <c r="DJ502" s="31"/>
      <c r="DK502" s="31"/>
      <c r="DL502" s="31"/>
      <c r="DM502" s="31"/>
      <c r="DN502" s="31"/>
      <c r="DO502" s="31"/>
      <c r="DP502" s="31"/>
      <c r="DQ502" s="31"/>
      <c r="DR502" s="31"/>
      <c r="DS502" s="31"/>
      <c r="DT502" s="31"/>
      <c r="DU502" s="31"/>
      <c r="DV502" s="31"/>
      <c r="DW502" s="31"/>
      <c r="DX502" s="31"/>
      <c r="DY502" s="31"/>
      <c r="DZ502" s="31"/>
      <c r="EA502" s="31"/>
      <c r="EB502" s="31"/>
      <c r="EC502" s="31"/>
      <c r="ED502" s="31"/>
      <c r="EE502" s="31"/>
      <c r="EF502" s="31"/>
      <c r="EG502" s="31"/>
      <c r="EH502" s="31"/>
      <c r="EI502" s="31"/>
      <c r="EJ502" s="31"/>
      <c r="EK502" s="31"/>
      <c r="EL502" s="31"/>
      <c r="EM502" s="31"/>
      <c r="EN502" s="31"/>
      <c r="EO502" s="31"/>
      <c r="EP502" s="31"/>
      <c r="EQ502" s="31"/>
      <c r="ER502" s="31"/>
      <c r="ES502" s="31"/>
      <c r="ET502" s="31"/>
      <c r="EU502" s="31"/>
      <c r="EV502" s="31"/>
      <c r="EW502" s="31"/>
      <c r="EX502" s="31"/>
      <c r="EY502" s="31"/>
      <c r="EZ502" s="31"/>
      <c r="FA502" s="31"/>
      <c r="FB502" s="31"/>
      <c r="FC502" s="31"/>
      <c r="FD502" s="31"/>
      <c r="FE502" s="31"/>
      <c r="FF502" s="31"/>
      <c r="FG502" s="31"/>
      <c r="FH502" s="31"/>
      <c r="FI502" s="31"/>
      <c r="FJ502" s="31"/>
      <c r="FK502" s="31"/>
      <c r="FL502" s="31"/>
      <c r="FM502" s="31"/>
      <c r="FN502" s="31"/>
      <c r="FO502" s="31"/>
      <c r="FP502" s="31"/>
      <c r="FQ502" s="31"/>
      <c r="FR502" s="31"/>
      <c r="FS502" s="31"/>
      <c r="FT502" s="31"/>
      <c r="FU502" s="31"/>
      <c r="FV502" s="31"/>
      <c r="FW502" s="31"/>
      <c r="FX502" s="31"/>
      <c r="FY502" s="31"/>
      <c r="FZ502" s="31"/>
      <c r="GA502" s="31"/>
      <c r="GB502" s="31"/>
      <c r="GC502" s="31"/>
      <c r="GD502" s="31"/>
      <c r="GE502" s="31"/>
      <c r="GF502" s="31"/>
      <c r="GG502" s="31"/>
      <c r="GH502" s="31"/>
      <c r="GI502" s="31"/>
      <c r="GJ502" s="31"/>
      <c r="GK502" s="31"/>
      <c r="GL502" s="31"/>
      <c r="GM502" s="31"/>
      <c r="GN502" s="31"/>
      <c r="GO502" s="31"/>
      <c r="GP502" s="31"/>
      <c r="GQ502" s="31"/>
      <c r="GR502" s="31"/>
      <c r="GS502" s="31"/>
      <c r="GT502" s="31"/>
      <c r="GU502" s="31"/>
      <c r="GV502" s="31"/>
      <c r="GW502" s="31"/>
      <c r="GX502" s="31"/>
      <c r="GY502" s="31"/>
      <c r="GZ502" s="31"/>
      <c r="HA502" s="31"/>
      <c r="HB502" s="31"/>
      <c r="HC502" s="31"/>
      <c r="HD502" s="31"/>
      <c r="HE502" s="31"/>
      <c r="HF502" s="31"/>
      <c r="HG502" s="31"/>
      <c r="HH502" s="31"/>
      <c r="HI502" s="31"/>
      <c r="HJ502" s="31"/>
      <c r="HK502" s="31"/>
      <c r="HL502" s="31"/>
      <c r="HM502" s="31"/>
      <c r="HN502" s="31"/>
      <c r="HO502" s="31"/>
      <c r="HP502" s="31"/>
      <c r="HQ502" s="31"/>
      <c r="HR502" s="31"/>
      <c r="HS502" s="31"/>
      <c r="HT502" s="31"/>
      <c r="HU502" s="31"/>
      <c r="HV502" s="31"/>
      <c r="HW502" s="31"/>
      <c r="HX502" s="31"/>
      <c r="HY502" s="31"/>
      <c r="HZ502" s="31"/>
      <c r="IA502" s="31"/>
      <c r="IB502" s="31"/>
      <c r="IC502" s="31"/>
      <c r="ID502" s="31"/>
      <c r="IE502" s="31"/>
      <c r="IF502" s="31"/>
      <c r="IG502" s="31"/>
      <c r="IH502" s="31"/>
      <c r="II502" s="31"/>
      <c r="IJ502" s="31"/>
      <c r="IK502" s="31"/>
      <c r="IL502" s="31"/>
      <c r="IM502" s="31"/>
      <c r="IN502" s="31"/>
      <c r="IO502" s="31"/>
      <c r="IP502" s="31"/>
      <c r="IQ502" s="31"/>
      <c r="IR502" s="31"/>
      <c r="IS502" s="31"/>
      <c r="IT502" s="31"/>
      <c r="IU502" s="31"/>
      <c r="IV502" s="31"/>
      <c r="IW502" s="31"/>
      <c r="IX502" s="31"/>
      <c r="IY502" s="31"/>
      <c r="IZ502" s="31"/>
      <c r="JA502" s="31"/>
      <c r="JB502" s="31"/>
      <c r="JC502" s="31"/>
      <c r="JD502" s="31"/>
      <c r="JE502" s="31"/>
      <c r="JF502" s="31"/>
      <c r="JG502" s="31"/>
      <c r="JH502" s="31"/>
      <c r="JI502" s="31"/>
      <c r="JJ502" s="31"/>
      <c r="JK502" s="31"/>
      <c r="JL502" s="31"/>
      <c r="JM502" s="31"/>
      <c r="JN502" s="31"/>
      <c r="JO502" s="31"/>
      <c r="JP502" s="31"/>
      <c r="JQ502" s="31"/>
      <c r="JR502" s="31"/>
      <c r="JS502" s="31"/>
      <c r="JT502" s="31"/>
      <c r="JU502" s="31"/>
      <c r="JV502" s="31"/>
      <c r="JW502" s="31"/>
      <c r="JX502" s="31"/>
      <c r="JY502" s="31"/>
      <c r="JZ502" s="31"/>
      <c r="KA502" s="31"/>
      <c r="KB502" s="31"/>
      <c r="KC502" s="31"/>
      <c r="KD502" s="31"/>
      <c r="KE502" s="31"/>
      <c r="KF502" s="31"/>
      <c r="KG502" s="31"/>
      <c r="KH502" s="31"/>
      <c r="KI502" s="31"/>
      <c r="KJ502" s="31"/>
      <c r="KK502" s="31"/>
      <c r="KL502" s="31"/>
      <c r="KM502" s="31"/>
      <c r="KN502" s="31"/>
      <c r="KO502" s="31"/>
      <c r="KP502" s="31"/>
      <c r="KQ502" s="31"/>
      <c r="KR502" s="31"/>
      <c r="KS502" s="31"/>
      <c r="KT502" s="31"/>
      <c r="KU502" s="31"/>
      <c r="KV502" s="31"/>
      <c r="KW502" s="31"/>
      <c r="KX502" s="31"/>
      <c r="KY502" s="31"/>
      <c r="KZ502" s="31"/>
      <c r="LA502" s="31"/>
      <c r="LB502" s="31"/>
      <c r="LC502" s="31"/>
      <c r="LD502" s="31"/>
      <c r="LE502" s="31"/>
      <c r="LF502" s="31"/>
      <c r="LG502" s="31"/>
      <c r="LH502" s="31"/>
      <c r="LI502" s="31"/>
      <c r="LJ502" s="31"/>
      <c r="LK502" s="31"/>
      <c r="LL502" s="31"/>
      <c r="LM502" s="31"/>
      <c r="LN502" s="31"/>
      <c r="LO502" s="31"/>
      <c r="LP502" s="31"/>
      <c r="LQ502" s="31"/>
      <c r="LR502" s="31"/>
      <c r="LS502" s="31"/>
      <c r="LT502" s="31"/>
      <c r="LU502" s="31"/>
      <c r="LV502" s="31"/>
      <c r="LW502" s="31"/>
      <c r="LX502" s="31"/>
      <c r="LY502" s="31"/>
      <c r="LZ502" s="31"/>
      <c r="MA502" s="31"/>
      <c r="MB502" s="31"/>
      <c r="MC502" s="31"/>
      <c r="MD502" s="31"/>
      <c r="ME502" s="31"/>
      <c r="MF502" s="31"/>
      <c r="MG502" s="31"/>
      <c r="MH502" s="31"/>
      <c r="MI502" s="31"/>
      <c r="MJ502" s="31"/>
      <c r="MK502" s="31"/>
      <c r="ML502" s="31"/>
      <c r="MM502" s="31"/>
      <c r="MN502" s="31"/>
      <c r="MO502" s="31"/>
      <c r="MP502" s="31"/>
      <c r="MQ502" s="31"/>
      <c r="MR502" s="31"/>
      <c r="MS502" s="31"/>
      <c r="MT502" s="31"/>
      <c r="MU502" s="31"/>
      <c r="MV502" s="31"/>
      <c r="MW502" s="31"/>
      <c r="MX502" s="31"/>
      <c r="MY502" s="31"/>
      <c r="MZ502" s="31"/>
      <c r="NA502" s="31"/>
      <c r="NB502" s="31"/>
      <c r="NC502" s="31"/>
      <c r="ND502" s="31"/>
      <c r="NE502" s="31"/>
      <c r="NF502" s="31"/>
      <c r="NG502" s="31"/>
      <c r="NH502" s="31"/>
      <c r="NI502" s="31"/>
      <c r="NJ502" s="31"/>
      <c r="NK502" s="31"/>
      <c r="NL502" s="31"/>
      <c r="NM502" s="31"/>
      <c r="NN502" s="31"/>
      <c r="NO502" s="31"/>
      <c r="NP502" s="31"/>
      <c r="NQ502" s="31"/>
      <c r="NR502" s="31"/>
      <c r="NS502" s="31"/>
      <c r="NT502" s="31"/>
      <c r="NU502" s="31"/>
      <c r="NV502" s="31"/>
      <c r="NW502" s="31"/>
      <c r="NX502" s="31"/>
      <c r="NY502" s="31"/>
      <c r="NZ502" s="31"/>
      <c r="OA502" s="31"/>
      <c r="OB502" s="31"/>
      <c r="OC502" s="31"/>
      <c r="OD502" s="31"/>
      <c r="OE502" s="31"/>
      <c r="OF502" s="31"/>
      <c r="OG502" s="31"/>
      <c r="OH502" s="31"/>
      <c r="OI502" s="31"/>
      <c r="OJ502" s="31"/>
      <c r="OK502" s="31"/>
      <c r="OL502" s="31"/>
      <c r="OM502" s="31"/>
      <c r="ON502" s="31"/>
      <c r="OO502" s="31"/>
      <c r="OP502" s="31"/>
      <c r="OQ502" s="31"/>
      <c r="OR502" s="31"/>
      <c r="OS502" s="31"/>
      <c r="OT502" s="31"/>
      <c r="OU502" s="31"/>
      <c r="OV502" s="31"/>
      <c r="OW502" s="31"/>
      <c r="OX502" s="31"/>
    </row>
    <row r="503" spans="2:414" s="25" customFormat="1" ht="15.6">
      <c r="B503" s="51" t="s">
        <v>834</v>
      </c>
      <c r="C503" s="27" t="s">
        <v>271</v>
      </c>
      <c r="D503" s="30" t="s">
        <v>355</v>
      </c>
      <c r="G503" s="42">
        <v>80</v>
      </c>
      <c r="H503" s="89">
        <v>26.109000000000002</v>
      </c>
      <c r="I503" s="38">
        <f t="shared" si="150"/>
        <v>2088.7200000000003</v>
      </c>
      <c r="K503" s="42">
        <v>80</v>
      </c>
      <c r="L503" s="90">
        <v>26.849599999999999</v>
      </c>
      <c r="M503" s="38">
        <f t="shared" si="151"/>
        <v>2147.9679999999998</v>
      </c>
      <c r="O503" s="42">
        <v>505</v>
      </c>
      <c r="P503" s="38">
        <v>26.728300000000001</v>
      </c>
      <c r="Q503" s="38">
        <f t="shared" si="152"/>
        <v>13497.791500000001</v>
      </c>
      <c r="R503" s="43">
        <f t="shared" si="149"/>
        <v>665</v>
      </c>
      <c r="S503" s="38">
        <f t="shared" si="153"/>
        <v>17734.479500000001</v>
      </c>
      <c r="T503" s="52">
        <v>240</v>
      </c>
      <c r="U503" s="48">
        <v>26.67</v>
      </c>
      <c r="V503" s="38">
        <f t="shared" si="161"/>
        <v>6400.8</v>
      </c>
      <c r="X503" s="48">
        <v>26.65</v>
      </c>
      <c r="Y503" s="42">
        <f t="shared" si="159"/>
        <v>0</v>
      </c>
      <c r="AB503" s="42">
        <f t="shared" si="160"/>
        <v>0</v>
      </c>
      <c r="AF503" s="42">
        <f t="shared" si="162"/>
        <v>0</v>
      </c>
      <c r="AU503" s="98"/>
      <c r="AV503" s="35"/>
      <c r="AW503" s="77"/>
      <c r="AZ503" s="42">
        <f t="shared" si="148"/>
        <v>0</v>
      </c>
      <c r="BD503" s="38">
        <f t="shared" si="154"/>
        <v>0</v>
      </c>
      <c r="BH503" s="38">
        <f t="shared" si="155"/>
        <v>0</v>
      </c>
      <c r="BL503" s="38">
        <f t="shared" si="156"/>
        <v>0</v>
      </c>
      <c r="BR503" s="42">
        <f t="shared" si="157"/>
        <v>6400.8</v>
      </c>
      <c r="BS503" s="43">
        <f t="shared" si="158"/>
        <v>11333.679500000002</v>
      </c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  <c r="CF503" s="31"/>
      <c r="CG503" s="31"/>
      <c r="CH503" s="31"/>
      <c r="CI503" s="31"/>
      <c r="CJ503" s="31"/>
      <c r="CK503" s="31"/>
      <c r="CL503" s="31"/>
      <c r="CM503" s="31"/>
      <c r="CN503" s="31"/>
      <c r="CO503" s="31"/>
      <c r="CP503" s="31"/>
      <c r="CQ503" s="31"/>
      <c r="CR503" s="31"/>
      <c r="CS503" s="31"/>
      <c r="CT503" s="31"/>
      <c r="CU503" s="31"/>
      <c r="CV503" s="31"/>
      <c r="CW503" s="31"/>
      <c r="CX503" s="31"/>
      <c r="CY503" s="31"/>
      <c r="CZ503" s="31"/>
      <c r="DA503" s="31"/>
      <c r="DB503" s="31"/>
      <c r="DC503" s="31"/>
      <c r="DD503" s="31"/>
      <c r="DE503" s="31"/>
      <c r="DF503" s="31"/>
      <c r="DG503" s="31"/>
      <c r="DH503" s="31"/>
      <c r="DI503" s="31"/>
      <c r="DJ503" s="31"/>
      <c r="DK503" s="31"/>
      <c r="DL503" s="31"/>
      <c r="DM503" s="31"/>
      <c r="DN503" s="31"/>
      <c r="DO503" s="31"/>
      <c r="DP503" s="31"/>
      <c r="DQ503" s="31"/>
      <c r="DR503" s="31"/>
      <c r="DS503" s="31"/>
      <c r="DT503" s="31"/>
      <c r="DU503" s="31"/>
      <c r="DV503" s="31"/>
      <c r="DW503" s="31"/>
      <c r="DX503" s="31"/>
      <c r="DY503" s="31"/>
      <c r="DZ503" s="31"/>
      <c r="EA503" s="31"/>
      <c r="EB503" s="31"/>
      <c r="EC503" s="31"/>
      <c r="ED503" s="31"/>
      <c r="EE503" s="31"/>
      <c r="EF503" s="31"/>
      <c r="EG503" s="31"/>
      <c r="EH503" s="31"/>
      <c r="EI503" s="31"/>
      <c r="EJ503" s="31"/>
      <c r="EK503" s="31"/>
      <c r="EL503" s="31"/>
      <c r="EM503" s="31"/>
      <c r="EN503" s="31"/>
      <c r="EO503" s="31"/>
      <c r="EP503" s="31"/>
      <c r="EQ503" s="31"/>
      <c r="ER503" s="31"/>
      <c r="ES503" s="31"/>
      <c r="ET503" s="31"/>
      <c r="EU503" s="31"/>
      <c r="EV503" s="31"/>
      <c r="EW503" s="31"/>
      <c r="EX503" s="31"/>
      <c r="EY503" s="31"/>
      <c r="EZ503" s="31"/>
      <c r="FA503" s="31"/>
      <c r="FB503" s="31"/>
      <c r="FC503" s="31"/>
      <c r="FD503" s="31"/>
      <c r="FE503" s="31"/>
      <c r="FF503" s="31"/>
      <c r="FG503" s="31"/>
      <c r="FH503" s="31"/>
      <c r="FI503" s="31"/>
      <c r="FJ503" s="31"/>
      <c r="FK503" s="31"/>
      <c r="FL503" s="31"/>
      <c r="FM503" s="31"/>
      <c r="FN503" s="31"/>
      <c r="FO503" s="31"/>
      <c r="FP503" s="31"/>
      <c r="FQ503" s="31"/>
      <c r="FR503" s="31"/>
      <c r="FS503" s="31"/>
      <c r="FT503" s="31"/>
      <c r="FU503" s="31"/>
      <c r="FV503" s="31"/>
      <c r="FW503" s="31"/>
      <c r="FX503" s="31"/>
      <c r="FY503" s="31"/>
      <c r="FZ503" s="31"/>
      <c r="GA503" s="31"/>
      <c r="GB503" s="31"/>
      <c r="GC503" s="31"/>
      <c r="GD503" s="31"/>
      <c r="GE503" s="31"/>
      <c r="GF503" s="31"/>
      <c r="GG503" s="31"/>
      <c r="GH503" s="31"/>
      <c r="GI503" s="31"/>
      <c r="GJ503" s="31"/>
      <c r="GK503" s="31"/>
      <c r="GL503" s="31"/>
      <c r="GM503" s="31"/>
      <c r="GN503" s="31"/>
      <c r="GO503" s="31"/>
      <c r="GP503" s="31"/>
      <c r="GQ503" s="31"/>
      <c r="GR503" s="31"/>
      <c r="GS503" s="31"/>
      <c r="GT503" s="31"/>
      <c r="GU503" s="31"/>
      <c r="GV503" s="31"/>
      <c r="GW503" s="31"/>
      <c r="GX503" s="31"/>
      <c r="GY503" s="31"/>
      <c r="GZ503" s="31"/>
      <c r="HA503" s="31"/>
      <c r="HB503" s="31"/>
      <c r="HC503" s="31"/>
      <c r="HD503" s="31"/>
      <c r="HE503" s="31"/>
      <c r="HF503" s="31"/>
      <c r="HG503" s="31"/>
      <c r="HH503" s="31"/>
      <c r="HI503" s="31"/>
      <c r="HJ503" s="31"/>
      <c r="HK503" s="31"/>
      <c r="HL503" s="31"/>
      <c r="HM503" s="31"/>
      <c r="HN503" s="31"/>
      <c r="HO503" s="31"/>
      <c r="HP503" s="31"/>
      <c r="HQ503" s="31"/>
      <c r="HR503" s="31"/>
      <c r="HS503" s="31"/>
      <c r="HT503" s="31"/>
      <c r="HU503" s="31"/>
      <c r="HV503" s="31"/>
      <c r="HW503" s="31"/>
      <c r="HX503" s="31"/>
      <c r="HY503" s="31"/>
      <c r="HZ503" s="31"/>
      <c r="IA503" s="31"/>
      <c r="IB503" s="31"/>
      <c r="IC503" s="31"/>
      <c r="ID503" s="31"/>
      <c r="IE503" s="31"/>
      <c r="IF503" s="31"/>
      <c r="IG503" s="31"/>
      <c r="IH503" s="31"/>
      <c r="II503" s="31"/>
      <c r="IJ503" s="31"/>
      <c r="IK503" s="31"/>
      <c r="IL503" s="31"/>
      <c r="IM503" s="31"/>
      <c r="IN503" s="31"/>
      <c r="IO503" s="31"/>
      <c r="IP503" s="31"/>
      <c r="IQ503" s="31"/>
      <c r="IR503" s="31"/>
      <c r="IS503" s="31"/>
      <c r="IT503" s="31"/>
      <c r="IU503" s="31"/>
      <c r="IV503" s="31"/>
      <c r="IW503" s="31"/>
      <c r="IX503" s="31"/>
      <c r="IY503" s="31"/>
      <c r="IZ503" s="31"/>
      <c r="JA503" s="31"/>
      <c r="JB503" s="31"/>
      <c r="JC503" s="31"/>
      <c r="JD503" s="31"/>
      <c r="JE503" s="31"/>
      <c r="JF503" s="31"/>
      <c r="JG503" s="31"/>
      <c r="JH503" s="31"/>
      <c r="JI503" s="31"/>
      <c r="JJ503" s="31"/>
      <c r="JK503" s="31"/>
      <c r="JL503" s="31"/>
      <c r="JM503" s="31"/>
      <c r="JN503" s="31"/>
      <c r="JO503" s="31"/>
      <c r="JP503" s="31"/>
      <c r="JQ503" s="31"/>
      <c r="JR503" s="31"/>
      <c r="JS503" s="31"/>
      <c r="JT503" s="31"/>
      <c r="JU503" s="31"/>
      <c r="JV503" s="31"/>
      <c r="JW503" s="31"/>
      <c r="JX503" s="31"/>
      <c r="JY503" s="31"/>
      <c r="JZ503" s="31"/>
      <c r="KA503" s="31"/>
      <c r="KB503" s="31"/>
      <c r="KC503" s="31"/>
      <c r="KD503" s="31"/>
      <c r="KE503" s="31"/>
      <c r="KF503" s="31"/>
      <c r="KG503" s="31"/>
      <c r="KH503" s="31"/>
      <c r="KI503" s="31"/>
      <c r="KJ503" s="31"/>
      <c r="KK503" s="31"/>
      <c r="KL503" s="31"/>
      <c r="KM503" s="31"/>
      <c r="KN503" s="31"/>
      <c r="KO503" s="31"/>
      <c r="KP503" s="31"/>
      <c r="KQ503" s="31"/>
      <c r="KR503" s="31"/>
      <c r="KS503" s="31"/>
      <c r="KT503" s="31"/>
      <c r="KU503" s="31"/>
      <c r="KV503" s="31"/>
      <c r="KW503" s="31"/>
      <c r="KX503" s="31"/>
      <c r="KY503" s="31"/>
      <c r="KZ503" s="31"/>
      <c r="LA503" s="31"/>
      <c r="LB503" s="31"/>
      <c r="LC503" s="31"/>
      <c r="LD503" s="31"/>
      <c r="LE503" s="31"/>
      <c r="LF503" s="31"/>
      <c r="LG503" s="31"/>
      <c r="LH503" s="31"/>
      <c r="LI503" s="31"/>
      <c r="LJ503" s="31"/>
      <c r="LK503" s="31"/>
      <c r="LL503" s="31"/>
      <c r="LM503" s="31"/>
      <c r="LN503" s="31"/>
      <c r="LO503" s="31"/>
      <c r="LP503" s="31"/>
      <c r="LQ503" s="31"/>
      <c r="LR503" s="31"/>
      <c r="LS503" s="31"/>
      <c r="LT503" s="31"/>
      <c r="LU503" s="31"/>
      <c r="LV503" s="31"/>
      <c r="LW503" s="31"/>
      <c r="LX503" s="31"/>
      <c r="LY503" s="31"/>
      <c r="LZ503" s="31"/>
      <c r="MA503" s="31"/>
      <c r="MB503" s="31"/>
      <c r="MC503" s="31"/>
      <c r="MD503" s="31"/>
      <c r="ME503" s="31"/>
      <c r="MF503" s="31"/>
      <c r="MG503" s="31"/>
      <c r="MH503" s="31"/>
      <c r="MI503" s="31"/>
      <c r="MJ503" s="31"/>
      <c r="MK503" s="31"/>
      <c r="ML503" s="31"/>
      <c r="MM503" s="31"/>
      <c r="MN503" s="31"/>
      <c r="MO503" s="31"/>
      <c r="MP503" s="31"/>
      <c r="MQ503" s="31"/>
      <c r="MR503" s="31"/>
      <c r="MS503" s="31"/>
      <c r="MT503" s="31"/>
      <c r="MU503" s="31"/>
      <c r="MV503" s="31"/>
      <c r="MW503" s="31"/>
      <c r="MX503" s="31"/>
      <c r="MY503" s="31"/>
      <c r="MZ503" s="31"/>
      <c r="NA503" s="31"/>
      <c r="NB503" s="31"/>
      <c r="NC503" s="31"/>
      <c r="ND503" s="31"/>
      <c r="NE503" s="31"/>
      <c r="NF503" s="31"/>
      <c r="NG503" s="31"/>
      <c r="NH503" s="31"/>
      <c r="NI503" s="31"/>
      <c r="NJ503" s="31"/>
      <c r="NK503" s="31"/>
      <c r="NL503" s="31"/>
      <c r="NM503" s="31"/>
      <c r="NN503" s="31"/>
      <c r="NO503" s="31"/>
      <c r="NP503" s="31"/>
      <c r="NQ503" s="31"/>
      <c r="NR503" s="31"/>
      <c r="NS503" s="31"/>
      <c r="NT503" s="31"/>
      <c r="NU503" s="31"/>
      <c r="NV503" s="31"/>
      <c r="NW503" s="31"/>
      <c r="NX503" s="31"/>
      <c r="NY503" s="31"/>
      <c r="NZ503" s="31"/>
      <c r="OA503" s="31"/>
      <c r="OB503" s="31"/>
      <c r="OC503" s="31"/>
      <c r="OD503" s="31"/>
      <c r="OE503" s="31"/>
      <c r="OF503" s="31"/>
      <c r="OG503" s="31"/>
      <c r="OH503" s="31"/>
      <c r="OI503" s="31"/>
      <c r="OJ503" s="31"/>
      <c r="OK503" s="31"/>
      <c r="OL503" s="31"/>
      <c r="OM503" s="31"/>
      <c r="ON503" s="31"/>
      <c r="OO503" s="31"/>
      <c r="OP503" s="31"/>
      <c r="OQ503" s="31"/>
      <c r="OR503" s="31"/>
      <c r="OS503" s="31"/>
      <c r="OT503" s="31"/>
      <c r="OU503" s="31"/>
      <c r="OV503" s="31"/>
      <c r="OW503" s="31"/>
      <c r="OX503" s="31"/>
    </row>
    <row r="504" spans="2:414" s="25" customFormat="1" ht="15.6">
      <c r="B504" s="51" t="s">
        <v>114</v>
      </c>
      <c r="C504" s="27" t="s">
        <v>146</v>
      </c>
      <c r="D504" s="30" t="s">
        <v>405</v>
      </c>
      <c r="G504" s="42">
        <v>80</v>
      </c>
      <c r="H504" s="89">
        <v>26.109000000000002</v>
      </c>
      <c r="I504" s="38">
        <f t="shared" si="150"/>
        <v>2088.7200000000003</v>
      </c>
      <c r="K504" s="42">
        <v>80</v>
      </c>
      <c r="L504" s="90">
        <v>26.849599999999999</v>
      </c>
      <c r="M504" s="38">
        <f t="shared" si="151"/>
        <v>2147.9679999999998</v>
      </c>
      <c r="O504" s="42">
        <v>505</v>
      </c>
      <c r="P504" s="38">
        <v>26.728300000000001</v>
      </c>
      <c r="Q504" s="38">
        <f t="shared" si="152"/>
        <v>13497.791500000001</v>
      </c>
      <c r="R504" s="43">
        <f t="shared" si="149"/>
        <v>665</v>
      </c>
      <c r="S504" s="38">
        <f t="shared" si="153"/>
        <v>17734.479500000001</v>
      </c>
      <c r="T504" s="52">
        <v>240</v>
      </c>
      <c r="U504" s="48">
        <v>26.47</v>
      </c>
      <c r="V504" s="38">
        <f t="shared" si="161"/>
        <v>6352.7999999999993</v>
      </c>
      <c r="W504" s="48">
        <v>390</v>
      </c>
      <c r="X504" s="48">
        <v>26.564699999999998</v>
      </c>
      <c r="Y504" s="42">
        <f t="shared" si="159"/>
        <v>10360.233</v>
      </c>
      <c r="AB504" s="42">
        <f t="shared" si="160"/>
        <v>0</v>
      </c>
      <c r="AF504" s="42">
        <f t="shared" si="162"/>
        <v>0</v>
      </c>
      <c r="AU504" s="98"/>
      <c r="AV504" s="35"/>
      <c r="AW504" s="77"/>
      <c r="AZ504" s="42">
        <f t="shared" si="148"/>
        <v>0</v>
      </c>
      <c r="BD504" s="38">
        <f t="shared" si="154"/>
        <v>0</v>
      </c>
      <c r="BH504" s="38">
        <f t="shared" si="155"/>
        <v>0</v>
      </c>
      <c r="BL504" s="38">
        <f t="shared" si="156"/>
        <v>0</v>
      </c>
      <c r="BR504" s="42">
        <f t="shared" si="157"/>
        <v>16713.032999999999</v>
      </c>
      <c r="BS504" s="43">
        <f t="shared" si="158"/>
        <v>1021.4465000000018</v>
      </c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  <c r="CF504" s="31"/>
      <c r="CG504" s="31"/>
      <c r="CH504" s="31"/>
      <c r="CI504" s="31"/>
      <c r="CJ504" s="31"/>
      <c r="CK504" s="31"/>
      <c r="CL504" s="31"/>
      <c r="CM504" s="31"/>
      <c r="CN504" s="31"/>
      <c r="CO504" s="31"/>
      <c r="CP504" s="31"/>
      <c r="CQ504" s="31"/>
      <c r="CR504" s="31"/>
      <c r="CS504" s="31"/>
      <c r="CT504" s="31"/>
      <c r="CU504" s="31"/>
      <c r="CV504" s="31"/>
      <c r="CW504" s="31"/>
      <c r="CX504" s="31"/>
      <c r="CY504" s="31"/>
      <c r="CZ504" s="31"/>
      <c r="DA504" s="31"/>
      <c r="DB504" s="31"/>
      <c r="DC504" s="31"/>
      <c r="DD504" s="31"/>
      <c r="DE504" s="31"/>
      <c r="DF504" s="31"/>
      <c r="DG504" s="31"/>
      <c r="DH504" s="31"/>
      <c r="DI504" s="31"/>
      <c r="DJ504" s="31"/>
      <c r="DK504" s="31"/>
      <c r="DL504" s="31"/>
      <c r="DM504" s="31"/>
      <c r="DN504" s="31"/>
      <c r="DO504" s="31"/>
      <c r="DP504" s="31"/>
      <c r="DQ504" s="31"/>
      <c r="DR504" s="31"/>
      <c r="DS504" s="31"/>
      <c r="DT504" s="31"/>
      <c r="DU504" s="31"/>
      <c r="DV504" s="31"/>
      <c r="DW504" s="31"/>
      <c r="DX504" s="31"/>
      <c r="DY504" s="31"/>
      <c r="DZ504" s="31"/>
      <c r="EA504" s="31"/>
      <c r="EB504" s="31"/>
      <c r="EC504" s="31"/>
      <c r="ED504" s="31"/>
      <c r="EE504" s="31"/>
      <c r="EF504" s="31"/>
      <c r="EG504" s="31"/>
      <c r="EH504" s="31"/>
      <c r="EI504" s="31"/>
      <c r="EJ504" s="31"/>
      <c r="EK504" s="31"/>
      <c r="EL504" s="31"/>
      <c r="EM504" s="31"/>
      <c r="EN504" s="31"/>
      <c r="EO504" s="31"/>
      <c r="EP504" s="31"/>
      <c r="EQ504" s="31"/>
      <c r="ER504" s="31"/>
      <c r="ES504" s="31"/>
      <c r="ET504" s="31"/>
      <c r="EU504" s="31"/>
      <c r="EV504" s="31"/>
      <c r="EW504" s="31"/>
      <c r="EX504" s="31"/>
      <c r="EY504" s="31"/>
      <c r="EZ504" s="31"/>
      <c r="FA504" s="31"/>
      <c r="FB504" s="31"/>
      <c r="FC504" s="31"/>
      <c r="FD504" s="31"/>
      <c r="FE504" s="31"/>
      <c r="FF504" s="31"/>
      <c r="FG504" s="31"/>
      <c r="FH504" s="31"/>
      <c r="FI504" s="31"/>
      <c r="FJ504" s="31"/>
      <c r="FK504" s="31"/>
      <c r="FL504" s="31"/>
      <c r="FM504" s="31"/>
      <c r="FN504" s="31"/>
      <c r="FO504" s="31"/>
      <c r="FP504" s="31"/>
      <c r="FQ504" s="31"/>
      <c r="FR504" s="31"/>
      <c r="FS504" s="31"/>
      <c r="FT504" s="31"/>
      <c r="FU504" s="31"/>
      <c r="FV504" s="31"/>
      <c r="FW504" s="31"/>
      <c r="FX504" s="31"/>
      <c r="FY504" s="31"/>
      <c r="FZ504" s="31"/>
      <c r="GA504" s="31"/>
      <c r="GB504" s="31"/>
      <c r="GC504" s="31"/>
      <c r="GD504" s="31"/>
      <c r="GE504" s="31"/>
      <c r="GF504" s="31"/>
      <c r="GG504" s="31"/>
      <c r="GH504" s="31"/>
      <c r="GI504" s="31"/>
      <c r="GJ504" s="31"/>
      <c r="GK504" s="31"/>
      <c r="GL504" s="31"/>
      <c r="GM504" s="31"/>
      <c r="GN504" s="31"/>
      <c r="GO504" s="31"/>
      <c r="GP504" s="31"/>
      <c r="GQ504" s="31"/>
      <c r="GR504" s="31"/>
      <c r="GS504" s="31"/>
      <c r="GT504" s="31"/>
      <c r="GU504" s="31"/>
      <c r="GV504" s="31"/>
      <c r="GW504" s="31"/>
      <c r="GX504" s="31"/>
      <c r="GY504" s="31"/>
      <c r="GZ504" s="31"/>
      <c r="HA504" s="31"/>
      <c r="HB504" s="31"/>
      <c r="HC504" s="31"/>
      <c r="HD504" s="31"/>
      <c r="HE504" s="31"/>
      <c r="HF504" s="31"/>
      <c r="HG504" s="31"/>
      <c r="HH504" s="31"/>
      <c r="HI504" s="31"/>
      <c r="HJ504" s="31"/>
      <c r="HK504" s="31"/>
      <c r="HL504" s="31"/>
      <c r="HM504" s="31"/>
      <c r="HN504" s="31"/>
      <c r="HO504" s="31"/>
      <c r="HP504" s="31"/>
      <c r="HQ504" s="31"/>
      <c r="HR504" s="31"/>
      <c r="HS504" s="31"/>
      <c r="HT504" s="31"/>
      <c r="HU504" s="31"/>
      <c r="HV504" s="31"/>
      <c r="HW504" s="31"/>
      <c r="HX504" s="31"/>
      <c r="HY504" s="31"/>
      <c r="HZ504" s="31"/>
      <c r="IA504" s="31"/>
      <c r="IB504" s="31"/>
      <c r="IC504" s="31"/>
      <c r="ID504" s="31"/>
      <c r="IE504" s="31"/>
      <c r="IF504" s="31"/>
      <c r="IG504" s="31"/>
      <c r="IH504" s="31"/>
      <c r="II504" s="31"/>
      <c r="IJ504" s="31"/>
      <c r="IK504" s="31"/>
      <c r="IL504" s="31"/>
      <c r="IM504" s="31"/>
      <c r="IN504" s="31"/>
      <c r="IO504" s="31"/>
      <c r="IP504" s="31"/>
      <c r="IQ504" s="31"/>
      <c r="IR504" s="31"/>
      <c r="IS504" s="31"/>
      <c r="IT504" s="31"/>
      <c r="IU504" s="31"/>
      <c r="IV504" s="31"/>
      <c r="IW504" s="31"/>
      <c r="IX504" s="31"/>
      <c r="IY504" s="31"/>
      <c r="IZ504" s="31"/>
      <c r="JA504" s="31"/>
      <c r="JB504" s="31"/>
      <c r="JC504" s="31"/>
      <c r="JD504" s="31"/>
      <c r="JE504" s="31"/>
      <c r="JF504" s="31"/>
      <c r="JG504" s="31"/>
      <c r="JH504" s="31"/>
      <c r="JI504" s="31"/>
      <c r="JJ504" s="31"/>
      <c r="JK504" s="31"/>
      <c r="JL504" s="31"/>
      <c r="JM504" s="31"/>
      <c r="JN504" s="31"/>
      <c r="JO504" s="31"/>
      <c r="JP504" s="31"/>
      <c r="JQ504" s="31"/>
      <c r="JR504" s="31"/>
      <c r="JS504" s="31"/>
      <c r="JT504" s="31"/>
      <c r="JU504" s="31"/>
      <c r="JV504" s="31"/>
      <c r="JW504" s="31"/>
      <c r="JX504" s="31"/>
      <c r="JY504" s="31"/>
      <c r="JZ504" s="31"/>
      <c r="KA504" s="31"/>
      <c r="KB504" s="31"/>
      <c r="KC504" s="31"/>
      <c r="KD504" s="31"/>
      <c r="KE504" s="31"/>
      <c r="KF504" s="31"/>
      <c r="KG504" s="31"/>
      <c r="KH504" s="31"/>
      <c r="KI504" s="31"/>
      <c r="KJ504" s="31"/>
      <c r="KK504" s="31"/>
      <c r="KL504" s="31"/>
      <c r="KM504" s="31"/>
      <c r="KN504" s="31"/>
      <c r="KO504" s="31"/>
      <c r="KP504" s="31"/>
      <c r="KQ504" s="31"/>
      <c r="KR504" s="31"/>
      <c r="KS504" s="31"/>
      <c r="KT504" s="31"/>
      <c r="KU504" s="31"/>
      <c r="KV504" s="31"/>
      <c r="KW504" s="31"/>
      <c r="KX504" s="31"/>
      <c r="KY504" s="31"/>
      <c r="KZ504" s="31"/>
      <c r="LA504" s="31"/>
      <c r="LB504" s="31"/>
      <c r="LC504" s="31"/>
      <c r="LD504" s="31"/>
      <c r="LE504" s="31"/>
      <c r="LF504" s="31"/>
      <c r="LG504" s="31"/>
      <c r="LH504" s="31"/>
      <c r="LI504" s="31"/>
      <c r="LJ504" s="31"/>
      <c r="LK504" s="31"/>
      <c r="LL504" s="31"/>
      <c r="LM504" s="31"/>
      <c r="LN504" s="31"/>
      <c r="LO504" s="31"/>
      <c r="LP504" s="31"/>
      <c r="LQ504" s="31"/>
      <c r="LR504" s="31"/>
      <c r="LS504" s="31"/>
      <c r="LT504" s="31"/>
      <c r="LU504" s="31"/>
      <c r="LV504" s="31"/>
      <c r="LW504" s="31"/>
      <c r="LX504" s="31"/>
      <c r="LY504" s="31"/>
      <c r="LZ504" s="31"/>
      <c r="MA504" s="31"/>
      <c r="MB504" s="31"/>
      <c r="MC504" s="31"/>
      <c r="MD504" s="31"/>
      <c r="ME504" s="31"/>
      <c r="MF504" s="31"/>
      <c r="MG504" s="31"/>
      <c r="MH504" s="31"/>
      <c r="MI504" s="31"/>
      <c r="MJ504" s="31"/>
      <c r="MK504" s="31"/>
      <c r="ML504" s="31"/>
      <c r="MM504" s="31"/>
      <c r="MN504" s="31"/>
      <c r="MO504" s="31"/>
      <c r="MP504" s="31"/>
      <c r="MQ504" s="31"/>
      <c r="MR504" s="31"/>
      <c r="MS504" s="31"/>
      <c r="MT504" s="31"/>
      <c r="MU504" s="31"/>
      <c r="MV504" s="31"/>
      <c r="MW504" s="31"/>
      <c r="MX504" s="31"/>
      <c r="MY504" s="31"/>
      <c r="MZ504" s="31"/>
      <c r="NA504" s="31"/>
      <c r="NB504" s="31"/>
      <c r="NC504" s="31"/>
      <c r="ND504" s="31"/>
      <c r="NE504" s="31"/>
      <c r="NF504" s="31"/>
      <c r="NG504" s="31"/>
      <c r="NH504" s="31"/>
      <c r="NI504" s="31"/>
      <c r="NJ504" s="31"/>
      <c r="NK504" s="31"/>
      <c r="NL504" s="31"/>
      <c r="NM504" s="31"/>
      <c r="NN504" s="31"/>
      <c r="NO504" s="31"/>
      <c r="NP504" s="31"/>
      <c r="NQ504" s="31"/>
      <c r="NR504" s="31"/>
      <c r="NS504" s="31"/>
      <c r="NT504" s="31"/>
      <c r="NU504" s="31"/>
      <c r="NV504" s="31"/>
      <c r="NW504" s="31"/>
      <c r="NX504" s="31"/>
      <c r="NY504" s="31"/>
      <c r="NZ504" s="31"/>
      <c r="OA504" s="31"/>
      <c r="OB504" s="31"/>
      <c r="OC504" s="31"/>
      <c r="OD504" s="31"/>
      <c r="OE504" s="31"/>
      <c r="OF504" s="31"/>
      <c r="OG504" s="31"/>
      <c r="OH504" s="31"/>
      <c r="OI504" s="31"/>
      <c r="OJ504" s="31"/>
      <c r="OK504" s="31"/>
      <c r="OL504" s="31"/>
      <c r="OM504" s="31"/>
      <c r="ON504" s="31"/>
      <c r="OO504" s="31"/>
      <c r="OP504" s="31"/>
      <c r="OQ504" s="31"/>
      <c r="OR504" s="31"/>
      <c r="OS504" s="31"/>
      <c r="OT504" s="31"/>
      <c r="OU504" s="31"/>
      <c r="OV504" s="31"/>
      <c r="OW504" s="31"/>
      <c r="OX504" s="31"/>
    </row>
    <row r="505" spans="2:414" s="25" customFormat="1" ht="15.6">
      <c r="B505" s="51" t="s">
        <v>1032</v>
      </c>
      <c r="C505" s="27" t="s">
        <v>1033</v>
      </c>
      <c r="D505" s="30" t="s">
        <v>405</v>
      </c>
      <c r="G505" s="42">
        <v>80</v>
      </c>
      <c r="H505" s="89">
        <v>26.109000000000002</v>
      </c>
      <c r="I505" s="38">
        <f t="shared" si="150"/>
        <v>2088.7200000000003</v>
      </c>
      <c r="K505" s="42">
        <v>80</v>
      </c>
      <c r="L505" s="90">
        <v>26.849599999999999</v>
      </c>
      <c r="M505" s="38">
        <f t="shared" si="151"/>
        <v>2147.9679999999998</v>
      </c>
      <c r="O505" s="42">
        <v>505</v>
      </c>
      <c r="P505" s="38">
        <v>26.728300000000001</v>
      </c>
      <c r="Q505" s="38">
        <f t="shared" si="152"/>
        <v>13497.791500000001</v>
      </c>
      <c r="R505" s="43">
        <f t="shared" si="149"/>
        <v>665</v>
      </c>
      <c r="S505" s="38">
        <f t="shared" si="153"/>
        <v>17734.479500000001</v>
      </c>
      <c r="T505" s="52">
        <v>240</v>
      </c>
      <c r="U505" s="48">
        <v>26.68</v>
      </c>
      <c r="V505" s="38">
        <f t="shared" si="161"/>
        <v>6403.2</v>
      </c>
      <c r="W505" s="48">
        <v>505</v>
      </c>
      <c r="X505" s="48">
        <v>26.677399999999999</v>
      </c>
      <c r="Y505" s="42">
        <f t="shared" si="159"/>
        <v>13472.087</v>
      </c>
      <c r="AB505" s="42">
        <f t="shared" si="160"/>
        <v>0</v>
      </c>
      <c r="AF505" s="42">
        <f t="shared" si="162"/>
        <v>0</v>
      </c>
      <c r="AU505" s="98"/>
      <c r="AV505" s="35"/>
      <c r="AW505" s="77"/>
      <c r="AZ505" s="42">
        <f t="shared" si="148"/>
        <v>0</v>
      </c>
      <c r="BD505" s="38">
        <f t="shared" si="154"/>
        <v>0</v>
      </c>
      <c r="BH505" s="38">
        <f t="shared" si="155"/>
        <v>0</v>
      </c>
      <c r="BL505" s="38">
        <f t="shared" si="156"/>
        <v>0</v>
      </c>
      <c r="BR505" s="42">
        <f t="shared" si="157"/>
        <v>19875.287</v>
      </c>
      <c r="BS505" s="43"/>
      <c r="BT505" s="25">
        <v>2140.81</v>
      </c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  <c r="CF505" s="31"/>
      <c r="CG505" s="31"/>
      <c r="CH505" s="31"/>
      <c r="CI505" s="31"/>
      <c r="CJ505" s="31"/>
      <c r="CK505" s="31"/>
      <c r="CL505" s="31"/>
      <c r="CM505" s="31"/>
      <c r="CN505" s="31"/>
      <c r="CO505" s="31"/>
      <c r="CP505" s="31"/>
      <c r="CQ505" s="31"/>
      <c r="CR505" s="31"/>
      <c r="CS505" s="31"/>
      <c r="CT505" s="31"/>
      <c r="CU505" s="31"/>
      <c r="CV505" s="31"/>
      <c r="CW505" s="31"/>
      <c r="CX505" s="31"/>
      <c r="CY505" s="31"/>
      <c r="CZ505" s="31"/>
      <c r="DA505" s="31"/>
      <c r="DB505" s="31"/>
      <c r="DC505" s="31"/>
      <c r="DD505" s="31"/>
      <c r="DE505" s="31"/>
      <c r="DF505" s="31"/>
      <c r="DG505" s="31"/>
      <c r="DH505" s="31"/>
      <c r="DI505" s="31"/>
      <c r="DJ505" s="31"/>
      <c r="DK505" s="31"/>
      <c r="DL505" s="31"/>
      <c r="DM505" s="31"/>
      <c r="DN505" s="31"/>
      <c r="DO505" s="31"/>
      <c r="DP505" s="31"/>
      <c r="DQ505" s="31"/>
      <c r="DR505" s="31"/>
      <c r="DS505" s="31"/>
      <c r="DT505" s="31"/>
      <c r="DU505" s="31"/>
      <c r="DV505" s="31"/>
      <c r="DW505" s="31"/>
      <c r="DX505" s="31"/>
      <c r="DY505" s="31"/>
      <c r="DZ505" s="31"/>
      <c r="EA505" s="31"/>
      <c r="EB505" s="31"/>
      <c r="EC505" s="31"/>
      <c r="ED505" s="31"/>
      <c r="EE505" s="31"/>
      <c r="EF505" s="31"/>
      <c r="EG505" s="31"/>
      <c r="EH505" s="31"/>
      <c r="EI505" s="31"/>
      <c r="EJ505" s="31"/>
      <c r="EK505" s="31"/>
      <c r="EL505" s="31"/>
      <c r="EM505" s="31"/>
      <c r="EN505" s="31"/>
      <c r="EO505" s="31"/>
      <c r="EP505" s="31"/>
      <c r="EQ505" s="31"/>
      <c r="ER505" s="31"/>
      <c r="ES505" s="31"/>
      <c r="ET505" s="31"/>
      <c r="EU505" s="31"/>
      <c r="EV505" s="31"/>
      <c r="EW505" s="31"/>
      <c r="EX505" s="31"/>
      <c r="EY505" s="31"/>
      <c r="EZ505" s="31"/>
      <c r="FA505" s="31"/>
      <c r="FB505" s="31"/>
      <c r="FC505" s="31"/>
      <c r="FD505" s="31"/>
      <c r="FE505" s="31"/>
      <c r="FF505" s="31"/>
      <c r="FG505" s="31"/>
      <c r="FH505" s="31"/>
      <c r="FI505" s="31"/>
      <c r="FJ505" s="31"/>
      <c r="FK505" s="31"/>
      <c r="FL505" s="31"/>
      <c r="FM505" s="31"/>
      <c r="FN505" s="31"/>
      <c r="FO505" s="31"/>
      <c r="FP505" s="31"/>
      <c r="FQ505" s="31"/>
      <c r="FR505" s="31"/>
      <c r="FS505" s="31"/>
      <c r="FT505" s="31"/>
      <c r="FU505" s="31"/>
      <c r="FV505" s="31"/>
      <c r="FW505" s="31"/>
      <c r="FX505" s="31"/>
      <c r="FY505" s="31"/>
      <c r="FZ505" s="31"/>
      <c r="GA505" s="31"/>
      <c r="GB505" s="31"/>
      <c r="GC505" s="31"/>
      <c r="GD505" s="31"/>
      <c r="GE505" s="31"/>
      <c r="GF505" s="31"/>
      <c r="GG505" s="31"/>
      <c r="GH505" s="31"/>
      <c r="GI505" s="31"/>
      <c r="GJ505" s="31"/>
      <c r="GK505" s="31"/>
      <c r="GL505" s="31"/>
      <c r="GM505" s="31"/>
      <c r="GN505" s="31"/>
      <c r="GO505" s="31"/>
      <c r="GP505" s="31"/>
      <c r="GQ505" s="31"/>
      <c r="GR505" s="31"/>
      <c r="GS505" s="31"/>
      <c r="GT505" s="31"/>
      <c r="GU505" s="31"/>
      <c r="GV505" s="31"/>
      <c r="GW505" s="31"/>
      <c r="GX505" s="31"/>
      <c r="GY505" s="31"/>
      <c r="GZ505" s="31"/>
      <c r="HA505" s="31"/>
      <c r="HB505" s="31"/>
      <c r="HC505" s="31"/>
      <c r="HD505" s="31"/>
      <c r="HE505" s="31"/>
      <c r="HF505" s="31"/>
      <c r="HG505" s="31"/>
      <c r="HH505" s="31"/>
      <c r="HI505" s="31"/>
      <c r="HJ505" s="31"/>
      <c r="HK505" s="31"/>
      <c r="HL505" s="31"/>
      <c r="HM505" s="31"/>
      <c r="HN505" s="31"/>
      <c r="HO505" s="31"/>
      <c r="HP505" s="31"/>
      <c r="HQ505" s="31"/>
      <c r="HR505" s="31"/>
      <c r="HS505" s="31"/>
      <c r="HT505" s="31"/>
      <c r="HU505" s="31"/>
      <c r="HV505" s="31"/>
      <c r="HW505" s="31"/>
      <c r="HX505" s="31"/>
      <c r="HY505" s="31"/>
      <c r="HZ505" s="31"/>
      <c r="IA505" s="31"/>
      <c r="IB505" s="31"/>
      <c r="IC505" s="31"/>
      <c r="ID505" s="31"/>
      <c r="IE505" s="31"/>
      <c r="IF505" s="31"/>
      <c r="IG505" s="31"/>
      <c r="IH505" s="31"/>
      <c r="II505" s="31"/>
      <c r="IJ505" s="31"/>
      <c r="IK505" s="31"/>
      <c r="IL505" s="31"/>
      <c r="IM505" s="31"/>
      <c r="IN505" s="31"/>
      <c r="IO505" s="31"/>
      <c r="IP505" s="31"/>
      <c r="IQ505" s="31"/>
      <c r="IR505" s="31"/>
      <c r="IS505" s="31"/>
      <c r="IT505" s="31"/>
      <c r="IU505" s="31"/>
      <c r="IV505" s="31"/>
      <c r="IW505" s="31"/>
      <c r="IX505" s="31"/>
      <c r="IY505" s="31"/>
      <c r="IZ505" s="31"/>
      <c r="JA505" s="31"/>
      <c r="JB505" s="31"/>
      <c r="JC505" s="31"/>
      <c r="JD505" s="31"/>
      <c r="JE505" s="31"/>
      <c r="JF505" s="31"/>
      <c r="JG505" s="31"/>
      <c r="JH505" s="31"/>
      <c r="JI505" s="31"/>
      <c r="JJ505" s="31"/>
      <c r="JK505" s="31"/>
      <c r="JL505" s="31"/>
      <c r="JM505" s="31"/>
      <c r="JN505" s="31"/>
      <c r="JO505" s="31"/>
      <c r="JP505" s="31"/>
      <c r="JQ505" s="31"/>
      <c r="JR505" s="31"/>
      <c r="JS505" s="31"/>
      <c r="JT505" s="31"/>
      <c r="JU505" s="31"/>
      <c r="JV505" s="31"/>
      <c r="JW505" s="31"/>
      <c r="JX505" s="31"/>
      <c r="JY505" s="31"/>
      <c r="JZ505" s="31"/>
      <c r="KA505" s="31"/>
      <c r="KB505" s="31"/>
      <c r="KC505" s="31"/>
      <c r="KD505" s="31"/>
      <c r="KE505" s="31"/>
      <c r="KF505" s="31"/>
      <c r="KG505" s="31"/>
      <c r="KH505" s="31"/>
      <c r="KI505" s="31"/>
      <c r="KJ505" s="31"/>
      <c r="KK505" s="31"/>
      <c r="KL505" s="31"/>
      <c r="KM505" s="31"/>
      <c r="KN505" s="31"/>
      <c r="KO505" s="31"/>
      <c r="KP505" s="31"/>
      <c r="KQ505" s="31"/>
      <c r="KR505" s="31"/>
      <c r="KS505" s="31"/>
      <c r="KT505" s="31"/>
      <c r="KU505" s="31"/>
      <c r="KV505" s="31"/>
      <c r="KW505" s="31"/>
      <c r="KX505" s="31"/>
      <c r="KY505" s="31"/>
      <c r="KZ505" s="31"/>
      <c r="LA505" s="31"/>
      <c r="LB505" s="31"/>
      <c r="LC505" s="31"/>
      <c r="LD505" s="31"/>
      <c r="LE505" s="31"/>
      <c r="LF505" s="31"/>
      <c r="LG505" s="31"/>
      <c r="LH505" s="31"/>
      <c r="LI505" s="31"/>
      <c r="LJ505" s="31"/>
      <c r="LK505" s="31"/>
      <c r="LL505" s="31"/>
      <c r="LM505" s="31"/>
      <c r="LN505" s="31"/>
      <c r="LO505" s="31"/>
      <c r="LP505" s="31"/>
      <c r="LQ505" s="31"/>
      <c r="LR505" s="31"/>
      <c r="LS505" s="31"/>
      <c r="LT505" s="31"/>
      <c r="LU505" s="31"/>
      <c r="LV505" s="31"/>
      <c r="LW505" s="31"/>
      <c r="LX505" s="31"/>
      <c r="LY505" s="31"/>
      <c r="LZ505" s="31"/>
      <c r="MA505" s="31"/>
      <c r="MB505" s="31"/>
      <c r="MC505" s="31"/>
      <c r="MD505" s="31"/>
      <c r="ME505" s="31"/>
      <c r="MF505" s="31"/>
      <c r="MG505" s="31"/>
      <c r="MH505" s="31"/>
      <c r="MI505" s="31"/>
      <c r="MJ505" s="31"/>
      <c r="MK505" s="31"/>
      <c r="ML505" s="31"/>
      <c r="MM505" s="31"/>
      <c r="MN505" s="31"/>
      <c r="MO505" s="31"/>
      <c r="MP505" s="31"/>
      <c r="MQ505" s="31"/>
      <c r="MR505" s="31"/>
      <c r="MS505" s="31"/>
      <c r="MT505" s="31"/>
      <c r="MU505" s="31"/>
      <c r="MV505" s="31"/>
      <c r="MW505" s="31"/>
      <c r="MX505" s="31"/>
      <c r="MY505" s="31"/>
      <c r="MZ505" s="31"/>
      <c r="NA505" s="31"/>
      <c r="NB505" s="31"/>
      <c r="NC505" s="31"/>
      <c r="ND505" s="31"/>
      <c r="NE505" s="31"/>
      <c r="NF505" s="31"/>
      <c r="NG505" s="31"/>
      <c r="NH505" s="31"/>
      <c r="NI505" s="31"/>
      <c r="NJ505" s="31"/>
      <c r="NK505" s="31"/>
      <c r="NL505" s="31"/>
      <c r="NM505" s="31"/>
      <c r="NN505" s="31"/>
      <c r="NO505" s="31"/>
      <c r="NP505" s="31"/>
      <c r="NQ505" s="31"/>
      <c r="NR505" s="31"/>
      <c r="NS505" s="31"/>
      <c r="NT505" s="31"/>
      <c r="NU505" s="31"/>
      <c r="NV505" s="31"/>
      <c r="NW505" s="31"/>
      <c r="NX505" s="31"/>
      <c r="NY505" s="31"/>
      <c r="NZ505" s="31"/>
      <c r="OA505" s="31"/>
      <c r="OB505" s="31"/>
      <c r="OC505" s="31"/>
      <c r="OD505" s="31"/>
      <c r="OE505" s="31"/>
      <c r="OF505" s="31"/>
      <c r="OG505" s="31"/>
      <c r="OH505" s="31"/>
      <c r="OI505" s="31"/>
      <c r="OJ505" s="31"/>
      <c r="OK505" s="31"/>
      <c r="OL505" s="31"/>
      <c r="OM505" s="31"/>
      <c r="ON505" s="31"/>
      <c r="OO505" s="31"/>
      <c r="OP505" s="31"/>
      <c r="OQ505" s="31"/>
      <c r="OR505" s="31"/>
      <c r="OS505" s="31"/>
      <c r="OT505" s="31"/>
      <c r="OU505" s="31"/>
      <c r="OV505" s="31"/>
      <c r="OW505" s="31"/>
      <c r="OX505" s="31"/>
    </row>
    <row r="506" spans="2:414" s="25" customFormat="1" ht="15.6">
      <c r="B506" s="51" t="s">
        <v>1034</v>
      </c>
      <c r="C506" s="27" t="s">
        <v>122</v>
      </c>
      <c r="D506" s="30" t="s">
        <v>405</v>
      </c>
      <c r="G506" s="42">
        <v>80</v>
      </c>
      <c r="H506" s="89">
        <v>26.109000000000002</v>
      </c>
      <c r="I506" s="38">
        <f t="shared" si="150"/>
        <v>2088.7200000000003</v>
      </c>
      <c r="K506" s="42">
        <v>80</v>
      </c>
      <c r="L506" s="90">
        <v>26.849599999999999</v>
      </c>
      <c r="M506" s="38">
        <f t="shared" si="151"/>
        <v>2147.9679999999998</v>
      </c>
      <c r="O506" s="42">
        <v>505</v>
      </c>
      <c r="P506" s="38">
        <v>26.728300000000001</v>
      </c>
      <c r="Q506" s="38">
        <f t="shared" si="152"/>
        <v>13497.791500000001</v>
      </c>
      <c r="R506" s="43">
        <f t="shared" si="149"/>
        <v>665</v>
      </c>
      <c r="S506" s="38">
        <f t="shared" si="153"/>
        <v>17734.479500000001</v>
      </c>
      <c r="T506" s="52">
        <v>240</v>
      </c>
      <c r="U506" s="48">
        <v>26.7165</v>
      </c>
      <c r="V506" s="38">
        <f t="shared" si="161"/>
        <v>6411.96</v>
      </c>
      <c r="W506" s="48">
        <v>505</v>
      </c>
      <c r="X506" s="48">
        <v>26.72</v>
      </c>
      <c r="Y506" s="42">
        <f t="shared" si="159"/>
        <v>13493.599999999999</v>
      </c>
      <c r="AB506" s="42">
        <f t="shared" si="160"/>
        <v>0</v>
      </c>
      <c r="AF506" s="42">
        <f t="shared" si="162"/>
        <v>0</v>
      </c>
      <c r="AU506" s="98"/>
      <c r="AV506" s="35"/>
      <c r="AW506" s="77"/>
      <c r="AZ506" s="42">
        <f t="shared" ref="AZ506:AZ569" si="163">AX506*AY506</f>
        <v>0</v>
      </c>
      <c r="BD506" s="38">
        <f t="shared" si="154"/>
        <v>0</v>
      </c>
      <c r="BH506" s="38">
        <f t="shared" si="155"/>
        <v>0</v>
      </c>
      <c r="BL506" s="38">
        <f t="shared" si="156"/>
        <v>0</v>
      </c>
      <c r="BR506" s="42">
        <f t="shared" si="157"/>
        <v>19905.559999999998</v>
      </c>
      <c r="BS506" s="43"/>
      <c r="BT506" s="25">
        <v>2171.08</v>
      </c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  <c r="CF506" s="31"/>
      <c r="CG506" s="31"/>
      <c r="CH506" s="31"/>
      <c r="CI506" s="31"/>
      <c r="CJ506" s="31"/>
      <c r="CK506" s="31"/>
      <c r="CL506" s="31"/>
      <c r="CM506" s="31"/>
      <c r="CN506" s="31"/>
      <c r="CO506" s="31"/>
      <c r="CP506" s="31"/>
      <c r="CQ506" s="31"/>
      <c r="CR506" s="31"/>
      <c r="CS506" s="31"/>
      <c r="CT506" s="31"/>
      <c r="CU506" s="31"/>
      <c r="CV506" s="31"/>
      <c r="CW506" s="31"/>
      <c r="CX506" s="31"/>
      <c r="CY506" s="31"/>
      <c r="CZ506" s="31"/>
      <c r="DA506" s="31"/>
      <c r="DB506" s="31"/>
      <c r="DC506" s="31"/>
      <c r="DD506" s="31"/>
      <c r="DE506" s="31"/>
      <c r="DF506" s="31"/>
      <c r="DG506" s="31"/>
      <c r="DH506" s="31"/>
      <c r="DI506" s="31"/>
      <c r="DJ506" s="31"/>
      <c r="DK506" s="31"/>
      <c r="DL506" s="31"/>
      <c r="DM506" s="31"/>
      <c r="DN506" s="31"/>
      <c r="DO506" s="31"/>
      <c r="DP506" s="31"/>
      <c r="DQ506" s="31"/>
      <c r="DR506" s="31"/>
      <c r="DS506" s="31"/>
      <c r="DT506" s="31"/>
      <c r="DU506" s="31"/>
      <c r="DV506" s="31"/>
      <c r="DW506" s="31"/>
      <c r="DX506" s="31"/>
      <c r="DY506" s="31"/>
      <c r="DZ506" s="31"/>
      <c r="EA506" s="31"/>
      <c r="EB506" s="31"/>
      <c r="EC506" s="31"/>
      <c r="ED506" s="31"/>
      <c r="EE506" s="31"/>
      <c r="EF506" s="31"/>
      <c r="EG506" s="31"/>
      <c r="EH506" s="31"/>
      <c r="EI506" s="31"/>
      <c r="EJ506" s="31"/>
      <c r="EK506" s="31"/>
      <c r="EL506" s="31"/>
      <c r="EM506" s="31"/>
      <c r="EN506" s="31"/>
      <c r="EO506" s="31"/>
      <c r="EP506" s="31"/>
      <c r="EQ506" s="31"/>
      <c r="ER506" s="31"/>
      <c r="ES506" s="31"/>
      <c r="ET506" s="31"/>
      <c r="EU506" s="31"/>
      <c r="EV506" s="31"/>
      <c r="EW506" s="31"/>
      <c r="EX506" s="31"/>
      <c r="EY506" s="31"/>
      <c r="EZ506" s="31"/>
      <c r="FA506" s="31"/>
      <c r="FB506" s="31"/>
      <c r="FC506" s="31"/>
      <c r="FD506" s="31"/>
      <c r="FE506" s="31"/>
      <c r="FF506" s="31"/>
      <c r="FG506" s="31"/>
      <c r="FH506" s="31"/>
      <c r="FI506" s="31"/>
      <c r="FJ506" s="31"/>
      <c r="FK506" s="31"/>
      <c r="FL506" s="31"/>
      <c r="FM506" s="31"/>
      <c r="FN506" s="31"/>
      <c r="FO506" s="31"/>
      <c r="FP506" s="31"/>
      <c r="FQ506" s="31"/>
      <c r="FR506" s="31"/>
      <c r="FS506" s="31"/>
      <c r="FT506" s="31"/>
      <c r="FU506" s="31"/>
      <c r="FV506" s="31"/>
      <c r="FW506" s="31"/>
      <c r="FX506" s="31"/>
      <c r="FY506" s="31"/>
      <c r="FZ506" s="31"/>
      <c r="GA506" s="31"/>
      <c r="GB506" s="31"/>
      <c r="GC506" s="31"/>
      <c r="GD506" s="31"/>
      <c r="GE506" s="31"/>
      <c r="GF506" s="31"/>
      <c r="GG506" s="31"/>
      <c r="GH506" s="31"/>
      <c r="GI506" s="31"/>
      <c r="GJ506" s="31"/>
      <c r="GK506" s="31"/>
      <c r="GL506" s="31"/>
      <c r="GM506" s="31"/>
      <c r="GN506" s="31"/>
      <c r="GO506" s="31"/>
      <c r="GP506" s="31"/>
      <c r="GQ506" s="31"/>
      <c r="GR506" s="31"/>
      <c r="GS506" s="31"/>
      <c r="GT506" s="31"/>
      <c r="GU506" s="31"/>
      <c r="GV506" s="31"/>
      <c r="GW506" s="31"/>
      <c r="GX506" s="31"/>
      <c r="GY506" s="31"/>
      <c r="GZ506" s="31"/>
      <c r="HA506" s="31"/>
      <c r="HB506" s="31"/>
      <c r="HC506" s="31"/>
      <c r="HD506" s="31"/>
      <c r="HE506" s="31"/>
      <c r="HF506" s="31"/>
      <c r="HG506" s="31"/>
      <c r="HH506" s="31"/>
      <c r="HI506" s="31"/>
      <c r="HJ506" s="31"/>
      <c r="HK506" s="31"/>
      <c r="HL506" s="31"/>
      <c r="HM506" s="31"/>
      <c r="HN506" s="31"/>
      <c r="HO506" s="31"/>
      <c r="HP506" s="31"/>
      <c r="HQ506" s="31"/>
      <c r="HR506" s="31"/>
      <c r="HS506" s="31"/>
      <c r="HT506" s="31"/>
      <c r="HU506" s="31"/>
      <c r="HV506" s="31"/>
      <c r="HW506" s="31"/>
      <c r="HX506" s="31"/>
      <c r="HY506" s="31"/>
      <c r="HZ506" s="31"/>
      <c r="IA506" s="31"/>
      <c r="IB506" s="31"/>
      <c r="IC506" s="31"/>
      <c r="ID506" s="31"/>
      <c r="IE506" s="31"/>
      <c r="IF506" s="31"/>
      <c r="IG506" s="31"/>
      <c r="IH506" s="31"/>
      <c r="II506" s="31"/>
      <c r="IJ506" s="31"/>
      <c r="IK506" s="31"/>
      <c r="IL506" s="31"/>
      <c r="IM506" s="31"/>
      <c r="IN506" s="31"/>
      <c r="IO506" s="31"/>
      <c r="IP506" s="31"/>
      <c r="IQ506" s="31"/>
      <c r="IR506" s="31"/>
      <c r="IS506" s="31"/>
      <c r="IT506" s="31"/>
      <c r="IU506" s="31"/>
      <c r="IV506" s="31"/>
      <c r="IW506" s="31"/>
      <c r="IX506" s="31"/>
      <c r="IY506" s="31"/>
      <c r="IZ506" s="31"/>
      <c r="JA506" s="31"/>
      <c r="JB506" s="31"/>
      <c r="JC506" s="31"/>
      <c r="JD506" s="31"/>
      <c r="JE506" s="31"/>
      <c r="JF506" s="31"/>
      <c r="JG506" s="31"/>
      <c r="JH506" s="31"/>
      <c r="JI506" s="31"/>
      <c r="JJ506" s="31"/>
      <c r="JK506" s="31"/>
      <c r="JL506" s="31"/>
      <c r="JM506" s="31"/>
      <c r="JN506" s="31"/>
      <c r="JO506" s="31"/>
      <c r="JP506" s="31"/>
      <c r="JQ506" s="31"/>
      <c r="JR506" s="31"/>
      <c r="JS506" s="31"/>
      <c r="JT506" s="31"/>
      <c r="JU506" s="31"/>
      <c r="JV506" s="31"/>
      <c r="JW506" s="31"/>
      <c r="JX506" s="31"/>
      <c r="JY506" s="31"/>
      <c r="JZ506" s="31"/>
      <c r="KA506" s="31"/>
      <c r="KB506" s="31"/>
      <c r="KC506" s="31"/>
      <c r="KD506" s="31"/>
      <c r="KE506" s="31"/>
      <c r="KF506" s="31"/>
      <c r="KG506" s="31"/>
      <c r="KH506" s="31"/>
      <c r="KI506" s="31"/>
      <c r="KJ506" s="31"/>
      <c r="KK506" s="31"/>
      <c r="KL506" s="31"/>
      <c r="KM506" s="31"/>
      <c r="KN506" s="31"/>
      <c r="KO506" s="31"/>
      <c r="KP506" s="31"/>
      <c r="KQ506" s="31"/>
      <c r="KR506" s="31"/>
      <c r="KS506" s="31"/>
      <c r="KT506" s="31"/>
      <c r="KU506" s="31"/>
      <c r="KV506" s="31"/>
      <c r="KW506" s="31"/>
      <c r="KX506" s="31"/>
      <c r="KY506" s="31"/>
      <c r="KZ506" s="31"/>
      <c r="LA506" s="31"/>
      <c r="LB506" s="31"/>
      <c r="LC506" s="31"/>
      <c r="LD506" s="31"/>
      <c r="LE506" s="31"/>
      <c r="LF506" s="31"/>
      <c r="LG506" s="31"/>
      <c r="LH506" s="31"/>
      <c r="LI506" s="31"/>
      <c r="LJ506" s="31"/>
      <c r="LK506" s="31"/>
      <c r="LL506" s="31"/>
      <c r="LM506" s="31"/>
      <c r="LN506" s="31"/>
      <c r="LO506" s="31"/>
      <c r="LP506" s="31"/>
      <c r="LQ506" s="31"/>
      <c r="LR506" s="31"/>
      <c r="LS506" s="31"/>
      <c r="LT506" s="31"/>
      <c r="LU506" s="31"/>
      <c r="LV506" s="31"/>
      <c r="LW506" s="31"/>
      <c r="LX506" s="31"/>
      <c r="LY506" s="31"/>
      <c r="LZ506" s="31"/>
      <c r="MA506" s="31"/>
      <c r="MB506" s="31"/>
      <c r="MC506" s="31"/>
      <c r="MD506" s="31"/>
      <c r="ME506" s="31"/>
      <c r="MF506" s="31"/>
      <c r="MG506" s="31"/>
      <c r="MH506" s="31"/>
      <c r="MI506" s="31"/>
      <c r="MJ506" s="31"/>
      <c r="MK506" s="31"/>
      <c r="ML506" s="31"/>
      <c r="MM506" s="31"/>
      <c r="MN506" s="31"/>
      <c r="MO506" s="31"/>
      <c r="MP506" s="31"/>
      <c r="MQ506" s="31"/>
      <c r="MR506" s="31"/>
      <c r="MS506" s="31"/>
      <c r="MT506" s="31"/>
      <c r="MU506" s="31"/>
      <c r="MV506" s="31"/>
      <c r="MW506" s="31"/>
      <c r="MX506" s="31"/>
      <c r="MY506" s="31"/>
      <c r="MZ506" s="31"/>
      <c r="NA506" s="31"/>
      <c r="NB506" s="31"/>
      <c r="NC506" s="31"/>
      <c r="ND506" s="31"/>
      <c r="NE506" s="31"/>
      <c r="NF506" s="31"/>
      <c r="NG506" s="31"/>
      <c r="NH506" s="31"/>
      <c r="NI506" s="31"/>
      <c r="NJ506" s="31"/>
      <c r="NK506" s="31"/>
      <c r="NL506" s="31"/>
      <c r="NM506" s="31"/>
      <c r="NN506" s="31"/>
      <c r="NO506" s="31"/>
      <c r="NP506" s="31"/>
      <c r="NQ506" s="31"/>
      <c r="NR506" s="31"/>
      <c r="NS506" s="31"/>
      <c r="NT506" s="31"/>
      <c r="NU506" s="31"/>
      <c r="NV506" s="31"/>
      <c r="NW506" s="31"/>
      <c r="NX506" s="31"/>
      <c r="NY506" s="31"/>
      <c r="NZ506" s="31"/>
      <c r="OA506" s="31"/>
      <c r="OB506" s="31"/>
      <c r="OC506" s="31"/>
      <c r="OD506" s="31"/>
      <c r="OE506" s="31"/>
      <c r="OF506" s="31"/>
      <c r="OG506" s="31"/>
      <c r="OH506" s="31"/>
      <c r="OI506" s="31"/>
      <c r="OJ506" s="31"/>
      <c r="OK506" s="31"/>
      <c r="OL506" s="31"/>
      <c r="OM506" s="31"/>
      <c r="ON506" s="31"/>
      <c r="OO506" s="31"/>
      <c r="OP506" s="31"/>
      <c r="OQ506" s="31"/>
      <c r="OR506" s="31"/>
      <c r="OS506" s="31"/>
      <c r="OT506" s="31"/>
      <c r="OU506" s="31"/>
      <c r="OV506" s="31"/>
      <c r="OW506" s="31"/>
      <c r="OX506" s="31"/>
    </row>
    <row r="507" spans="2:414" s="27" customFormat="1" ht="15.6">
      <c r="B507" s="51" t="s">
        <v>1035</v>
      </c>
      <c r="C507" s="27" t="s">
        <v>676</v>
      </c>
      <c r="D507" s="29" t="s">
        <v>405</v>
      </c>
      <c r="G507" s="49">
        <v>80</v>
      </c>
      <c r="H507" s="89">
        <v>26.109000000000002</v>
      </c>
      <c r="I507" s="38">
        <f t="shared" si="150"/>
        <v>2088.7200000000003</v>
      </c>
      <c r="K507" s="49">
        <v>80</v>
      </c>
      <c r="L507" s="90">
        <v>26.849599999999999</v>
      </c>
      <c r="M507" s="38">
        <f t="shared" si="151"/>
        <v>2147.9679999999998</v>
      </c>
      <c r="O507" s="49">
        <v>505</v>
      </c>
      <c r="P507" s="38">
        <v>26.728300000000001</v>
      </c>
      <c r="Q507" s="38">
        <f t="shared" si="152"/>
        <v>13497.791500000001</v>
      </c>
      <c r="R507" s="43">
        <f t="shared" si="149"/>
        <v>665</v>
      </c>
      <c r="S507" s="38">
        <f t="shared" si="153"/>
        <v>17734.479500000001</v>
      </c>
      <c r="V507" s="38">
        <f t="shared" si="161"/>
        <v>0</v>
      </c>
      <c r="W507" s="52">
        <v>505</v>
      </c>
      <c r="X507" s="52">
        <v>26.728999999999999</v>
      </c>
      <c r="Y507" s="42">
        <f t="shared" si="159"/>
        <v>13498.145</v>
      </c>
      <c r="AB507" s="42">
        <f t="shared" si="160"/>
        <v>0</v>
      </c>
      <c r="AF507" s="42">
        <f t="shared" si="162"/>
        <v>0</v>
      </c>
      <c r="AU507" s="100"/>
      <c r="AV507" s="35"/>
      <c r="AW507" s="78"/>
      <c r="AZ507" s="42">
        <f t="shared" si="163"/>
        <v>0</v>
      </c>
      <c r="BD507" s="38">
        <f t="shared" si="154"/>
        <v>0</v>
      </c>
      <c r="BH507" s="38">
        <f t="shared" si="155"/>
        <v>0</v>
      </c>
      <c r="BL507" s="38">
        <f t="shared" si="156"/>
        <v>0</v>
      </c>
      <c r="BR507" s="42">
        <f t="shared" si="157"/>
        <v>13498.145</v>
      </c>
      <c r="BS507" s="43">
        <f t="shared" si="158"/>
        <v>4236.3345000000008</v>
      </c>
      <c r="BU507" s="36"/>
      <c r="BV507" s="36"/>
      <c r="BW507" s="36"/>
      <c r="BX507" s="36"/>
      <c r="BY507" s="36"/>
      <c r="BZ507" s="36"/>
      <c r="CA507" s="36"/>
      <c r="CB507" s="36"/>
      <c r="CC507" s="36"/>
      <c r="CD507" s="36"/>
      <c r="CE507" s="36"/>
      <c r="CF507" s="36"/>
      <c r="CG507" s="36"/>
      <c r="CH507" s="36"/>
      <c r="CI507" s="36"/>
      <c r="CJ507" s="36"/>
      <c r="CK507" s="36"/>
      <c r="CL507" s="36"/>
      <c r="CM507" s="36"/>
      <c r="CN507" s="36"/>
      <c r="CO507" s="36"/>
      <c r="CP507" s="36"/>
      <c r="CQ507" s="36"/>
      <c r="CR507" s="36"/>
      <c r="CS507" s="36"/>
      <c r="CT507" s="36"/>
      <c r="CU507" s="36"/>
      <c r="CV507" s="36"/>
      <c r="CW507" s="36"/>
      <c r="CX507" s="36"/>
      <c r="CY507" s="36"/>
      <c r="CZ507" s="36"/>
      <c r="DA507" s="36"/>
      <c r="DB507" s="36"/>
      <c r="DC507" s="36"/>
      <c r="DD507" s="36"/>
      <c r="DE507" s="36"/>
      <c r="DF507" s="36"/>
      <c r="DG507" s="36"/>
      <c r="DH507" s="36"/>
      <c r="DI507" s="36"/>
      <c r="DJ507" s="36"/>
      <c r="DK507" s="36"/>
      <c r="DL507" s="36"/>
      <c r="DM507" s="36"/>
      <c r="DN507" s="36"/>
      <c r="DO507" s="36"/>
      <c r="DP507" s="36"/>
      <c r="DQ507" s="36"/>
      <c r="DR507" s="36"/>
      <c r="DS507" s="36"/>
      <c r="DT507" s="36"/>
      <c r="DU507" s="36"/>
      <c r="DV507" s="36"/>
      <c r="DW507" s="36"/>
      <c r="DX507" s="36"/>
      <c r="DY507" s="36"/>
      <c r="DZ507" s="36"/>
      <c r="EA507" s="36"/>
      <c r="EB507" s="36"/>
      <c r="EC507" s="36"/>
      <c r="ED507" s="36"/>
      <c r="EE507" s="36"/>
      <c r="EF507" s="36"/>
      <c r="EG507" s="36"/>
      <c r="EH507" s="36"/>
      <c r="EI507" s="36"/>
      <c r="EJ507" s="36"/>
      <c r="EK507" s="36"/>
      <c r="EL507" s="36"/>
      <c r="EM507" s="36"/>
      <c r="EN507" s="36"/>
      <c r="EO507" s="36"/>
      <c r="EP507" s="36"/>
      <c r="EQ507" s="36"/>
      <c r="ER507" s="36"/>
      <c r="ES507" s="36"/>
      <c r="ET507" s="36"/>
      <c r="EU507" s="36"/>
      <c r="EV507" s="36"/>
      <c r="EW507" s="36"/>
      <c r="EX507" s="36"/>
      <c r="EY507" s="36"/>
      <c r="EZ507" s="36"/>
      <c r="FA507" s="36"/>
      <c r="FB507" s="36"/>
      <c r="FC507" s="36"/>
      <c r="FD507" s="36"/>
      <c r="FE507" s="36"/>
      <c r="FF507" s="36"/>
      <c r="FG507" s="36"/>
      <c r="FH507" s="36"/>
      <c r="FI507" s="36"/>
      <c r="FJ507" s="36"/>
      <c r="FK507" s="36"/>
      <c r="FL507" s="36"/>
      <c r="FM507" s="36"/>
      <c r="FN507" s="36"/>
      <c r="FO507" s="36"/>
      <c r="FP507" s="36"/>
      <c r="FQ507" s="36"/>
      <c r="FR507" s="36"/>
      <c r="FS507" s="36"/>
      <c r="FT507" s="36"/>
      <c r="FU507" s="36"/>
      <c r="FV507" s="36"/>
      <c r="FW507" s="36"/>
      <c r="FX507" s="36"/>
      <c r="FY507" s="36"/>
      <c r="FZ507" s="36"/>
      <c r="GA507" s="36"/>
      <c r="GB507" s="36"/>
      <c r="GC507" s="36"/>
      <c r="GD507" s="36"/>
      <c r="GE507" s="36"/>
      <c r="GF507" s="36"/>
      <c r="GG507" s="36"/>
      <c r="GH507" s="36"/>
      <c r="GI507" s="36"/>
      <c r="GJ507" s="36"/>
      <c r="GK507" s="36"/>
      <c r="GL507" s="36"/>
      <c r="GM507" s="36"/>
      <c r="GN507" s="36"/>
      <c r="GO507" s="36"/>
      <c r="GP507" s="36"/>
      <c r="GQ507" s="36"/>
      <c r="GR507" s="36"/>
      <c r="GS507" s="36"/>
      <c r="GT507" s="36"/>
      <c r="GU507" s="36"/>
      <c r="GV507" s="36"/>
      <c r="GW507" s="36"/>
      <c r="GX507" s="36"/>
      <c r="GY507" s="36"/>
      <c r="GZ507" s="36"/>
      <c r="HA507" s="36"/>
      <c r="HB507" s="36"/>
      <c r="HC507" s="36"/>
      <c r="HD507" s="36"/>
      <c r="HE507" s="36"/>
      <c r="HF507" s="36"/>
      <c r="HG507" s="36"/>
      <c r="HH507" s="36"/>
      <c r="HI507" s="36"/>
      <c r="HJ507" s="36"/>
      <c r="HK507" s="36"/>
      <c r="HL507" s="36"/>
      <c r="HM507" s="36"/>
      <c r="HN507" s="36"/>
      <c r="HO507" s="36"/>
      <c r="HP507" s="36"/>
      <c r="HQ507" s="36"/>
      <c r="HR507" s="36"/>
      <c r="HS507" s="36"/>
      <c r="HT507" s="36"/>
      <c r="HU507" s="36"/>
      <c r="HV507" s="36"/>
      <c r="HW507" s="36"/>
      <c r="HX507" s="36"/>
      <c r="HY507" s="36"/>
      <c r="HZ507" s="36"/>
      <c r="IA507" s="36"/>
      <c r="IB507" s="36"/>
      <c r="IC507" s="36"/>
      <c r="ID507" s="36"/>
      <c r="IE507" s="36"/>
      <c r="IF507" s="36"/>
      <c r="IG507" s="36"/>
      <c r="IH507" s="36"/>
      <c r="II507" s="36"/>
      <c r="IJ507" s="36"/>
      <c r="IK507" s="36"/>
      <c r="IL507" s="36"/>
      <c r="IM507" s="36"/>
      <c r="IN507" s="36"/>
      <c r="IO507" s="36"/>
      <c r="IP507" s="36"/>
      <c r="IQ507" s="36"/>
      <c r="IR507" s="36"/>
      <c r="IS507" s="36"/>
      <c r="IT507" s="36"/>
      <c r="IU507" s="36"/>
      <c r="IV507" s="36"/>
      <c r="IW507" s="36"/>
      <c r="IX507" s="36"/>
      <c r="IY507" s="36"/>
      <c r="IZ507" s="36"/>
      <c r="JA507" s="36"/>
      <c r="JB507" s="36"/>
      <c r="JC507" s="36"/>
      <c r="JD507" s="36"/>
      <c r="JE507" s="36"/>
      <c r="JF507" s="36"/>
      <c r="JG507" s="36"/>
      <c r="JH507" s="36"/>
      <c r="JI507" s="36"/>
      <c r="JJ507" s="36"/>
      <c r="JK507" s="36"/>
      <c r="JL507" s="36"/>
      <c r="JM507" s="36"/>
      <c r="JN507" s="36"/>
      <c r="JO507" s="36"/>
      <c r="JP507" s="36"/>
      <c r="JQ507" s="36"/>
      <c r="JR507" s="36"/>
      <c r="JS507" s="36"/>
      <c r="JT507" s="36"/>
      <c r="JU507" s="36"/>
      <c r="JV507" s="36"/>
      <c r="JW507" s="36"/>
      <c r="JX507" s="36"/>
      <c r="JY507" s="36"/>
      <c r="JZ507" s="36"/>
      <c r="KA507" s="36"/>
      <c r="KB507" s="36"/>
      <c r="KC507" s="36"/>
      <c r="KD507" s="36"/>
      <c r="KE507" s="36"/>
      <c r="KF507" s="36"/>
      <c r="KG507" s="36"/>
      <c r="KH507" s="36"/>
      <c r="KI507" s="36"/>
      <c r="KJ507" s="36"/>
      <c r="KK507" s="36"/>
      <c r="KL507" s="36"/>
      <c r="KM507" s="36"/>
      <c r="KN507" s="36"/>
      <c r="KO507" s="36"/>
      <c r="KP507" s="36"/>
      <c r="KQ507" s="36"/>
      <c r="KR507" s="36"/>
      <c r="KS507" s="36"/>
      <c r="KT507" s="36"/>
      <c r="KU507" s="36"/>
      <c r="KV507" s="36"/>
      <c r="KW507" s="36"/>
      <c r="KX507" s="36"/>
      <c r="KY507" s="36"/>
      <c r="KZ507" s="36"/>
      <c r="LA507" s="36"/>
      <c r="LB507" s="36"/>
      <c r="LC507" s="36"/>
      <c r="LD507" s="36"/>
      <c r="LE507" s="36"/>
      <c r="LF507" s="36"/>
      <c r="LG507" s="36"/>
      <c r="LH507" s="36"/>
      <c r="LI507" s="36"/>
      <c r="LJ507" s="36"/>
      <c r="LK507" s="36"/>
      <c r="LL507" s="36"/>
      <c r="LM507" s="36"/>
      <c r="LN507" s="36"/>
      <c r="LO507" s="36"/>
      <c r="LP507" s="36"/>
      <c r="LQ507" s="36"/>
      <c r="LR507" s="36"/>
      <c r="LS507" s="36"/>
      <c r="LT507" s="36"/>
      <c r="LU507" s="36"/>
      <c r="LV507" s="36"/>
      <c r="LW507" s="36"/>
      <c r="LX507" s="36"/>
      <c r="LY507" s="36"/>
      <c r="LZ507" s="36"/>
      <c r="MA507" s="36"/>
      <c r="MB507" s="36"/>
      <c r="MC507" s="36"/>
      <c r="MD507" s="36"/>
      <c r="ME507" s="36"/>
      <c r="MF507" s="36"/>
      <c r="MG507" s="36"/>
      <c r="MH507" s="36"/>
      <c r="MI507" s="36"/>
      <c r="MJ507" s="36"/>
      <c r="MK507" s="36"/>
      <c r="ML507" s="36"/>
      <c r="MM507" s="36"/>
      <c r="MN507" s="36"/>
      <c r="MO507" s="36"/>
      <c r="MP507" s="36"/>
      <c r="MQ507" s="36"/>
      <c r="MR507" s="36"/>
      <c r="MS507" s="36"/>
      <c r="MT507" s="36"/>
      <c r="MU507" s="36"/>
      <c r="MV507" s="36"/>
      <c r="MW507" s="36"/>
      <c r="MX507" s="36"/>
      <c r="MY507" s="36"/>
      <c r="MZ507" s="36"/>
      <c r="NA507" s="36"/>
      <c r="NB507" s="36"/>
      <c r="NC507" s="36"/>
      <c r="ND507" s="36"/>
      <c r="NE507" s="36"/>
      <c r="NF507" s="36"/>
      <c r="NG507" s="36"/>
      <c r="NH507" s="36"/>
      <c r="NI507" s="36"/>
      <c r="NJ507" s="36"/>
      <c r="NK507" s="36"/>
      <c r="NL507" s="36"/>
      <c r="NM507" s="36"/>
      <c r="NN507" s="36"/>
      <c r="NO507" s="36"/>
      <c r="NP507" s="36"/>
      <c r="NQ507" s="36"/>
      <c r="NR507" s="36"/>
      <c r="NS507" s="36"/>
      <c r="NT507" s="36"/>
      <c r="NU507" s="36"/>
      <c r="NV507" s="36"/>
      <c r="NW507" s="36"/>
      <c r="NX507" s="36"/>
      <c r="NY507" s="36"/>
      <c r="NZ507" s="36"/>
      <c r="OA507" s="36"/>
      <c r="OB507" s="36"/>
      <c r="OC507" s="36"/>
      <c r="OD507" s="36"/>
      <c r="OE507" s="36"/>
      <c r="OF507" s="36"/>
      <c r="OG507" s="36"/>
      <c r="OH507" s="36"/>
      <c r="OI507" s="36"/>
      <c r="OJ507" s="36"/>
      <c r="OK507" s="36"/>
      <c r="OL507" s="36"/>
      <c r="OM507" s="36"/>
      <c r="ON507" s="36"/>
      <c r="OO507" s="36"/>
      <c r="OP507" s="36"/>
      <c r="OQ507" s="36"/>
      <c r="OR507" s="36"/>
      <c r="OS507" s="36"/>
      <c r="OT507" s="36"/>
      <c r="OU507" s="36"/>
      <c r="OV507" s="36"/>
      <c r="OW507" s="36"/>
      <c r="OX507" s="36"/>
    </row>
    <row r="508" spans="2:414" s="27" customFormat="1" ht="15.6">
      <c r="B508" s="51" t="s">
        <v>274</v>
      </c>
      <c r="C508" s="27" t="s">
        <v>1036</v>
      </c>
      <c r="D508" s="29" t="s">
        <v>405</v>
      </c>
      <c r="G508" s="49">
        <v>80</v>
      </c>
      <c r="H508" s="89">
        <v>26.109000000000002</v>
      </c>
      <c r="I508" s="38">
        <f t="shared" si="150"/>
        <v>2088.7200000000003</v>
      </c>
      <c r="K508" s="49">
        <v>80</v>
      </c>
      <c r="L508" s="90">
        <v>26.849599999999999</v>
      </c>
      <c r="M508" s="38">
        <f t="shared" si="151"/>
        <v>2147.9679999999998</v>
      </c>
      <c r="O508" s="49">
        <v>505</v>
      </c>
      <c r="P508" s="38">
        <v>26.728300000000001</v>
      </c>
      <c r="Q508" s="38">
        <f t="shared" si="152"/>
        <v>13497.791500000001</v>
      </c>
      <c r="R508" s="43">
        <f t="shared" si="149"/>
        <v>665</v>
      </c>
      <c r="S508" s="38">
        <f t="shared" si="153"/>
        <v>17734.479500000001</v>
      </c>
      <c r="T508" s="52">
        <v>240</v>
      </c>
      <c r="U508" s="52">
        <v>26.72</v>
      </c>
      <c r="V508" s="38">
        <f t="shared" si="161"/>
        <v>6412.7999999999993</v>
      </c>
      <c r="W508" s="52">
        <v>420</v>
      </c>
      <c r="X508" s="52">
        <v>26.65</v>
      </c>
      <c r="Y508" s="42">
        <f t="shared" si="159"/>
        <v>11193</v>
      </c>
      <c r="AB508" s="42">
        <f t="shared" si="160"/>
        <v>0</v>
      </c>
      <c r="AF508" s="42">
        <f t="shared" si="162"/>
        <v>0</v>
      </c>
      <c r="AU508" s="100"/>
      <c r="AV508" s="35"/>
      <c r="AW508" s="78"/>
      <c r="AZ508" s="42">
        <f t="shared" si="163"/>
        <v>0</v>
      </c>
      <c r="BD508" s="38">
        <f t="shared" si="154"/>
        <v>0</v>
      </c>
      <c r="BH508" s="38">
        <f t="shared" si="155"/>
        <v>0</v>
      </c>
      <c r="BL508" s="38">
        <f t="shared" si="156"/>
        <v>0</v>
      </c>
      <c r="BR508" s="42">
        <f t="shared" si="157"/>
        <v>17605.8</v>
      </c>
      <c r="BS508" s="43">
        <f t="shared" si="158"/>
        <v>128.67950000000201</v>
      </c>
      <c r="BU508" s="36"/>
      <c r="BV508" s="36"/>
      <c r="BW508" s="36"/>
      <c r="BX508" s="36"/>
      <c r="BY508" s="36"/>
      <c r="BZ508" s="36"/>
      <c r="CA508" s="36"/>
      <c r="CB508" s="36"/>
      <c r="CC508" s="36"/>
      <c r="CD508" s="36"/>
      <c r="CE508" s="36"/>
      <c r="CF508" s="36"/>
      <c r="CG508" s="36"/>
      <c r="CH508" s="36"/>
      <c r="CI508" s="36"/>
      <c r="CJ508" s="36"/>
      <c r="CK508" s="36"/>
      <c r="CL508" s="36"/>
      <c r="CM508" s="36"/>
      <c r="CN508" s="36"/>
      <c r="CO508" s="36"/>
      <c r="CP508" s="36"/>
      <c r="CQ508" s="36"/>
      <c r="CR508" s="36"/>
      <c r="CS508" s="36"/>
      <c r="CT508" s="36"/>
      <c r="CU508" s="36"/>
      <c r="CV508" s="36"/>
      <c r="CW508" s="36"/>
      <c r="CX508" s="36"/>
      <c r="CY508" s="36"/>
      <c r="CZ508" s="36"/>
      <c r="DA508" s="36"/>
      <c r="DB508" s="36"/>
      <c r="DC508" s="36"/>
      <c r="DD508" s="36"/>
      <c r="DE508" s="36"/>
      <c r="DF508" s="36"/>
      <c r="DG508" s="36"/>
      <c r="DH508" s="36"/>
      <c r="DI508" s="36"/>
      <c r="DJ508" s="36"/>
      <c r="DK508" s="36"/>
      <c r="DL508" s="36"/>
      <c r="DM508" s="36"/>
      <c r="DN508" s="36"/>
      <c r="DO508" s="36"/>
      <c r="DP508" s="36"/>
      <c r="DQ508" s="36"/>
      <c r="DR508" s="36"/>
      <c r="DS508" s="36"/>
      <c r="DT508" s="36"/>
      <c r="DU508" s="36"/>
      <c r="DV508" s="36"/>
      <c r="DW508" s="36"/>
      <c r="DX508" s="36"/>
      <c r="DY508" s="36"/>
      <c r="DZ508" s="36"/>
      <c r="EA508" s="36"/>
      <c r="EB508" s="36"/>
      <c r="EC508" s="36"/>
      <c r="ED508" s="36"/>
      <c r="EE508" s="36"/>
      <c r="EF508" s="36"/>
      <c r="EG508" s="36"/>
      <c r="EH508" s="36"/>
      <c r="EI508" s="36"/>
      <c r="EJ508" s="36"/>
      <c r="EK508" s="36"/>
      <c r="EL508" s="36"/>
      <c r="EM508" s="36"/>
      <c r="EN508" s="36"/>
      <c r="EO508" s="36"/>
      <c r="EP508" s="36"/>
      <c r="EQ508" s="36"/>
      <c r="ER508" s="36"/>
      <c r="ES508" s="36"/>
      <c r="ET508" s="36"/>
      <c r="EU508" s="36"/>
      <c r="EV508" s="36"/>
      <c r="EW508" s="36"/>
      <c r="EX508" s="36"/>
      <c r="EY508" s="36"/>
      <c r="EZ508" s="36"/>
      <c r="FA508" s="36"/>
      <c r="FB508" s="36"/>
      <c r="FC508" s="36"/>
      <c r="FD508" s="36"/>
      <c r="FE508" s="36"/>
      <c r="FF508" s="36"/>
      <c r="FG508" s="36"/>
      <c r="FH508" s="36"/>
      <c r="FI508" s="36"/>
      <c r="FJ508" s="36"/>
      <c r="FK508" s="36"/>
      <c r="FL508" s="36"/>
      <c r="FM508" s="36"/>
      <c r="FN508" s="36"/>
      <c r="FO508" s="36"/>
      <c r="FP508" s="36"/>
      <c r="FQ508" s="36"/>
      <c r="FR508" s="36"/>
      <c r="FS508" s="36"/>
      <c r="FT508" s="36"/>
      <c r="FU508" s="36"/>
      <c r="FV508" s="36"/>
      <c r="FW508" s="36"/>
      <c r="FX508" s="36"/>
      <c r="FY508" s="36"/>
      <c r="FZ508" s="36"/>
      <c r="GA508" s="36"/>
      <c r="GB508" s="36"/>
      <c r="GC508" s="36"/>
      <c r="GD508" s="36"/>
      <c r="GE508" s="36"/>
      <c r="GF508" s="36"/>
      <c r="GG508" s="36"/>
      <c r="GH508" s="36"/>
      <c r="GI508" s="36"/>
      <c r="GJ508" s="36"/>
      <c r="GK508" s="36"/>
      <c r="GL508" s="36"/>
      <c r="GM508" s="36"/>
      <c r="GN508" s="36"/>
      <c r="GO508" s="36"/>
      <c r="GP508" s="36"/>
      <c r="GQ508" s="36"/>
      <c r="GR508" s="36"/>
      <c r="GS508" s="36"/>
      <c r="GT508" s="36"/>
      <c r="GU508" s="36"/>
      <c r="GV508" s="36"/>
      <c r="GW508" s="36"/>
      <c r="GX508" s="36"/>
      <c r="GY508" s="36"/>
      <c r="GZ508" s="36"/>
      <c r="HA508" s="36"/>
      <c r="HB508" s="36"/>
      <c r="HC508" s="36"/>
      <c r="HD508" s="36"/>
      <c r="HE508" s="36"/>
      <c r="HF508" s="36"/>
      <c r="HG508" s="36"/>
      <c r="HH508" s="36"/>
      <c r="HI508" s="36"/>
      <c r="HJ508" s="36"/>
      <c r="HK508" s="36"/>
      <c r="HL508" s="36"/>
      <c r="HM508" s="36"/>
      <c r="HN508" s="36"/>
      <c r="HO508" s="36"/>
      <c r="HP508" s="36"/>
      <c r="HQ508" s="36"/>
      <c r="HR508" s="36"/>
      <c r="HS508" s="36"/>
      <c r="HT508" s="36"/>
      <c r="HU508" s="36"/>
      <c r="HV508" s="36"/>
      <c r="HW508" s="36"/>
      <c r="HX508" s="36"/>
      <c r="HY508" s="36"/>
      <c r="HZ508" s="36"/>
      <c r="IA508" s="36"/>
      <c r="IB508" s="36"/>
      <c r="IC508" s="36"/>
      <c r="ID508" s="36"/>
      <c r="IE508" s="36"/>
      <c r="IF508" s="36"/>
      <c r="IG508" s="36"/>
      <c r="IH508" s="36"/>
      <c r="II508" s="36"/>
      <c r="IJ508" s="36"/>
      <c r="IK508" s="36"/>
      <c r="IL508" s="36"/>
      <c r="IM508" s="36"/>
      <c r="IN508" s="36"/>
      <c r="IO508" s="36"/>
      <c r="IP508" s="36"/>
      <c r="IQ508" s="36"/>
      <c r="IR508" s="36"/>
      <c r="IS508" s="36"/>
      <c r="IT508" s="36"/>
      <c r="IU508" s="36"/>
      <c r="IV508" s="36"/>
      <c r="IW508" s="36"/>
      <c r="IX508" s="36"/>
      <c r="IY508" s="36"/>
      <c r="IZ508" s="36"/>
      <c r="JA508" s="36"/>
      <c r="JB508" s="36"/>
      <c r="JC508" s="36"/>
      <c r="JD508" s="36"/>
      <c r="JE508" s="36"/>
      <c r="JF508" s="36"/>
      <c r="JG508" s="36"/>
      <c r="JH508" s="36"/>
      <c r="JI508" s="36"/>
      <c r="JJ508" s="36"/>
      <c r="JK508" s="36"/>
      <c r="JL508" s="36"/>
      <c r="JM508" s="36"/>
      <c r="JN508" s="36"/>
      <c r="JO508" s="36"/>
      <c r="JP508" s="36"/>
      <c r="JQ508" s="36"/>
      <c r="JR508" s="36"/>
      <c r="JS508" s="36"/>
      <c r="JT508" s="36"/>
      <c r="JU508" s="36"/>
      <c r="JV508" s="36"/>
      <c r="JW508" s="36"/>
      <c r="JX508" s="36"/>
      <c r="JY508" s="36"/>
      <c r="JZ508" s="36"/>
      <c r="KA508" s="36"/>
      <c r="KB508" s="36"/>
      <c r="KC508" s="36"/>
      <c r="KD508" s="36"/>
      <c r="KE508" s="36"/>
      <c r="KF508" s="36"/>
      <c r="KG508" s="36"/>
      <c r="KH508" s="36"/>
      <c r="KI508" s="36"/>
      <c r="KJ508" s="36"/>
      <c r="KK508" s="36"/>
      <c r="KL508" s="36"/>
      <c r="KM508" s="36"/>
      <c r="KN508" s="36"/>
      <c r="KO508" s="36"/>
      <c r="KP508" s="36"/>
      <c r="KQ508" s="36"/>
      <c r="KR508" s="36"/>
      <c r="KS508" s="36"/>
      <c r="KT508" s="36"/>
      <c r="KU508" s="36"/>
      <c r="KV508" s="36"/>
      <c r="KW508" s="36"/>
      <c r="KX508" s="36"/>
      <c r="KY508" s="36"/>
      <c r="KZ508" s="36"/>
      <c r="LA508" s="36"/>
      <c r="LB508" s="36"/>
      <c r="LC508" s="36"/>
      <c r="LD508" s="36"/>
      <c r="LE508" s="36"/>
      <c r="LF508" s="36"/>
      <c r="LG508" s="36"/>
      <c r="LH508" s="36"/>
      <c r="LI508" s="36"/>
      <c r="LJ508" s="36"/>
      <c r="LK508" s="36"/>
      <c r="LL508" s="36"/>
      <c r="LM508" s="36"/>
      <c r="LN508" s="36"/>
      <c r="LO508" s="36"/>
      <c r="LP508" s="36"/>
      <c r="LQ508" s="36"/>
      <c r="LR508" s="36"/>
      <c r="LS508" s="36"/>
      <c r="LT508" s="36"/>
      <c r="LU508" s="36"/>
      <c r="LV508" s="36"/>
      <c r="LW508" s="36"/>
      <c r="LX508" s="36"/>
      <c r="LY508" s="36"/>
      <c r="LZ508" s="36"/>
      <c r="MA508" s="36"/>
      <c r="MB508" s="36"/>
      <c r="MC508" s="36"/>
      <c r="MD508" s="36"/>
      <c r="ME508" s="36"/>
      <c r="MF508" s="36"/>
      <c r="MG508" s="36"/>
      <c r="MH508" s="36"/>
      <c r="MI508" s="36"/>
      <c r="MJ508" s="36"/>
      <c r="MK508" s="36"/>
      <c r="ML508" s="36"/>
      <c r="MM508" s="36"/>
      <c r="MN508" s="36"/>
      <c r="MO508" s="36"/>
      <c r="MP508" s="36"/>
      <c r="MQ508" s="36"/>
      <c r="MR508" s="36"/>
      <c r="MS508" s="36"/>
      <c r="MT508" s="36"/>
      <c r="MU508" s="36"/>
      <c r="MV508" s="36"/>
      <c r="MW508" s="36"/>
      <c r="MX508" s="36"/>
      <c r="MY508" s="36"/>
      <c r="MZ508" s="36"/>
      <c r="NA508" s="36"/>
      <c r="NB508" s="36"/>
      <c r="NC508" s="36"/>
      <c r="ND508" s="36"/>
      <c r="NE508" s="36"/>
      <c r="NF508" s="36"/>
      <c r="NG508" s="36"/>
      <c r="NH508" s="36"/>
      <c r="NI508" s="36"/>
      <c r="NJ508" s="36"/>
      <c r="NK508" s="36"/>
      <c r="NL508" s="36"/>
      <c r="NM508" s="36"/>
      <c r="NN508" s="36"/>
      <c r="NO508" s="36"/>
      <c r="NP508" s="36"/>
      <c r="NQ508" s="36"/>
      <c r="NR508" s="36"/>
      <c r="NS508" s="36"/>
      <c r="NT508" s="36"/>
      <c r="NU508" s="36"/>
      <c r="NV508" s="36"/>
      <c r="NW508" s="36"/>
      <c r="NX508" s="36"/>
      <c r="NY508" s="36"/>
      <c r="NZ508" s="36"/>
      <c r="OA508" s="36"/>
      <c r="OB508" s="36"/>
      <c r="OC508" s="36"/>
      <c r="OD508" s="36"/>
      <c r="OE508" s="36"/>
      <c r="OF508" s="36"/>
      <c r="OG508" s="36"/>
      <c r="OH508" s="36"/>
      <c r="OI508" s="36"/>
      <c r="OJ508" s="36"/>
      <c r="OK508" s="36"/>
      <c r="OL508" s="36"/>
      <c r="OM508" s="36"/>
      <c r="ON508" s="36"/>
      <c r="OO508" s="36"/>
      <c r="OP508" s="36"/>
      <c r="OQ508" s="36"/>
      <c r="OR508" s="36"/>
      <c r="OS508" s="36"/>
      <c r="OT508" s="36"/>
      <c r="OU508" s="36"/>
      <c r="OV508" s="36"/>
      <c r="OW508" s="36"/>
      <c r="OX508" s="36"/>
    </row>
    <row r="509" spans="2:414" s="27" customFormat="1" ht="15.6">
      <c r="B509" s="51" t="s">
        <v>1037</v>
      </c>
      <c r="C509" s="27" t="s">
        <v>138</v>
      </c>
      <c r="D509" s="29" t="s">
        <v>405</v>
      </c>
      <c r="G509" s="49">
        <v>80</v>
      </c>
      <c r="H509" s="89">
        <v>26.109000000000002</v>
      </c>
      <c r="I509" s="38">
        <f t="shared" si="150"/>
        <v>2088.7200000000003</v>
      </c>
      <c r="K509" s="49">
        <v>80</v>
      </c>
      <c r="L509" s="90">
        <v>26.849599999999999</v>
      </c>
      <c r="M509" s="38">
        <f t="shared" si="151"/>
        <v>2147.9679999999998</v>
      </c>
      <c r="O509" s="49">
        <v>505</v>
      </c>
      <c r="P509" s="38">
        <v>26.728300000000001</v>
      </c>
      <c r="Q509" s="38">
        <f t="shared" si="152"/>
        <v>13497.791500000001</v>
      </c>
      <c r="R509" s="43">
        <f t="shared" si="149"/>
        <v>665</v>
      </c>
      <c r="S509" s="38">
        <f t="shared" si="153"/>
        <v>17734.479500000001</v>
      </c>
      <c r="V509" s="38">
        <f t="shared" si="161"/>
        <v>0</v>
      </c>
      <c r="W509" s="52">
        <v>505</v>
      </c>
      <c r="X509" s="52">
        <v>26.735700000000001</v>
      </c>
      <c r="Y509" s="42">
        <f t="shared" si="159"/>
        <v>13501.5285</v>
      </c>
      <c r="AB509" s="42">
        <f t="shared" si="160"/>
        <v>0</v>
      </c>
      <c r="AF509" s="42">
        <f t="shared" si="162"/>
        <v>0</v>
      </c>
      <c r="AU509" s="100"/>
      <c r="AV509" s="35"/>
      <c r="AW509" s="78"/>
      <c r="AZ509" s="42">
        <f t="shared" si="163"/>
        <v>0</v>
      </c>
      <c r="BD509" s="38">
        <f t="shared" si="154"/>
        <v>0</v>
      </c>
      <c r="BH509" s="38">
        <f t="shared" si="155"/>
        <v>0</v>
      </c>
      <c r="BL509" s="38">
        <f t="shared" si="156"/>
        <v>0</v>
      </c>
      <c r="BR509" s="42">
        <f t="shared" si="157"/>
        <v>13501.5285</v>
      </c>
      <c r="BS509" s="43">
        <f t="shared" si="158"/>
        <v>4232.9510000000009</v>
      </c>
      <c r="BU509" s="36"/>
      <c r="BV509" s="36"/>
      <c r="BW509" s="36"/>
      <c r="BX509" s="36"/>
      <c r="BY509" s="36"/>
      <c r="BZ509" s="36"/>
      <c r="CA509" s="36"/>
      <c r="CB509" s="36"/>
      <c r="CC509" s="36"/>
      <c r="CD509" s="36"/>
      <c r="CE509" s="36"/>
      <c r="CF509" s="36"/>
      <c r="CG509" s="36"/>
      <c r="CH509" s="36"/>
      <c r="CI509" s="36"/>
      <c r="CJ509" s="36"/>
      <c r="CK509" s="36"/>
      <c r="CL509" s="36"/>
      <c r="CM509" s="36"/>
      <c r="CN509" s="36"/>
      <c r="CO509" s="36"/>
      <c r="CP509" s="36"/>
      <c r="CQ509" s="36"/>
      <c r="CR509" s="36"/>
      <c r="CS509" s="36"/>
      <c r="CT509" s="36"/>
      <c r="CU509" s="36"/>
      <c r="CV509" s="36"/>
      <c r="CW509" s="36"/>
      <c r="CX509" s="36"/>
      <c r="CY509" s="36"/>
      <c r="CZ509" s="36"/>
      <c r="DA509" s="36"/>
      <c r="DB509" s="36"/>
      <c r="DC509" s="36"/>
      <c r="DD509" s="36"/>
      <c r="DE509" s="36"/>
      <c r="DF509" s="36"/>
      <c r="DG509" s="36"/>
      <c r="DH509" s="36"/>
      <c r="DI509" s="36"/>
      <c r="DJ509" s="36"/>
      <c r="DK509" s="36"/>
      <c r="DL509" s="36"/>
      <c r="DM509" s="36"/>
      <c r="DN509" s="36"/>
      <c r="DO509" s="36"/>
      <c r="DP509" s="36"/>
      <c r="DQ509" s="36"/>
      <c r="DR509" s="36"/>
      <c r="DS509" s="36"/>
      <c r="DT509" s="36"/>
      <c r="DU509" s="36"/>
      <c r="DV509" s="36"/>
      <c r="DW509" s="36"/>
      <c r="DX509" s="36"/>
      <c r="DY509" s="36"/>
      <c r="DZ509" s="36"/>
      <c r="EA509" s="36"/>
      <c r="EB509" s="36"/>
      <c r="EC509" s="36"/>
      <c r="ED509" s="36"/>
      <c r="EE509" s="36"/>
      <c r="EF509" s="36"/>
      <c r="EG509" s="36"/>
      <c r="EH509" s="36"/>
      <c r="EI509" s="36"/>
      <c r="EJ509" s="36"/>
      <c r="EK509" s="36"/>
      <c r="EL509" s="36"/>
      <c r="EM509" s="36"/>
      <c r="EN509" s="36"/>
      <c r="EO509" s="36"/>
      <c r="EP509" s="36"/>
      <c r="EQ509" s="36"/>
      <c r="ER509" s="36"/>
      <c r="ES509" s="36"/>
      <c r="ET509" s="36"/>
      <c r="EU509" s="36"/>
      <c r="EV509" s="36"/>
      <c r="EW509" s="36"/>
      <c r="EX509" s="36"/>
      <c r="EY509" s="36"/>
      <c r="EZ509" s="36"/>
      <c r="FA509" s="36"/>
      <c r="FB509" s="36"/>
      <c r="FC509" s="36"/>
      <c r="FD509" s="36"/>
      <c r="FE509" s="36"/>
      <c r="FF509" s="36"/>
      <c r="FG509" s="36"/>
      <c r="FH509" s="36"/>
      <c r="FI509" s="36"/>
      <c r="FJ509" s="36"/>
      <c r="FK509" s="36"/>
      <c r="FL509" s="36"/>
      <c r="FM509" s="36"/>
      <c r="FN509" s="36"/>
      <c r="FO509" s="36"/>
      <c r="FP509" s="36"/>
      <c r="FQ509" s="36"/>
      <c r="FR509" s="36"/>
      <c r="FS509" s="36"/>
      <c r="FT509" s="36"/>
      <c r="FU509" s="36"/>
      <c r="FV509" s="36"/>
      <c r="FW509" s="36"/>
      <c r="FX509" s="36"/>
      <c r="FY509" s="36"/>
      <c r="FZ509" s="36"/>
      <c r="GA509" s="36"/>
      <c r="GB509" s="36"/>
      <c r="GC509" s="36"/>
      <c r="GD509" s="36"/>
      <c r="GE509" s="36"/>
      <c r="GF509" s="36"/>
      <c r="GG509" s="36"/>
      <c r="GH509" s="36"/>
      <c r="GI509" s="36"/>
      <c r="GJ509" s="36"/>
      <c r="GK509" s="36"/>
      <c r="GL509" s="36"/>
      <c r="GM509" s="36"/>
      <c r="GN509" s="36"/>
      <c r="GO509" s="36"/>
      <c r="GP509" s="36"/>
      <c r="GQ509" s="36"/>
      <c r="GR509" s="36"/>
      <c r="GS509" s="36"/>
      <c r="GT509" s="36"/>
      <c r="GU509" s="36"/>
      <c r="GV509" s="36"/>
      <c r="GW509" s="36"/>
      <c r="GX509" s="36"/>
      <c r="GY509" s="36"/>
      <c r="GZ509" s="36"/>
      <c r="HA509" s="36"/>
      <c r="HB509" s="36"/>
      <c r="HC509" s="36"/>
      <c r="HD509" s="36"/>
      <c r="HE509" s="36"/>
      <c r="HF509" s="36"/>
      <c r="HG509" s="36"/>
      <c r="HH509" s="36"/>
      <c r="HI509" s="36"/>
      <c r="HJ509" s="36"/>
      <c r="HK509" s="36"/>
      <c r="HL509" s="36"/>
      <c r="HM509" s="36"/>
      <c r="HN509" s="36"/>
      <c r="HO509" s="36"/>
      <c r="HP509" s="36"/>
      <c r="HQ509" s="36"/>
      <c r="HR509" s="36"/>
      <c r="HS509" s="36"/>
      <c r="HT509" s="36"/>
      <c r="HU509" s="36"/>
      <c r="HV509" s="36"/>
      <c r="HW509" s="36"/>
      <c r="HX509" s="36"/>
      <c r="HY509" s="36"/>
      <c r="HZ509" s="36"/>
      <c r="IA509" s="36"/>
      <c r="IB509" s="36"/>
      <c r="IC509" s="36"/>
      <c r="ID509" s="36"/>
      <c r="IE509" s="36"/>
      <c r="IF509" s="36"/>
      <c r="IG509" s="36"/>
      <c r="IH509" s="36"/>
      <c r="II509" s="36"/>
      <c r="IJ509" s="36"/>
      <c r="IK509" s="36"/>
      <c r="IL509" s="36"/>
      <c r="IM509" s="36"/>
      <c r="IN509" s="36"/>
      <c r="IO509" s="36"/>
      <c r="IP509" s="36"/>
      <c r="IQ509" s="36"/>
      <c r="IR509" s="36"/>
      <c r="IS509" s="36"/>
      <c r="IT509" s="36"/>
      <c r="IU509" s="36"/>
      <c r="IV509" s="36"/>
      <c r="IW509" s="36"/>
      <c r="IX509" s="36"/>
      <c r="IY509" s="36"/>
      <c r="IZ509" s="36"/>
      <c r="JA509" s="36"/>
      <c r="JB509" s="36"/>
      <c r="JC509" s="36"/>
      <c r="JD509" s="36"/>
      <c r="JE509" s="36"/>
      <c r="JF509" s="36"/>
      <c r="JG509" s="36"/>
      <c r="JH509" s="36"/>
      <c r="JI509" s="36"/>
      <c r="JJ509" s="36"/>
      <c r="JK509" s="36"/>
      <c r="JL509" s="36"/>
      <c r="JM509" s="36"/>
      <c r="JN509" s="36"/>
      <c r="JO509" s="36"/>
      <c r="JP509" s="36"/>
      <c r="JQ509" s="36"/>
      <c r="JR509" s="36"/>
      <c r="JS509" s="36"/>
      <c r="JT509" s="36"/>
      <c r="JU509" s="36"/>
      <c r="JV509" s="36"/>
      <c r="JW509" s="36"/>
      <c r="JX509" s="36"/>
      <c r="JY509" s="36"/>
      <c r="JZ509" s="36"/>
      <c r="KA509" s="36"/>
      <c r="KB509" s="36"/>
      <c r="KC509" s="36"/>
      <c r="KD509" s="36"/>
      <c r="KE509" s="36"/>
      <c r="KF509" s="36"/>
      <c r="KG509" s="36"/>
      <c r="KH509" s="36"/>
      <c r="KI509" s="36"/>
      <c r="KJ509" s="36"/>
      <c r="KK509" s="36"/>
      <c r="KL509" s="36"/>
      <c r="KM509" s="36"/>
      <c r="KN509" s="36"/>
      <c r="KO509" s="36"/>
      <c r="KP509" s="36"/>
      <c r="KQ509" s="36"/>
      <c r="KR509" s="36"/>
      <c r="KS509" s="36"/>
      <c r="KT509" s="36"/>
      <c r="KU509" s="36"/>
      <c r="KV509" s="36"/>
      <c r="KW509" s="36"/>
      <c r="KX509" s="36"/>
      <c r="KY509" s="36"/>
      <c r="KZ509" s="36"/>
      <c r="LA509" s="36"/>
      <c r="LB509" s="36"/>
      <c r="LC509" s="36"/>
      <c r="LD509" s="36"/>
      <c r="LE509" s="36"/>
      <c r="LF509" s="36"/>
      <c r="LG509" s="36"/>
      <c r="LH509" s="36"/>
      <c r="LI509" s="36"/>
      <c r="LJ509" s="36"/>
      <c r="LK509" s="36"/>
      <c r="LL509" s="36"/>
      <c r="LM509" s="36"/>
      <c r="LN509" s="36"/>
      <c r="LO509" s="36"/>
      <c r="LP509" s="36"/>
      <c r="LQ509" s="36"/>
      <c r="LR509" s="36"/>
      <c r="LS509" s="36"/>
      <c r="LT509" s="36"/>
      <c r="LU509" s="36"/>
      <c r="LV509" s="36"/>
      <c r="LW509" s="36"/>
      <c r="LX509" s="36"/>
      <c r="LY509" s="36"/>
      <c r="LZ509" s="36"/>
      <c r="MA509" s="36"/>
      <c r="MB509" s="36"/>
      <c r="MC509" s="36"/>
      <c r="MD509" s="36"/>
      <c r="ME509" s="36"/>
      <c r="MF509" s="36"/>
      <c r="MG509" s="36"/>
      <c r="MH509" s="36"/>
      <c r="MI509" s="36"/>
      <c r="MJ509" s="36"/>
      <c r="MK509" s="36"/>
      <c r="ML509" s="36"/>
      <c r="MM509" s="36"/>
      <c r="MN509" s="36"/>
      <c r="MO509" s="36"/>
      <c r="MP509" s="36"/>
      <c r="MQ509" s="36"/>
      <c r="MR509" s="36"/>
      <c r="MS509" s="36"/>
      <c r="MT509" s="36"/>
      <c r="MU509" s="36"/>
      <c r="MV509" s="36"/>
      <c r="MW509" s="36"/>
      <c r="MX509" s="36"/>
      <c r="MY509" s="36"/>
      <c r="MZ509" s="36"/>
      <c r="NA509" s="36"/>
      <c r="NB509" s="36"/>
      <c r="NC509" s="36"/>
      <c r="ND509" s="36"/>
      <c r="NE509" s="36"/>
      <c r="NF509" s="36"/>
      <c r="NG509" s="36"/>
      <c r="NH509" s="36"/>
      <c r="NI509" s="36"/>
      <c r="NJ509" s="36"/>
      <c r="NK509" s="36"/>
      <c r="NL509" s="36"/>
      <c r="NM509" s="36"/>
      <c r="NN509" s="36"/>
      <c r="NO509" s="36"/>
      <c r="NP509" s="36"/>
      <c r="NQ509" s="36"/>
      <c r="NR509" s="36"/>
      <c r="NS509" s="36"/>
      <c r="NT509" s="36"/>
      <c r="NU509" s="36"/>
      <c r="NV509" s="36"/>
      <c r="NW509" s="36"/>
      <c r="NX509" s="36"/>
      <c r="NY509" s="36"/>
      <c r="NZ509" s="36"/>
      <c r="OA509" s="36"/>
      <c r="OB509" s="36"/>
      <c r="OC509" s="36"/>
      <c r="OD509" s="36"/>
      <c r="OE509" s="36"/>
      <c r="OF509" s="36"/>
      <c r="OG509" s="36"/>
      <c r="OH509" s="36"/>
      <c r="OI509" s="36"/>
      <c r="OJ509" s="36"/>
      <c r="OK509" s="36"/>
      <c r="OL509" s="36"/>
      <c r="OM509" s="36"/>
      <c r="ON509" s="36"/>
      <c r="OO509" s="36"/>
      <c r="OP509" s="36"/>
      <c r="OQ509" s="36"/>
      <c r="OR509" s="36"/>
      <c r="OS509" s="36"/>
      <c r="OT509" s="36"/>
      <c r="OU509" s="36"/>
      <c r="OV509" s="36"/>
      <c r="OW509" s="36"/>
      <c r="OX509" s="36"/>
    </row>
    <row r="510" spans="2:414" s="27" customFormat="1" ht="15.6">
      <c r="B510" s="51" t="s">
        <v>1026</v>
      </c>
      <c r="C510" s="27" t="s">
        <v>739</v>
      </c>
      <c r="D510" s="29" t="s">
        <v>405</v>
      </c>
      <c r="G510" s="49">
        <v>80</v>
      </c>
      <c r="H510" s="89">
        <v>26.109000000000002</v>
      </c>
      <c r="I510" s="38">
        <f t="shared" si="150"/>
        <v>2088.7200000000003</v>
      </c>
      <c r="K510" s="49">
        <v>80</v>
      </c>
      <c r="L510" s="90">
        <v>26.849599999999999</v>
      </c>
      <c r="M510" s="38">
        <f t="shared" si="151"/>
        <v>2147.9679999999998</v>
      </c>
      <c r="O510" s="49">
        <v>505</v>
      </c>
      <c r="P510" s="38">
        <v>26.728300000000001</v>
      </c>
      <c r="Q510" s="38">
        <f t="shared" si="152"/>
        <v>13497.791500000001</v>
      </c>
      <c r="R510" s="43">
        <f t="shared" si="149"/>
        <v>665</v>
      </c>
      <c r="S510" s="38">
        <f t="shared" si="153"/>
        <v>17734.479500000001</v>
      </c>
      <c r="T510" s="52">
        <v>240</v>
      </c>
      <c r="U510" s="52">
        <v>26.47</v>
      </c>
      <c r="V510" s="38">
        <f t="shared" si="161"/>
        <v>6352.7999999999993</v>
      </c>
      <c r="W510" s="52">
        <v>505</v>
      </c>
      <c r="X510" s="52">
        <v>26.732500000000002</v>
      </c>
      <c r="Y510" s="42">
        <f t="shared" si="159"/>
        <v>13499.9125</v>
      </c>
      <c r="AB510" s="42">
        <f t="shared" si="160"/>
        <v>0</v>
      </c>
      <c r="AF510" s="42">
        <f t="shared" si="162"/>
        <v>0</v>
      </c>
      <c r="AU510" s="100"/>
      <c r="AV510" s="35"/>
      <c r="AW510" s="78"/>
      <c r="AZ510" s="42">
        <f t="shared" si="163"/>
        <v>0</v>
      </c>
      <c r="BD510" s="38">
        <f t="shared" si="154"/>
        <v>0</v>
      </c>
      <c r="BH510" s="38">
        <f t="shared" si="155"/>
        <v>0</v>
      </c>
      <c r="BL510" s="38">
        <f t="shared" si="156"/>
        <v>0</v>
      </c>
      <c r="BR510" s="42">
        <f t="shared" si="157"/>
        <v>19852.712500000001</v>
      </c>
      <c r="BS510" s="43"/>
      <c r="BT510" s="27">
        <v>2118.23</v>
      </c>
      <c r="BU510" s="36"/>
      <c r="BV510" s="36"/>
      <c r="BW510" s="36"/>
      <c r="BX510" s="36"/>
      <c r="BY510" s="36"/>
      <c r="BZ510" s="36"/>
      <c r="CA510" s="36"/>
      <c r="CB510" s="36"/>
      <c r="CC510" s="36"/>
      <c r="CD510" s="36"/>
      <c r="CE510" s="36"/>
      <c r="CF510" s="36"/>
      <c r="CG510" s="36"/>
      <c r="CH510" s="36"/>
      <c r="CI510" s="36"/>
      <c r="CJ510" s="36"/>
      <c r="CK510" s="36"/>
      <c r="CL510" s="36"/>
      <c r="CM510" s="36"/>
      <c r="CN510" s="36"/>
      <c r="CO510" s="36"/>
      <c r="CP510" s="36"/>
      <c r="CQ510" s="36"/>
      <c r="CR510" s="36"/>
      <c r="CS510" s="36"/>
      <c r="CT510" s="36"/>
      <c r="CU510" s="36"/>
      <c r="CV510" s="36"/>
      <c r="CW510" s="36"/>
      <c r="CX510" s="36"/>
      <c r="CY510" s="36"/>
      <c r="CZ510" s="36"/>
      <c r="DA510" s="36"/>
      <c r="DB510" s="36"/>
      <c r="DC510" s="36"/>
      <c r="DD510" s="36"/>
      <c r="DE510" s="36"/>
      <c r="DF510" s="36"/>
      <c r="DG510" s="36"/>
      <c r="DH510" s="36"/>
      <c r="DI510" s="36"/>
      <c r="DJ510" s="36"/>
      <c r="DK510" s="36"/>
      <c r="DL510" s="36"/>
      <c r="DM510" s="36"/>
      <c r="DN510" s="36"/>
      <c r="DO510" s="36"/>
      <c r="DP510" s="36"/>
      <c r="DQ510" s="36"/>
      <c r="DR510" s="36"/>
      <c r="DS510" s="36"/>
      <c r="DT510" s="36"/>
      <c r="DU510" s="36"/>
      <c r="DV510" s="36"/>
      <c r="DW510" s="36"/>
      <c r="DX510" s="36"/>
      <c r="DY510" s="36"/>
      <c r="DZ510" s="36"/>
      <c r="EA510" s="36"/>
      <c r="EB510" s="36"/>
      <c r="EC510" s="36"/>
      <c r="ED510" s="36"/>
      <c r="EE510" s="36"/>
      <c r="EF510" s="36"/>
      <c r="EG510" s="36"/>
      <c r="EH510" s="36"/>
      <c r="EI510" s="36"/>
      <c r="EJ510" s="36"/>
      <c r="EK510" s="36"/>
      <c r="EL510" s="36"/>
      <c r="EM510" s="36"/>
      <c r="EN510" s="36"/>
      <c r="EO510" s="36"/>
      <c r="EP510" s="36"/>
      <c r="EQ510" s="36"/>
      <c r="ER510" s="36"/>
      <c r="ES510" s="36"/>
      <c r="ET510" s="36"/>
      <c r="EU510" s="36"/>
      <c r="EV510" s="36"/>
      <c r="EW510" s="36"/>
      <c r="EX510" s="36"/>
      <c r="EY510" s="36"/>
      <c r="EZ510" s="36"/>
      <c r="FA510" s="36"/>
      <c r="FB510" s="36"/>
      <c r="FC510" s="36"/>
      <c r="FD510" s="36"/>
      <c r="FE510" s="36"/>
      <c r="FF510" s="36"/>
      <c r="FG510" s="36"/>
      <c r="FH510" s="36"/>
      <c r="FI510" s="36"/>
      <c r="FJ510" s="36"/>
      <c r="FK510" s="36"/>
      <c r="FL510" s="36"/>
      <c r="FM510" s="36"/>
      <c r="FN510" s="36"/>
      <c r="FO510" s="36"/>
      <c r="FP510" s="36"/>
      <c r="FQ510" s="36"/>
      <c r="FR510" s="36"/>
      <c r="FS510" s="36"/>
      <c r="FT510" s="36"/>
      <c r="FU510" s="36"/>
      <c r="FV510" s="36"/>
      <c r="FW510" s="36"/>
      <c r="FX510" s="36"/>
      <c r="FY510" s="36"/>
      <c r="FZ510" s="36"/>
      <c r="GA510" s="36"/>
      <c r="GB510" s="36"/>
      <c r="GC510" s="36"/>
      <c r="GD510" s="36"/>
      <c r="GE510" s="36"/>
      <c r="GF510" s="36"/>
      <c r="GG510" s="36"/>
      <c r="GH510" s="36"/>
      <c r="GI510" s="36"/>
      <c r="GJ510" s="36"/>
      <c r="GK510" s="36"/>
      <c r="GL510" s="36"/>
      <c r="GM510" s="36"/>
      <c r="GN510" s="36"/>
      <c r="GO510" s="36"/>
      <c r="GP510" s="36"/>
      <c r="GQ510" s="36"/>
      <c r="GR510" s="36"/>
      <c r="GS510" s="36"/>
      <c r="GT510" s="36"/>
      <c r="GU510" s="36"/>
      <c r="GV510" s="36"/>
      <c r="GW510" s="36"/>
      <c r="GX510" s="36"/>
      <c r="GY510" s="36"/>
      <c r="GZ510" s="36"/>
      <c r="HA510" s="36"/>
      <c r="HB510" s="36"/>
      <c r="HC510" s="36"/>
      <c r="HD510" s="36"/>
      <c r="HE510" s="36"/>
      <c r="HF510" s="36"/>
      <c r="HG510" s="36"/>
      <c r="HH510" s="36"/>
      <c r="HI510" s="36"/>
      <c r="HJ510" s="36"/>
      <c r="HK510" s="36"/>
      <c r="HL510" s="36"/>
      <c r="HM510" s="36"/>
      <c r="HN510" s="36"/>
      <c r="HO510" s="36"/>
      <c r="HP510" s="36"/>
      <c r="HQ510" s="36"/>
      <c r="HR510" s="36"/>
      <c r="HS510" s="36"/>
      <c r="HT510" s="36"/>
      <c r="HU510" s="36"/>
      <c r="HV510" s="36"/>
      <c r="HW510" s="36"/>
      <c r="HX510" s="36"/>
      <c r="HY510" s="36"/>
      <c r="HZ510" s="36"/>
      <c r="IA510" s="36"/>
      <c r="IB510" s="36"/>
      <c r="IC510" s="36"/>
      <c r="ID510" s="36"/>
      <c r="IE510" s="36"/>
      <c r="IF510" s="36"/>
      <c r="IG510" s="36"/>
      <c r="IH510" s="36"/>
      <c r="II510" s="36"/>
      <c r="IJ510" s="36"/>
      <c r="IK510" s="36"/>
      <c r="IL510" s="36"/>
      <c r="IM510" s="36"/>
      <c r="IN510" s="36"/>
      <c r="IO510" s="36"/>
      <c r="IP510" s="36"/>
      <c r="IQ510" s="36"/>
      <c r="IR510" s="36"/>
      <c r="IS510" s="36"/>
      <c r="IT510" s="36"/>
      <c r="IU510" s="36"/>
      <c r="IV510" s="36"/>
      <c r="IW510" s="36"/>
      <c r="IX510" s="36"/>
      <c r="IY510" s="36"/>
      <c r="IZ510" s="36"/>
      <c r="JA510" s="36"/>
      <c r="JB510" s="36"/>
      <c r="JC510" s="36"/>
      <c r="JD510" s="36"/>
      <c r="JE510" s="36"/>
      <c r="JF510" s="36"/>
      <c r="JG510" s="36"/>
      <c r="JH510" s="36"/>
      <c r="JI510" s="36"/>
      <c r="JJ510" s="36"/>
      <c r="JK510" s="36"/>
      <c r="JL510" s="36"/>
      <c r="JM510" s="36"/>
      <c r="JN510" s="36"/>
      <c r="JO510" s="36"/>
      <c r="JP510" s="36"/>
      <c r="JQ510" s="36"/>
      <c r="JR510" s="36"/>
      <c r="JS510" s="36"/>
      <c r="JT510" s="36"/>
      <c r="JU510" s="36"/>
      <c r="JV510" s="36"/>
      <c r="JW510" s="36"/>
      <c r="JX510" s="36"/>
      <c r="JY510" s="36"/>
      <c r="JZ510" s="36"/>
      <c r="KA510" s="36"/>
      <c r="KB510" s="36"/>
      <c r="KC510" s="36"/>
      <c r="KD510" s="36"/>
      <c r="KE510" s="36"/>
      <c r="KF510" s="36"/>
      <c r="KG510" s="36"/>
      <c r="KH510" s="36"/>
      <c r="KI510" s="36"/>
      <c r="KJ510" s="36"/>
      <c r="KK510" s="36"/>
      <c r="KL510" s="36"/>
      <c r="KM510" s="36"/>
      <c r="KN510" s="36"/>
      <c r="KO510" s="36"/>
      <c r="KP510" s="36"/>
      <c r="KQ510" s="36"/>
      <c r="KR510" s="36"/>
      <c r="KS510" s="36"/>
      <c r="KT510" s="36"/>
      <c r="KU510" s="36"/>
      <c r="KV510" s="36"/>
      <c r="KW510" s="36"/>
      <c r="KX510" s="36"/>
      <c r="KY510" s="36"/>
      <c r="KZ510" s="36"/>
      <c r="LA510" s="36"/>
      <c r="LB510" s="36"/>
      <c r="LC510" s="36"/>
      <c r="LD510" s="36"/>
      <c r="LE510" s="36"/>
      <c r="LF510" s="36"/>
      <c r="LG510" s="36"/>
      <c r="LH510" s="36"/>
      <c r="LI510" s="36"/>
      <c r="LJ510" s="36"/>
      <c r="LK510" s="36"/>
      <c r="LL510" s="36"/>
      <c r="LM510" s="36"/>
      <c r="LN510" s="36"/>
      <c r="LO510" s="36"/>
      <c r="LP510" s="36"/>
      <c r="LQ510" s="36"/>
      <c r="LR510" s="36"/>
      <c r="LS510" s="36"/>
      <c r="LT510" s="36"/>
      <c r="LU510" s="36"/>
      <c r="LV510" s="36"/>
      <c r="LW510" s="36"/>
      <c r="LX510" s="36"/>
      <c r="LY510" s="36"/>
      <c r="LZ510" s="36"/>
      <c r="MA510" s="36"/>
      <c r="MB510" s="36"/>
      <c r="MC510" s="36"/>
      <c r="MD510" s="36"/>
      <c r="ME510" s="36"/>
      <c r="MF510" s="36"/>
      <c r="MG510" s="36"/>
      <c r="MH510" s="36"/>
      <c r="MI510" s="36"/>
      <c r="MJ510" s="36"/>
      <c r="MK510" s="36"/>
      <c r="ML510" s="36"/>
      <c r="MM510" s="36"/>
      <c r="MN510" s="36"/>
      <c r="MO510" s="36"/>
      <c r="MP510" s="36"/>
      <c r="MQ510" s="36"/>
      <c r="MR510" s="36"/>
      <c r="MS510" s="36"/>
      <c r="MT510" s="36"/>
      <c r="MU510" s="36"/>
      <c r="MV510" s="36"/>
      <c r="MW510" s="36"/>
      <c r="MX510" s="36"/>
      <c r="MY510" s="36"/>
      <c r="MZ510" s="36"/>
      <c r="NA510" s="36"/>
      <c r="NB510" s="36"/>
      <c r="NC510" s="36"/>
      <c r="ND510" s="36"/>
      <c r="NE510" s="36"/>
      <c r="NF510" s="36"/>
      <c r="NG510" s="36"/>
      <c r="NH510" s="36"/>
      <c r="NI510" s="36"/>
      <c r="NJ510" s="36"/>
      <c r="NK510" s="36"/>
      <c r="NL510" s="36"/>
      <c r="NM510" s="36"/>
      <c r="NN510" s="36"/>
      <c r="NO510" s="36"/>
      <c r="NP510" s="36"/>
      <c r="NQ510" s="36"/>
      <c r="NR510" s="36"/>
      <c r="NS510" s="36"/>
      <c r="NT510" s="36"/>
      <c r="NU510" s="36"/>
      <c r="NV510" s="36"/>
      <c r="NW510" s="36"/>
      <c r="NX510" s="36"/>
      <c r="NY510" s="36"/>
      <c r="NZ510" s="36"/>
      <c r="OA510" s="36"/>
      <c r="OB510" s="36"/>
      <c r="OC510" s="36"/>
      <c r="OD510" s="36"/>
      <c r="OE510" s="36"/>
      <c r="OF510" s="36"/>
      <c r="OG510" s="36"/>
      <c r="OH510" s="36"/>
      <c r="OI510" s="36"/>
      <c r="OJ510" s="36"/>
      <c r="OK510" s="36"/>
      <c r="OL510" s="36"/>
      <c r="OM510" s="36"/>
      <c r="ON510" s="36"/>
      <c r="OO510" s="36"/>
      <c r="OP510" s="36"/>
      <c r="OQ510" s="36"/>
      <c r="OR510" s="36"/>
      <c r="OS510" s="36"/>
      <c r="OT510" s="36"/>
      <c r="OU510" s="36"/>
      <c r="OV510" s="36"/>
      <c r="OW510" s="36"/>
      <c r="OX510" s="36"/>
    </row>
    <row r="511" spans="2:414" s="27" customFormat="1" ht="15.6">
      <c r="B511" s="51" t="s">
        <v>891</v>
      </c>
      <c r="C511" s="27" t="s">
        <v>428</v>
      </c>
      <c r="D511" s="29" t="s">
        <v>405</v>
      </c>
      <c r="G511" s="49">
        <v>80</v>
      </c>
      <c r="H511" s="89">
        <v>26.109000000000002</v>
      </c>
      <c r="I511" s="38">
        <f t="shared" si="150"/>
        <v>2088.7200000000003</v>
      </c>
      <c r="K511" s="49">
        <v>80</v>
      </c>
      <c r="L511" s="90">
        <v>26.849599999999999</v>
      </c>
      <c r="M511" s="38">
        <f t="shared" si="151"/>
        <v>2147.9679999999998</v>
      </c>
      <c r="O511" s="49">
        <v>505</v>
      </c>
      <c r="P511" s="38">
        <v>26.728300000000001</v>
      </c>
      <c r="Q511" s="38">
        <f t="shared" si="152"/>
        <v>13497.791500000001</v>
      </c>
      <c r="R511" s="43">
        <f t="shared" si="149"/>
        <v>665</v>
      </c>
      <c r="S511" s="38">
        <f t="shared" si="153"/>
        <v>17734.479500000001</v>
      </c>
      <c r="T511" s="27">
        <v>240</v>
      </c>
      <c r="U511" s="27">
        <v>26.47</v>
      </c>
      <c r="V511" s="38">
        <f t="shared" si="161"/>
        <v>6352.7999999999993</v>
      </c>
      <c r="W511" s="52">
        <v>505</v>
      </c>
      <c r="X511" s="52">
        <v>26.6431</v>
      </c>
      <c r="Y511" s="42">
        <f t="shared" si="159"/>
        <v>13454.7655</v>
      </c>
      <c r="AB511" s="42">
        <f t="shared" si="160"/>
        <v>0</v>
      </c>
      <c r="AF511" s="42">
        <f t="shared" si="162"/>
        <v>0</v>
      </c>
      <c r="AU511" s="100"/>
      <c r="AV511" s="35"/>
      <c r="AW511" s="78"/>
      <c r="AZ511" s="42">
        <f t="shared" si="163"/>
        <v>0</v>
      </c>
      <c r="BD511" s="38">
        <f t="shared" si="154"/>
        <v>0</v>
      </c>
      <c r="BH511" s="38">
        <f t="shared" si="155"/>
        <v>0</v>
      </c>
      <c r="BL511" s="38">
        <f t="shared" si="156"/>
        <v>0</v>
      </c>
      <c r="BR511" s="42">
        <f t="shared" si="157"/>
        <v>19807.565499999997</v>
      </c>
      <c r="BS511" s="43"/>
      <c r="BT511" s="27">
        <v>2073.09</v>
      </c>
      <c r="BU511" s="36"/>
      <c r="BV511" s="36"/>
      <c r="BW511" s="36"/>
      <c r="BX511" s="36"/>
      <c r="BY511" s="36"/>
      <c r="BZ511" s="36"/>
      <c r="CA511" s="36"/>
      <c r="CB511" s="36"/>
      <c r="CC511" s="36"/>
      <c r="CD511" s="36"/>
      <c r="CE511" s="36"/>
      <c r="CF511" s="36"/>
      <c r="CG511" s="36"/>
      <c r="CH511" s="36"/>
      <c r="CI511" s="36"/>
      <c r="CJ511" s="36"/>
      <c r="CK511" s="36"/>
      <c r="CL511" s="36"/>
      <c r="CM511" s="36"/>
      <c r="CN511" s="36"/>
      <c r="CO511" s="36"/>
      <c r="CP511" s="36"/>
      <c r="CQ511" s="36"/>
      <c r="CR511" s="36"/>
      <c r="CS511" s="36"/>
      <c r="CT511" s="36"/>
      <c r="CU511" s="36"/>
      <c r="CV511" s="36"/>
      <c r="CW511" s="36"/>
      <c r="CX511" s="36"/>
      <c r="CY511" s="36"/>
      <c r="CZ511" s="36"/>
      <c r="DA511" s="36"/>
      <c r="DB511" s="36"/>
      <c r="DC511" s="36"/>
      <c r="DD511" s="36"/>
      <c r="DE511" s="36"/>
      <c r="DF511" s="36"/>
      <c r="DG511" s="36"/>
      <c r="DH511" s="36"/>
      <c r="DI511" s="36"/>
      <c r="DJ511" s="36"/>
      <c r="DK511" s="36"/>
      <c r="DL511" s="36"/>
      <c r="DM511" s="36"/>
      <c r="DN511" s="36"/>
      <c r="DO511" s="36"/>
      <c r="DP511" s="36"/>
      <c r="DQ511" s="36"/>
      <c r="DR511" s="36"/>
      <c r="DS511" s="36"/>
      <c r="DT511" s="36"/>
      <c r="DU511" s="36"/>
      <c r="DV511" s="36"/>
      <c r="DW511" s="36"/>
      <c r="DX511" s="36"/>
      <c r="DY511" s="36"/>
      <c r="DZ511" s="36"/>
      <c r="EA511" s="36"/>
      <c r="EB511" s="36"/>
      <c r="EC511" s="36"/>
      <c r="ED511" s="36"/>
      <c r="EE511" s="36"/>
      <c r="EF511" s="36"/>
      <c r="EG511" s="36"/>
      <c r="EH511" s="36"/>
      <c r="EI511" s="36"/>
      <c r="EJ511" s="36"/>
      <c r="EK511" s="36"/>
      <c r="EL511" s="36"/>
      <c r="EM511" s="36"/>
      <c r="EN511" s="36"/>
      <c r="EO511" s="36"/>
      <c r="EP511" s="36"/>
      <c r="EQ511" s="36"/>
      <c r="ER511" s="36"/>
      <c r="ES511" s="36"/>
      <c r="ET511" s="36"/>
      <c r="EU511" s="36"/>
      <c r="EV511" s="36"/>
      <c r="EW511" s="36"/>
      <c r="EX511" s="36"/>
      <c r="EY511" s="36"/>
      <c r="EZ511" s="36"/>
      <c r="FA511" s="36"/>
      <c r="FB511" s="36"/>
      <c r="FC511" s="36"/>
      <c r="FD511" s="36"/>
      <c r="FE511" s="36"/>
      <c r="FF511" s="36"/>
      <c r="FG511" s="36"/>
      <c r="FH511" s="36"/>
      <c r="FI511" s="36"/>
      <c r="FJ511" s="36"/>
      <c r="FK511" s="36"/>
      <c r="FL511" s="36"/>
      <c r="FM511" s="36"/>
      <c r="FN511" s="36"/>
      <c r="FO511" s="36"/>
      <c r="FP511" s="36"/>
      <c r="FQ511" s="36"/>
      <c r="FR511" s="36"/>
      <c r="FS511" s="36"/>
      <c r="FT511" s="36"/>
      <c r="FU511" s="36"/>
      <c r="FV511" s="36"/>
      <c r="FW511" s="36"/>
      <c r="FX511" s="36"/>
      <c r="FY511" s="36"/>
      <c r="FZ511" s="36"/>
      <c r="GA511" s="36"/>
      <c r="GB511" s="36"/>
      <c r="GC511" s="36"/>
      <c r="GD511" s="36"/>
      <c r="GE511" s="36"/>
      <c r="GF511" s="36"/>
      <c r="GG511" s="36"/>
      <c r="GH511" s="36"/>
      <c r="GI511" s="36"/>
      <c r="GJ511" s="36"/>
      <c r="GK511" s="36"/>
      <c r="GL511" s="36"/>
      <c r="GM511" s="36"/>
      <c r="GN511" s="36"/>
      <c r="GO511" s="36"/>
      <c r="GP511" s="36"/>
      <c r="GQ511" s="36"/>
      <c r="GR511" s="36"/>
      <c r="GS511" s="36"/>
      <c r="GT511" s="36"/>
      <c r="GU511" s="36"/>
      <c r="GV511" s="36"/>
      <c r="GW511" s="36"/>
      <c r="GX511" s="36"/>
      <c r="GY511" s="36"/>
      <c r="GZ511" s="36"/>
      <c r="HA511" s="36"/>
      <c r="HB511" s="36"/>
      <c r="HC511" s="36"/>
      <c r="HD511" s="36"/>
      <c r="HE511" s="36"/>
      <c r="HF511" s="36"/>
      <c r="HG511" s="36"/>
      <c r="HH511" s="36"/>
      <c r="HI511" s="36"/>
      <c r="HJ511" s="36"/>
      <c r="HK511" s="36"/>
      <c r="HL511" s="36"/>
      <c r="HM511" s="36"/>
      <c r="HN511" s="36"/>
      <c r="HO511" s="36"/>
      <c r="HP511" s="36"/>
      <c r="HQ511" s="36"/>
      <c r="HR511" s="36"/>
      <c r="HS511" s="36"/>
      <c r="HT511" s="36"/>
      <c r="HU511" s="36"/>
      <c r="HV511" s="36"/>
      <c r="HW511" s="36"/>
      <c r="HX511" s="36"/>
      <c r="HY511" s="36"/>
      <c r="HZ511" s="36"/>
      <c r="IA511" s="36"/>
      <c r="IB511" s="36"/>
      <c r="IC511" s="36"/>
      <c r="ID511" s="36"/>
      <c r="IE511" s="36"/>
      <c r="IF511" s="36"/>
      <c r="IG511" s="36"/>
      <c r="IH511" s="36"/>
      <c r="II511" s="36"/>
      <c r="IJ511" s="36"/>
      <c r="IK511" s="36"/>
      <c r="IL511" s="36"/>
      <c r="IM511" s="36"/>
      <c r="IN511" s="36"/>
      <c r="IO511" s="36"/>
      <c r="IP511" s="36"/>
      <c r="IQ511" s="36"/>
      <c r="IR511" s="36"/>
      <c r="IS511" s="36"/>
      <c r="IT511" s="36"/>
      <c r="IU511" s="36"/>
      <c r="IV511" s="36"/>
      <c r="IW511" s="36"/>
      <c r="IX511" s="36"/>
      <c r="IY511" s="36"/>
      <c r="IZ511" s="36"/>
      <c r="JA511" s="36"/>
      <c r="JB511" s="36"/>
      <c r="JC511" s="36"/>
      <c r="JD511" s="36"/>
      <c r="JE511" s="36"/>
      <c r="JF511" s="36"/>
      <c r="JG511" s="36"/>
      <c r="JH511" s="36"/>
      <c r="JI511" s="36"/>
      <c r="JJ511" s="36"/>
      <c r="JK511" s="36"/>
      <c r="JL511" s="36"/>
      <c r="JM511" s="36"/>
      <c r="JN511" s="36"/>
      <c r="JO511" s="36"/>
      <c r="JP511" s="36"/>
      <c r="JQ511" s="36"/>
      <c r="JR511" s="36"/>
      <c r="JS511" s="36"/>
      <c r="JT511" s="36"/>
      <c r="JU511" s="36"/>
      <c r="JV511" s="36"/>
      <c r="JW511" s="36"/>
      <c r="JX511" s="36"/>
      <c r="JY511" s="36"/>
      <c r="JZ511" s="36"/>
      <c r="KA511" s="36"/>
      <c r="KB511" s="36"/>
      <c r="KC511" s="36"/>
      <c r="KD511" s="36"/>
      <c r="KE511" s="36"/>
      <c r="KF511" s="36"/>
      <c r="KG511" s="36"/>
      <c r="KH511" s="36"/>
      <c r="KI511" s="36"/>
      <c r="KJ511" s="36"/>
      <c r="KK511" s="36"/>
      <c r="KL511" s="36"/>
      <c r="KM511" s="36"/>
      <c r="KN511" s="36"/>
      <c r="KO511" s="36"/>
      <c r="KP511" s="36"/>
      <c r="KQ511" s="36"/>
      <c r="KR511" s="36"/>
      <c r="KS511" s="36"/>
      <c r="KT511" s="36"/>
      <c r="KU511" s="36"/>
      <c r="KV511" s="36"/>
      <c r="KW511" s="36"/>
      <c r="KX511" s="36"/>
      <c r="KY511" s="36"/>
      <c r="KZ511" s="36"/>
      <c r="LA511" s="36"/>
      <c r="LB511" s="36"/>
      <c r="LC511" s="36"/>
      <c r="LD511" s="36"/>
      <c r="LE511" s="36"/>
      <c r="LF511" s="36"/>
      <c r="LG511" s="36"/>
      <c r="LH511" s="36"/>
      <c r="LI511" s="36"/>
      <c r="LJ511" s="36"/>
      <c r="LK511" s="36"/>
      <c r="LL511" s="36"/>
      <c r="LM511" s="36"/>
      <c r="LN511" s="36"/>
      <c r="LO511" s="36"/>
      <c r="LP511" s="36"/>
      <c r="LQ511" s="36"/>
      <c r="LR511" s="36"/>
      <c r="LS511" s="36"/>
      <c r="LT511" s="36"/>
      <c r="LU511" s="36"/>
      <c r="LV511" s="36"/>
      <c r="LW511" s="36"/>
      <c r="LX511" s="36"/>
      <c r="LY511" s="36"/>
      <c r="LZ511" s="36"/>
      <c r="MA511" s="36"/>
      <c r="MB511" s="36"/>
      <c r="MC511" s="36"/>
      <c r="MD511" s="36"/>
      <c r="ME511" s="36"/>
      <c r="MF511" s="36"/>
      <c r="MG511" s="36"/>
      <c r="MH511" s="36"/>
      <c r="MI511" s="36"/>
      <c r="MJ511" s="36"/>
      <c r="MK511" s="36"/>
      <c r="ML511" s="36"/>
      <c r="MM511" s="36"/>
      <c r="MN511" s="36"/>
      <c r="MO511" s="36"/>
      <c r="MP511" s="36"/>
      <c r="MQ511" s="36"/>
      <c r="MR511" s="36"/>
      <c r="MS511" s="36"/>
      <c r="MT511" s="36"/>
      <c r="MU511" s="36"/>
      <c r="MV511" s="36"/>
      <c r="MW511" s="36"/>
      <c r="MX511" s="36"/>
      <c r="MY511" s="36"/>
      <c r="MZ511" s="36"/>
      <c r="NA511" s="36"/>
      <c r="NB511" s="36"/>
      <c r="NC511" s="36"/>
      <c r="ND511" s="36"/>
      <c r="NE511" s="36"/>
      <c r="NF511" s="36"/>
      <c r="NG511" s="36"/>
      <c r="NH511" s="36"/>
      <c r="NI511" s="36"/>
      <c r="NJ511" s="36"/>
      <c r="NK511" s="36"/>
      <c r="NL511" s="36"/>
      <c r="NM511" s="36"/>
      <c r="NN511" s="36"/>
      <c r="NO511" s="36"/>
      <c r="NP511" s="36"/>
      <c r="NQ511" s="36"/>
      <c r="NR511" s="36"/>
      <c r="NS511" s="36"/>
      <c r="NT511" s="36"/>
      <c r="NU511" s="36"/>
      <c r="NV511" s="36"/>
      <c r="NW511" s="36"/>
      <c r="NX511" s="36"/>
      <c r="NY511" s="36"/>
      <c r="NZ511" s="36"/>
      <c r="OA511" s="36"/>
      <c r="OB511" s="36"/>
      <c r="OC511" s="36"/>
      <c r="OD511" s="36"/>
      <c r="OE511" s="36"/>
      <c r="OF511" s="36"/>
      <c r="OG511" s="36"/>
      <c r="OH511" s="36"/>
      <c r="OI511" s="36"/>
      <c r="OJ511" s="36"/>
      <c r="OK511" s="36"/>
      <c r="OL511" s="36"/>
      <c r="OM511" s="36"/>
      <c r="ON511" s="36"/>
      <c r="OO511" s="36"/>
      <c r="OP511" s="36"/>
      <c r="OQ511" s="36"/>
      <c r="OR511" s="36"/>
      <c r="OS511" s="36"/>
      <c r="OT511" s="36"/>
      <c r="OU511" s="36"/>
      <c r="OV511" s="36"/>
      <c r="OW511" s="36"/>
      <c r="OX511" s="36"/>
    </row>
    <row r="512" spans="2:414" s="27" customFormat="1" ht="15.6">
      <c r="B512" s="51" t="s">
        <v>19</v>
      </c>
      <c r="C512" s="27" t="s">
        <v>712</v>
      </c>
      <c r="D512" s="29" t="s">
        <v>405</v>
      </c>
      <c r="G512" s="49">
        <v>80</v>
      </c>
      <c r="H512" s="89">
        <v>26.109000000000002</v>
      </c>
      <c r="I512" s="38">
        <f t="shared" si="150"/>
        <v>2088.7200000000003</v>
      </c>
      <c r="K512" s="49">
        <v>80</v>
      </c>
      <c r="L512" s="90">
        <v>26.849599999999999</v>
      </c>
      <c r="M512" s="38">
        <f t="shared" si="151"/>
        <v>2147.9679999999998</v>
      </c>
      <c r="O512" s="49">
        <v>505</v>
      </c>
      <c r="P512" s="38">
        <v>26.728300000000001</v>
      </c>
      <c r="Q512" s="38">
        <f t="shared" si="152"/>
        <v>13497.791500000001</v>
      </c>
      <c r="R512" s="43">
        <f t="shared" si="149"/>
        <v>665</v>
      </c>
      <c r="S512" s="38">
        <f t="shared" si="153"/>
        <v>17734.479500000001</v>
      </c>
      <c r="T512" s="52">
        <v>240</v>
      </c>
      <c r="U512" s="52">
        <v>26.57</v>
      </c>
      <c r="V512" s="38">
        <f t="shared" si="161"/>
        <v>6376.8</v>
      </c>
      <c r="W512" s="52">
        <v>505</v>
      </c>
      <c r="X512" s="52">
        <v>26.64</v>
      </c>
      <c r="Y512" s="42">
        <f t="shared" si="159"/>
        <v>13453.2</v>
      </c>
      <c r="AB512" s="42">
        <f t="shared" si="160"/>
        <v>0</v>
      </c>
      <c r="AF512" s="42">
        <f t="shared" si="162"/>
        <v>0</v>
      </c>
      <c r="AU512" s="100"/>
      <c r="AV512" s="35"/>
      <c r="AW512" s="78"/>
      <c r="AZ512" s="42">
        <f t="shared" si="163"/>
        <v>0</v>
      </c>
      <c r="BD512" s="38">
        <f t="shared" si="154"/>
        <v>0</v>
      </c>
      <c r="BH512" s="38">
        <f t="shared" si="155"/>
        <v>0</v>
      </c>
      <c r="BL512" s="38">
        <f t="shared" si="156"/>
        <v>0</v>
      </c>
      <c r="BR512" s="42">
        <f t="shared" si="157"/>
        <v>19830</v>
      </c>
      <c r="BS512" s="43"/>
      <c r="BT512" s="27">
        <v>2095.52</v>
      </c>
      <c r="BU512" s="36"/>
      <c r="BV512" s="36"/>
      <c r="BW512" s="36"/>
      <c r="BX512" s="36"/>
      <c r="BY512" s="36"/>
      <c r="BZ512" s="36"/>
      <c r="CA512" s="36"/>
      <c r="CB512" s="36"/>
      <c r="CC512" s="36"/>
      <c r="CD512" s="36"/>
      <c r="CE512" s="36"/>
      <c r="CF512" s="36"/>
      <c r="CG512" s="36"/>
      <c r="CH512" s="36"/>
      <c r="CI512" s="36"/>
      <c r="CJ512" s="36"/>
      <c r="CK512" s="36"/>
      <c r="CL512" s="36"/>
      <c r="CM512" s="36"/>
      <c r="CN512" s="36"/>
      <c r="CO512" s="36"/>
      <c r="CP512" s="36"/>
      <c r="CQ512" s="36"/>
      <c r="CR512" s="36"/>
      <c r="CS512" s="36"/>
      <c r="CT512" s="36"/>
      <c r="CU512" s="36"/>
      <c r="CV512" s="36"/>
      <c r="CW512" s="36"/>
      <c r="CX512" s="36"/>
      <c r="CY512" s="36"/>
      <c r="CZ512" s="36"/>
      <c r="DA512" s="36"/>
      <c r="DB512" s="36"/>
      <c r="DC512" s="36"/>
      <c r="DD512" s="36"/>
      <c r="DE512" s="36"/>
      <c r="DF512" s="36"/>
      <c r="DG512" s="36"/>
      <c r="DH512" s="36"/>
      <c r="DI512" s="36"/>
      <c r="DJ512" s="36"/>
      <c r="DK512" s="36"/>
      <c r="DL512" s="36"/>
      <c r="DM512" s="36"/>
      <c r="DN512" s="36"/>
      <c r="DO512" s="36"/>
      <c r="DP512" s="36"/>
      <c r="DQ512" s="36"/>
      <c r="DR512" s="36"/>
      <c r="DS512" s="36"/>
      <c r="DT512" s="36"/>
      <c r="DU512" s="36"/>
      <c r="DV512" s="36"/>
      <c r="DW512" s="36"/>
      <c r="DX512" s="36"/>
      <c r="DY512" s="36"/>
      <c r="DZ512" s="36"/>
      <c r="EA512" s="36"/>
      <c r="EB512" s="36"/>
      <c r="EC512" s="36"/>
      <c r="ED512" s="36"/>
      <c r="EE512" s="36"/>
      <c r="EF512" s="36"/>
      <c r="EG512" s="36"/>
      <c r="EH512" s="36"/>
      <c r="EI512" s="36"/>
      <c r="EJ512" s="36"/>
      <c r="EK512" s="36"/>
      <c r="EL512" s="36"/>
      <c r="EM512" s="36"/>
      <c r="EN512" s="36"/>
      <c r="EO512" s="36"/>
      <c r="EP512" s="36"/>
      <c r="EQ512" s="36"/>
      <c r="ER512" s="36"/>
      <c r="ES512" s="36"/>
      <c r="ET512" s="36"/>
      <c r="EU512" s="36"/>
      <c r="EV512" s="36"/>
      <c r="EW512" s="36"/>
      <c r="EX512" s="36"/>
      <c r="EY512" s="36"/>
      <c r="EZ512" s="36"/>
      <c r="FA512" s="36"/>
      <c r="FB512" s="36"/>
      <c r="FC512" s="36"/>
      <c r="FD512" s="36"/>
      <c r="FE512" s="36"/>
      <c r="FF512" s="36"/>
      <c r="FG512" s="36"/>
      <c r="FH512" s="36"/>
      <c r="FI512" s="36"/>
      <c r="FJ512" s="36"/>
      <c r="FK512" s="36"/>
      <c r="FL512" s="36"/>
      <c r="FM512" s="36"/>
      <c r="FN512" s="36"/>
      <c r="FO512" s="36"/>
      <c r="FP512" s="36"/>
      <c r="FQ512" s="36"/>
      <c r="FR512" s="36"/>
      <c r="FS512" s="36"/>
      <c r="FT512" s="36"/>
      <c r="FU512" s="36"/>
      <c r="FV512" s="36"/>
      <c r="FW512" s="36"/>
      <c r="FX512" s="36"/>
      <c r="FY512" s="36"/>
      <c r="FZ512" s="36"/>
      <c r="GA512" s="36"/>
      <c r="GB512" s="36"/>
      <c r="GC512" s="36"/>
      <c r="GD512" s="36"/>
      <c r="GE512" s="36"/>
      <c r="GF512" s="36"/>
      <c r="GG512" s="36"/>
      <c r="GH512" s="36"/>
      <c r="GI512" s="36"/>
      <c r="GJ512" s="36"/>
      <c r="GK512" s="36"/>
      <c r="GL512" s="36"/>
      <c r="GM512" s="36"/>
      <c r="GN512" s="36"/>
      <c r="GO512" s="36"/>
      <c r="GP512" s="36"/>
      <c r="GQ512" s="36"/>
      <c r="GR512" s="36"/>
      <c r="GS512" s="36"/>
      <c r="GT512" s="36"/>
      <c r="GU512" s="36"/>
      <c r="GV512" s="36"/>
      <c r="GW512" s="36"/>
      <c r="GX512" s="36"/>
      <c r="GY512" s="36"/>
      <c r="GZ512" s="36"/>
      <c r="HA512" s="36"/>
      <c r="HB512" s="36"/>
      <c r="HC512" s="36"/>
      <c r="HD512" s="36"/>
      <c r="HE512" s="36"/>
      <c r="HF512" s="36"/>
      <c r="HG512" s="36"/>
      <c r="HH512" s="36"/>
      <c r="HI512" s="36"/>
      <c r="HJ512" s="36"/>
      <c r="HK512" s="36"/>
      <c r="HL512" s="36"/>
      <c r="HM512" s="36"/>
      <c r="HN512" s="36"/>
      <c r="HO512" s="36"/>
      <c r="HP512" s="36"/>
      <c r="HQ512" s="36"/>
      <c r="HR512" s="36"/>
      <c r="HS512" s="36"/>
      <c r="HT512" s="36"/>
      <c r="HU512" s="36"/>
      <c r="HV512" s="36"/>
      <c r="HW512" s="36"/>
      <c r="HX512" s="36"/>
      <c r="HY512" s="36"/>
      <c r="HZ512" s="36"/>
      <c r="IA512" s="36"/>
      <c r="IB512" s="36"/>
      <c r="IC512" s="36"/>
      <c r="ID512" s="36"/>
      <c r="IE512" s="36"/>
      <c r="IF512" s="36"/>
      <c r="IG512" s="36"/>
      <c r="IH512" s="36"/>
      <c r="II512" s="36"/>
      <c r="IJ512" s="36"/>
      <c r="IK512" s="36"/>
      <c r="IL512" s="36"/>
      <c r="IM512" s="36"/>
      <c r="IN512" s="36"/>
      <c r="IO512" s="36"/>
      <c r="IP512" s="36"/>
      <c r="IQ512" s="36"/>
      <c r="IR512" s="36"/>
      <c r="IS512" s="36"/>
      <c r="IT512" s="36"/>
      <c r="IU512" s="36"/>
      <c r="IV512" s="36"/>
      <c r="IW512" s="36"/>
      <c r="IX512" s="36"/>
      <c r="IY512" s="36"/>
      <c r="IZ512" s="36"/>
      <c r="JA512" s="36"/>
      <c r="JB512" s="36"/>
      <c r="JC512" s="36"/>
      <c r="JD512" s="36"/>
      <c r="JE512" s="36"/>
      <c r="JF512" s="36"/>
      <c r="JG512" s="36"/>
      <c r="JH512" s="36"/>
      <c r="JI512" s="36"/>
      <c r="JJ512" s="36"/>
      <c r="JK512" s="36"/>
      <c r="JL512" s="36"/>
      <c r="JM512" s="36"/>
      <c r="JN512" s="36"/>
      <c r="JO512" s="36"/>
      <c r="JP512" s="36"/>
      <c r="JQ512" s="36"/>
      <c r="JR512" s="36"/>
      <c r="JS512" s="36"/>
      <c r="JT512" s="36"/>
      <c r="JU512" s="36"/>
      <c r="JV512" s="36"/>
      <c r="JW512" s="36"/>
      <c r="JX512" s="36"/>
      <c r="JY512" s="36"/>
      <c r="JZ512" s="36"/>
      <c r="KA512" s="36"/>
      <c r="KB512" s="36"/>
      <c r="KC512" s="36"/>
      <c r="KD512" s="36"/>
      <c r="KE512" s="36"/>
      <c r="KF512" s="36"/>
      <c r="KG512" s="36"/>
      <c r="KH512" s="36"/>
      <c r="KI512" s="36"/>
      <c r="KJ512" s="36"/>
      <c r="KK512" s="36"/>
      <c r="KL512" s="36"/>
      <c r="KM512" s="36"/>
      <c r="KN512" s="36"/>
      <c r="KO512" s="36"/>
      <c r="KP512" s="36"/>
      <c r="KQ512" s="36"/>
      <c r="KR512" s="36"/>
      <c r="KS512" s="36"/>
      <c r="KT512" s="36"/>
      <c r="KU512" s="36"/>
      <c r="KV512" s="36"/>
      <c r="KW512" s="36"/>
      <c r="KX512" s="36"/>
      <c r="KY512" s="36"/>
      <c r="KZ512" s="36"/>
      <c r="LA512" s="36"/>
      <c r="LB512" s="36"/>
      <c r="LC512" s="36"/>
      <c r="LD512" s="36"/>
      <c r="LE512" s="36"/>
      <c r="LF512" s="36"/>
      <c r="LG512" s="36"/>
      <c r="LH512" s="36"/>
      <c r="LI512" s="36"/>
      <c r="LJ512" s="36"/>
      <c r="LK512" s="36"/>
      <c r="LL512" s="36"/>
      <c r="LM512" s="36"/>
      <c r="LN512" s="36"/>
      <c r="LO512" s="36"/>
      <c r="LP512" s="36"/>
      <c r="LQ512" s="36"/>
      <c r="LR512" s="36"/>
      <c r="LS512" s="36"/>
      <c r="LT512" s="36"/>
      <c r="LU512" s="36"/>
      <c r="LV512" s="36"/>
      <c r="LW512" s="36"/>
      <c r="LX512" s="36"/>
      <c r="LY512" s="36"/>
      <c r="LZ512" s="36"/>
      <c r="MA512" s="36"/>
      <c r="MB512" s="36"/>
      <c r="MC512" s="36"/>
      <c r="MD512" s="36"/>
      <c r="ME512" s="36"/>
      <c r="MF512" s="36"/>
      <c r="MG512" s="36"/>
      <c r="MH512" s="36"/>
      <c r="MI512" s="36"/>
      <c r="MJ512" s="36"/>
      <c r="MK512" s="36"/>
      <c r="ML512" s="36"/>
      <c r="MM512" s="36"/>
      <c r="MN512" s="36"/>
      <c r="MO512" s="36"/>
      <c r="MP512" s="36"/>
      <c r="MQ512" s="36"/>
      <c r="MR512" s="36"/>
      <c r="MS512" s="36"/>
      <c r="MT512" s="36"/>
      <c r="MU512" s="36"/>
      <c r="MV512" s="36"/>
      <c r="MW512" s="36"/>
      <c r="MX512" s="36"/>
      <c r="MY512" s="36"/>
      <c r="MZ512" s="36"/>
      <c r="NA512" s="36"/>
      <c r="NB512" s="36"/>
      <c r="NC512" s="36"/>
      <c r="ND512" s="36"/>
      <c r="NE512" s="36"/>
      <c r="NF512" s="36"/>
      <c r="NG512" s="36"/>
      <c r="NH512" s="36"/>
      <c r="NI512" s="36"/>
      <c r="NJ512" s="36"/>
      <c r="NK512" s="36"/>
      <c r="NL512" s="36"/>
      <c r="NM512" s="36"/>
      <c r="NN512" s="36"/>
      <c r="NO512" s="36"/>
      <c r="NP512" s="36"/>
      <c r="NQ512" s="36"/>
      <c r="NR512" s="36"/>
      <c r="NS512" s="36"/>
      <c r="NT512" s="36"/>
      <c r="NU512" s="36"/>
      <c r="NV512" s="36"/>
      <c r="NW512" s="36"/>
      <c r="NX512" s="36"/>
      <c r="NY512" s="36"/>
      <c r="NZ512" s="36"/>
      <c r="OA512" s="36"/>
      <c r="OB512" s="36"/>
      <c r="OC512" s="36"/>
      <c r="OD512" s="36"/>
      <c r="OE512" s="36"/>
      <c r="OF512" s="36"/>
      <c r="OG512" s="36"/>
      <c r="OH512" s="36"/>
      <c r="OI512" s="36"/>
      <c r="OJ512" s="36"/>
      <c r="OK512" s="36"/>
      <c r="OL512" s="36"/>
      <c r="OM512" s="36"/>
      <c r="ON512" s="36"/>
      <c r="OO512" s="36"/>
      <c r="OP512" s="36"/>
      <c r="OQ512" s="36"/>
      <c r="OR512" s="36"/>
      <c r="OS512" s="36"/>
      <c r="OT512" s="36"/>
      <c r="OU512" s="36"/>
      <c r="OV512" s="36"/>
      <c r="OW512" s="36"/>
      <c r="OX512" s="36"/>
    </row>
    <row r="513" spans="2:414" s="27" customFormat="1" ht="15.6">
      <c r="B513" s="51" t="s">
        <v>749</v>
      </c>
      <c r="C513" s="27" t="s">
        <v>282</v>
      </c>
      <c r="D513" s="29" t="s">
        <v>405</v>
      </c>
      <c r="G513" s="49">
        <v>80</v>
      </c>
      <c r="H513" s="89">
        <v>26.109000000000002</v>
      </c>
      <c r="I513" s="38">
        <f t="shared" si="150"/>
        <v>2088.7200000000003</v>
      </c>
      <c r="K513" s="49">
        <v>80</v>
      </c>
      <c r="L513" s="90">
        <v>26.849599999999999</v>
      </c>
      <c r="M513" s="38">
        <f t="shared" si="151"/>
        <v>2147.9679999999998</v>
      </c>
      <c r="O513" s="49">
        <v>505</v>
      </c>
      <c r="P513" s="38">
        <v>26.728300000000001</v>
      </c>
      <c r="Q513" s="38">
        <f t="shared" si="152"/>
        <v>13497.791500000001</v>
      </c>
      <c r="R513" s="43">
        <f t="shared" si="149"/>
        <v>665</v>
      </c>
      <c r="S513" s="38">
        <f t="shared" si="153"/>
        <v>17734.479500000001</v>
      </c>
      <c r="T513" s="27">
        <v>240</v>
      </c>
      <c r="U513" s="27">
        <v>26.72</v>
      </c>
      <c r="V513" s="38">
        <f t="shared" si="161"/>
        <v>6412.7999999999993</v>
      </c>
      <c r="W513" s="52">
        <v>505</v>
      </c>
      <c r="X513" s="52">
        <v>26.7164</v>
      </c>
      <c r="Y513" s="42">
        <f t="shared" si="159"/>
        <v>13491.781999999999</v>
      </c>
      <c r="AB513" s="42">
        <f t="shared" si="160"/>
        <v>0</v>
      </c>
      <c r="AF513" s="42">
        <f t="shared" si="162"/>
        <v>0</v>
      </c>
      <c r="AU513" s="100"/>
      <c r="AV513" s="35"/>
      <c r="AW513" s="78"/>
      <c r="AZ513" s="42">
        <f t="shared" si="163"/>
        <v>0</v>
      </c>
      <c r="BD513" s="38">
        <f t="shared" si="154"/>
        <v>0</v>
      </c>
      <c r="BH513" s="38">
        <f t="shared" si="155"/>
        <v>0</v>
      </c>
      <c r="BL513" s="38">
        <f t="shared" si="156"/>
        <v>0</v>
      </c>
      <c r="BR513" s="42">
        <f t="shared" si="157"/>
        <v>19904.581999999999</v>
      </c>
      <c r="BS513" s="43"/>
      <c r="BT513" s="27">
        <v>2170.1</v>
      </c>
      <c r="BU513" s="36"/>
      <c r="BV513" s="36"/>
      <c r="BW513" s="36"/>
      <c r="BX513" s="36"/>
      <c r="BY513" s="36"/>
      <c r="BZ513" s="36"/>
      <c r="CA513" s="36"/>
      <c r="CB513" s="36"/>
      <c r="CC513" s="36"/>
      <c r="CD513" s="36"/>
      <c r="CE513" s="36"/>
      <c r="CF513" s="36"/>
      <c r="CG513" s="36"/>
      <c r="CH513" s="36"/>
      <c r="CI513" s="36"/>
      <c r="CJ513" s="36"/>
      <c r="CK513" s="36"/>
      <c r="CL513" s="36"/>
      <c r="CM513" s="36"/>
      <c r="CN513" s="36"/>
      <c r="CO513" s="36"/>
      <c r="CP513" s="36"/>
      <c r="CQ513" s="36"/>
      <c r="CR513" s="36"/>
      <c r="CS513" s="36"/>
      <c r="CT513" s="36"/>
      <c r="CU513" s="36"/>
      <c r="CV513" s="36"/>
      <c r="CW513" s="36"/>
      <c r="CX513" s="36"/>
      <c r="CY513" s="36"/>
      <c r="CZ513" s="36"/>
      <c r="DA513" s="36"/>
      <c r="DB513" s="36"/>
      <c r="DC513" s="36"/>
      <c r="DD513" s="36"/>
      <c r="DE513" s="36"/>
      <c r="DF513" s="36"/>
      <c r="DG513" s="36"/>
      <c r="DH513" s="36"/>
      <c r="DI513" s="36"/>
      <c r="DJ513" s="36"/>
      <c r="DK513" s="36"/>
      <c r="DL513" s="36"/>
      <c r="DM513" s="36"/>
      <c r="DN513" s="36"/>
      <c r="DO513" s="36"/>
      <c r="DP513" s="36"/>
      <c r="DQ513" s="36"/>
      <c r="DR513" s="36"/>
      <c r="DS513" s="36"/>
      <c r="DT513" s="36"/>
      <c r="DU513" s="36"/>
      <c r="DV513" s="36"/>
      <c r="DW513" s="36"/>
      <c r="DX513" s="36"/>
      <c r="DY513" s="36"/>
      <c r="DZ513" s="36"/>
      <c r="EA513" s="36"/>
      <c r="EB513" s="36"/>
      <c r="EC513" s="36"/>
      <c r="ED513" s="36"/>
      <c r="EE513" s="36"/>
      <c r="EF513" s="36"/>
      <c r="EG513" s="36"/>
      <c r="EH513" s="36"/>
      <c r="EI513" s="36"/>
      <c r="EJ513" s="36"/>
      <c r="EK513" s="36"/>
      <c r="EL513" s="36"/>
      <c r="EM513" s="36"/>
      <c r="EN513" s="36"/>
      <c r="EO513" s="36"/>
      <c r="EP513" s="36"/>
      <c r="EQ513" s="36"/>
      <c r="ER513" s="36"/>
      <c r="ES513" s="36"/>
      <c r="ET513" s="36"/>
      <c r="EU513" s="36"/>
      <c r="EV513" s="36"/>
      <c r="EW513" s="36"/>
      <c r="EX513" s="36"/>
      <c r="EY513" s="36"/>
      <c r="EZ513" s="36"/>
      <c r="FA513" s="36"/>
      <c r="FB513" s="36"/>
      <c r="FC513" s="36"/>
      <c r="FD513" s="36"/>
      <c r="FE513" s="36"/>
      <c r="FF513" s="36"/>
      <c r="FG513" s="36"/>
      <c r="FH513" s="36"/>
      <c r="FI513" s="36"/>
      <c r="FJ513" s="36"/>
      <c r="FK513" s="36"/>
      <c r="FL513" s="36"/>
      <c r="FM513" s="36"/>
      <c r="FN513" s="36"/>
      <c r="FO513" s="36"/>
      <c r="FP513" s="36"/>
      <c r="FQ513" s="36"/>
      <c r="FR513" s="36"/>
      <c r="FS513" s="36"/>
      <c r="FT513" s="36"/>
      <c r="FU513" s="36"/>
      <c r="FV513" s="36"/>
      <c r="FW513" s="36"/>
      <c r="FX513" s="36"/>
      <c r="FY513" s="36"/>
      <c r="FZ513" s="36"/>
      <c r="GA513" s="36"/>
      <c r="GB513" s="36"/>
      <c r="GC513" s="36"/>
      <c r="GD513" s="36"/>
      <c r="GE513" s="36"/>
      <c r="GF513" s="36"/>
      <c r="GG513" s="36"/>
      <c r="GH513" s="36"/>
      <c r="GI513" s="36"/>
      <c r="GJ513" s="36"/>
      <c r="GK513" s="36"/>
      <c r="GL513" s="36"/>
      <c r="GM513" s="36"/>
      <c r="GN513" s="36"/>
      <c r="GO513" s="36"/>
      <c r="GP513" s="36"/>
      <c r="GQ513" s="36"/>
      <c r="GR513" s="36"/>
      <c r="GS513" s="36"/>
      <c r="GT513" s="36"/>
      <c r="GU513" s="36"/>
      <c r="GV513" s="36"/>
      <c r="GW513" s="36"/>
      <c r="GX513" s="36"/>
      <c r="GY513" s="36"/>
      <c r="GZ513" s="36"/>
      <c r="HA513" s="36"/>
      <c r="HB513" s="36"/>
      <c r="HC513" s="36"/>
      <c r="HD513" s="36"/>
      <c r="HE513" s="36"/>
      <c r="HF513" s="36"/>
      <c r="HG513" s="36"/>
      <c r="HH513" s="36"/>
      <c r="HI513" s="36"/>
      <c r="HJ513" s="36"/>
      <c r="HK513" s="36"/>
      <c r="HL513" s="36"/>
      <c r="HM513" s="36"/>
      <c r="HN513" s="36"/>
      <c r="HO513" s="36"/>
      <c r="HP513" s="36"/>
      <c r="HQ513" s="36"/>
      <c r="HR513" s="36"/>
      <c r="HS513" s="36"/>
      <c r="HT513" s="36"/>
      <c r="HU513" s="36"/>
      <c r="HV513" s="36"/>
      <c r="HW513" s="36"/>
      <c r="HX513" s="36"/>
      <c r="HY513" s="36"/>
      <c r="HZ513" s="36"/>
      <c r="IA513" s="36"/>
      <c r="IB513" s="36"/>
      <c r="IC513" s="36"/>
      <c r="ID513" s="36"/>
      <c r="IE513" s="36"/>
      <c r="IF513" s="36"/>
      <c r="IG513" s="36"/>
      <c r="IH513" s="36"/>
      <c r="II513" s="36"/>
      <c r="IJ513" s="36"/>
      <c r="IK513" s="36"/>
      <c r="IL513" s="36"/>
      <c r="IM513" s="36"/>
      <c r="IN513" s="36"/>
      <c r="IO513" s="36"/>
      <c r="IP513" s="36"/>
      <c r="IQ513" s="36"/>
      <c r="IR513" s="36"/>
      <c r="IS513" s="36"/>
      <c r="IT513" s="36"/>
      <c r="IU513" s="36"/>
      <c r="IV513" s="36"/>
      <c r="IW513" s="36"/>
      <c r="IX513" s="36"/>
      <c r="IY513" s="36"/>
      <c r="IZ513" s="36"/>
      <c r="JA513" s="36"/>
      <c r="JB513" s="36"/>
      <c r="JC513" s="36"/>
      <c r="JD513" s="36"/>
      <c r="JE513" s="36"/>
      <c r="JF513" s="36"/>
      <c r="JG513" s="36"/>
      <c r="JH513" s="36"/>
      <c r="JI513" s="36"/>
      <c r="JJ513" s="36"/>
      <c r="JK513" s="36"/>
      <c r="JL513" s="36"/>
      <c r="JM513" s="36"/>
      <c r="JN513" s="36"/>
      <c r="JO513" s="36"/>
      <c r="JP513" s="36"/>
      <c r="JQ513" s="36"/>
      <c r="JR513" s="36"/>
      <c r="JS513" s="36"/>
      <c r="JT513" s="36"/>
      <c r="JU513" s="36"/>
      <c r="JV513" s="36"/>
      <c r="JW513" s="36"/>
      <c r="JX513" s="36"/>
      <c r="JY513" s="36"/>
      <c r="JZ513" s="36"/>
      <c r="KA513" s="36"/>
      <c r="KB513" s="36"/>
      <c r="KC513" s="36"/>
      <c r="KD513" s="36"/>
      <c r="KE513" s="36"/>
      <c r="KF513" s="36"/>
      <c r="KG513" s="36"/>
      <c r="KH513" s="36"/>
      <c r="KI513" s="36"/>
      <c r="KJ513" s="36"/>
      <c r="KK513" s="36"/>
      <c r="KL513" s="36"/>
      <c r="KM513" s="36"/>
      <c r="KN513" s="36"/>
      <c r="KO513" s="36"/>
      <c r="KP513" s="36"/>
      <c r="KQ513" s="36"/>
      <c r="KR513" s="36"/>
      <c r="KS513" s="36"/>
      <c r="KT513" s="36"/>
      <c r="KU513" s="36"/>
      <c r="KV513" s="36"/>
      <c r="KW513" s="36"/>
      <c r="KX513" s="36"/>
      <c r="KY513" s="36"/>
      <c r="KZ513" s="36"/>
      <c r="LA513" s="36"/>
      <c r="LB513" s="36"/>
      <c r="LC513" s="36"/>
      <c r="LD513" s="36"/>
      <c r="LE513" s="36"/>
      <c r="LF513" s="36"/>
      <c r="LG513" s="36"/>
      <c r="LH513" s="36"/>
      <c r="LI513" s="36"/>
      <c r="LJ513" s="36"/>
      <c r="LK513" s="36"/>
      <c r="LL513" s="36"/>
      <c r="LM513" s="36"/>
      <c r="LN513" s="36"/>
      <c r="LO513" s="36"/>
      <c r="LP513" s="36"/>
      <c r="LQ513" s="36"/>
      <c r="LR513" s="36"/>
      <c r="LS513" s="36"/>
      <c r="LT513" s="36"/>
      <c r="LU513" s="36"/>
      <c r="LV513" s="36"/>
      <c r="LW513" s="36"/>
      <c r="LX513" s="36"/>
      <c r="LY513" s="36"/>
      <c r="LZ513" s="36"/>
      <c r="MA513" s="36"/>
      <c r="MB513" s="36"/>
      <c r="MC513" s="36"/>
      <c r="MD513" s="36"/>
      <c r="ME513" s="36"/>
      <c r="MF513" s="36"/>
      <c r="MG513" s="36"/>
      <c r="MH513" s="36"/>
      <c r="MI513" s="36"/>
      <c r="MJ513" s="36"/>
      <c r="MK513" s="36"/>
      <c r="ML513" s="36"/>
      <c r="MM513" s="36"/>
      <c r="MN513" s="36"/>
      <c r="MO513" s="36"/>
      <c r="MP513" s="36"/>
      <c r="MQ513" s="36"/>
      <c r="MR513" s="36"/>
      <c r="MS513" s="36"/>
      <c r="MT513" s="36"/>
      <c r="MU513" s="36"/>
      <c r="MV513" s="36"/>
      <c r="MW513" s="36"/>
      <c r="MX513" s="36"/>
      <c r="MY513" s="36"/>
      <c r="MZ513" s="36"/>
      <c r="NA513" s="36"/>
      <c r="NB513" s="36"/>
      <c r="NC513" s="36"/>
      <c r="ND513" s="36"/>
      <c r="NE513" s="36"/>
      <c r="NF513" s="36"/>
      <c r="NG513" s="36"/>
      <c r="NH513" s="36"/>
      <c r="NI513" s="36"/>
      <c r="NJ513" s="36"/>
      <c r="NK513" s="36"/>
      <c r="NL513" s="36"/>
      <c r="NM513" s="36"/>
      <c r="NN513" s="36"/>
      <c r="NO513" s="36"/>
      <c r="NP513" s="36"/>
      <c r="NQ513" s="36"/>
      <c r="NR513" s="36"/>
      <c r="NS513" s="36"/>
      <c r="NT513" s="36"/>
      <c r="NU513" s="36"/>
      <c r="NV513" s="36"/>
      <c r="NW513" s="36"/>
      <c r="NX513" s="36"/>
      <c r="NY513" s="36"/>
      <c r="NZ513" s="36"/>
      <c r="OA513" s="36"/>
      <c r="OB513" s="36"/>
      <c r="OC513" s="36"/>
      <c r="OD513" s="36"/>
      <c r="OE513" s="36"/>
      <c r="OF513" s="36"/>
      <c r="OG513" s="36"/>
      <c r="OH513" s="36"/>
      <c r="OI513" s="36"/>
      <c r="OJ513" s="36"/>
      <c r="OK513" s="36"/>
      <c r="OL513" s="36"/>
      <c r="OM513" s="36"/>
      <c r="ON513" s="36"/>
      <c r="OO513" s="36"/>
      <c r="OP513" s="36"/>
      <c r="OQ513" s="36"/>
      <c r="OR513" s="36"/>
      <c r="OS513" s="36"/>
      <c r="OT513" s="36"/>
      <c r="OU513" s="36"/>
      <c r="OV513" s="36"/>
      <c r="OW513" s="36"/>
      <c r="OX513" s="36"/>
    </row>
    <row r="514" spans="2:414" s="27" customFormat="1" ht="15.6">
      <c r="B514" s="51" t="s">
        <v>1038</v>
      </c>
      <c r="C514" s="27" t="s">
        <v>663</v>
      </c>
      <c r="D514" s="29" t="s">
        <v>405</v>
      </c>
      <c r="G514" s="49">
        <v>80</v>
      </c>
      <c r="H514" s="89">
        <v>26.109000000000002</v>
      </c>
      <c r="I514" s="38">
        <f t="shared" si="150"/>
        <v>2088.7200000000003</v>
      </c>
      <c r="K514" s="49">
        <v>80</v>
      </c>
      <c r="L514" s="90">
        <v>26.849599999999999</v>
      </c>
      <c r="M514" s="38">
        <f t="shared" si="151"/>
        <v>2147.9679999999998</v>
      </c>
      <c r="O514" s="49">
        <v>505</v>
      </c>
      <c r="P514" s="38">
        <v>26.728300000000001</v>
      </c>
      <c r="Q514" s="38">
        <f t="shared" si="152"/>
        <v>13497.791500000001</v>
      </c>
      <c r="R514" s="43">
        <f t="shared" si="149"/>
        <v>665</v>
      </c>
      <c r="S514" s="38">
        <f t="shared" si="153"/>
        <v>17734.479500000001</v>
      </c>
      <c r="T514" s="52">
        <v>312</v>
      </c>
      <c r="U514" s="52">
        <v>26.6951</v>
      </c>
      <c r="V514" s="38">
        <f t="shared" si="161"/>
        <v>8328.8711999999996</v>
      </c>
      <c r="W514" s="52">
        <v>505</v>
      </c>
      <c r="X514" s="52">
        <v>26.7165</v>
      </c>
      <c r="Y514" s="42">
        <f t="shared" si="159"/>
        <v>13491.8325</v>
      </c>
      <c r="AB514" s="42">
        <f t="shared" si="160"/>
        <v>0</v>
      </c>
      <c r="AF514" s="42">
        <f t="shared" si="162"/>
        <v>0</v>
      </c>
      <c r="AU514" s="100"/>
      <c r="AV514" s="35"/>
      <c r="AW514" s="78"/>
      <c r="AZ514" s="42">
        <f t="shared" si="163"/>
        <v>0</v>
      </c>
      <c r="BD514" s="38">
        <f t="shared" si="154"/>
        <v>0</v>
      </c>
      <c r="BH514" s="38">
        <f t="shared" si="155"/>
        <v>0</v>
      </c>
      <c r="BL514" s="38">
        <f t="shared" si="156"/>
        <v>0</v>
      </c>
      <c r="BR514" s="42">
        <f t="shared" si="157"/>
        <v>21820.703699999998</v>
      </c>
      <c r="BS514" s="43"/>
      <c r="BT514" s="27">
        <v>4086.22</v>
      </c>
      <c r="BU514" s="36"/>
      <c r="BV514" s="36"/>
      <c r="BW514" s="36"/>
      <c r="BX514" s="36"/>
      <c r="BY514" s="36"/>
      <c r="BZ514" s="36"/>
      <c r="CA514" s="36"/>
      <c r="CB514" s="36"/>
      <c r="CC514" s="36"/>
      <c r="CD514" s="36"/>
      <c r="CE514" s="36"/>
      <c r="CF514" s="36"/>
      <c r="CG514" s="36"/>
      <c r="CH514" s="36"/>
      <c r="CI514" s="36"/>
      <c r="CJ514" s="36"/>
      <c r="CK514" s="36"/>
      <c r="CL514" s="36"/>
      <c r="CM514" s="36"/>
      <c r="CN514" s="36"/>
      <c r="CO514" s="36"/>
      <c r="CP514" s="36"/>
      <c r="CQ514" s="36"/>
      <c r="CR514" s="36"/>
      <c r="CS514" s="36"/>
      <c r="CT514" s="36"/>
      <c r="CU514" s="36"/>
      <c r="CV514" s="36"/>
      <c r="CW514" s="36"/>
      <c r="CX514" s="36"/>
      <c r="CY514" s="36"/>
      <c r="CZ514" s="36"/>
      <c r="DA514" s="36"/>
      <c r="DB514" s="36"/>
      <c r="DC514" s="36"/>
      <c r="DD514" s="36"/>
      <c r="DE514" s="36"/>
      <c r="DF514" s="36"/>
      <c r="DG514" s="36"/>
      <c r="DH514" s="36"/>
      <c r="DI514" s="36"/>
      <c r="DJ514" s="36"/>
      <c r="DK514" s="36"/>
      <c r="DL514" s="36"/>
      <c r="DM514" s="36"/>
      <c r="DN514" s="36"/>
      <c r="DO514" s="36"/>
      <c r="DP514" s="36"/>
      <c r="DQ514" s="36"/>
      <c r="DR514" s="36"/>
      <c r="DS514" s="36"/>
      <c r="DT514" s="36"/>
      <c r="DU514" s="36"/>
      <c r="DV514" s="36"/>
      <c r="DW514" s="36"/>
      <c r="DX514" s="36"/>
      <c r="DY514" s="36"/>
      <c r="DZ514" s="36"/>
      <c r="EA514" s="36"/>
      <c r="EB514" s="36"/>
      <c r="EC514" s="36"/>
      <c r="ED514" s="36"/>
      <c r="EE514" s="36"/>
      <c r="EF514" s="36"/>
      <c r="EG514" s="36"/>
      <c r="EH514" s="36"/>
      <c r="EI514" s="36"/>
      <c r="EJ514" s="36"/>
      <c r="EK514" s="36"/>
      <c r="EL514" s="36"/>
      <c r="EM514" s="36"/>
      <c r="EN514" s="36"/>
      <c r="EO514" s="36"/>
      <c r="EP514" s="36"/>
      <c r="EQ514" s="36"/>
      <c r="ER514" s="36"/>
      <c r="ES514" s="36"/>
      <c r="ET514" s="36"/>
      <c r="EU514" s="36"/>
      <c r="EV514" s="36"/>
      <c r="EW514" s="36"/>
      <c r="EX514" s="36"/>
      <c r="EY514" s="36"/>
      <c r="EZ514" s="36"/>
      <c r="FA514" s="36"/>
      <c r="FB514" s="36"/>
      <c r="FC514" s="36"/>
      <c r="FD514" s="36"/>
      <c r="FE514" s="36"/>
      <c r="FF514" s="36"/>
      <c r="FG514" s="36"/>
      <c r="FH514" s="36"/>
      <c r="FI514" s="36"/>
      <c r="FJ514" s="36"/>
      <c r="FK514" s="36"/>
      <c r="FL514" s="36"/>
      <c r="FM514" s="36"/>
      <c r="FN514" s="36"/>
      <c r="FO514" s="36"/>
      <c r="FP514" s="36"/>
      <c r="FQ514" s="36"/>
      <c r="FR514" s="36"/>
      <c r="FS514" s="36"/>
      <c r="FT514" s="36"/>
      <c r="FU514" s="36"/>
      <c r="FV514" s="36"/>
      <c r="FW514" s="36"/>
      <c r="FX514" s="36"/>
      <c r="FY514" s="36"/>
      <c r="FZ514" s="36"/>
      <c r="GA514" s="36"/>
      <c r="GB514" s="36"/>
      <c r="GC514" s="36"/>
      <c r="GD514" s="36"/>
      <c r="GE514" s="36"/>
      <c r="GF514" s="36"/>
      <c r="GG514" s="36"/>
      <c r="GH514" s="36"/>
      <c r="GI514" s="36"/>
      <c r="GJ514" s="36"/>
      <c r="GK514" s="36"/>
      <c r="GL514" s="36"/>
      <c r="GM514" s="36"/>
      <c r="GN514" s="36"/>
      <c r="GO514" s="36"/>
      <c r="GP514" s="36"/>
      <c r="GQ514" s="36"/>
      <c r="GR514" s="36"/>
      <c r="GS514" s="36"/>
      <c r="GT514" s="36"/>
      <c r="GU514" s="36"/>
      <c r="GV514" s="36"/>
      <c r="GW514" s="36"/>
      <c r="GX514" s="36"/>
      <c r="GY514" s="36"/>
      <c r="GZ514" s="36"/>
      <c r="HA514" s="36"/>
      <c r="HB514" s="36"/>
      <c r="HC514" s="36"/>
      <c r="HD514" s="36"/>
      <c r="HE514" s="36"/>
      <c r="HF514" s="36"/>
      <c r="HG514" s="36"/>
      <c r="HH514" s="36"/>
      <c r="HI514" s="36"/>
      <c r="HJ514" s="36"/>
      <c r="HK514" s="36"/>
      <c r="HL514" s="36"/>
      <c r="HM514" s="36"/>
      <c r="HN514" s="36"/>
      <c r="HO514" s="36"/>
      <c r="HP514" s="36"/>
      <c r="HQ514" s="36"/>
      <c r="HR514" s="36"/>
      <c r="HS514" s="36"/>
      <c r="HT514" s="36"/>
      <c r="HU514" s="36"/>
      <c r="HV514" s="36"/>
      <c r="HW514" s="36"/>
      <c r="HX514" s="36"/>
      <c r="HY514" s="36"/>
      <c r="HZ514" s="36"/>
      <c r="IA514" s="36"/>
      <c r="IB514" s="36"/>
      <c r="IC514" s="36"/>
      <c r="ID514" s="36"/>
      <c r="IE514" s="36"/>
      <c r="IF514" s="36"/>
      <c r="IG514" s="36"/>
      <c r="IH514" s="36"/>
      <c r="II514" s="36"/>
      <c r="IJ514" s="36"/>
      <c r="IK514" s="36"/>
      <c r="IL514" s="36"/>
      <c r="IM514" s="36"/>
      <c r="IN514" s="36"/>
      <c r="IO514" s="36"/>
      <c r="IP514" s="36"/>
      <c r="IQ514" s="36"/>
      <c r="IR514" s="36"/>
      <c r="IS514" s="36"/>
      <c r="IT514" s="36"/>
      <c r="IU514" s="36"/>
      <c r="IV514" s="36"/>
      <c r="IW514" s="36"/>
      <c r="IX514" s="36"/>
      <c r="IY514" s="36"/>
      <c r="IZ514" s="36"/>
      <c r="JA514" s="36"/>
      <c r="JB514" s="36"/>
      <c r="JC514" s="36"/>
      <c r="JD514" s="36"/>
      <c r="JE514" s="36"/>
      <c r="JF514" s="36"/>
      <c r="JG514" s="36"/>
      <c r="JH514" s="36"/>
      <c r="JI514" s="36"/>
      <c r="JJ514" s="36"/>
      <c r="JK514" s="36"/>
      <c r="JL514" s="36"/>
      <c r="JM514" s="36"/>
      <c r="JN514" s="36"/>
      <c r="JO514" s="36"/>
      <c r="JP514" s="36"/>
      <c r="JQ514" s="36"/>
      <c r="JR514" s="36"/>
      <c r="JS514" s="36"/>
      <c r="JT514" s="36"/>
      <c r="JU514" s="36"/>
      <c r="JV514" s="36"/>
      <c r="JW514" s="36"/>
      <c r="JX514" s="36"/>
      <c r="JY514" s="36"/>
      <c r="JZ514" s="36"/>
      <c r="KA514" s="36"/>
      <c r="KB514" s="36"/>
      <c r="KC514" s="36"/>
      <c r="KD514" s="36"/>
      <c r="KE514" s="36"/>
      <c r="KF514" s="36"/>
      <c r="KG514" s="36"/>
      <c r="KH514" s="36"/>
      <c r="KI514" s="36"/>
      <c r="KJ514" s="36"/>
      <c r="KK514" s="36"/>
      <c r="KL514" s="36"/>
      <c r="KM514" s="36"/>
      <c r="KN514" s="36"/>
      <c r="KO514" s="36"/>
      <c r="KP514" s="36"/>
      <c r="KQ514" s="36"/>
      <c r="KR514" s="36"/>
      <c r="KS514" s="36"/>
      <c r="KT514" s="36"/>
      <c r="KU514" s="36"/>
      <c r="KV514" s="36"/>
      <c r="KW514" s="36"/>
      <c r="KX514" s="36"/>
      <c r="KY514" s="36"/>
      <c r="KZ514" s="36"/>
      <c r="LA514" s="36"/>
      <c r="LB514" s="36"/>
      <c r="LC514" s="36"/>
      <c r="LD514" s="36"/>
      <c r="LE514" s="36"/>
      <c r="LF514" s="36"/>
      <c r="LG514" s="36"/>
      <c r="LH514" s="36"/>
      <c r="LI514" s="36"/>
      <c r="LJ514" s="36"/>
      <c r="LK514" s="36"/>
      <c r="LL514" s="36"/>
      <c r="LM514" s="36"/>
      <c r="LN514" s="36"/>
      <c r="LO514" s="36"/>
      <c r="LP514" s="36"/>
      <c r="LQ514" s="36"/>
      <c r="LR514" s="36"/>
      <c r="LS514" s="36"/>
      <c r="LT514" s="36"/>
      <c r="LU514" s="36"/>
      <c r="LV514" s="36"/>
      <c r="LW514" s="36"/>
      <c r="LX514" s="36"/>
      <c r="LY514" s="36"/>
      <c r="LZ514" s="36"/>
      <c r="MA514" s="36"/>
      <c r="MB514" s="36"/>
      <c r="MC514" s="36"/>
      <c r="MD514" s="36"/>
      <c r="ME514" s="36"/>
      <c r="MF514" s="36"/>
      <c r="MG514" s="36"/>
      <c r="MH514" s="36"/>
      <c r="MI514" s="36"/>
      <c r="MJ514" s="36"/>
      <c r="MK514" s="36"/>
      <c r="ML514" s="36"/>
      <c r="MM514" s="36"/>
      <c r="MN514" s="36"/>
      <c r="MO514" s="36"/>
      <c r="MP514" s="36"/>
      <c r="MQ514" s="36"/>
      <c r="MR514" s="36"/>
      <c r="MS514" s="36"/>
      <c r="MT514" s="36"/>
      <c r="MU514" s="36"/>
      <c r="MV514" s="36"/>
      <c r="MW514" s="36"/>
      <c r="MX514" s="36"/>
      <c r="MY514" s="36"/>
      <c r="MZ514" s="36"/>
      <c r="NA514" s="36"/>
      <c r="NB514" s="36"/>
      <c r="NC514" s="36"/>
      <c r="ND514" s="36"/>
      <c r="NE514" s="36"/>
      <c r="NF514" s="36"/>
      <c r="NG514" s="36"/>
      <c r="NH514" s="36"/>
      <c r="NI514" s="36"/>
      <c r="NJ514" s="36"/>
      <c r="NK514" s="36"/>
      <c r="NL514" s="36"/>
      <c r="NM514" s="36"/>
      <c r="NN514" s="36"/>
      <c r="NO514" s="36"/>
      <c r="NP514" s="36"/>
      <c r="NQ514" s="36"/>
      <c r="NR514" s="36"/>
      <c r="NS514" s="36"/>
      <c r="NT514" s="36"/>
      <c r="NU514" s="36"/>
      <c r="NV514" s="36"/>
      <c r="NW514" s="36"/>
      <c r="NX514" s="36"/>
      <c r="NY514" s="36"/>
      <c r="NZ514" s="36"/>
      <c r="OA514" s="36"/>
      <c r="OB514" s="36"/>
      <c r="OC514" s="36"/>
      <c r="OD514" s="36"/>
      <c r="OE514" s="36"/>
      <c r="OF514" s="36"/>
      <c r="OG514" s="36"/>
      <c r="OH514" s="36"/>
      <c r="OI514" s="36"/>
      <c r="OJ514" s="36"/>
      <c r="OK514" s="36"/>
      <c r="OL514" s="36"/>
      <c r="OM514" s="36"/>
      <c r="ON514" s="36"/>
      <c r="OO514" s="36"/>
      <c r="OP514" s="36"/>
      <c r="OQ514" s="36"/>
      <c r="OR514" s="36"/>
      <c r="OS514" s="36"/>
      <c r="OT514" s="36"/>
      <c r="OU514" s="36"/>
      <c r="OV514" s="36"/>
      <c r="OW514" s="36"/>
      <c r="OX514" s="36"/>
    </row>
    <row r="515" spans="2:414" s="27" customFormat="1" ht="15.6">
      <c r="B515" s="51" t="s">
        <v>1039</v>
      </c>
      <c r="C515" s="27" t="s">
        <v>686</v>
      </c>
      <c r="D515" s="29" t="s">
        <v>405</v>
      </c>
      <c r="G515" s="49">
        <v>80</v>
      </c>
      <c r="H515" s="89">
        <v>26.109000000000002</v>
      </c>
      <c r="I515" s="38">
        <f t="shared" si="150"/>
        <v>2088.7200000000003</v>
      </c>
      <c r="K515" s="49">
        <v>80</v>
      </c>
      <c r="L515" s="90">
        <v>26.849599999999999</v>
      </c>
      <c r="M515" s="38">
        <f t="shared" si="151"/>
        <v>2147.9679999999998</v>
      </c>
      <c r="O515" s="49">
        <v>505</v>
      </c>
      <c r="P515" s="38">
        <v>26.728300000000001</v>
      </c>
      <c r="Q515" s="38">
        <f t="shared" si="152"/>
        <v>13497.791500000001</v>
      </c>
      <c r="R515" s="43">
        <f t="shared" si="149"/>
        <v>665</v>
      </c>
      <c r="S515" s="38">
        <f t="shared" si="153"/>
        <v>17734.479500000001</v>
      </c>
      <c r="T515" s="27">
        <v>240</v>
      </c>
      <c r="U515" s="27">
        <v>26.7</v>
      </c>
      <c r="V515" s="38">
        <f t="shared" si="161"/>
        <v>6408</v>
      </c>
      <c r="W515" s="52">
        <v>505</v>
      </c>
      <c r="X515" s="52">
        <v>26.72</v>
      </c>
      <c r="Y515" s="42">
        <f t="shared" si="159"/>
        <v>13493.599999999999</v>
      </c>
      <c r="AB515" s="42">
        <f t="shared" si="160"/>
        <v>0</v>
      </c>
      <c r="AF515" s="42">
        <f t="shared" si="162"/>
        <v>0</v>
      </c>
      <c r="AU515" s="100"/>
      <c r="AV515" s="35"/>
      <c r="AW515" s="78"/>
      <c r="AZ515" s="42">
        <f t="shared" si="163"/>
        <v>0</v>
      </c>
      <c r="BD515" s="38">
        <f t="shared" si="154"/>
        <v>0</v>
      </c>
      <c r="BH515" s="38">
        <f t="shared" si="155"/>
        <v>0</v>
      </c>
      <c r="BL515" s="38">
        <f t="shared" si="156"/>
        <v>0</v>
      </c>
      <c r="BR515" s="42">
        <f t="shared" si="157"/>
        <v>19901.599999999999</v>
      </c>
      <c r="BS515" s="43"/>
      <c r="BT515" s="27">
        <v>2167.12</v>
      </c>
      <c r="BU515" s="36"/>
      <c r="BV515" s="36"/>
      <c r="BW515" s="36"/>
      <c r="BX515" s="36"/>
      <c r="BY515" s="36"/>
      <c r="BZ515" s="36"/>
      <c r="CA515" s="36"/>
      <c r="CB515" s="36"/>
      <c r="CC515" s="36"/>
      <c r="CD515" s="36"/>
      <c r="CE515" s="36"/>
      <c r="CF515" s="36"/>
      <c r="CG515" s="36"/>
      <c r="CH515" s="36"/>
      <c r="CI515" s="36"/>
      <c r="CJ515" s="36"/>
      <c r="CK515" s="36"/>
      <c r="CL515" s="36"/>
      <c r="CM515" s="36"/>
      <c r="CN515" s="36"/>
      <c r="CO515" s="36"/>
      <c r="CP515" s="36"/>
      <c r="CQ515" s="36"/>
      <c r="CR515" s="36"/>
      <c r="CS515" s="36"/>
      <c r="CT515" s="36"/>
      <c r="CU515" s="36"/>
      <c r="CV515" s="36"/>
      <c r="CW515" s="36"/>
      <c r="CX515" s="36"/>
      <c r="CY515" s="36"/>
      <c r="CZ515" s="36"/>
      <c r="DA515" s="36"/>
      <c r="DB515" s="36"/>
      <c r="DC515" s="36"/>
      <c r="DD515" s="36"/>
      <c r="DE515" s="36"/>
      <c r="DF515" s="36"/>
      <c r="DG515" s="36"/>
      <c r="DH515" s="36"/>
      <c r="DI515" s="36"/>
      <c r="DJ515" s="36"/>
      <c r="DK515" s="36"/>
      <c r="DL515" s="36"/>
      <c r="DM515" s="36"/>
      <c r="DN515" s="36"/>
      <c r="DO515" s="36"/>
      <c r="DP515" s="36"/>
      <c r="DQ515" s="36"/>
      <c r="DR515" s="36"/>
      <c r="DS515" s="36"/>
      <c r="DT515" s="36"/>
      <c r="DU515" s="36"/>
      <c r="DV515" s="36"/>
      <c r="DW515" s="36"/>
      <c r="DX515" s="36"/>
      <c r="DY515" s="36"/>
      <c r="DZ515" s="36"/>
      <c r="EA515" s="36"/>
      <c r="EB515" s="36"/>
      <c r="EC515" s="36"/>
      <c r="ED515" s="36"/>
      <c r="EE515" s="36"/>
      <c r="EF515" s="36"/>
      <c r="EG515" s="36"/>
      <c r="EH515" s="36"/>
      <c r="EI515" s="36"/>
      <c r="EJ515" s="36"/>
      <c r="EK515" s="36"/>
      <c r="EL515" s="36"/>
      <c r="EM515" s="36"/>
      <c r="EN515" s="36"/>
      <c r="EO515" s="36"/>
      <c r="EP515" s="36"/>
      <c r="EQ515" s="36"/>
      <c r="ER515" s="36"/>
      <c r="ES515" s="36"/>
      <c r="ET515" s="36"/>
      <c r="EU515" s="36"/>
      <c r="EV515" s="36"/>
      <c r="EW515" s="36"/>
      <c r="EX515" s="36"/>
      <c r="EY515" s="36"/>
      <c r="EZ515" s="36"/>
      <c r="FA515" s="36"/>
      <c r="FB515" s="36"/>
      <c r="FC515" s="36"/>
      <c r="FD515" s="36"/>
      <c r="FE515" s="36"/>
      <c r="FF515" s="36"/>
      <c r="FG515" s="36"/>
      <c r="FH515" s="36"/>
      <c r="FI515" s="36"/>
      <c r="FJ515" s="36"/>
      <c r="FK515" s="36"/>
      <c r="FL515" s="36"/>
      <c r="FM515" s="36"/>
      <c r="FN515" s="36"/>
      <c r="FO515" s="36"/>
      <c r="FP515" s="36"/>
      <c r="FQ515" s="36"/>
      <c r="FR515" s="36"/>
      <c r="FS515" s="36"/>
      <c r="FT515" s="36"/>
      <c r="FU515" s="36"/>
      <c r="FV515" s="36"/>
      <c r="FW515" s="36"/>
      <c r="FX515" s="36"/>
      <c r="FY515" s="36"/>
      <c r="FZ515" s="36"/>
      <c r="GA515" s="36"/>
      <c r="GB515" s="36"/>
      <c r="GC515" s="36"/>
      <c r="GD515" s="36"/>
      <c r="GE515" s="36"/>
      <c r="GF515" s="36"/>
      <c r="GG515" s="36"/>
      <c r="GH515" s="36"/>
      <c r="GI515" s="36"/>
      <c r="GJ515" s="36"/>
      <c r="GK515" s="36"/>
      <c r="GL515" s="36"/>
      <c r="GM515" s="36"/>
      <c r="GN515" s="36"/>
      <c r="GO515" s="36"/>
      <c r="GP515" s="36"/>
      <c r="GQ515" s="36"/>
      <c r="GR515" s="36"/>
      <c r="GS515" s="36"/>
      <c r="GT515" s="36"/>
      <c r="GU515" s="36"/>
      <c r="GV515" s="36"/>
      <c r="GW515" s="36"/>
      <c r="GX515" s="36"/>
      <c r="GY515" s="36"/>
      <c r="GZ515" s="36"/>
      <c r="HA515" s="36"/>
      <c r="HB515" s="36"/>
      <c r="HC515" s="36"/>
      <c r="HD515" s="36"/>
      <c r="HE515" s="36"/>
      <c r="HF515" s="36"/>
      <c r="HG515" s="36"/>
      <c r="HH515" s="36"/>
      <c r="HI515" s="36"/>
      <c r="HJ515" s="36"/>
      <c r="HK515" s="36"/>
      <c r="HL515" s="36"/>
      <c r="HM515" s="36"/>
      <c r="HN515" s="36"/>
      <c r="HO515" s="36"/>
      <c r="HP515" s="36"/>
      <c r="HQ515" s="36"/>
      <c r="HR515" s="36"/>
      <c r="HS515" s="36"/>
      <c r="HT515" s="36"/>
      <c r="HU515" s="36"/>
      <c r="HV515" s="36"/>
      <c r="HW515" s="36"/>
      <c r="HX515" s="36"/>
      <c r="HY515" s="36"/>
      <c r="HZ515" s="36"/>
      <c r="IA515" s="36"/>
      <c r="IB515" s="36"/>
      <c r="IC515" s="36"/>
      <c r="ID515" s="36"/>
      <c r="IE515" s="36"/>
      <c r="IF515" s="36"/>
      <c r="IG515" s="36"/>
      <c r="IH515" s="36"/>
      <c r="II515" s="36"/>
      <c r="IJ515" s="36"/>
      <c r="IK515" s="36"/>
      <c r="IL515" s="36"/>
      <c r="IM515" s="36"/>
      <c r="IN515" s="36"/>
      <c r="IO515" s="36"/>
      <c r="IP515" s="36"/>
      <c r="IQ515" s="36"/>
      <c r="IR515" s="36"/>
      <c r="IS515" s="36"/>
      <c r="IT515" s="36"/>
      <c r="IU515" s="36"/>
      <c r="IV515" s="36"/>
      <c r="IW515" s="36"/>
      <c r="IX515" s="36"/>
      <c r="IY515" s="36"/>
      <c r="IZ515" s="36"/>
      <c r="JA515" s="36"/>
      <c r="JB515" s="36"/>
      <c r="JC515" s="36"/>
      <c r="JD515" s="36"/>
      <c r="JE515" s="36"/>
      <c r="JF515" s="36"/>
      <c r="JG515" s="36"/>
      <c r="JH515" s="36"/>
      <c r="JI515" s="36"/>
      <c r="JJ515" s="36"/>
      <c r="JK515" s="36"/>
      <c r="JL515" s="36"/>
      <c r="JM515" s="36"/>
      <c r="JN515" s="36"/>
      <c r="JO515" s="36"/>
      <c r="JP515" s="36"/>
      <c r="JQ515" s="36"/>
      <c r="JR515" s="36"/>
      <c r="JS515" s="36"/>
      <c r="JT515" s="36"/>
      <c r="JU515" s="36"/>
      <c r="JV515" s="36"/>
      <c r="JW515" s="36"/>
      <c r="JX515" s="36"/>
      <c r="JY515" s="36"/>
      <c r="JZ515" s="36"/>
      <c r="KA515" s="36"/>
      <c r="KB515" s="36"/>
      <c r="KC515" s="36"/>
      <c r="KD515" s="36"/>
      <c r="KE515" s="36"/>
      <c r="KF515" s="36"/>
      <c r="KG515" s="36"/>
      <c r="KH515" s="36"/>
      <c r="KI515" s="36"/>
      <c r="KJ515" s="36"/>
      <c r="KK515" s="36"/>
      <c r="KL515" s="36"/>
      <c r="KM515" s="36"/>
      <c r="KN515" s="36"/>
      <c r="KO515" s="36"/>
      <c r="KP515" s="36"/>
      <c r="KQ515" s="36"/>
      <c r="KR515" s="36"/>
      <c r="KS515" s="36"/>
      <c r="KT515" s="36"/>
      <c r="KU515" s="36"/>
      <c r="KV515" s="36"/>
      <c r="KW515" s="36"/>
      <c r="KX515" s="36"/>
      <c r="KY515" s="36"/>
      <c r="KZ515" s="36"/>
      <c r="LA515" s="36"/>
      <c r="LB515" s="36"/>
      <c r="LC515" s="36"/>
      <c r="LD515" s="36"/>
      <c r="LE515" s="36"/>
      <c r="LF515" s="36"/>
      <c r="LG515" s="36"/>
      <c r="LH515" s="36"/>
      <c r="LI515" s="36"/>
      <c r="LJ515" s="36"/>
      <c r="LK515" s="36"/>
      <c r="LL515" s="36"/>
      <c r="LM515" s="36"/>
      <c r="LN515" s="36"/>
      <c r="LO515" s="36"/>
      <c r="LP515" s="36"/>
      <c r="LQ515" s="36"/>
      <c r="LR515" s="36"/>
      <c r="LS515" s="36"/>
      <c r="LT515" s="36"/>
      <c r="LU515" s="36"/>
      <c r="LV515" s="36"/>
      <c r="LW515" s="36"/>
      <c r="LX515" s="36"/>
      <c r="LY515" s="36"/>
      <c r="LZ515" s="36"/>
      <c r="MA515" s="36"/>
      <c r="MB515" s="36"/>
      <c r="MC515" s="36"/>
      <c r="MD515" s="36"/>
      <c r="ME515" s="36"/>
      <c r="MF515" s="36"/>
      <c r="MG515" s="36"/>
      <c r="MH515" s="36"/>
      <c r="MI515" s="36"/>
      <c r="MJ515" s="36"/>
      <c r="MK515" s="36"/>
      <c r="ML515" s="36"/>
      <c r="MM515" s="36"/>
      <c r="MN515" s="36"/>
      <c r="MO515" s="36"/>
      <c r="MP515" s="36"/>
      <c r="MQ515" s="36"/>
      <c r="MR515" s="36"/>
      <c r="MS515" s="36"/>
      <c r="MT515" s="36"/>
      <c r="MU515" s="36"/>
      <c r="MV515" s="36"/>
      <c r="MW515" s="36"/>
      <c r="MX515" s="36"/>
      <c r="MY515" s="36"/>
      <c r="MZ515" s="36"/>
      <c r="NA515" s="36"/>
      <c r="NB515" s="36"/>
      <c r="NC515" s="36"/>
      <c r="ND515" s="36"/>
      <c r="NE515" s="36"/>
      <c r="NF515" s="36"/>
      <c r="NG515" s="36"/>
      <c r="NH515" s="36"/>
      <c r="NI515" s="36"/>
      <c r="NJ515" s="36"/>
      <c r="NK515" s="36"/>
      <c r="NL515" s="36"/>
      <c r="NM515" s="36"/>
      <c r="NN515" s="36"/>
      <c r="NO515" s="36"/>
      <c r="NP515" s="36"/>
      <c r="NQ515" s="36"/>
      <c r="NR515" s="36"/>
      <c r="NS515" s="36"/>
      <c r="NT515" s="36"/>
      <c r="NU515" s="36"/>
      <c r="NV515" s="36"/>
      <c r="NW515" s="36"/>
      <c r="NX515" s="36"/>
      <c r="NY515" s="36"/>
      <c r="NZ515" s="36"/>
      <c r="OA515" s="36"/>
      <c r="OB515" s="36"/>
      <c r="OC515" s="36"/>
      <c r="OD515" s="36"/>
      <c r="OE515" s="36"/>
      <c r="OF515" s="36"/>
      <c r="OG515" s="36"/>
      <c r="OH515" s="36"/>
      <c r="OI515" s="36"/>
      <c r="OJ515" s="36"/>
      <c r="OK515" s="36"/>
      <c r="OL515" s="36"/>
      <c r="OM515" s="36"/>
      <c r="ON515" s="36"/>
      <c r="OO515" s="36"/>
      <c r="OP515" s="36"/>
      <c r="OQ515" s="36"/>
      <c r="OR515" s="36"/>
      <c r="OS515" s="36"/>
      <c r="OT515" s="36"/>
      <c r="OU515" s="36"/>
      <c r="OV515" s="36"/>
      <c r="OW515" s="36"/>
      <c r="OX515" s="36"/>
    </row>
    <row r="516" spans="2:414" s="27" customFormat="1" ht="15.6">
      <c r="B516" s="51" t="s">
        <v>889</v>
      </c>
      <c r="C516" s="27" t="s">
        <v>146</v>
      </c>
      <c r="D516" s="29" t="s">
        <v>405</v>
      </c>
      <c r="G516" s="49">
        <v>80</v>
      </c>
      <c r="H516" s="89">
        <v>26.109000000000002</v>
      </c>
      <c r="I516" s="38">
        <f t="shared" si="150"/>
        <v>2088.7200000000003</v>
      </c>
      <c r="K516" s="49">
        <v>80</v>
      </c>
      <c r="L516" s="90">
        <v>26.849599999999999</v>
      </c>
      <c r="M516" s="38">
        <f t="shared" si="151"/>
        <v>2147.9679999999998</v>
      </c>
      <c r="O516" s="49">
        <v>505</v>
      </c>
      <c r="P516" s="38">
        <v>26.728300000000001</v>
      </c>
      <c r="Q516" s="38">
        <f t="shared" si="152"/>
        <v>13497.791500000001</v>
      </c>
      <c r="R516" s="43">
        <f t="shared" ref="R516:R579" si="164">G516+K516+O516</f>
        <v>665</v>
      </c>
      <c r="S516" s="38">
        <f t="shared" si="153"/>
        <v>17734.479500000001</v>
      </c>
      <c r="T516" s="52">
        <v>240</v>
      </c>
      <c r="U516" s="52">
        <v>26.72</v>
      </c>
      <c r="V516" s="38">
        <f t="shared" si="161"/>
        <v>6412.7999999999993</v>
      </c>
      <c r="W516" s="52">
        <v>505</v>
      </c>
      <c r="X516" s="52">
        <v>26.72</v>
      </c>
      <c r="Y516" s="42">
        <f t="shared" si="159"/>
        <v>13493.599999999999</v>
      </c>
      <c r="AB516" s="42">
        <f t="shared" si="160"/>
        <v>0</v>
      </c>
      <c r="AF516" s="42">
        <f t="shared" si="162"/>
        <v>0</v>
      </c>
      <c r="AU516" s="100"/>
      <c r="AV516" s="35"/>
      <c r="AW516" s="78"/>
      <c r="AZ516" s="42">
        <f t="shared" si="163"/>
        <v>0</v>
      </c>
      <c r="BD516" s="38">
        <f t="shared" si="154"/>
        <v>0</v>
      </c>
      <c r="BH516" s="38">
        <f t="shared" si="155"/>
        <v>0</v>
      </c>
      <c r="BL516" s="38">
        <f t="shared" si="156"/>
        <v>0</v>
      </c>
      <c r="BR516" s="42">
        <f t="shared" si="157"/>
        <v>19906.399999999998</v>
      </c>
      <c r="BS516" s="43"/>
      <c r="BT516" s="27">
        <v>2171.92</v>
      </c>
      <c r="BU516" s="36"/>
      <c r="BV516" s="36"/>
      <c r="BW516" s="36"/>
      <c r="BX516" s="36"/>
      <c r="BY516" s="36"/>
      <c r="BZ516" s="36"/>
      <c r="CA516" s="36"/>
      <c r="CB516" s="36"/>
      <c r="CC516" s="36"/>
      <c r="CD516" s="36"/>
      <c r="CE516" s="36"/>
      <c r="CF516" s="36"/>
      <c r="CG516" s="36"/>
      <c r="CH516" s="36"/>
      <c r="CI516" s="36"/>
      <c r="CJ516" s="36"/>
      <c r="CK516" s="36"/>
      <c r="CL516" s="36"/>
      <c r="CM516" s="36"/>
      <c r="CN516" s="36"/>
      <c r="CO516" s="36"/>
      <c r="CP516" s="36"/>
      <c r="CQ516" s="36"/>
      <c r="CR516" s="36"/>
      <c r="CS516" s="36"/>
      <c r="CT516" s="36"/>
      <c r="CU516" s="36"/>
      <c r="CV516" s="36"/>
      <c r="CW516" s="36"/>
      <c r="CX516" s="36"/>
      <c r="CY516" s="36"/>
      <c r="CZ516" s="36"/>
      <c r="DA516" s="36"/>
      <c r="DB516" s="36"/>
      <c r="DC516" s="36"/>
      <c r="DD516" s="36"/>
      <c r="DE516" s="36"/>
      <c r="DF516" s="36"/>
      <c r="DG516" s="36"/>
      <c r="DH516" s="36"/>
      <c r="DI516" s="36"/>
      <c r="DJ516" s="36"/>
      <c r="DK516" s="36"/>
      <c r="DL516" s="36"/>
      <c r="DM516" s="36"/>
      <c r="DN516" s="36"/>
      <c r="DO516" s="36"/>
      <c r="DP516" s="36"/>
      <c r="DQ516" s="36"/>
      <c r="DR516" s="36"/>
      <c r="DS516" s="36"/>
      <c r="DT516" s="36"/>
      <c r="DU516" s="36"/>
      <c r="DV516" s="36"/>
      <c r="DW516" s="36"/>
      <c r="DX516" s="36"/>
      <c r="DY516" s="36"/>
      <c r="DZ516" s="36"/>
      <c r="EA516" s="36"/>
      <c r="EB516" s="36"/>
      <c r="EC516" s="36"/>
      <c r="ED516" s="36"/>
      <c r="EE516" s="36"/>
      <c r="EF516" s="36"/>
      <c r="EG516" s="36"/>
      <c r="EH516" s="36"/>
      <c r="EI516" s="36"/>
      <c r="EJ516" s="36"/>
      <c r="EK516" s="36"/>
      <c r="EL516" s="36"/>
      <c r="EM516" s="36"/>
      <c r="EN516" s="36"/>
      <c r="EO516" s="36"/>
      <c r="EP516" s="36"/>
      <c r="EQ516" s="36"/>
      <c r="ER516" s="36"/>
      <c r="ES516" s="36"/>
      <c r="ET516" s="36"/>
      <c r="EU516" s="36"/>
      <c r="EV516" s="36"/>
      <c r="EW516" s="36"/>
      <c r="EX516" s="36"/>
      <c r="EY516" s="36"/>
      <c r="EZ516" s="36"/>
      <c r="FA516" s="36"/>
      <c r="FB516" s="36"/>
      <c r="FC516" s="36"/>
      <c r="FD516" s="36"/>
      <c r="FE516" s="36"/>
      <c r="FF516" s="36"/>
      <c r="FG516" s="36"/>
      <c r="FH516" s="36"/>
      <c r="FI516" s="36"/>
      <c r="FJ516" s="36"/>
      <c r="FK516" s="36"/>
      <c r="FL516" s="36"/>
      <c r="FM516" s="36"/>
      <c r="FN516" s="36"/>
      <c r="FO516" s="36"/>
      <c r="FP516" s="36"/>
      <c r="FQ516" s="36"/>
      <c r="FR516" s="36"/>
      <c r="FS516" s="36"/>
      <c r="FT516" s="36"/>
      <c r="FU516" s="36"/>
      <c r="FV516" s="36"/>
      <c r="FW516" s="36"/>
      <c r="FX516" s="36"/>
      <c r="FY516" s="36"/>
      <c r="FZ516" s="36"/>
      <c r="GA516" s="36"/>
      <c r="GB516" s="36"/>
      <c r="GC516" s="36"/>
      <c r="GD516" s="36"/>
      <c r="GE516" s="36"/>
      <c r="GF516" s="36"/>
      <c r="GG516" s="36"/>
      <c r="GH516" s="36"/>
      <c r="GI516" s="36"/>
      <c r="GJ516" s="36"/>
      <c r="GK516" s="36"/>
      <c r="GL516" s="36"/>
      <c r="GM516" s="36"/>
      <c r="GN516" s="36"/>
      <c r="GO516" s="36"/>
      <c r="GP516" s="36"/>
      <c r="GQ516" s="36"/>
      <c r="GR516" s="36"/>
      <c r="GS516" s="36"/>
      <c r="GT516" s="36"/>
      <c r="GU516" s="36"/>
      <c r="GV516" s="36"/>
      <c r="GW516" s="36"/>
      <c r="GX516" s="36"/>
      <c r="GY516" s="36"/>
      <c r="GZ516" s="36"/>
      <c r="HA516" s="36"/>
      <c r="HB516" s="36"/>
      <c r="HC516" s="36"/>
      <c r="HD516" s="36"/>
      <c r="HE516" s="36"/>
      <c r="HF516" s="36"/>
      <c r="HG516" s="36"/>
      <c r="HH516" s="36"/>
      <c r="HI516" s="36"/>
      <c r="HJ516" s="36"/>
      <c r="HK516" s="36"/>
      <c r="HL516" s="36"/>
      <c r="HM516" s="36"/>
      <c r="HN516" s="36"/>
      <c r="HO516" s="36"/>
      <c r="HP516" s="36"/>
      <c r="HQ516" s="36"/>
      <c r="HR516" s="36"/>
      <c r="HS516" s="36"/>
      <c r="HT516" s="36"/>
      <c r="HU516" s="36"/>
      <c r="HV516" s="36"/>
      <c r="HW516" s="36"/>
      <c r="HX516" s="36"/>
      <c r="HY516" s="36"/>
      <c r="HZ516" s="36"/>
      <c r="IA516" s="36"/>
      <c r="IB516" s="36"/>
      <c r="IC516" s="36"/>
      <c r="ID516" s="36"/>
      <c r="IE516" s="36"/>
      <c r="IF516" s="36"/>
      <c r="IG516" s="36"/>
      <c r="IH516" s="36"/>
      <c r="II516" s="36"/>
      <c r="IJ516" s="36"/>
      <c r="IK516" s="36"/>
      <c r="IL516" s="36"/>
      <c r="IM516" s="36"/>
      <c r="IN516" s="36"/>
      <c r="IO516" s="36"/>
      <c r="IP516" s="36"/>
      <c r="IQ516" s="36"/>
      <c r="IR516" s="36"/>
      <c r="IS516" s="36"/>
      <c r="IT516" s="36"/>
      <c r="IU516" s="36"/>
      <c r="IV516" s="36"/>
      <c r="IW516" s="36"/>
      <c r="IX516" s="36"/>
      <c r="IY516" s="36"/>
      <c r="IZ516" s="36"/>
      <c r="JA516" s="36"/>
      <c r="JB516" s="36"/>
      <c r="JC516" s="36"/>
      <c r="JD516" s="36"/>
      <c r="JE516" s="36"/>
      <c r="JF516" s="36"/>
      <c r="JG516" s="36"/>
      <c r="JH516" s="36"/>
      <c r="JI516" s="36"/>
      <c r="JJ516" s="36"/>
      <c r="JK516" s="36"/>
      <c r="JL516" s="36"/>
      <c r="JM516" s="36"/>
      <c r="JN516" s="36"/>
      <c r="JO516" s="36"/>
      <c r="JP516" s="36"/>
      <c r="JQ516" s="36"/>
      <c r="JR516" s="36"/>
      <c r="JS516" s="36"/>
      <c r="JT516" s="36"/>
      <c r="JU516" s="36"/>
      <c r="JV516" s="36"/>
      <c r="JW516" s="36"/>
      <c r="JX516" s="36"/>
      <c r="JY516" s="36"/>
      <c r="JZ516" s="36"/>
      <c r="KA516" s="36"/>
      <c r="KB516" s="36"/>
      <c r="KC516" s="36"/>
      <c r="KD516" s="36"/>
      <c r="KE516" s="36"/>
      <c r="KF516" s="36"/>
      <c r="KG516" s="36"/>
      <c r="KH516" s="36"/>
      <c r="KI516" s="36"/>
      <c r="KJ516" s="36"/>
      <c r="KK516" s="36"/>
      <c r="KL516" s="36"/>
      <c r="KM516" s="36"/>
      <c r="KN516" s="36"/>
      <c r="KO516" s="36"/>
      <c r="KP516" s="36"/>
      <c r="KQ516" s="36"/>
      <c r="KR516" s="36"/>
      <c r="KS516" s="36"/>
      <c r="KT516" s="36"/>
      <c r="KU516" s="36"/>
      <c r="KV516" s="36"/>
      <c r="KW516" s="36"/>
      <c r="KX516" s="36"/>
      <c r="KY516" s="36"/>
      <c r="KZ516" s="36"/>
      <c r="LA516" s="36"/>
      <c r="LB516" s="36"/>
      <c r="LC516" s="36"/>
      <c r="LD516" s="36"/>
      <c r="LE516" s="36"/>
      <c r="LF516" s="36"/>
      <c r="LG516" s="36"/>
      <c r="LH516" s="36"/>
      <c r="LI516" s="36"/>
      <c r="LJ516" s="36"/>
      <c r="LK516" s="36"/>
      <c r="LL516" s="36"/>
      <c r="LM516" s="36"/>
      <c r="LN516" s="36"/>
      <c r="LO516" s="36"/>
      <c r="LP516" s="36"/>
      <c r="LQ516" s="36"/>
      <c r="LR516" s="36"/>
      <c r="LS516" s="36"/>
      <c r="LT516" s="36"/>
      <c r="LU516" s="36"/>
      <c r="LV516" s="36"/>
      <c r="LW516" s="36"/>
      <c r="LX516" s="36"/>
      <c r="LY516" s="36"/>
      <c r="LZ516" s="36"/>
      <c r="MA516" s="36"/>
      <c r="MB516" s="36"/>
      <c r="MC516" s="36"/>
      <c r="MD516" s="36"/>
      <c r="ME516" s="36"/>
      <c r="MF516" s="36"/>
      <c r="MG516" s="36"/>
      <c r="MH516" s="36"/>
      <c r="MI516" s="36"/>
      <c r="MJ516" s="36"/>
      <c r="MK516" s="36"/>
      <c r="ML516" s="36"/>
      <c r="MM516" s="36"/>
      <c r="MN516" s="36"/>
      <c r="MO516" s="36"/>
      <c r="MP516" s="36"/>
      <c r="MQ516" s="36"/>
      <c r="MR516" s="36"/>
      <c r="MS516" s="36"/>
      <c r="MT516" s="36"/>
      <c r="MU516" s="36"/>
      <c r="MV516" s="36"/>
      <c r="MW516" s="36"/>
      <c r="MX516" s="36"/>
      <c r="MY516" s="36"/>
      <c r="MZ516" s="36"/>
      <c r="NA516" s="36"/>
      <c r="NB516" s="36"/>
      <c r="NC516" s="36"/>
      <c r="ND516" s="36"/>
      <c r="NE516" s="36"/>
      <c r="NF516" s="36"/>
      <c r="NG516" s="36"/>
      <c r="NH516" s="36"/>
      <c r="NI516" s="36"/>
      <c r="NJ516" s="36"/>
      <c r="NK516" s="36"/>
      <c r="NL516" s="36"/>
      <c r="NM516" s="36"/>
      <c r="NN516" s="36"/>
      <c r="NO516" s="36"/>
      <c r="NP516" s="36"/>
      <c r="NQ516" s="36"/>
      <c r="NR516" s="36"/>
      <c r="NS516" s="36"/>
      <c r="NT516" s="36"/>
      <c r="NU516" s="36"/>
      <c r="NV516" s="36"/>
      <c r="NW516" s="36"/>
      <c r="NX516" s="36"/>
      <c r="NY516" s="36"/>
      <c r="NZ516" s="36"/>
      <c r="OA516" s="36"/>
      <c r="OB516" s="36"/>
      <c r="OC516" s="36"/>
      <c r="OD516" s="36"/>
      <c r="OE516" s="36"/>
      <c r="OF516" s="36"/>
      <c r="OG516" s="36"/>
      <c r="OH516" s="36"/>
      <c r="OI516" s="36"/>
      <c r="OJ516" s="36"/>
      <c r="OK516" s="36"/>
      <c r="OL516" s="36"/>
      <c r="OM516" s="36"/>
      <c r="ON516" s="36"/>
      <c r="OO516" s="36"/>
      <c r="OP516" s="36"/>
      <c r="OQ516" s="36"/>
      <c r="OR516" s="36"/>
      <c r="OS516" s="36"/>
      <c r="OT516" s="36"/>
      <c r="OU516" s="36"/>
      <c r="OV516" s="36"/>
      <c r="OW516" s="36"/>
      <c r="OX516" s="36"/>
    </row>
    <row r="517" spans="2:414" s="27" customFormat="1" ht="15.6">
      <c r="B517" s="51" t="s">
        <v>755</v>
      </c>
      <c r="C517" s="27" t="s">
        <v>1040</v>
      </c>
      <c r="D517" s="29" t="s">
        <v>405</v>
      </c>
      <c r="G517" s="49">
        <v>80</v>
      </c>
      <c r="H517" s="89">
        <v>26.109000000000002</v>
      </c>
      <c r="I517" s="38">
        <f t="shared" si="150"/>
        <v>2088.7200000000003</v>
      </c>
      <c r="K517" s="49">
        <v>80</v>
      </c>
      <c r="L517" s="90">
        <v>26.849599999999999</v>
      </c>
      <c r="M517" s="38">
        <f t="shared" si="151"/>
        <v>2147.9679999999998</v>
      </c>
      <c r="O517" s="49">
        <v>505</v>
      </c>
      <c r="P517" s="38">
        <v>26.728300000000001</v>
      </c>
      <c r="Q517" s="38">
        <f t="shared" si="152"/>
        <v>13497.791500000001</v>
      </c>
      <c r="R517" s="43">
        <f t="shared" si="164"/>
        <v>665</v>
      </c>
      <c r="S517" s="38">
        <f t="shared" si="153"/>
        <v>17734.479500000001</v>
      </c>
      <c r="T517" s="27">
        <v>50</v>
      </c>
      <c r="U517" s="27">
        <v>26.7</v>
      </c>
      <c r="V517" s="38">
        <f t="shared" si="161"/>
        <v>1335</v>
      </c>
      <c r="W517" s="52">
        <v>135</v>
      </c>
      <c r="X517" s="52">
        <v>26.664390000000001</v>
      </c>
      <c r="Y517" s="42">
        <f t="shared" si="159"/>
        <v>3599.69265</v>
      </c>
      <c r="AB517" s="42">
        <f t="shared" si="160"/>
        <v>0</v>
      </c>
      <c r="AF517" s="42">
        <f t="shared" si="162"/>
        <v>0</v>
      </c>
      <c r="AU517" s="100"/>
      <c r="AV517" s="35"/>
      <c r="AW517" s="78"/>
      <c r="AZ517" s="42">
        <f t="shared" si="163"/>
        <v>0</v>
      </c>
      <c r="BD517" s="38">
        <f t="shared" si="154"/>
        <v>0</v>
      </c>
      <c r="BH517" s="38">
        <f t="shared" si="155"/>
        <v>0</v>
      </c>
      <c r="BL517" s="38">
        <f t="shared" si="156"/>
        <v>0</v>
      </c>
      <c r="BR517" s="42">
        <f t="shared" si="157"/>
        <v>4934.69265</v>
      </c>
      <c r="BS517" s="43">
        <f t="shared" si="158"/>
        <v>12799.78685</v>
      </c>
      <c r="BU517" s="36"/>
      <c r="BV517" s="36"/>
      <c r="BW517" s="36"/>
      <c r="BX517" s="36"/>
      <c r="BY517" s="36"/>
      <c r="BZ517" s="36"/>
      <c r="CA517" s="36"/>
      <c r="CB517" s="36"/>
      <c r="CC517" s="36"/>
      <c r="CD517" s="36"/>
      <c r="CE517" s="36"/>
      <c r="CF517" s="36"/>
      <c r="CG517" s="36"/>
      <c r="CH517" s="36"/>
      <c r="CI517" s="36"/>
      <c r="CJ517" s="36"/>
      <c r="CK517" s="36"/>
      <c r="CL517" s="36"/>
      <c r="CM517" s="36"/>
      <c r="CN517" s="36"/>
      <c r="CO517" s="36"/>
      <c r="CP517" s="36"/>
      <c r="CQ517" s="36"/>
      <c r="CR517" s="36"/>
      <c r="CS517" s="36"/>
      <c r="CT517" s="36"/>
      <c r="CU517" s="36"/>
      <c r="CV517" s="36"/>
      <c r="CW517" s="36"/>
      <c r="CX517" s="36"/>
      <c r="CY517" s="36"/>
      <c r="CZ517" s="36"/>
      <c r="DA517" s="36"/>
      <c r="DB517" s="36"/>
      <c r="DC517" s="36"/>
      <c r="DD517" s="36"/>
      <c r="DE517" s="36"/>
      <c r="DF517" s="36"/>
      <c r="DG517" s="36"/>
      <c r="DH517" s="36"/>
      <c r="DI517" s="36"/>
      <c r="DJ517" s="36"/>
      <c r="DK517" s="36"/>
      <c r="DL517" s="36"/>
      <c r="DM517" s="36"/>
      <c r="DN517" s="36"/>
      <c r="DO517" s="36"/>
      <c r="DP517" s="36"/>
      <c r="DQ517" s="36"/>
      <c r="DR517" s="36"/>
      <c r="DS517" s="36"/>
      <c r="DT517" s="36"/>
      <c r="DU517" s="36"/>
      <c r="DV517" s="36"/>
      <c r="DW517" s="36"/>
      <c r="DX517" s="36"/>
      <c r="DY517" s="36"/>
      <c r="DZ517" s="36"/>
      <c r="EA517" s="36"/>
      <c r="EB517" s="36"/>
      <c r="EC517" s="36"/>
      <c r="ED517" s="36"/>
      <c r="EE517" s="36"/>
      <c r="EF517" s="36"/>
      <c r="EG517" s="36"/>
      <c r="EH517" s="36"/>
      <c r="EI517" s="36"/>
      <c r="EJ517" s="36"/>
      <c r="EK517" s="36"/>
      <c r="EL517" s="36"/>
      <c r="EM517" s="36"/>
      <c r="EN517" s="36"/>
      <c r="EO517" s="36"/>
      <c r="EP517" s="36"/>
      <c r="EQ517" s="36"/>
      <c r="ER517" s="36"/>
      <c r="ES517" s="36"/>
      <c r="ET517" s="36"/>
      <c r="EU517" s="36"/>
      <c r="EV517" s="36"/>
      <c r="EW517" s="36"/>
      <c r="EX517" s="36"/>
      <c r="EY517" s="36"/>
      <c r="EZ517" s="36"/>
      <c r="FA517" s="36"/>
      <c r="FB517" s="36"/>
      <c r="FC517" s="36"/>
      <c r="FD517" s="36"/>
      <c r="FE517" s="36"/>
      <c r="FF517" s="36"/>
      <c r="FG517" s="36"/>
      <c r="FH517" s="36"/>
      <c r="FI517" s="36"/>
      <c r="FJ517" s="36"/>
      <c r="FK517" s="36"/>
      <c r="FL517" s="36"/>
      <c r="FM517" s="36"/>
      <c r="FN517" s="36"/>
      <c r="FO517" s="36"/>
      <c r="FP517" s="36"/>
      <c r="FQ517" s="36"/>
      <c r="FR517" s="36"/>
      <c r="FS517" s="36"/>
      <c r="FT517" s="36"/>
      <c r="FU517" s="36"/>
      <c r="FV517" s="36"/>
      <c r="FW517" s="36"/>
      <c r="FX517" s="36"/>
      <c r="FY517" s="36"/>
      <c r="FZ517" s="36"/>
      <c r="GA517" s="36"/>
      <c r="GB517" s="36"/>
      <c r="GC517" s="36"/>
      <c r="GD517" s="36"/>
      <c r="GE517" s="36"/>
      <c r="GF517" s="36"/>
      <c r="GG517" s="36"/>
      <c r="GH517" s="36"/>
      <c r="GI517" s="36"/>
      <c r="GJ517" s="36"/>
      <c r="GK517" s="36"/>
      <c r="GL517" s="36"/>
      <c r="GM517" s="36"/>
      <c r="GN517" s="36"/>
      <c r="GO517" s="36"/>
      <c r="GP517" s="36"/>
      <c r="GQ517" s="36"/>
      <c r="GR517" s="36"/>
      <c r="GS517" s="36"/>
      <c r="GT517" s="36"/>
      <c r="GU517" s="36"/>
      <c r="GV517" s="36"/>
      <c r="GW517" s="36"/>
      <c r="GX517" s="36"/>
      <c r="GY517" s="36"/>
      <c r="GZ517" s="36"/>
      <c r="HA517" s="36"/>
      <c r="HB517" s="36"/>
      <c r="HC517" s="36"/>
      <c r="HD517" s="36"/>
      <c r="HE517" s="36"/>
      <c r="HF517" s="36"/>
      <c r="HG517" s="36"/>
      <c r="HH517" s="36"/>
      <c r="HI517" s="36"/>
      <c r="HJ517" s="36"/>
      <c r="HK517" s="36"/>
      <c r="HL517" s="36"/>
      <c r="HM517" s="36"/>
      <c r="HN517" s="36"/>
      <c r="HO517" s="36"/>
      <c r="HP517" s="36"/>
      <c r="HQ517" s="36"/>
      <c r="HR517" s="36"/>
      <c r="HS517" s="36"/>
      <c r="HT517" s="36"/>
      <c r="HU517" s="36"/>
      <c r="HV517" s="36"/>
      <c r="HW517" s="36"/>
      <c r="HX517" s="36"/>
      <c r="HY517" s="36"/>
      <c r="HZ517" s="36"/>
      <c r="IA517" s="36"/>
      <c r="IB517" s="36"/>
      <c r="IC517" s="36"/>
      <c r="ID517" s="36"/>
      <c r="IE517" s="36"/>
      <c r="IF517" s="36"/>
      <c r="IG517" s="36"/>
      <c r="IH517" s="36"/>
      <c r="II517" s="36"/>
      <c r="IJ517" s="36"/>
      <c r="IK517" s="36"/>
      <c r="IL517" s="36"/>
      <c r="IM517" s="36"/>
      <c r="IN517" s="36"/>
      <c r="IO517" s="36"/>
      <c r="IP517" s="36"/>
      <c r="IQ517" s="36"/>
      <c r="IR517" s="36"/>
      <c r="IS517" s="36"/>
      <c r="IT517" s="36"/>
      <c r="IU517" s="36"/>
      <c r="IV517" s="36"/>
      <c r="IW517" s="36"/>
      <c r="IX517" s="36"/>
      <c r="IY517" s="36"/>
      <c r="IZ517" s="36"/>
      <c r="JA517" s="36"/>
      <c r="JB517" s="36"/>
      <c r="JC517" s="36"/>
      <c r="JD517" s="36"/>
      <c r="JE517" s="36"/>
      <c r="JF517" s="36"/>
      <c r="JG517" s="36"/>
      <c r="JH517" s="36"/>
      <c r="JI517" s="36"/>
      <c r="JJ517" s="36"/>
      <c r="JK517" s="36"/>
      <c r="JL517" s="36"/>
      <c r="JM517" s="36"/>
      <c r="JN517" s="36"/>
      <c r="JO517" s="36"/>
      <c r="JP517" s="36"/>
      <c r="JQ517" s="36"/>
      <c r="JR517" s="36"/>
      <c r="JS517" s="36"/>
      <c r="JT517" s="36"/>
      <c r="JU517" s="36"/>
      <c r="JV517" s="36"/>
      <c r="JW517" s="36"/>
      <c r="JX517" s="36"/>
      <c r="JY517" s="36"/>
      <c r="JZ517" s="36"/>
      <c r="KA517" s="36"/>
      <c r="KB517" s="36"/>
      <c r="KC517" s="36"/>
      <c r="KD517" s="36"/>
      <c r="KE517" s="36"/>
      <c r="KF517" s="36"/>
      <c r="KG517" s="36"/>
      <c r="KH517" s="36"/>
      <c r="KI517" s="36"/>
      <c r="KJ517" s="36"/>
      <c r="KK517" s="36"/>
      <c r="KL517" s="36"/>
      <c r="KM517" s="36"/>
      <c r="KN517" s="36"/>
      <c r="KO517" s="36"/>
      <c r="KP517" s="36"/>
      <c r="KQ517" s="36"/>
      <c r="KR517" s="36"/>
      <c r="KS517" s="36"/>
      <c r="KT517" s="36"/>
      <c r="KU517" s="36"/>
      <c r="KV517" s="36"/>
      <c r="KW517" s="36"/>
      <c r="KX517" s="36"/>
      <c r="KY517" s="36"/>
      <c r="KZ517" s="36"/>
      <c r="LA517" s="36"/>
      <c r="LB517" s="36"/>
      <c r="LC517" s="36"/>
      <c r="LD517" s="36"/>
      <c r="LE517" s="36"/>
      <c r="LF517" s="36"/>
      <c r="LG517" s="36"/>
      <c r="LH517" s="36"/>
      <c r="LI517" s="36"/>
      <c r="LJ517" s="36"/>
      <c r="LK517" s="36"/>
      <c r="LL517" s="36"/>
      <c r="LM517" s="36"/>
      <c r="LN517" s="36"/>
      <c r="LO517" s="36"/>
      <c r="LP517" s="36"/>
      <c r="LQ517" s="36"/>
      <c r="LR517" s="36"/>
      <c r="LS517" s="36"/>
      <c r="LT517" s="36"/>
      <c r="LU517" s="36"/>
      <c r="LV517" s="36"/>
      <c r="LW517" s="36"/>
      <c r="LX517" s="36"/>
      <c r="LY517" s="36"/>
      <c r="LZ517" s="36"/>
      <c r="MA517" s="36"/>
      <c r="MB517" s="36"/>
      <c r="MC517" s="36"/>
      <c r="MD517" s="36"/>
      <c r="ME517" s="36"/>
      <c r="MF517" s="36"/>
      <c r="MG517" s="36"/>
      <c r="MH517" s="36"/>
      <c r="MI517" s="36"/>
      <c r="MJ517" s="36"/>
      <c r="MK517" s="36"/>
      <c r="ML517" s="36"/>
      <c r="MM517" s="36"/>
      <c r="MN517" s="36"/>
      <c r="MO517" s="36"/>
      <c r="MP517" s="36"/>
      <c r="MQ517" s="36"/>
      <c r="MR517" s="36"/>
      <c r="MS517" s="36"/>
      <c r="MT517" s="36"/>
      <c r="MU517" s="36"/>
      <c r="MV517" s="36"/>
      <c r="MW517" s="36"/>
      <c r="MX517" s="36"/>
      <c r="MY517" s="36"/>
      <c r="MZ517" s="36"/>
      <c r="NA517" s="36"/>
      <c r="NB517" s="36"/>
      <c r="NC517" s="36"/>
      <c r="ND517" s="36"/>
      <c r="NE517" s="36"/>
      <c r="NF517" s="36"/>
      <c r="NG517" s="36"/>
      <c r="NH517" s="36"/>
      <c r="NI517" s="36"/>
      <c r="NJ517" s="36"/>
      <c r="NK517" s="36"/>
      <c r="NL517" s="36"/>
      <c r="NM517" s="36"/>
      <c r="NN517" s="36"/>
      <c r="NO517" s="36"/>
      <c r="NP517" s="36"/>
      <c r="NQ517" s="36"/>
      <c r="NR517" s="36"/>
      <c r="NS517" s="36"/>
      <c r="NT517" s="36"/>
      <c r="NU517" s="36"/>
      <c r="NV517" s="36"/>
      <c r="NW517" s="36"/>
      <c r="NX517" s="36"/>
      <c r="NY517" s="36"/>
      <c r="NZ517" s="36"/>
      <c r="OA517" s="36"/>
      <c r="OB517" s="36"/>
      <c r="OC517" s="36"/>
      <c r="OD517" s="36"/>
      <c r="OE517" s="36"/>
      <c r="OF517" s="36"/>
      <c r="OG517" s="36"/>
      <c r="OH517" s="36"/>
      <c r="OI517" s="36"/>
      <c r="OJ517" s="36"/>
      <c r="OK517" s="36"/>
      <c r="OL517" s="36"/>
      <c r="OM517" s="36"/>
      <c r="ON517" s="36"/>
      <c r="OO517" s="36"/>
      <c r="OP517" s="36"/>
      <c r="OQ517" s="36"/>
      <c r="OR517" s="36"/>
      <c r="OS517" s="36"/>
      <c r="OT517" s="36"/>
      <c r="OU517" s="36"/>
      <c r="OV517" s="36"/>
      <c r="OW517" s="36"/>
      <c r="OX517" s="36"/>
    </row>
    <row r="518" spans="2:414" s="27" customFormat="1" ht="15.6">
      <c r="B518" s="51" t="s">
        <v>1041</v>
      </c>
      <c r="C518" s="27" t="s">
        <v>382</v>
      </c>
      <c r="D518" s="29" t="s">
        <v>405</v>
      </c>
      <c r="G518" s="49">
        <v>80</v>
      </c>
      <c r="H518" s="89">
        <v>26.109000000000002</v>
      </c>
      <c r="I518" s="38">
        <f t="shared" si="150"/>
        <v>2088.7200000000003</v>
      </c>
      <c r="K518" s="49">
        <v>80</v>
      </c>
      <c r="L518" s="90">
        <v>26.849599999999999</v>
      </c>
      <c r="M518" s="38">
        <f t="shared" si="151"/>
        <v>2147.9679999999998</v>
      </c>
      <c r="O518" s="49">
        <v>505</v>
      </c>
      <c r="P518" s="38">
        <v>26.728300000000001</v>
      </c>
      <c r="Q518" s="38">
        <f t="shared" si="152"/>
        <v>13497.791500000001</v>
      </c>
      <c r="R518" s="43">
        <f t="shared" si="164"/>
        <v>665</v>
      </c>
      <c r="S518" s="38">
        <f t="shared" si="153"/>
        <v>17734.479500000001</v>
      </c>
      <c r="T518" s="52">
        <v>250</v>
      </c>
      <c r="U518" s="52">
        <v>26.7</v>
      </c>
      <c r="V518" s="38">
        <f t="shared" si="161"/>
        <v>6675</v>
      </c>
      <c r="W518" s="52">
        <v>505</v>
      </c>
      <c r="X518" s="52">
        <v>26.72</v>
      </c>
      <c r="Y518" s="42">
        <f t="shared" si="159"/>
        <v>13493.599999999999</v>
      </c>
      <c r="AB518" s="42">
        <f t="shared" si="160"/>
        <v>0</v>
      </c>
      <c r="AF518" s="42">
        <f t="shared" si="162"/>
        <v>0</v>
      </c>
      <c r="AU518" s="100"/>
      <c r="AV518" s="35"/>
      <c r="AW518" s="78"/>
      <c r="AZ518" s="42">
        <f t="shared" si="163"/>
        <v>0</v>
      </c>
      <c r="BD518" s="38">
        <f t="shared" si="154"/>
        <v>0</v>
      </c>
      <c r="BH518" s="38">
        <f t="shared" si="155"/>
        <v>0</v>
      </c>
      <c r="BL518" s="38">
        <f t="shared" si="156"/>
        <v>0</v>
      </c>
      <c r="BR518" s="42">
        <f t="shared" si="157"/>
        <v>20168.599999999999</v>
      </c>
      <c r="BS518" s="43"/>
      <c r="BT518" s="27">
        <v>2434.12</v>
      </c>
      <c r="BU518" s="36"/>
      <c r="BV518" s="36"/>
      <c r="BW518" s="36"/>
      <c r="BX518" s="36"/>
      <c r="BY518" s="36"/>
      <c r="BZ518" s="36"/>
      <c r="CA518" s="36"/>
      <c r="CB518" s="36"/>
      <c r="CC518" s="36"/>
      <c r="CD518" s="36"/>
      <c r="CE518" s="36"/>
      <c r="CF518" s="36"/>
      <c r="CG518" s="36"/>
      <c r="CH518" s="36"/>
      <c r="CI518" s="36"/>
      <c r="CJ518" s="36"/>
      <c r="CK518" s="36"/>
      <c r="CL518" s="36"/>
      <c r="CM518" s="36"/>
      <c r="CN518" s="36"/>
      <c r="CO518" s="36"/>
      <c r="CP518" s="36"/>
      <c r="CQ518" s="36"/>
      <c r="CR518" s="36"/>
      <c r="CS518" s="36"/>
      <c r="CT518" s="36"/>
      <c r="CU518" s="36"/>
      <c r="CV518" s="36"/>
      <c r="CW518" s="36"/>
      <c r="CX518" s="36"/>
      <c r="CY518" s="36"/>
      <c r="CZ518" s="36"/>
      <c r="DA518" s="36"/>
      <c r="DB518" s="36"/>
      <c r="DC518" s="36"/>
      <c r="DD518" s="36"/>
      <c r="DE518" s="36"/>
      <c r="DF518" s="36"/>
      <c r="DG518" s="36"/>
      <c r="DH518" s="36"/>
      <c r="DI518" s="36"/>
      <c r="DJ518" s="36"/>
      <c r="DK518" s="36"/>
      <c r="DL518" s="36"/>
      <c r="DM518" s="36"/>
      <c r="DN518" s="36"/>
      <c r="DO518" s="36"/>
      <c r="DP518" s="36"/>
      <c r="DQ518" s="36"/>
      <c r="DR518" s="36"/>
      <c r="DS518" s="36"/>
      <c r="DT518" s="36"/>
      <c r="DU518" s="36"/>
      <c r="DV518" s="36"/>
      <c r="DW518" s="36"/>
      <c r="DX518" s="36"/>
      <c r="DY518" s="36"/>
      <c r="DZ518" s="36"/>
      <c r="EA518" s="36"/>
      <c r="EB518" s="36"/>
      <c r="EC518" s="36"/>
      <c r="ED518" s="36"/>
      <c r="EE518" s="36"/>
      <c r="EF518" s="36"/>
      <c r="EG518" s="36"/>
      <c r="EH518" s="36"/>
      <c r="EI518" s="36"/>
      <c r="EJ518" s="36"/>
      <c r="EK518" s="36"/>
      <c r="EL518" s="36"/>
      <c r="EM518" s="36"/>
      <c r="EN518" s="36"/>
      <c r="EO518" s="36"/>
      <c r="EP518" s="36"/>
      <c r="EQ518" s="36"/>
      <c r="ER518" s="36"/>
      <c r="ES518" s="36"/>
      <c r="ET518" s="36"/>
      <c r="EU518" s="36"/>
      <c r="EV518" s="36"/>
      <c r="EW518" s="36"/>
      <c r="EX518" s="36"/>
      <c r="EY518" s="36"/>
      <c r="EZ518" s="36"/>
      <c r="FA518" s="36"/>
      <c r="FB518" s="36"/>
      <c r="FC518" s="36"/>
      <c r="FD518" s="36"/>
      <c r="FE518" s="36"/>
      <c r="FF518" s="36"/>
      <c r="FG518" s="36"/>
      <c r="FH518" s="36"/>
      <c r="FI518" s="36"/>
      <c r="FJ518" s="36"/>
      <c r="FK518" s="36"/>
      <c r="FL518" s="36"/>
      <c r="FM518" s="36"/>
      <c r="FN518" s="36"/>
      <c r="FO518" s="36"/>
      <c r="FP518" s="36"/>
      <c r="FQ518" s="36"/>
      <c r="FR518" s="36"/>
      <c r="FS518" s="36"/>
      <c r="FT518" s="36"/>
      <c r="FU518" s="36"/>
      <c r="FV518" s="36"/>
      <c r="FW518" s="36"/>
      <c r="FX518" s="36"/>
      <c r="FY518" s="36"/>
      <c r="FZ518" s="36"/>
      <c r="GA518" s="36"/>
      <c r="GB518" s="36"/>
      <c r="GC518" s="36"/>
      <c r="GD518" s="36"/>
      <c r="GE518" s="36"/>
      <c r="GF518" s="36"/>
      <c r="GG518" s="36"/>
      <c r="GH518" s="36"/>
      <c r="GI518" s="36"/>
      <c r="GJ518" s="36"/>
      <c r="GK518" s="36"/>
      <c r="GL518" s="36"/>
      <c r="GM518" s="36"/>
      <c r="GN518" s="36"/>
      <c r="GO518" s="36"/>
      <c r="GP518" s="36"/>
      <c r="GQ518" s="36"/>
      <c r="GR518" s="36"/>
      <c r="GS518" s="36"/>
      <c r="GT518" s="36"/>
      <c r="GU518" s="36"/>
      <c r="GV518" s="36"/>
      <c r="GW518" s="36"/>
      <c r="GX518" s="36"/>
      <c r="GY518" s="36"/>
      <c r="GZ518" s="36"/>
      <c r="HA518" s="36"/>
      <c r="HB518" s="36"/>
      <c r="HC518" s="36"/>
      <c r="HD518" s="36"/>
      <c r="HE518" s="36"/>
      <c r="HF518" s="36"/>
      <c r="HG518" s="36"/>
      <c r="HH518" s="36"/>
      <c r="HI518" s="36"/>
      <c r="HJ518" s="36"/>
      <c r="HK518" s="36"/>
      <c r="HL518" s="36"/>
      <c r="HM518" s="36"/>
      <c r="HN518" s="36"/>
      <c r="HO518" s="36"/>
      <c r="HP518" s="36"/>
      <c r="HQ518" s="36"/>
      <c r="HR518" s="36"/>
      <c r="HS518" s="36"/>
      <c r="HT518" s="36"/>
      <c r="HU518" s="36"/>
      <c r="HV518" s="36"/>
      <c r="HW518" s="36"/>
      <c r="HX518" s="36"/>
      <c r="HY518" s="36"/>
      <c r="HZ518" s="36"/>
      <c r="IA518" s="36"/>
      <c r="IB518" s="36"/>
      <c r="IC518" s="36"/>
      <c r="ID518" s="36"/>
      <c r="IE518" s="36"/>
      <c r="IF518" s="36"/>
      <c r="IG518" s="36"/>
      <c r="IH518" s="36"/>
      <c r="II518" s="36"/>
      <c r="IJ518" s="36"/>
      <c r="IK518" s="36"/>
      <c r="IL518" s="36"/>
      <c r="IM518" s="36"/>
      <c r="IN518" s="36"/>
      <c r="IO518" s="36"/>
      <c r="IP518" s="36"/>
      <c r="IQ518" s="36"/>
      <c r="IR518" s="36"/>
      <c r="IS518" s="36"/>
      <c r="IT518" s="36"/>
      <c r="IU518" s="36"/>
      <c r="IV518" s="36"/>
      <c r="IW518" s="36"/>
      <c r="IX518" s="36"/>
      <c r="IY518" s="36"/>
      <c r="IZ518" s="36"/>
      <c r="JA518" s="36"/>
      <c r="JB518" s="36"/>
      <c r="JC518" s="36"/>
      <c r="JD518" s="36"/>
      <c r="JE518" s="36"/>
      <c r="JF518" s="36"/>
      <c r="JG518" s="36"/>
      <c r="JH518" s="36"/>
      <c r="JI518" s="36"/>
      <c r="JJ518" s="36"/>
      <c r="JK518" s="36"/>
      <c r="JL518" s="36"/>
      <c r="JM518" s="36"/>
      <c r="JN518" s="36"/>
      <c r="JO518" s="36"/>
      <c r="JP518" s="36"/>
      <c r="JQ518" s="36"/>
      <c r="JR518" s="36"/>
      <c r="JS518" s="36"/>
      <c r="JT518" s="36"/>
      <c r="JU518" s="36"/>
      <c r="JV518" s="36"/>
      <c r="JW518" s="36"/>
      <c r="JX518" s="36"/>
      <c r="JY518" s="36"/>
      <c r="JZ518" s="36"/>
      <c r="KA518" s="36"/>
      <c r="KB518" s="36"/>
      <c r="KC518" s="36"/>
      <c r="KD518" s="36"/>
      <c r="KE518" s="36"/>
      <c r="KF518" s="36"/>
      <c r="KG518" s="36"/>
      <c r="KH518" s="36"/>
      <c r="KI518" s="36"/>
      <c r="KJ518" s="36"/>
      <c r="KK518" s="36"/>
      <c r="KL518" s="36"/>
      <c r="KM518" s="36"/>
      <c r="KN518" s="36"/>
      <c r="KO518" s="36"/>
      <c r="KP518" s="36"/>
      <c r="KQ518" s="36"/>
      <c r="KR518" s="36"/>
      <c r="KS518" s="36"/>
      <c r="KT518" s="36"/>
      <c r="KU518" s="36"/>
      <c r="KV518" s="36"/>
      <c r="KW518" s="36"/>
      <c r="KX518" s="36"/>
      <c r="KY518" s="36"/>
      <c r="KZ518" s="36"/>
      <c r="LA518" s="36"/>
      <c r="LB518" s="36"/>
      <c r="LC518" s="36"/>
      <c r="LD518" s="36"/>
      <c r="LE518" s="36"/>
      <c r="LF518" s="36"/>
      <c r="LG518" s="36"/>
      <c r="LH518" s="36"/>
      <c r="LI518" s="36"/>
      <c r="LJ518" s="36"/>
      <c r="LK518" s="36"/>
      <c r="LL518" s="36"/>
      <c r="LM518" s="36"/>
      <c r="LN518" s="36"/>
      <c r="LO518" s="36"/>
      <c r="LP518" s="36"/>
      <c r="LQ518" s="36"/>
      <c r="LR518" s="36"/>
      <c r="LS518" s="36"/>
      <c r="LT518" s="36"/>
      <c r="LU518" s="36"/>
      <c r="LV518" s="36"/>
      <c r="LW518" s="36"/>
      <c r="LX518" s="36"/>
      <c r="LY518" s="36"/>
      <c r="LZ518" s="36"/>
      <c r="MA518" s="36"/>
      <c r="MB518" s="36"/>
      <c r="MC518" s="36"/>
      <c r="MD518" s="36"/>
      <c r="ME518" s="36"/>
      <c r="MF518" s="36"/>
      <c r="MG518" s="36"/>
      <c r="MH518" s="36"/>
      <c r="MI518" s="36"/>
      <c r="MJ518" s="36"/>
      <c r="MK518" s="36"/>
      <c r="ML518" s="36"/>
      <c r="MM518" s="36"/>
      <c r="MN518" s="36"/>
      <c r="MO518" s="36"/>
      <c r="MP518" s="36"/>
      <c r="MQ518" s="36"/>
      <c r="MR518" s="36"/>
      <c r="MS518" s="36"/>
      <c r="MT518" s="36"/>
      <c r="MU518" s="36"/>
      <c r="MV518" s="36"/>
      <c r="MW518" s="36"/>
      <c r="MX518" s="36"/>
      <c r="MY518" s="36"/>
      <c r="MZ518" s="36"/>
      <c r="NA518" s="36"/>
      <c r="NB518" s="36"/>
      <c r="NC518" s="36"/>
      <c r="ND518" s="36"/>
      <c r="NE518" s="36"/>
      <c r="NF518" s="36"/>
      <c r="NG518" s="36"/>
      <c r="NH518" s="36"/>
      <c r="NI518" s="36"/>
      <c r="NJ518" s="36"/>
      <c r="NK518" s="36"/>
      <c r="NL518" s="36"/>
      <c r="NM518" s="36"/>
      <c r="NN518" s="36"/>
      <c r="NO518" s="36"/>
      <c r="NP518" s="36"/>
      <c r="NQ518" s="36"/>
      <c r="NR518" s="36"/>
      <c r="NS518" s="36"/>
      <c r="NT518" s="36"/>
      <c r="NU518" s="36"/>
      <c r="NV518" s="36"/>
      <c r="NW518" s="36"/>
      <c r="NX518" s="36"/>
      <c r="NY518" s="36"/>
      <c r="NZ518" s="36"/>
      <c r="OA518" s="36"/>
      <c r="OB518" s="36"/>
      <c r="OC518" s="36"/>
      <c r="OD518" s="36"/>
      <c r="OE518" s="36"/>
      <c r="OF518" s="36"/>
      <c r="OG518" s="36"/>
      <c r="OH518" s="36"/>
      <c r="OI518" s="36"/>
      <c r="OJ518" s="36"/>
      <c r="OK518" s="36"/>
      <c r="OL518" s="36"/>
      <c r="OM518" s="36"/>
      <c r="ON518" s="36"/>
      <c r="OO518" s="36"/>
      <c r="OP518" s="36"/>
      <c r="OQ518" s="36"/>
      <c r="OR518" s="36"/>
      <c r="OS518" s="36"/>
      <c r="OT518" s="36"/>
      <c r="OU518" s="36"/>
      <c r="OV518" s="36"/>
      <c r="OW518" s="36"/>
      <c r="OX518" s="36"/>
    </row>
    <row r="519" spans="2:414" s="27" customFormat="1" ht="15.6">
      <c r="B519" s="51" t="s">
        <v>1123</v>
      </c>
      <c r="C519" s="27" t="s">
        <v>1124</v>
      </c>
      <c r="D519" s="29" t="s">
        <v>405</v>
      </c>
      <c r="G519" s="49">
        <v>80</v>
      </c>
      <c r="H519" s="89">
        <v>26.109000000000002</v>
      </c>
      <c r="I519" s="38">
        <f t="shared" si="150"/>
        <v>2088.7200000000003</v>
      </c>
      <c r="K519" s="49">
        <v>80</v>
      </c>
      <c r="L519" s="90">
        <v>26.849599999999999</v>
      </c>
      <c r="M519" s="38">
        <f t="shared" si="151"/>
        <v>2147.9679999999998</v>
      </c>
      <c r="O519" s="49">
        <v>505</v>
      </c>
      <c r="P519" s="38">
        <v>26.728300000000001</v>
      </c>
      <c r="Q519" s="38">
        <f t="shared" si="152"/>
        <v>13497.791500000001</v>
      </c>
      <c r="R519" s="43">
        <f t="shared" si="164"/>
        <v>665</v>
      </c>
      <c r="S519" s="38">
        <f t="shared" si="153"/>
        <v>17734.479500000001</v>
      </c>
      <c r="T519" s="27">
        <v>240</v>
      </c>
      <c r="U519" s="27">
        <v>26.68</v>
      </c>
      <c r="V519" s="38">
        <f t="shared" si="161"/>
        <v>6403.2</v>
      </c>
      <c r="W519" s="52">
        <v>505</v>
      </c>
      <c r="X519" s="52">
        <v>26.72</v>
      </c>
      <c r="Y519" s="42">
        <f t="shared" si="159"/>
        <v>13493.599999999999</v>
      </c>
      <c r="AB519" s="42">
        <f t="shared" si="160"/>
        <v>0</v>
      </c>
      <c r="AF519" s="42">
        <f t="shared" si="162"/>
        <v>0</v>
      </c>
      <c r="AU519" s="100"/>
      <c r="AV519" s="35"/>
      <c r="AW519" s="78"/>
      <c r="AZ519" s="42">
        <f t="shared" si="163"/>
        <v>0</v>
      </c>
      <c r="BD519" s="38">
        <f t="shared" si="154"/>
        <v>0</v>
      </c>
      <c r="BH519" s="38">
        <f t="shared" si="155"/>
        <v>0</v>
      </c>
      <c r="BL519" s="38">
        <f t="shared" si="156"/>
        <v>0</v>
      </c>
      <c r="BR519" s="42">
        <f t="shared" si="157"/>
        <v>19896.8</v>
      </c>
      <c r="BS519" s="43"/>
      <c r="BT519" s="27">
        <v>2162.3200000000002</v>
      </c>
      <c r="BU519" s="36"/>
      <c r="BV519" s="36"/>
      <c r="BW519" s="36"/>
      <c r="BX519" s="36"/>
      <c r="BY519" s="36"/>
      <c r="BZ519" s="36"/>
      <c r="CA519" s="36"/>
      <c r="CB519" s="36"/>
      <c r="CC519" s="36"/>
      <c r="CD519" s="36"/>
      <c r="CE519" s="36"/>
      <c r="CF519" s="36"/>
      <c r="CG519" s="36"/>
      <c r="CH519" s="36"/>
      <c r="CI519" s="36"/>
      <c r="CJ519" s="36"/>
      <c r="CK519" s="36"/>
      <c r="CL519" s="36"/>
      <c r="CM519" s="36"/>
      <c r="CN519" s="36"/>
      <c r="CO519" s="36"/>
      <c r="CP519" s="36"/>
      <c r="CQ519" s="36"/>
      <c r="CR519" s="36"/>
      <c r="CS519" s="36"/>
      <c r="CT519" s="36"/>
      <c r="CU519" s="36"/>
      <c r="CV519" s="36"/>
      <c r="CW519" s="36"/>
      <c r="CX519" s="36"/>
      <c r="CY519" s="36"/>
      <c r="CZ519" s="36"/>
      <c r="DA519" s="36"/>
      <c r="DB519" s="36"/>
      <c r="DC519" s="36"/>
      <c r="DD519" s="36"/>
      <c r="DE519" s="36"/>
      <c r="DF519" s="36"/>
      <c r="DG519" s="36"/>
      <c r="DH519" s="36"/>
      <c r="DI519" s="36"/>
      <c r="DJ519" s="36"/>
      <c r="DK519" s="36"/>
      <c r="DL519" s="36"/>
      <c r="DM519" s="36"/>
      <c r="DN519" s="36"/>
      <c r="DO519" s="36"/>
      <c r="DP519" s="36"/>
      <c r="DQ519" s="36"/>
      <c r="DR519" s="36"/>
      <c r="DS519" s="36"/>
      <c r="DT519" s="36"/>
      <c r="DU519" s="36"/>
      <c r="DV519" s="36"/>
      <c r="DW519" s="36"/>
      <c r="DX519" s="36"/>
      <c r="DY519" s="36"/>
      <c r="DZ519" s="36"/>
      <c r="EA519" s="36"/>
      <c r="EB519" s="36"/>
      <c r="EC519" s="36"/>
      <c r="ED519" s="36"/>
      <c r="EE519" s="36"/>
      <c r="EF519" s="36"/>
      <c r="EG519" s="36"/>
      <c r="EH519" s="36"/>
      <c r="EI519" s="36"/>
      <c r="EJ519" s="36"/>
      <c r="EK519" s="36"/>
      <c r="EL519" s="36"/>
      <c r="EM519" s="36"/>
      <c r="EN519" s="36"/>
      <c r="EO519" s="36"/>
      <c r="EP519" s="36"/>
      <c r="EQ519" s="36"/>
      <c r="ER519" s="36"/>
      <c r="ES519" s="36"/>
      <c r="ET519" s="36"/>
      <c r="EU519" s="36"/>
      <c r="EV519" s="36"/>
      <c r="EW519" s="36"/>
      <c r="EX519" s="36"/>
      <c r="EY519" s="36"/>
      <c r="EZ519" s="36"/>
      <c r="FA519" s="36"/>
      <c r="FB519" s="36"/>
      <c r="FC519" s="36"/>
      <c r="FD519" s="36"/>
      <c r="FE519" s="36"/>
      <c r="FF519" s="36"/>
      <c r="FG519" s="36"/>
      <c r="FH519" s="36"/>
      <c r="FI519" s="36"/>
      <c r="FJ519" s="36"/>
      <c r="FK519" s="36"/>
      <c r="FL519" s="36"/>
      <c r="FM519" s="36"/>
      <c r="FN519" s="36"/>
      <c r="FO519" s="36"/>
      <c r="FP519" s="36"/>
      <c r="FQ519" s="36"/>
      <c r="FR519" s="36"/>
      <c r="FS519" s="36"/>
      <c r="FT519" s="36"/>
      <c r="FU519" s="36"/>
      <c r="FV519" s="36"/>
      <c r="FW519" s="36"/>
      <c r="FX519" s="36"/>
      <c r="FY519" s="36"/>
      <c r="FZ519" s="36"/>
      <c r="GA519" s="36"/>
      <c r="GB519" s="36"/>
      <c r="GC519" s="36"/>
      <c r="GD519" s="36"/>
      <c r="GE519" s="36"/>
      <c r="GF519" s="36"/>
      <c r="GG519" s="36"/>
      <c r="GH519" s="36"/>
      <c r="GI519" s="36"/>
      <c r="GJ519" s="36"/>
      <c r="GK519" s="36"/>
      <c r="GL519" s="36"/>
      <c r="GM519" s="36"/>
      <c r="GN519" s="36"/>
      <c r="GO519" s="36"/>
      <c r="GP519" s="36"/>
      <c r="GQ519" s="36"/>
      <c r="GR519" s="36"/>
      <c r="GS519" s="36"/>
      <c r="GT519" s="36"/>
      <c r="GU519" s="36"/>
      <c r="GV519" s="36"/>
      <c r="GW519" s="36"/>
      <c r="GX519" s="36"/>
      <c r="GY519" s="36"/>
      <c r="GZ519" s="36"/>
      <c r="HA519" s="36"/>
      <c r="HB519" s="36"/>
      <c r="HC519" s="36"/>
      <c r="HD519" s="36"/>
      <c r="HE519" s="36"/>
      <c r="HF519" s="36"/>
      <c r="HG519" s="36"/>
      <c r="HH519" s="36"/>
      <c r="HI519" s="36"/>
      <c r="HJ519" s="36"/>
      <c r="HK519" s="36"/>
      <c r="HL519" s="36"/>
      <c r="HM519" s="36"/>
      <c r="HN519" s="36"/>
      <c r="HO519" s="36"/>
      <c r="HP519" s="36"/>
      <c r="HQ519" s="36"/>
      <c r="HR519" s="36"/>
      <c r="HS519" s="36"/>
      <c r="HT519" s="36"/>
      <c r="HU519" s="36"/>
      <c r="HV519" s="36"/>
      <c r="HW519" s="36"/>
      <c r="HX519" s="36"/>
      <c r="HY519" s="36"/>
      <c r="HZ519" s="36"/>
      <c r="IA519" s="36"/>
      <c r="IB519" s="36"/>
      <c r="IC519" s="36"/>
      <c r="ID519" s="36"/>
      <c r="IE519" s="36"/>
      <c r="IF519" s="36"/>
      <c r="IG519" s="36"/>
      <c r="IH519" s="36"/>
      <c r="II519" s="36"/>
      <c r="IJ519" s="36"/>
      <c r="IK519" s="36"/>
      <c r="IL519" s="36"/>
      <c r="IM519" s="36"/>
      <c r="IN519" s="36"/>
      <c r="IO519" s="36"/>
      <c r="IP519" s="36"/>
      <c r="IQ519" s="36"/>
      <c r="IR519" s="36"/>
      <c r="IS519" s="36"/>
      <c r="IT519" s="36"/>
      <c r="IU519" s="36"/>
      <c r="IV519" s="36"/>
      <c r="IW519" s="36"/>
      <c r="IX519" s="36"/>
      <c r="IY519" s="36"/>
      <c r="IZ519" s="36"/>
      <c r="JA519" s="36"/>
      <c r="JB519" s="36"/>
      <c r="JC519" s="36"/>
      <c r="JD519" s="36"/>
      <c r="JE519" s="36"/>
      <c r="JF519" s="36"/>
      <c r="JG519" s="36"/>
      <c r="JH519" s="36"/>
      <c r="JI519" s="36"/>
      <c r="JJ519" s="36"/>
      <c r="JK519" s="36"/>
      <c r="JL519" s="36"/>
      <c r="JM519" s="36"/>
      <c r="JN519" s="36"/>
      <c r="JO519" s="36"/>
      <c r="JP519" s="36"/>
      <c r="JQ519" s="36"/>
      <c r="JR519" s="36"/>
      <c r="JS519" s="36"/>
      <c r="JT519" s="36"/>
      <c r="JU519" s="36"/>
      <c r="JV519" s="36"/>
      <c r="JW519" s="36"/>
      <c r="JX519" s="36"/>
      <c r="JY519" s="36"/>
      <c r="JZ519" s="36"/>
      <c r="KA519" s="36"/>
      <c r="KB519" s="36"/>
      <c r="KC519" s="36"/>
      <c r="KD519" s="36"/>
      <c r="KE519" s="36"/>
      <c r="KF519" s="36"/>
      <c r="KG519" s="36"/>
      <c r="KH519" s="36"/>
      <c r="KI519" s="36"/>
      <c r="KJ519" s="36"/>
      <c r="KK519" s="36"/>
      <c r="KL519" s="36"/>
      <c r="KM519" s="36"/>
      <c r="KN519" s="36"/>
      <c r="KO519" s="36"/>
      <c r="KP519" s="36"/>
      <c r="KQ519" s="36"/>
      <c r="KR519" s="36"/>
      <c r="KS519" s="36"/>
      <c r="KT519" s="36"/>
      <c r="KU519" s="36"/>
      <c r="KV519" s="36"/>
      <c r="KW519" s="36"/>
      <c r="KX519" s="36"/>
      <c r="KY519" s="36"/>
      <c r="KZ519" s="36"/>
      <c r="LA519" s="36"/>
      <c r="LB519" s="36"/>
      <c r="LC519" s="36"/>
      <c r="LD519" s="36"/>
      <c r="LE519" s="36"/>
      <c r="LF519" s="36"/>
      <c r="LG519" s="36"/>
      <c r="LH519" s="36"/>
      <c r="LI519" s="36"/>
      <c r="LJ519" s="36"/>
      <c r="LK519" s="36"/>
      <c r="LL519" s="36"/>
      <c r="LM519" s="36"/>
      <c r="LN519" s="36"/>
      <c r="LO519" s="36"/>
      <c r="LP519" s="36"/>
      <c r="LQ519" s="36"/>
      <c r="LR519" s="36"/>
      <c r="LS519" s="36"/>
      <c r="LT519" s="36"/>
      <c r="LU519" s="36"/>
      <c r="LV519" s="36"/>
      <c r="LW519" s="36"/>
      <c r="LX519" s="36"/>
      <c r="LY519" s="36"/>
      <c r="LZ519" s="36"/>
      <c r="MA519" s="36"/>
      <c r="MB519" s="36"/>
      <c r="MC519" s="36"/>
      <c r="MD519" s="36"/>
      <c r="ME519" s="36"/>
      <c r="MF519" s="36"/>
      <c r="MG519" s="36"/>
      <c r="MH519" s="36"/>
      <c r="MI519" s="36"/>
      <c r="MJ519" s="36"/>
      <c r="MK519" s="36"/>
      <c r="ML519" s="36"/>
      <c r="MM519" s="36"/>
      <c r="MN519" s="36"/>
      <c r="MO519" s="36"/>
      <c r="MP519" s="36"/>
      <c r="MQ519" s="36"/>
      <c r="MR519" s="36"/>
      <c r="MS519" s="36"/>
      <c r="MT519" s="36"/>
      <c r="MU519" s="36"/>
      <c r="MV519" s="36"/>
      <c r="MW519" s="36"/>
      <c r="MX519" s="36"/>
      <c r="MY519" s="36"/>
      <c r="MZ519" s="36"/>
      <c r="NA519" s="36"/>
      <c r="NB519" s="36"/>
      <c r="NC519" s="36"/>
      <c r="ND519" s="36"/>
      <c r="NE519" s="36"/>
      <c r="NF519" s="36"/>
      <c r="NG519" s="36"/>
      <c r="NH519" s="36"/>
      <c r="NI519" s="36"/>
      <c r="NJ519" s="36"/>
      <c r="NK519" s="36"/>
      <c r="NL519" s="36"/>
      <c r="NM519" s="36"/>
      <c r="NN519" s="36"/>
      <c r="NO519" s="36"/>
      <c r="NP519" s="36"/>
      <c r="NQ519" s="36"/>
      <c r="NR519" s="36"/>
      <c r="NS519" s="36"/>
      <c r="NT519" s="36"/>
      <c r="NU519" s="36"/>
      <c r="NV519" s="36"/>
      <c r="NW519" s="36"/>
      <c r="NX519" s="36"/>
      <c r="NY519" s="36"/>
      <c r="NZ519" s="36"/>
      <c r="OA519" s="36"/>
      <c r="OB519" s="36"/>
      <c r="OC519" s="36"/>
      <c r="OD519" s="36"/>
      <c r="OE519" s="36"/>
      <c r="OF519" s="36"/>
      <c r="OG519" s="36"/>
      <c r="OH519" s="36"/>
      <c r="OI519" s="36"/>
      <c r="OJ519" s="36"/>
      <c r="OK519" s="36"/>
      <c r="OL519" s="36"/>
      <c r="OM519" s="36"/>
      <c r="ON519" s="36"/>
      <c r="OO519" s="36"/>
      <c r="OP519" s="36"/>
      <c r="OQ519" s="36"/>
      <c r="OR519" s="36"/>
      <c r="OS519" s="36"/>
      <c r="OT519" s="36"/>
      <c r="OU519" s="36"/>
      <c r="OV519" s="36"/>
      <c r="OW519" s="36"/>
      <c r="OX519" s="36"/>
    </row>
    <row r="520" spans="2:414" s="27" customFormat="1" ht="15.6">
      <c r="B520" s="51" t="s">
        <v>28</v>
      </c>
      <c r="C520" s="27" t="s">
        <v>909</v>
      </c>
      <c r="D520" s="29" t="s">
        <v>405</v>
      </c>
      <c r="G520" s="49">
        <v>80</v>
      </c>
      <c r="H520" s="89">
        <v>26.109000000000002</v>
      </c>
      <c r="I520" s="38">
        <f t="shared" si="150"/>
        <v>2088.7200000000003</v>
      </c>
      <c r="K520" s="49">
        <v>80</v>
      </c>
      <c r="L520" s="90">
        <v>26.849599999999999</v>
      </c>
      <c r="M520" s="38">
        <f t="shared" si="151"/>
        <v>2147.9679999999998</v>
      </c>
      <c r="O520" s="49">
        <v>505</v>
      </c>
      <c r="P520" s="38">
        <v>26.728300000000001</v>
      </c>
      <c r="Q520" s="38">
        <f t="shared" si="152"/>
        <v>13497.791500000001</v>
      </c>
      <c r="R520" s="43">
        <f t="shared" si="164"/>
        <v>665</v>
      </c>
      <c r="S520" s="38">
        <f t="shared" si="153"/>
        <v>17734.479500000001</v>
      </c>
      <c r="T520" s="52">
        <v>240</v>
      </c>
      <c r="U520" s="52">
        <v>26.555099999999999</v>
      </c>
      <c r="V520" s="38">
        <f t="shared" si="161"/>
        <v>6373.2240000000002</v>
      </c>
      <c r="W520" s="52">
        <v>310</v>
      </c>
      <c r="X520" s="52">
        <v>26.570799999999998</v>
      </c>
      <c r="Y520" s="42">
        <f t="shared" si="159"/>
        <v>8236.9480000000003</v>
      </c>
      <c r="AB520" s="42">
        <f t="shared" si="160"/>
        <v>0</v>
      </c>
      <c r="AF520" s="42">
        <f t="shared" si="162"/>
        <v>0</v>
      </c>
      <c r="AU520" s="100"/>
      <c r="AV520" s="35"/>
      <c r="AW520" s="78"/>
      <c r="AZ520" s="42">
        <f t="shared" si="163"/>
        <v>0</v>
      </c>
      <c r="BD520" s="38">
        <f t="shared" si="154"/>
        <v>0</v>
      </c>
      <c r="BH520" s="38">
        <f t="shared" si="155"/>
        <v>0</v>
      </c>
      <c r="BL520" s="38">
        <f t="shared" si="156"/>
        <v>0</v>
      </c>
      <c r="BR520" s="42">
        <f t="shared" si="157"/>
        <v>14610.172</v>
      </c>
      <c r="BS520" s="43">
        <f t="shared" si="158"/>
        <v>3124.3075000000008</v>
      </c>
      <c r="BU520" s="36"/>
      <c r="BV520" s="36"/>
      <c r="BW520" s="36"/>
      <c r="BX520" s="36"/>
      <c r="BY520" s="36"/>
      <c r="BZ520" s="36"/>
      <c r="CA520" s="36"/>
      <c r="CB520" s="36"/>
      <c r="CC520" s="36"/>
      <c r="CD520" s="36"/>
      <c r="CE520" s="36"/>
      <c r="CF520" s="36"/>
      <c r="CG520" s="36"/>
      <c r="CH520" s="36"/>
      <c r="CI520" s="36"/>
      <c r="CJ520" s="36"/>
      <c r="CK520" s="36"/>
      <c r="CL520" s="36"/>
      <c r="CM520" s="36"/>
      <c r="CN520" s="36"/>
      <c r="CO520" s="36"/>
      <c r="CP520" s="36"/>
      <c r="CQ520" s="36"/>
      <c r="CR520" s="36"/>
      <c r="CS520" s="36"/>
      <c r="CT520" s="36"/>
      <c r="CU520" s="36"/>
      <c r="CV520" s="36"/>
      <c r="CW520" s="36"/>
      <c r="CX520" s="36"/>
      <c r="CY520" s="36"/>
      <c r="CZ520" s="36"/>
      <c r="DA520" s="36"/>
      <c r="DB520" s="36"/>
      <c r="DC520" s="36"/>
      <c r="DD520" s="36"/>
      <c r="DE520" s="36"/>
      <c r="DF520" s="36"/>
      <c r="DG520" s="36"/>
      <c r="DH520" s="36"/>
      <c r="DI520" s="36"/>
      <c r="DJ520" s="36"/>
      <c r="DK520" s="36"/>
      <c r="DL520" s="36"/>
      <c r="DM520" s="36"/>
      <c r="DN520" s="36"/>
      <c r="DO520" s="36"/>
      <c r="DP520" s="36"/>
      <c r="DQ520" s="36"/>
      <c r="DR520" s="36"/>
      <c r="DS520" s="36"/>
      <c r="DT520" s="36"/>
      <c r="DU520" s="36"/>
      <c r="DV520" s="36"/>
      <c r="DW520" s="36"/>
      <c r="DX520" s="36"/>
      <c r="DY520" s="36"/>
      <c r="DZ520" s="36"/>
      <c r="EA520" s="36"/>
      <c r="EB520" s="36"/>
      <c r="EC520" s="36"/>
      <c r="ED520" s="36"/>
      <c r="EE520" s="36"/>
      <c r="EF520" s="36"/>
      <c r="EG520" s="36"/>
      <c r="EH520" s="36"/>
      <c r="EI520" s="36"/>
      <c r="EJ520" s="36"/>
      <c r="EK520" s="36"/>
      <c r="EL520" s="36"/>
      <c r="EM520" s="36"/>
      <c r="EN520" s="36"/>
      <c r="EO520" s="36"/>
      <c r="EP520" s="36"/>
      <c r="EQ520" s="36"/>
      <c r="ER520" s="36"/>
      <c r="ES520" s="36"/>
      <c r="ET520" s="36"/>
      <c r="EU520" s="36"/>
      <c r="EV520" s="36"/>
      <c r="EW520" s="36"/>
      <c r="EX520" s="36"/>
      <c r="EY520" s="36"/>
      <c r="EZ520" s="36"/>
      <c r="FA520" s="36"/>
      <c r="FB520" s="36"/>
      <c r="FC520" s="36"/>
      <c r="FD520" s="36"/>
      <c r="FE520" s="36"/>
      <c r="FF520" s="36"/>
      <c r="FG520" s="36"/>
      <c r="FH520" s="36"/>
      <c r="FI520" s="36"/>
      <c r="FJ520" s="36"/>
      <c r="FK520" s="36"/>
      <c r="FL520" s="36"/>
      <c r="FM520" s="36"/>
      <c r="FN520" s="36"/>
      <c r="FO520" s="36"/>
      <c r="FP520" s="36"/>
      <c r="FQ520" s="36"/>
      <c r="FR520" s="36"/>
      <c r="FS520" s="36"/>
      <c r="FT520" s="36"/>
      <c r="FU520" s="36"/>
      <c r="FV520" s="36"/>
      <c r="FW520" s="36"/>
      <c r="FX520" s="36"/>
      <c r="FY520" s="36"/>
      <c r="FZ520" s="36"/>
      <c r="GA520" s="36"/>
      <c r="GB520" s="36"/>
      <c r="GC520" s="36"/>
      <c r="GD520" s="36"/>
      <c r="GE520" s="36"/>
      <c r="GF520" s="36"/>
      <c r="GG520" s="36"/>
      <c r="GH520" s="36"/>
      <c r="GI520" s="36"/>
      <c r="GJ520" s="36"/>
      <c r="GK520" s="36"/>
      <c r="GL520" s="36"/>
      <c r="GM520" s="36"/>
      <c r="GN520" s="36"/>
      <c r="GO520" s="36"/>
      <c r="GP520" s="36"/>
      <c r="GQ520" s="36"/>
      <c r="GR520" s="36"/>
      <c r="GS520" s="36"/>
      <c r="GT520" s="36"/>
      <c r="GU520" s="36"/>
      <c r="GV520" s="36"/>
      <c r="GW520" s="36"/>
      <c r="GX520" s="36"/>
      <c r="GY520" s="36"/>
      <c r="GZ520" s="36"/>
      <c r="HA520" s="36"/>
      <c r="HB520" s="36"/>
      <c r="HC520" s="36"/>
      <c r="HD520" s="36"/>
      <c r="HE520" s="36"/>
      <c r="HF520" s="36"/>
      <c r="HG520" s="36"/>
      <c r="HH520" s="36"/>
      <c r="HI520" s="36"/>
      <c r="HJ520" s="36"/>
      <c r="HK520" s="36"/>
      <c r="HL520" s="36"/>
      <c r="HM520" s="36"/>
      <c r="HN520" s="36"/>
      <c r="HO520" s="36"/>
      <c r="HP520" s="36"/>
      <c r="HQ520" s="36"/>
      <c r="HR520" s="36"/>
      <c r="HS520" s="36"/>
      <c r="HT520" s="36"/>
      <c r="HU520" s="36"/>
      <c r="HV520" s="36"/>
      <c r="HW520" s="36"/>
      <c r="HX520" s="36"/>
      <c r="HY520" s="36"/>
      <c r="HZ520" s="36"/>
      <c r="IA520" s="36"/>
      <c r="IB520" s="36"/>
      <c r="IC520" s="36"/>
      <c r="ID520" s="36"/>
      <c r="IE520" s="36"/>
      <c r="IF520" s="36"/>
      <c r="IG520" s="36"/>
      <c r="IH520" s="36"/>
      <c r="II520" s="36"/>
      <c r="IJ520" s="36"/>
      <c r="IK520" s="36"/>
      <c r="IL520" s="36"/>
      <c r="IM520" s="36"/>
      <c r="IN520" s="36"/>
      <c r="IO520" s="36"/>
      <c r="IP520" s="36"/>
      <c r="IQ520" s="36"/>
      <c r="IR520" s="36"/>
      <c r="IS520" s="36"/>
      <c r="IT520" s="36"/>
      <c r="IU520" s="36"/>
      <c r="IV520" s="36"/>
      <c r="IW520" s="36"/>
      <c r="IX520" s="36"/>
      <c r="IY520" s="36"/>
      <c r="IZ520" s="36"/>
      <c r="JA520" s="36"/>
      <c r="JB520" s="36"/>
      <c r="JC520" s="36"/>
      <c r="JD520" s="36"/>
      <c r="JE520" s="36"/>
      <c r="JF520" s="36"/>
      <c r="JG520" s="36"/>
      <c r="JH520" s="36"/>
      <c r="JI520" s="36"/>
      <c r="JJ520" s="36"/>
      <c r="JK520" s="36"/>
      <c r="JL520" s="36"/>
      <c r="JM520" s="36"/>
      <c r="JN520" s="36"/>
      <c r="JO520" s="36"/>
      <c r="JP520" s="36"/>
      <c r="JQ520" s="36"/>
      <c r="JR520" s="36"/>
      <c r="JS520" s="36"/>
      <c r="JT520" s="36"/>
      <c r="JU520" s="36"/>
      <c r="JV520" s="36"/>
      <c r="JW520" s="36"/>
      <c r="JX520" s="36"/>
      <c r="JY520" s="36"/>
      <c r="JZ520" s="36"/>
      <c r="KA520" s="36"/>
      <c r="KB520" s="36"/>
      <c r="KC520" s="36"/>
      <c r="KD520" s="36"/>
      <c r="KE520" s="36"/>
      <c r="KF520" s="36"/>
      <c r="KG520" s="36"/>
      <c r="KH520" s="36"/>
      <c r="KI520" s="36"/>
      <c r="KJ520" s="36"/>
      <c r="KK520" s="36"/>
      <c r="KL520" s="36"/>
      <c r="KM520" s="36"/>
      <c r="KN520" s="36"/>
      <c r="KO520" s="36"/>
      <c r="KP520" s="36"/>
      <c r="KQ520" s="36"/>
      <c r="KR520" s="36"/>
      <c r="KS520" s="36"/>
      <c r="KT520" s="36"/>
      <c r="KU520" s="36"/>
      <c r="KV520" s="36"/>
      <c r="KW520" s="36"/>
      <c r="KX520" s="36"/>
      <c r="KY520" s="36"/>
      <c r="KZ520" s="36"/>
      <c r="LA520" s="36"/>
      <c r="LB520" s="36"/>
      <c r="LC520" s="36"/>
      <c r="LD520" s="36"/>
      <c r="LE520" s="36"/>
      <c r="LF520" s="36"/>
      <c r="LG520" s="36"/>
      <c r="LH520" s="36"/>
      <c r="LI520" s="36"/>
      <c r="LJ520" s="36"/>
      <c r="LK520" s="36"/>
      <c r="LL520" s="36"/>
      <c r="LM520" s="36"/>
      <c r="LN520" s="36"/>
      <c r="LO520" s="36"/>
      <c r="LP520" s="36"/>
      <c r="LQ520" s="36"/>
      <c r="LR520" s="36"/>
      <c r="LS520" s="36"/>
      <c r="LT520" s="36"/>
      <c r="LU520" s="36"/>
      <c r="LV520" s="36"/>
      <c r="LW520" s="36"/>
      <c r="LX520" s="36"/>
      <c r="LY520" s="36"/>
      <c r="LZ520" s="36"/>
      <c r="MA520" s="36"/>
      <c r="MB520" s="36"/>
      <c r="MC520" s="36"/>
      <c r="MD520" s="36"/>
      <c r="ME520" s="36"/>
      <c r="MF520" s="36"/>
      <c r="MG520" s="36"/>
      <c r="MH520" s="36"/>
      <c r="MI520" s="36"/>
      <c r="MJ520" s="36"/>
      <c r="MK520" s="36"/>
      <c r="ML520" s="36"/>
      <c r="MM520" s="36"/>
      <c r="MN520" s="36"/>
      <c r="MO520" s="36"/>
      <c r="MP520" s="36"/>
      <c r="MQ520" s="36"/>
      <c r="MR520" s="36"/>
      <c r="MS520" s="36"/>
      <c r="MT520" s="36"/>
      <c r="MU520" s="36"/>
      <c r="MV520" s="36"/>
      <c r="MW520" s="36"/>
      <c r="MX520" s="36"/>
      <c r="MY520" s="36"/>
      <c r="MZ520" s="36"/>
      <c r="NA520" s="36"/>
      <c r="NB520" s="36"/>
      <c r="NC520" s="36"/>
      <c r="ND520" s="36"/>
      <c r="NE520" s="36"/>
      <c r="NF520" s="36"/>
      <c r="NG520" s="36"/>
      <c r="NH520" s="36"/>
      <c r="NI520" s="36"/>
      <c r="NJ520" s="36"/>
      <c r="NK520" s="36"/>
      <c r="NL520" s="36"/>
      <c r="NM520" s="36"/>
      <c r="NN520" s="36"/>
      <c r="NO520" s="36"/>
      <c r="NP520" s="36"/>
      <c r="NQ520" s="36"/>
      <c r="NR520" s="36"/>
      <c r="NS520" s="36"/>
      <c r="NT520" s="36"/>
      <c r="NU520" s="36"/>
      <c r="NV520" s="36"/>
      <c r="NW520" s="36"/>
      <c r="NX520" s="36"/>
      <c r="NY520" s="36"/>
      <c r="NZ520" s="36"/>
      <c r="OA520" s="36"/>
      <c r="OB520" s="36"/>
      <c r="OC520" s="36"/>
      <c r="OD520" s="36"/>
      <c r="OE520" s="36"/>
      <c r="OF520" s="36"/>
      <c r="OG520" s="36"/>
      <c r="OH520" s="36"/>
      <c r="OI520" s="36"/>
      <c r="OJ520" s="36"/>
      <c r="OK520" s="36"/>
      <c r="OL520" s="36"/>
      <c r="OM520" s="36"/>
      <c r="ON520" s="36"/>
      <c r="OO520" s="36"/>
      <c r="OP520" s="36"/>
      <c r="OQ520" s="36"/>
      <c r="OR520" s="36"/>
      <c r="OS520" s="36"/>
      <c r="OT520" s="36"/>
      <c r="OU520" s="36"/>
      <c r="OV520" s="36"/>
      <c r="OW520" s="36"/>
      <c r="OX520" s="36"/>
    </row>
    <row r="521" spans="2:414" s="27" customFormat="1" ht="15.6">
      <c r="B521" s="51" t="s">
        <v>898</v>
      </c>
      <c r="C521" s="27" t="s">
        <v>1042</v>
      </c>
      <c r="D521" s="29" t="s">
        <v>405</v>
      </c>
      <c r="G521" s="49">
        <v>80</v>
      </c>
      <c r="H521" s="89">
        <v>26.109000000000002</v>
      </c>
      <c r="I521" s="38">
        <f t="shared" ref="I521:I584" si="165">G521*H521</f>
        <v>2088.7200000000003</v>
      </c>
      <c r="K521" s="49">
        <v>80</v>
      </c>
      <c r="L521" s="90">
        <v>26.849599999999999</v>
      </c>
      <c r="M521" s="38">
        <f t="shared" ref="M521:M584" si="166">K521*L521</f>
        <v>2147.9679999999998</v>
      </c>
      <c r="O521" s="49">
        <v>505</v>
      </c>
      <c r="P521" s="38">
        <v>26.728300000000001</v>
      </c>
      <c r="Q521" s="38">
        <f t="shared" ref="Q521:Q584" si="167">O521*P521</f>
        <v>13497.791500000001</v>
      </c>
      <c r="R521" s="43">
        <f t="shared" si="164"/>
        <v>665</v>
      </c>
      <c r="S521" s="38">
        <f t="shared" ref="S521:S584" si="168">I521+M521+Q521</f>
        <v>17734.479500000001</v>
      </c>
      <c r="T521" s="27">
        <v>240</v>
      </c>
      <c r="U521" s="27">
        <v>26.56</v>
      </c>
      <c r="V521" s="38">
        <f t="shared" si="161"/>
        <v>6374.4</v>
      </c>
      <c r="W521" s="52">
        <v>505</v>
      </c>
      <c r="X521" s="52">
        <v>26.786200000000001</v>
      </c>
      <c r="Y521" s="42">
        <f t="shared" si="159"/>
        <v>13527.031000000001</v>
      </c>
      <c r="AB521" s="42">
        <f t="shared" si="160"/>
        <v>0</v>
      </c>
      <c r="AF521" s="42">
        <f t="shared" si="162"/>
        <v>0</v>
      </c>
      <c r="AU521" s="100"/>
      <c r="AV521" s="35"/>
      <c r="AW521" s="78"/>
      <c r="AZ521" s="42">
        <f t="shared" si="163"/>
        <v>0</v>
      </c>
      <c r="BD521" s="38">
        <f t="shared" ref="BD521:BD584" si="169">BB521*BC521</f>
        <v>0</v>
      </c>
      <c r="BH521" s="38">
        <f t="shared" ref="BH521:BH584" si="170">BF521*BG521</f>
        <v>0</v>
      </c>
      <c r="BL521" s="38">
        <f t="shared" ref="BL521:BL584" si="171">BJ521*BK521</f>
        <v>0</v>
      </c>
      <c r="BR521" s="42">
        <f t="shared" ref="BR521:BR584" si="172">V521+Y521+AB521+AF521+AJ521+AN521+AR521+AV521+AZ521+BD521+BH521+BL521+BP521</f>
        <v>19901.431</v>
      </c>
      <c r="BS521" s="43"/>
      <c r="BT521" s="27">
        <v>2166.9499999999998</v>
      </c>
      <c r="BU521" s="36"/>
      <c r="BV521" s="36"/>
      <c r="BW521" s="36"/>
      <c r="BX521" s="36"/>
      <c r="BY521" s="36"/>
      <c r="BZ521" s="36"/>
      <c r="CA521" s="36"/>
      <c r="CB521" s="36"/>
      <c r="CC521" s="36"/>
      <c r="CD521" s="36"/>
      <c r="CE521" s="36"/>
      <c r="CF521" s="36"/>
      <c r="CG521" s="36"/>
      <c r="CH521" s="36"/>
      <c r="CI521" s="36"/>
      <c r="CJ521" s="36"/>
      <c r="CK521" s="36"/>
      <c r="CL521" s="36"/>
      <c r="CM521" s="36"/>
      <c r="CN521" s="36"/>
      <c r="CO521" s="36"/>
      <c r="CP521" s="36"/>
      <c r="CQ521" s="36"/>
      <c r="CR521" s="36"/>
      <c r="CS521" s="36"/>
      <c r="CT521" s="36"/>
      <c r="CU521" s="36"/>
      <c r="CV521" s="36"/>
      <c r="CW521" s="36"/>
      <c r="CX521" s="36"/>
      <c r="CY521" s="36"/>
      <c r="CZ521" s="36"/>
      <c r="DA521" s="36"/>
      <c r="DB521" s="36"/>
      <c r="DC521" s="36"/>
      <c r="DD521" s="36"/>
      <c r="DE521" s="36"/>
      <c r="DF521" s="36"/>
      <c r="DG521" s="36"/>
      <c r="DH521" s="36"/>
      <c r="DI521" s="36"/>
      <c r="DJ521" s="36"/>
      <c r="DK521" s="36"/>
      <c r="DL521" s="36"/>
      <c r="DM521" s="36"/>
      <c r="DN521" s="36"/>
      <c r="DO521" s="36"/>
      <c r="DP521" s="36"/>
      <c r="DQ521" s="36"/>
      <c r="DR521" s="36"/>
      <c r="DS521" s="36"/>
      <c r="DT521" s="36"/>
      <c r="DU521" s="36"/>
      <c r="DV521" s="36"/>
      <c r="DW521" s="36"/>
      <c r="DX521" s="36"/>
      <c r="DY521" s="36"/>
      <c r="DZ521" s="36"/>
      <c r="EA521" s="36"/>
      <c r="EB521" s="36"/>
      <c r="EC521" s="36"/>
      <c r="ED521" s="36"/>
      <c r="EE521" s="36"/>
      <c r="EF521" s="36"/>
      <c r="EG521" s="36"/>
      <c r="EH521" s="36"/>
      <c r="EI521" s="36"/>
      <c r="EJ521" s="36"/>
      <c r="EK521" s="36"/>
      <c r="EL521" s="36"/>
      <c r="EM521" s="36"/>
      <c r="EN521" s="36"/>
      <c r="EO521" s="36"/>
      <c r="EP521" s="36"/>
      <c r="EQ521" s="36"/>
      <c r="ER521" s="36"/>
      <c r="ES521" s="36"/>
      <c r="ET521" s="36"/>
      <c r="EU521" s="36"/>
      <c r="EV521" s="36"/>
      <c r="EW521" s="36"/>
      <c r="EX521" s="36"/>
      <c r="EY521" s="36"/>
      <c r="EZ521" s="36"/>
      <c r="FA521" s="36"/>
      <c r="FB521" s="36"/>
      <c r="FC521" s="36"/>
      <c r="FD521" s="36"/>
      <c r="FE521" s="36"/>
      <c r="FF521" s="36"/>
      <c r="FG521" s="36"/>
      <c r="FH521" s="36"/>
      <c r="FI521" s="36"/>
      <c r="FJ521" s="36"/>
      <c r="FK521" s="36"/>
      <c r="FL521" s="36"/>
      <c r="FM521" s="36"/>
      <c r="FN521" s="36"/>
      <c r="FO521" s="36"/>
      <c r="FP521" s="36"/>
      <c r="FQ521" s="36"/>
      <c r="FR521" s="36"/>
      <c r="FS521" s="36"/>
      <c r="FT521" s="36"/>
      <c r="FU521" s="36"/>
      <c r="FV521" s="36"/>
      <c r="FW521" s="36"/>
      <c r="FX521" s="36"/>
      <c r="FY521" s="36"/>
      <c r="FZ521" s="36"/>
      <c r="GA521" s="36"/>
      <c r="GB521" s="36"/>
      <c r="GC521" s="36"/>
      <c r="GD521" s="36"/>
      <c r="GE521" s="36"/>
      <c r="GF521" s="36"/>
      <c r="GG521" s="36"/>
      <c r="GH521" s="36"/>
      <c r="GI521" s="36"/>
      <c r="GJ521" s="36"/>
      <c r="GK521" s="36"/>
      <c r="GL521" s="36"/>
      <c r="GM521" s="36"/>
      <c r="GN521" s="36"/>
      <c r="GO521" s="36"/>
      <c r="GP521" s="36"/>
      <c r="GQ521" s="36"/>
      <c r="GR521" s="36"/>
      <c r="GS521" s="36"/>
      <c r="GT521" s="36"/>
      <c r="GU521" s="36"/>
      <c r="GV521" s="36"/>
      <c r="GW521" s="36"/>
      <c r="GX521" s="36"/>
      <c r="GY521" s="36"/>
      <c r="GZ521" s="36"/>
      <c r="HA521" s="36"/>
      <c r="HB521" s="36"/>
      <c r="HC521" s="36"/>
      <c r="HD521" s="36"/>
      <c r="HE521" s="36"/>
      <c r="HF521" s="36"/>
      <c r="HG521" s="36"/>
      <c r="HH521" s="36"/>
      <c r="HI521" s="36"/>
      <c r="HJ521" s="36"/>
      <c r="HK521" s="36"/>
      <c r="HL521" s="36"/>
      <c r="HM521" s="36"/>
      <c r="HN521" s="36"/>
      <c r="HO521" s="36"/>
      <c r="HP521" s="36"/>
      <c r="HQ521" s="36"/>
      <c r="HR521" s="36"/>
      <c r="HS521" s="36"/>
      <c r="HT521" s="36"/>
      <c r="HU521" s="36"/>
      <c r="HV521" s="36"/>
      <c r="HW521" s="36"/>
      <c r="HX521" s="36"/>
      <c r="HY521" s="36"/>
      <c r="HZ521" s="36"/>
      <c r="IA521" s="36"/>
      <c r="IB521" s="36"/>
      <c r="IC521" s="36"/>
      <c r="ID521" s="36"/>
      <c r="IE521" s="36"/>
      <c r="IF521" s="36"/>
      <c r="IG521" s="36"/>
      <c r="IH521" s="36"/>
      <c r="II521" s="36"/>
      <c r="IJ521" s="36"/>
      <c r="IK521" s="36"/>
      <c r="IL521" s="36"/>
      <c r="IM521" s="36"/>
      <c r="IN521" s="36"/>
      <c r="IO521" s="36"/>
      <c r="IP521" s="36"/>
      <c r="IQ521" s="36"/>
      <c r="IR521" s="36"/>
      <c r="IS521" s="36"/>
      <c r="IT521" s="36"/>
      <c r="IU521" s="36"/>
      <c r="IV521" s="36"/>
      <c r="IW521" s="36"/>
      <c r="IX521" s="36"/>
      <c r="IY521" s="36"/>
      <c r="IZ521" s="36"/>
      <c r="JA521" s="36"/>
      <c r="JB521" s="36"/>
      <c r="JC521" s="36"/>
      <c r="JD521" s="36"/>
      <c r="JE521" s="36"/>
      <c r="JF521" s="36"/>
      <c r="JG521" s="36"/>
      <c r="JH521" s="36"/>
      <c r="JI521" s="36"/>
      <c r="JJ521" s="36"/>
      <c r="JK521" s="36"/>
      <c r="JL521" s="36"/>
      <c r="JM521" s="36"/>
      <c r="JN521" s="36"/>
      <c r="JO521" s="36"/>
      <c r="JP521" s="36"/>
      <c r="JQ521" s="36"/>
      <c r="JR521" s="36"/>
      <c r="JS521" s="36"/>
      <c r="JT521" s="36"/>
      <c r="JU521" s="36"/>
      <c r="JV521" s="36"/>
      <c r="JW521" s="36"/>
      <c r="JX521" s="36"/>
      <c r="JY521" s="36"/>
      <c r="JZ521" s="36"/>
      <c r="KA521" s="36"/>
      <c r="KB521" s="36"/>
      <c r="KC521" s="36"/>
      <c r="KD521" s="36"/>
      <c r="KE521" s="36"/>
      <c r="KF521" s="36"/>
      <c r="KG521" s="36"/>
      <c r="KH521" s="36"/>
      <c r="KI521" s="36"/>
      <c r="KJ521" s="36"/>
      <c r="KK521" s="36"/>
      <c r="KL521" s="36"/>
      <c r="KM521" s="36"/>
      <c r="KN521" s="36"/>
      <c r="KO521" s="36"/>
      <c r="KP521" s="36"/>
      <c r="KQ521" s="36"/>
      <c r="KR521" s="36"/>
      <c r="KS521" s="36"/>
      <c r="KT521" s="36"/>
      <c r="KU521" s="36"/>
      <c r="KV521" s="36"/>
      <c r="KW521" s="36"/>
      <c r="KX521" s="36"/>
      <c r="KY521" s="36"/>
      <c r="KZ521" s="36"/>
      <c r="LA521" s="36"/>
      <c r="LB521" s="36"/>
      <c r="LC521" s="36"/>
      <c r="LD521" s="36"/>
      <c r="LE521" s="36"/>
      <c r="LF521" s="36"/>
      <c r="LG521" s="36"/>
      <c r="LH521" s="36"/>
      <c r="LI521" s="36"/>
      <c r="LJ521" s="36"/>
      <c r="LK521" s="36"/>
      <c r="LL521" s="36"/>
      <c r="LM521" s="36"/>
      <c r="LN521" s="36"/>
      <c r="LO521" s="36"/>
      <c r="LP521" s="36"/>
      <c r="LQ521" s="36"/>
      <c r="LR521" s="36"/>
      <c r="LS521" s="36"/>
      <c r="LT521" s="36"/>
      <c r="LU521" s="36"/>
      <c r="LV521" s="36"/>
      <c r="LW521" s="36"/>
      <c r="LX521" s="36"/>
      <c r="LY521" s="36"/>
      <c r="LZ521" s="36"/>
      <c r="MA521" s="36"/>
      <c r="MB521" s="36"/>
      <c r="MC521" s="36"/>
      <c r="MD521" s="36"/>
      <c r="ME521" s="36"/>
      <c r="MF521" s="36"/>
      <c r="MG521" s="36"/>
      <c r="MH521" s="36"/>
      <c r="MI521" s="36"/>
      <c r="MJ521" s="36"/>
      <c r="MK521" s="36"/>
      <c r="ML521" s="36"/>
      <c r="MM521" s="36"/>
      <c r="MN521" s="36"/>
      <c r="MO521" s="36"/>
      <c r="MP521" s="36"/>
      <c r="MQ521" s="36"/>
      <c r="MR521" s="36"/>
      <c r="MS521" s="36"/>
      <c r="MT521" s="36"/>
      <c r="MU521" s="36"/>
      <c r="MV521" s="36"/>
      <c r="MW521" s="36"/>
      <c r="MX521" s="36"/>
      <c r="MY521" s="36"/>
      <c r="MZ521" s="36"/>
      <c r="NA521" s="36"/>
      <c r="NB521" s="36"/>
      <c r="NC521" s="36"/>
      <c r="ND521" s="36"/>
      <c r="NE521" s="36"/>
      <c r="NF521" s="36"/>
      <c r="NG521" s="36"/>
      <c r="NH521" s="36"/>
      <c r="NI521" s="36"/>
      <c r="NJ521" s="36"/>
      <c r="NK521" s="36"/>
      <c r="NL521" s="36"/>
      <c r="NM521" s="36"/>
      <c r="NN521" s="36"/>
      <c r="NO521" s="36"/>
      <c r="NP521" s="36"/>
      <c r="NQ521" s="36"/>
      <c r="NR521" s="36"/>
      <c r="NS521" s="36"/>
      <c r="NT521" s="36"/>
      <c r="NU521" s="36"/>
      <c r="NV521" s="36"/>
      <c r="NW521" s="36"/>
      <c r="NX521" s="36"/>
      <c r="NY521" s="36"/>
      <c r="NZ521" s="36"/>
      <c r="OA521" s="36"/>
      <c r="OB521" s="36"/>
      <c r="OC521" s="36"/>
      <c r="OD521" s="36"/>
      <c r="OE521" s="36"/>
      <c r="OF521" s="36"/>
      <c r="OG521" s="36"/>
      <c r="OH521" s="36"/>
      <c r="OI521" s="36"/>
      <c r="OJ521" s="36"/>
      <c r="OK521" s="36"/>
      <c r="OL521" s="36"/>
      <c r="OM521" s="36"/>
      <c r="ON521" s="36"/>
      <c r="OO521" s="36"/>
      <c r="OP521" s="36"/>
      <c r="OQ521" s="36"/>
      <c r="OR521" s="36"/>
      <c r="OS521" s="36"/>
      <c r="OT521" s="36"/>
      <c r="OU521" s="36"/>
      <c r="OV521" s="36"/>
      <c r="OW521" s="36"/>
      <c r="OX521" s="36"/>
    </row>
    <row r="522" spans="2:414" s="27" customFormat="1" ht="15.6">
      <c r="B522" s="51" t="s">
        <v>817</v>
      </c>
      <c r="C522" s="27" t="s">
        <v>148</v>
      </c>
      <c r="D522" s="29" t="s">
        <v>405</v>
      </c>
      <c r="G522" s="49">
        <v>80</v>
      </c>
      <c r="H522" s="89">
        <v>26.109000000000002</v>
      </c>
      <c r="I522" s="38">
        <f t="shared" si="165"/>
        <v>2088.7200000000003</v>
      </c>
      <c r="K522" s="49">
        <v>80</v>
      </c>
      <c r="L522" s="90">
        <v>26.849599999999999</v>
      </c>
      <c r="M522" s="38">
        <f t="shared" si="166"/>
        <v>2147.9679999999998</v>
      </c>
      <c r="O522" s="49">
        <v>505</v>
      </c>
      <c r="P522" s="38">
        <v>26.728300000000001</v>
      </c>
      <c r="Q522" s="38">
        <f t="shared" si="167"/>
        <v>13497.791500000001</v>
      </c>
      <c r="R522" s="43">
        <f t="shared" si="164"/>
        <v>665</v>
      </c>
      <c r="S522" s="38">
        <f t="shared" si="168"/>
        <v>17734.479500000001</v>
      </c>
      <c r="T522" s="52">
        <v>240</v>
      </c>
      <c r="U522" s="52">
        <v>26.56</v>
      </c>
      <c r="V522" s="38">
        <f t="shared" si="161"/>
        <v>6374.4</v>
      </c>
      <c r="Y522" s="42">
        <f t="shared" si="159"/>
        <v>0</v>
      </c>
      <c r="AB522" s="42">
        <f t="shared" si="160"/>
        <v>0</v>
      </c>
      <c r="AF522" s="42">
        <f t="shared" si="162"/>
        <v>0</v>
      </c>
      <c r="AU522" s="100"/>
      <c r="AV522" s="35"/>
      <c r="AW522" s="78"/>
      <c r="AZ522" s="42">
        <f t="shared" si="163"/>
        <v>0</v>
      </c>
      <c r="BD522" s="38">
        <f t="shared" si="169"/>
        <v>0</v>
      </c>
      <c r="BH522" s="38">
        <f t="shared" si="170"/>
        <v>0</v>
      </c>
      <c r="BL522" s="38">
        <f t="shared" si="171"/>
        <v>0</v>
      </c>
      <c r="BR522" s="42">
        <f t="shared" si="172"/>
        <v>6374.4</v>
      </c>
      <c r="BS522" s="43">
        <f t="shared" ref="BS522:BS583" si="173">S522-BR522</f>
        <v>11360.079500000002</v>
      </c>
      <c r="BU522" s="36"/>
      <c r="BV522" s="36"/>
      <c r="BW522" s="36"/>
      <c r="BX522" s="36"/>
      <c r="BY522" s="36"/>
      <c r="BZ522" s="36"/>
      <c r="CA522" s="36"/>
      <c r="CB522" s="36"/>
      <c r="CC522" s="36"/>
      <c r="CD522" s="36"/>
      <c r="CE522" s="36"/>
      <c r="CF522" s="36"/>
      <c r="CG522" s="36"/>
      <c r="CH522" s="36"/>
      <c r="CI522" s="36"/>
      <c r="CJ522" s="36"/>
      <c r="CK522" s="36"/>
      <c r="CL522" s="36"/>
      <c r="CM522" s="36"/>
      <c r="CN522" s="36"/>
      <c r="CO522" s="36"/>
      <c r="CP522" s="36"/>
      <c r="CQ522" s="36"/>
      <c r="CR522" s="36"/>
      <c r="CS522" s="36"/>
      <c r="CT522" s="36"/>
      <c r="CU522" s="36"/>
      <c r="CV522" s="36"/>
      <c r="CW522" s="36"/>
      <c r="CX522" s="36"/>
      <c r="CY522" s="36"/>
      <c r="CZ522" s="36"/>
      <c r="DA522" s="36"/>
      <c r="DB522" s="36"/>
      <c r="DC522" s="36"/>
      <c r="DD522" s="36"/>
      <c r="DE522" s="36"/>
      <c r="DF522" s="36"/>
      <c r="DG522" s="36"/>
      <c r="DH522" s="36"/>
      <c r="DI522" s="36"/>
      <c r="DJ522" s="36"/>
      <c r="DK522" s="36"/>
      <c r="DL522" s="36"/>
      <c r="DM522" s="36"/>
      <c r="DN522" s="36"/>
      <c r="DO522" s="36"/>
      <c r="DP522" s="36"/>
      <c r="DQ522" s="36"/>
      <c r="DR522" s="36"/>
      <c r="DS522" s="36"/>
      <c r="DT522" s="36"/>
      <c r="DU522" s="36"/>
      <c r="DV522" s="36"/>
      <c r="DW522" s="36"/>
      <c r="DX522" s="36"/>
      <c r="DY522" s="36"/>
      <c r="DZ522" s="36"/>
      <c r="EA522" s="36"/>
      <c r="EB522" s="36"/>
      <c r="EC522" s="36"/>
      <c r="ED522" s="36"/>
      <c r="EE522" s="36"/>
      <c r="EF522" s="36"/>
      <c r="EG522" s="36"/>
      <c r="EH522" s="36"/>
      <c r="EI522" s="36"/>
      <c r="EJ522" s="36"/>
      <c r="EK522" s="36"/>
      <c r="EL522" s="36"/>
      <c r="EM522" s="36"/>
      <c r="EN522" s="36"/>
      <c r="EO522" s="36"/>
      <c r="EP522" s="36"/>
      <c r="EQ522" s="36"/>
      <c r="ER522" s="36"/>
      <c r="ES522" s="36"/>
      <c r="ET522" s="36"/>
      <c r="EU522" s="36"/>
      <c r="EV522" s="36"/>
      <c r="EW522" s="36"/>
      <c r="EX522" s="36"/>
      <c r="EY522" s="36"/>
      <c r="EZ522" s="36"/>
      <c r="FA522" s="36"/>
      <c r="FB522" s="36"/>
      <c r="FC522" s="36"/>
      <c r="FD522" s="36"/>
      <c r="FE522" s="36"/>
      <c r="FF522" s="36"/>
      <c r="FG522" s="36"/>
      <c r="FH522" s="36"/>
      <c r="FI522" s="36"/>
      <c r="FJ522" s="36"/>
      <c r="FK522" s="36"/>
      <c r="FL522" s="36"/>
      <c r="FM522" s="36"/>
      <c r="FN522" s="36"/>
      <c r="FO522" s="36"/>
      <c r="FP522" s="36"/>
      <c r="FQ522" s="36"/>
      <c r="FR522" s="36"/>
      <c r="FS522" s="36"/>
      <c r="FT522" s="36"/>
      <c r="FU522" s="36"/>
      <c r="FV522" s="36"/>
      <c r="FW522" s="36"/>
      <c r="FX522" s="36"/>
      <c r="FY522" s="36"/>
      <c r="FZ522" s="36"/>
      <c r="GA522" s="36"/>
      <c r="GB522" s="36"/>
      <c r="GC522" s="36"/>
      <c r="GD522" s="36"/>
      <c r="GE522" s="36"/>
      <c r="GF522" s="36"/>
      <c r="GG522" s="36"/>
      <c r="GH522" s="36"/>
      <c r="GI522" s="36"/>
      <c r="GJ522" s="36"/>
      <c r="GK522" s="36"/>
      <c r="GL522" s="36"/>
      <c r="GM522" s="36"/>
      <c r="GN522" s="36"/>
      <c r="GO522" s="36"/>
      <c r="GP522" s="36"/>
      <c r="GQ522" s="36"/>
      <c r="GR522" s="36"/>
      <c r="GS522" s="36"/>
      <c r="GT522" s="36"/>
      <c r="GU522" s="36"/>
      <c r="GV522" s="36"/>
      <c r="GW522" s="36"/>
      <c r="GX522" s="36"/>
      <c r="GY522" s="36"/>
      <c r="GZ522" s="36"/>
      <c r="HA522" s="36"/>
      <c r="HB522" s="36"/>
      <c r="HC522" s="36"/>
      <c r="HD522" s="36"/>
      <c r="HE522" s="36"/>
      <c r="HF522" s="36"/>
      <c r="HG522" s="36"/>
      <c r="HH522" s="36"/>
      <c r="HI522" s="36"/>
      <c r="HJ522" s="36"/>
      <c r="HK522" s="36"/>
      <c r="HL522" s="36"/>
      <c r="HM522" s="36"/>
      <c r="HN522" s="36"/>
      <c r="HO522" s="36"/>
      <c r="HP522" s="36"/>
      <c r="HQ522" s="36"/>
      <c r="HR522" s="36"/>
      <c r="HS522" s="36"/>
      <c r="HT522" s="36"/>
      <c r="HU522" s="36"/>
      <c r="HV522" s="36"/>
      <c r="HW522" s="36"/>
      <c r="HX522" s="36"/>
      <c r="HY522" s="36"/>
      <c r="HZ522" s="36"/>
      <c r="IA522" s="36"/>
      <c r="IB522" s="36"/>
      <c r="IC522" s="36"/>
      <c r="ID522" s="36"/>
      <c r="IE522" s="36"/>
      <c r="IF522" s="36"/>
      <c r="IG522" s="36"/>
      <c r="IH522" s="36"/>
      <c r="II522" s="36"/>
      <c r="IJ522" s="36"/>
      <c r="IK522" s="36"/>
      <c r="IL522" s="36"/>
      <c r="IM522" s="36"/>
      <c r="IN522" s="36"/>
      <c r="IO522" s="36"/>
      <c r="IP522" s="36"/>
      <c r="IQ522" s="36"/>
      <c r="IR522" s="36"/>
      <c r="IS522" s="36"/>
      <c r="IT522" s="36"/>
      <c r="IU522" s="36"/>
      <c r="IV522" s="36"/>
      <c r="IW522" s="36"/>
      <c r="IX522" s="36"/>
      <c r="IY522" s="36"/>
      <c r="IZ522" s="36"/>
      <c r="JA522" s="36"/>
      <c r="JB522" s="36"/>
      <c r="JC522" s="36"/>
      <c r="JD522" s="36"/>
      <c r="JE522" s="36"/>
      <c r="JF522" s="36"/>
      <c r="JG522" s="36"/>
      <c r="JH522" s="36"/>
      <c r="JI522" s="36"/>
      <c r="JJ522" s="36"/>
      <c r="JK522" s="36"/>
      <c r="JL522" s="36"/>
      <c r="JM522" s="36"/>
      <c r="JN522" s="36"/>
      <c r="JO522" s="36"/>
      <c r="JP522" s="36"/>
      <c r="JQ522" s="36"/>
      <c r="JR522" s="36"/>
      <c r="JS522" s="36"/>
      <c r="JT522" s="36"/>
      <c r="JU522" s="36"/>
      <c r="JV522" s="36"/>
      <c r="JW522" s="36"/>
      <c r="JX522" s="36"/>
      <c r="JY522" s="36"/>
      <c r="JZ522" s="36"/>
      <c r="KA522" s="36"/>
      <c r="KB522" s="36"/>
      <c r="KC522" s="36"/>
      <c r="KD522" s="36"/>
      <c r="KE522" s="36"/>
      <c r="KF522" s="36"/>
      <c r="KG522" s="36"/>
      <c r="KH522" s="36"/>
      <c r="KI522" s="36"/>
      <c r="KJ522" s="36"/>
      <c r="KK522" s="36"/>
      <c r="KL522" s="36"/>
      <c r="KM522" s="36"/>
      <c r="KN522" s="36"/>
      <c r="KO522" s="36"/>
      <c r="KP522" s="36"/>
      <c r="KQ522" s="36"/>
      <c r="KR522" s="36"/>
      <c r="KS522" s="36"/>
      <c r="KT522" s="36"/>
      <c r="KU522" s="36"/>
      <c r="KV522" s="36"/>
      <c r="KW522" s="36"/>
      <c r="KX522" s="36"/>
      <c r="KY522" s="36"/>
      <c r="KZ522" s="36"/>
      <c r="LA522" s="36"/>
      <c r="LB522" s="36"/>
      <c r="LC522" s="36"/>
      <c r="LD522" s="36"/>
      <c r="LE522" s="36"/>
      <c r="LF522" s="36"/>
      <c r="LG522" s="36"/>
      <c r="LH522" s="36"/>
      <c r="LI522" s="36"/>
      <c r="LJ522" s="36"/>
      <c r="LK522" s="36"/>
      <c r="LL522" s="36"/>
      <c r="LM522" s="36"/>
      <c r="LN522" s="36"/>
      <c r="LO522" s="36"/>
      <c r="LP522" s="36"/>
      <c r="LQ522" s="36"/>
      <c r="LR522" s="36"/>
      <c r="LS522" s="36"/>
      <c r="LT522" s="36"/>
      <c r="LU522" s="36"/>
      <c r="LV522" s="36"/>
      <c r="LW522" s="36"/>
      <c r="LX522" s="36"/>
      <c r="LY522" s="36"/>
      <c r="LZ522" s="36"/>
      <c r="MA522" s="36"/>
      <c r="MB522" s="36"/>
      <c r="MC522" s="36"/>
      <c r="MD522" s="36"/>
      <c r="ME522" s="36"/>
      <c r="MF522" s="36"/>
      <c r="MG522" s="36"/>
      <c r="MH522" s="36"/>
      <c r="MI522" s="36"/>
      <c r="MJ522" s="36"/>
      <c r="MK522" s="36"/>
      <c r="ML522" s="36"/>
      <c r="MM522" s="36"/>
      <c r="MN522" s="36"/>
      <c r="MO522" s="36"/>
      <c r="MP522" s="36"/>
      <c r="MQ522" s="36"/>
      <c r="MR522" s="36"/>
      <c r="MS522" s="36"/>
      <c r="MT522" s="36"/>
      <c r="MU522" s="36"/>
      <c r="MV522" s="36"/>
      <c r="MW522" s="36"/>
      <c r="MX522" s="36"/>
      <c r="MY522" s="36"/>
      <c r="MZ522" s="36"/>
      <c r="NA522" s="36"/>
      <c r="NB522" s="36"/>
      <c r="NC522" s="36"/>
      <c r="ND522" s="36"/>
      <c r="NE522" s="36"/>
      <c r="NF522" s="36"/>
      <c r="NG522" s="36"/>
      <c r="NH522" s="36"/>
      <c r="NI522" s="36"/>
      <c r="NJ522" s="36"/>
      <c r="NK522" s="36"/>
      <c r="NL522" s="36"/>
      <c r="NM522" s="36"/>
      <c r="NN522" s="36"/>
      <c r="NO522" s="36"/>
      <c r="NP522" s="36"/>
      <c r="NQ522" s="36"/>
      <c r="NR522" s="36"/>
      <c r="NS522" s="36"/>
      <c r="NT522" s="36"/>
      <c r="NU522" s="36"/>
      <c r="NV522" s="36"/>
      <c r="NW522" s="36"/>
      <c r="NX522" s="36"/>
      <c r="NY522" s="36"/>
      <c r="NZ522" s="36"/>
      <c r="OA522" s="36"/>
      <c r="OB522" s="36"/>
      <c r="OC522" s="36"/>
      <c r="OD522" s="36"/>
      <c r="OE522" s="36"/>
      <c r="OF522" s="36"/>
      <c r="OG522" s="36"/>
      <c r="OH522" s="36"/>
      <c r="OI522" s="36"/>
      <c r="OJ522" s="36"/>
      <c r="OK522" s="36"/>
      <c r="OL522" s="36"/>
      <c r="OM522" s="36"/>
      <c r="ON522" s="36"/>
      <c r="OO522" s="36"/>
      <c r="OP522" s="36"/>
      <c r="OQ522" s="36"/>
      <c r="OR522" s="36"/>
      <c r="OS522" s="36"/>
      <c r="OT522" s="36"/>
      <c r="OU522" s="36"/>
      <c r="OV522" s="36"/>
      <c r="OW522" s="36"/>
      <c r="OX522" s="36"/>
    </row>
    <row r="523" spans="2:414" s="27" customFormat="1" ht="15.6">
      <c r="B523" s="51" t="s">
        <v>1043</v>
      </c>
      <c r="C523" s="27" t="s">
        <v>138</v>
      </c>
      <c r="D523" s="29" t="s">
        <v>405</v>
      </c>
      <c r="G523" s="49">
        <v>80</v>
      </c>
      <c r="H523" s="89">
        <v>26.109000000000002</v>
      </c>
      <c r="I523" s="38">
        <f t="shared" si="165"/>
        <v>2088.7200000000003</v>
      </c>
      <c r="K523" s="49">
        <v>80</v>
      </c>
      <c r="L523" s="90">
        <v>26.849599999999999</v>
      </c>
      <c r="M523" s="38">
        <f t="shared" si="166"/>
        <v>2147.9679999999998</v>
      </c>
      <c r="O523" s="49">
        <v>505</v>
      </c>
      <c r="P523" s="38">
        <v>26.728300000000001</v>
      </c>
      <c r="Q523" s="38">
        <f t="shared" si="167"/>
        <v>13497.791500000001</v>
      </c>
      <c r="R523" s="43">
        <f t="shared" si="164"/>
        <v>665</v>
      </c>
      <c r="S523" s="38">
        <f t="shared" si="168"/>
        <v>17734.479500000001</v>
      </c>
      <c r="T523" s="27">
        <v>240</v>
      </c>
      <c r="U523" s="27">
        <v>26.56</v>
      </c>
      <c r="V523" s="38">
        <f t="shared" si="161"/>
        <v>6374.4</v>
      </c>
      <c r="W523" s="52">
        <v>505</v>
      </c>
      <c r="X523" s="52">
        <v>26.79</v>
      </c>
      <c r="Y523" s="42">
        <f t="shared" si="159"/>
        <v>13528.949999999999</v>
      </c>
      <c r="AB523" s="42">
        <f t="shared" si="160"/>
        <v>0</v>
      </c>
      <c r="AF523" s="42">
        <f t="shared" si="162"/>
        <v>0</v>
      </c>
      <c r="AU523" s="100"/>
      <c r="AV523" s="35"/>
      <c r="AW523" s="78"/>
      <c r="AZ523" s="42">
        <f t="shared" si="163"/>
        <v>0</v>
      </c>
      <c r="BD523" s="38">
        <f t="shared" si="169"/>
        <v>0</v>
      </c>
      <c r="BH523" s="38">
        <f t="shared" si="170"/>
        <v>0</v>
      </c>
      <c r="BL523" s="38">
        <f t="shared" si="171"/>
        <v>0</v>
      </c>
      <c r="BR523" s="42">
        <f t="shared" si="172"/>
        <v>19903.349999999999</v>
      </c>
      <c r="BS523" s="43"/>
      <c r="BT523" s="27">
        <v>2168.87</v>
      </c>
      <c r="BU523" s="36"/>
      <c r="BV523" s="36"/>
      <c r="BW523" s="36"/>
      <c r="BX523" s="36"/>
      <c r="BY523" s="36"/>
      <c r="BZ523" s="36"/>
      <c r="CA523" s="36"/>
      <c r="CB523" s="36"/>
      <c r="CC523" s="36"/>
      <c r="CD523" s="36"/>
      <c r="CE523" s="36"/>
      <c r="CF523" s="36"/>
      <c r="CG523" s="36"/>
      <c r="CH523" s="36"/>
      <c r="CI523" s="36"/>
      <c r="CJ523" s="36"/>
      <c r="CK523" s="36"/>
      <c r="CL523" s="36"/>
      <c r="CM523" s="36"/>
      <c r="CN523" s="36"/>
      <c r="CO523" s="36"/>
      <c r="CP523" s="36"/>
      <c r="CQ523" s="36"/>
      <c r="CR523" s="36"/>
      <c r="CS523" s="36"/>
      <c r="CT523" s="36"/>
      <c r="CU523" s="36"/>
      <c r="CV523" s="36"/>
      <c r="CW523" s="36"/>
      <c r="CX523" s="36"/>
      <c r="CY523" s="36"/>
      <c r="CZ523" s="36"/>
      <c r="DA523" s="36"/>
      <c r="DB523" s="36"/>
      <c r="DC523" s="36"/>
      <c r="DD523" s="36"/>
      <c r="DE523" s="36"/>
      <c r="DF523" s="36"/>
      <c r="DG523" s="36"/>
      <c r="DH523" s="36"/>
      <c r="DI523" s="36"/>
      <c r="DJ523" s="36"/>
      <c r="DK523" s="36"/>
      <c r="DL523" s="36"/>
      <c r="DM523" s="36"/>
      <c r="DN523" s="36"/>
      <c r="DO523" s="36"/>
      <c r="DP523" s="36"/>
      <c r="DQ523" s="36"/>
      <c r="DR523" s="36"/>
      <c r="DS523" s="36"/>
      <c r="DT523" s="36"/>
      <c r="DU523" s="36"/>
      <c r="DV523" s="36"/>
      <c r="DW523" s="36"/>
      <c r="DX523" s="36"/>
      <c r="DY523" s="36"/>
      <c r="DZ523" s="36"/>
      <c r="EA523" s="36"/>
      <c r="EB523" s="36"/>
      <c r="EC523" s="36"/>
      <c r="ED523" s="36"/>
      <c r="EE523" s="36"/>
      <c r="EF523" s="36"/>
      <c r="EG523" s="36"/>
      <c r="EH523" s="36"/>
      <c r="EI523" s="36"/>
      <c r="EJ523" s="36"/>
      <c r="EK523" s="36"/>
      <c r="EL523" s="36"/>
      <c r="EM523" s="36"/>
      <c r="EN523" s="36"/>
      <c r="EO523" s="36"/>
      <c r="EP523" s="36"/>
      <c r="EQ523" s="36"/>
      <c r="ER523" s="36"/>
      <c r="ES523" s="36"/>
      <c r="ET523" s="36"/>
      <c r="EU523" s="36"/>
      <c r="EV523" s="36"/>
      <c r="EW523" s="36"/>
      <c r="EX523" s="36"/>
      <c r="EY523" s="36"/>
      <c r="EZ523" s="36"/>
      <c r="FA523" s="36"/>
      <c r="FB523" s="36"/>
      <c r="FC523" s="36"/>
      <c r="FD523" s="36"/>
      <c r="FE523" s="36"/>
      <c r="FF523" s="36"/>
      <c r="FG523" s="36"/>
      <c r="FH523" s="36"/>
      <c r="FI523" s="36"/>
      <c r="FJ523" s="36"/>
      <c r="FK523" s="36"/>
      <c r="FL523" s="36"/>
      <c r="FM523" s="36"/>
      <c r="FN523" s="36"/>
      <c r="FO523" s="36"/>
      <c r="FP523" s="36"/>
      <c r="FQ523" s="36"/>
      <c r="FR523" s="36"/>
      <c r="FS523" s="36"/>
      <c r="FT523" s="36"/>
      <c r="FU523" s="36"/>
      <c r="FV523" s="36"/>
      <c r="FW523" s="36"/>
      <c r="FX523" s="36"/>
      <c r="FY523" s="36"/>
      <c r="FZ523" s="36"/>
      <c r="GA523" s="36"/>
      <c r="GB523" s="36"/>
      <c r="GC523" s="36"/>
      <c r="GD523" s="36"/>
      <c r="GE523" s="36"/>
      <c r="GF523" s="36"/>
      <c r="GG523" s="36"/>
      <c r="GH523" s="36"/>
      <c r="GI523" s="36"/>
      <c r="GJ523" s="36"/>
      <c r="GK523" s="36"/>
      <c r="GL523" s="36"/>
      <c r="GM523" s="36"/>
      <c r="GN523" s="36"/>
      <c r="GO523" s="36"/>
      <c r="GP523" s="36"/>
      <c r="GQ523" s="36"/>
      <c r="GR523" s="36"/>
      <c r="GS523" s="36"/>
      <c r="GT523" s="36"/>
      <c r="GU523" s="36"/>
      <c r="GV523" s="36"/>
      <c r="GW523" s="36"/>
      <c r="GX523" s="36"/>
      <c r="GY523" s="36"/>
      <c r="GZ523" s="36"/>
      <c r="HA523" s="36"/>
      <c r="HB523" s="36"/>
      <c r="HC523" s="36"/>
      <c r="HD523" s="36"/>
      <c r="HE523" s="36"/>
      <c r="HF523" s="36"/>
      <c r="HG523" s="36"/>
      <c r="HH523" s="36"/>
      <c r="HI523" s="36"/>
      <c r="HJ523" s="36"/>
      <c r="HK523" s="36"/>
      <c r="HL523" s="36"/>
      <c r="HM523" s="36"/>
      <c r="HN523" s="36"/>
      <c r="HO523" s="36"/>
      <c r="HP523" s="36"/>
      <c r="HQ523" s="36"/>
      <c r="HR523" s="36"/>
      <c r="HS523" s="36"/>
      <c r="HT523" s="36"/>
      <c r="HU523" s="36"/>
      <c r="HV523" s="36"/>
      <c r="HW523" s="36"/>
      <c r="HX523" s="36"/>
      <c r="HY523" s="36"/>
      <c r="HZ523" s="36"/>
      <c r="IA523" s="36"/>
      <c r="IB523" s="36"/>
      <c r="IC523" s="36"/>
      <c r="ID523" s="36"/>
      <c r="IE523" s="36"/>
      <c r="IF523" s="36"/>
      <c r="IG523" s="36"/>
      <c r="IH523" s="36"/>
      <c r="II523" s="36"/>
      <c r="IJ523" s="36"/>
      <c r="IK523" s="36"/>
      <c r="IL523" s="36"/>
      <c r="IM523" s="36"/>
      <c r="IN523" s="36"/>
      <c r="IO523" s="36"/>
      <c r="IP523" s="36"/>
      <c r="IQ523" s="36"/>
      <c r="IR523" s="36"/>
      <c r="IS523" s="36"/>
      <c r="IT523" s="36"/>
      <c r="IU523" s="36"/>
      <c r="IV523" s="36"/>
      <c r="IW523" s="36"/>
      <c r="IX523" s="36"/>
      <c r="IY523" s="36"/>
      <c r="IZ523" s="36"/>
      <c r="JA523" s="36"/>
      <c r="JB523" s="36"/>
      <c r="JC523" s="36"/>
      <c r="JD523" s="36"/>
      <c r="JE523" s="36"/>
      <c r="JF523" s="36"/>
      <c r="JG523" s="36"/>
      <c r="JH523" s="36"/>
      <c r="JI523" s="36"/>
      <c r="JJ523" s="36"/>
      <c r="JK523" s="36"/>
      <c r="JL523" s="36"/>
      <c r="JM523" s="36"/>
      <c r="JN523" s="36"/>
      <c r="JO523" s="36"/>
      <c r="JP523" s="36"/>
      <c r="JQ523" s="36"/>
      <c r="JR523" s="36"/>
      <c r="JS523" s="36"/>
      <c r="JT523" s="36"/>
      <c r="JU523" s="36"/>
      <c r="JV523" s="36"/>
      <c r="JW523" s="36"/>
      <c r="JX523" s="36"/>
      <c r="JY523" s="36"/>
      <c r="JZ523" s="36"/>
      <c r="KA523" s="36"/>
      <c r="KB523" s="36"/>
      <c r="KC523" s="36"/>
      <c r="KD523" s="36"/>
      <c r="KE523" s="36"/>
      <c r="KF523" s="36"/>
      <c r="KG523" s="36"/>
      <c r="KH523" s="36"/>
      <c r="KI523" s="36"/>
      <c r="KJ523" s="36"/>
      <c r="KK523" s="36"/>
      <c r="KL523" s="36"/>
      <c r="KM523" s="36"/>
      <c r="KN523" s="36"/>
      <c r="KO523" s="36"/>
      <c r="KP523" s="36"/>
      <c r="KQ523" s="36"/>
      <c r="KR523" s="36"/>
      <c r="KS523" s="36"/>
      <c r="KT523" s="36"/>
      <c r="KU523" s="36"/>
      <c r="KV523" s="36"/>
      <c r="KW523" s="36"/>
      <c r="KX523" s="36"/>
      <c r="KY523" s="36"/>
      <c r="KZ523" s="36"/>
      <c r="LA523" s="36"/>
      <c r="LB523" s="36"/>
      <c r="LC523" s="36"/>
      <c r="LD523" s="36"/>
      <c r="LE523" s="36"/>
      <c r="LF523" s="36"/>
      <c r="LG523" s="36"/>
      <c r="LH523" s="36"/>
      <c r="LI523" s="36"/>
      <c r="LJ523" s="36"/>
      <c r="LK523" s="36"/>
      <c r="LL523" s="36"/>
      <c r="LM523" s="36"/>
      <c r="LN523" s="36"/>
      <c r="LO523" s="36"/>
      <c r="LP523" s="36"/>
      <c r="LQ523" s="36"/>
      <c r="LR523" s="36"/>
      <c r="LS523" s="36"/>
      <c r="LT523" s="36"/>
      <c r="LU523" s="36"/>
      <c r="LV523" s="36"/>
      <c r="LW523" s="36"/>
      <c r="LX523" s="36"/>
      <c r="LY523" s="36"/>
      <c r="LZ523" s="36"/>
      <c r="MA523" s="36"/>
      <c r="MB523" s="36"/>
      <c r="MC523" s="36"/>
      <c r="MD523" s="36"/>
      <c r="ME523" s="36"/>
      <c r="MF523" s="36"/>
      <c r="MG523" s="36"/>
      <c r="MH523" s="36"/>
      <c r="MI523" s="36"/>
      <c r="MJ523" s="36"/>
      <c r="MK523" s="36"/>
      <c r="ML523" s="36"/>
      <c r="MM523" s="36"/>
      <c r="MN523" s="36"/>
      <c r="MO523" s="36"/>
      <c r="MP523" s="36"/>
      <c r="MQ523" s="36"/>
      <c r="MR523" s="36"/>
      <c r="MS523" s="36"/>
      <c r="MT523" s="36"/>
      <c r="MU523" s="36"/>
      <c r="MV523" s="36"/>
      <c r="MW523" s="36"/>
      <c r="MX523" s="36"/>
      <c r="MY523" s="36"/>
      <c r="MZ523" s="36"/>
      <c r="NA523" s="36"/>
      <c r="NB523" s="36"/>
      <c r="NC523" s="36"/>
      <c r="ND523" s="36"/>
      <c r="NE523" s="36"/>
      <c r="NF523" s="36"/>
      <c r="NG523" s="36"/>
      <c r="NH523" s="36"/>
      <c r="NI523" s="36"/>
      <c r="NJ523" s="36"/>
      <c r="NK523" s="36"/>
      <c r="NL523" s="36"/>
      <c r="NM523" s="36"/>
      <c r="NN523" s="36"/>
      <c r="NO523" s="36"/>
      <c r="NP523" s="36"/>
      <c r="NQ523" s="36"/>
      <c r="NR523" s="36"/>
      <c r="NS523" s="36"/>
      <c r="NT523" s="36"/>
      <c r="NU523" s="36"/>
      <c r="NV523" s="36"/>
      <c r="NW523" s="36"/>
      <c r="NX523" s="36"/>
      <c r="NY523" s="36"/>
      <c r="NZ523" s="36"/>
      <c r="OA523" s="36"/>
      <c r="OB523" s="36"/>
      <c r="OC523" s="36"/>
      <c r="OD523" s="36"/>
      <c r="OE523" s="36"/>
      <c r="OF523" s="36"/>
      <c r="OG523" s="36"/>
      <c r="OH523" s="36"/>
      <c r="OI523" s="36"/>
      <c r="OJ523" s="36"/>
      <c r="OK523" s="36"/>
      <c r="OL523" s="36"/>
      <c r="OM523" s="36"/>
      <c r="ON523" s="36"/>
      <c r="OO523" s="36"/>
      <c r="OP523" s="36"/>
      <c r="OQ523" s="36"/>
      <c r="OR523" s="36"/>
      <c r="OS523" s="36"/>
      <c r="OT523" s="36"/>
      <c r="OU523" s="36"/>
      <c r="OV523" s="36"/>
      <c r="OW523" s="36"/>
      <c r="OX523" s="36"/>
    </row>
    <row r="524" spans="2:414" s="27" customFormat="1" ht="15.6">
      <c r="B524" s="51" t="s">
        <v>1044</v>
      </c>
      <c r="C524" s="27" t="s">
        <v>433</v>
      </c>
      <c r="D524" s="29" t="s">
        <v>405</v>
      </c>
      <c r="G524" s="49">
        <v>80</v>
      </c>
      <c r="H524" s="89">
        <v>26.109000000000002</v>
      </c>
      <c r="I524" s="38">
        <f t="shared" si="165"/>
        <v>2088.7200000000003</v>
      </c>
      <c r="K524" s="49">
        <v>80</v>
      </c>
      <c r="L524" s="90">
        <v>26.849599999999999</v>
      </c>
      <c r="M524" s="38">
        <f t="shared" si="166"/>
        <v>2147.9679999999998</v>
      </c>
      <c r="O524" s="49">
        <v>505</v>
      </c>
      <c r="P524" s="38">
        <v>26.728300000000001</v>
      </c>
      <c r="Q524" s="38">
        <f t="shared" si="167"/>
        <v>13497.791500000001</v>
      </c>
      <c r="R524" s="43">
        <f t="shared" si="164"/>
        <v>665</v>
      </c>
      <c r="S524" s="38">
        <f t="shared" si="168"/>
        <v>17734.479500000001</v>
      </c>
      <c r="T524" s="52">
        <v>240</v>
      </c>
      <c r="U524" s="52">
        <v>26.732500000000002</v>
      </c>
      <c r="V524" s="38">
        <f t="shared" si="161"/>
        <v>6415.8</v>
      </c>
      <c r="W524" s="52">
        <v>499</v>
      </c>
      <c r="X524" s="52">
        <v>26.5715</v>
      </c>
      <c r="Y524" s="42">
        <f t="shared" si="159"/>
        <v>13259.1785</v>
      </c>
      <c r="AB524" s="42">
        <f t="shared" si="160"/>
        <v>0</v>
      </c>
      <c r="AF524" s="42">
        <f t="shared" si="162"/>
        <v>0</v>
      </c>
      <c r="AU524" s="100"/>
      <c r="AV524" s="35"/>
      <c r="AW524" s="78"/>
      <c r="AZ524" s="42">
        <f t="shared" si="163"/>
        <v>0</v>
      </c>
      <c r="BD524" s="38">
        <f t="shared" si="169"/>
        <v>0</v>
      </c>
      <c r="BH524" s="38">
        <f t="shared" si="170"/>
        <v>0</v>
      </c>
      <c r="BL524" s="38">
        <f t="shared" si="171"/>
        <v>0</v>
      </c>
      <c r="BR524" s="42">
        <f t="shared" si="172"/>
        <v>19674.978500000001</v>
      </c>
      <c r="BS524" s="43"/>
      <c r="BT524" s="27">
        <v>1940.5</v>
      </c>
      <c r="BU524" s="36"/>
      <c r="BV524" s="36"/>
      <c r="BW524" s="36"/>
      <c r="BX524" s="36"/>
      <c r="BY524" s="36"/>
      <c r="BZ524" s="36"/>
      <c r="CA524" s="36"/>
      <c r="CB524" s="36"/>
      <c r="CC524" s="36"/>
      <c r="CD524" s="36"/>
      <c r="CE524" s="36"/>
      <c r="CF524" s="36"/>
      <c r="CG524" s="36"/>
      <c r="CH524" s="36"/>
      <c r="CI524" s="36"/>
      <c r="CJ524" s="36"/>
      <c r="CK524" s="36"/>
      <c r="CL524" s="36"/>
      <c r="CM524" s="36"/>
      <c r="CN524" s="36"/>
      <c r="CO524" s="36"/>
      <c r="CP524" s="36"/>
      <c r="CQ524" s="36"/>
      <c r="CR524" s="36"/>
      <c r="CS524" s="36"/>
      <c r="CT524" s="36"/>
      <c r="CU524" s="36"/>
      <c r="CV524" s="36"/>
      <c r="CW524" s="36"/>
      <c r="CX524" s="36"/>
      <c r="CY524" s="36"/>
      <c r="CZ524" s="36"/>
      <c r="DA524" s="36"/>
      <c r="DB524" s="36"/>
      <c r="DC524" s="36"/>
      <c r="DD524" s="36"/>
      <c r="DE524" s="36"/>
      <c r="DF524" s="36"/>
      <c r="DG524" s="36"/>
      <c r="DH524" s="36"/>
      <c r="DI524" s="36"/>
      <c r="DJ524" s="36"/>
      <c r="DK524" s="36"/>
      <c r="DL524" s="36"/>
      <c r="DM524" s="36"/>
      <c r="DN524" s="36"/>
      <c r="DO524" s="36"/>
      <c r="DP524" s="36"/>
      <c r="DQ524" s="36"/>
      <c r="DR524" s="36"/>
      <c r="DS524" s="36"/>
      <c r="DT524" s="36"/>
      <c r="DU524" s="36"/>
      <c r="DV524" s="36"/>
      <c r="DW524" s="36"/>
      <c r="DX524" s="36"/>
      <c r="DY524" s="36"/>
      <c r="DZ524" s="36"/>
      <c r="EA524" s="36"/>
      <c r="EB524" s="36"/>
      <c r="EC524" s="36"/>
      <c r="ED524" s="36"/>
      <c r="EE524" s="36"/>
      <c r="EF524" s="36"/>
      <c r="EG524" s="36"/>
      <c r="EH524" s="36"/>
      <c r="EI524" s="36"/>
      <c r="EJ524" s="36"/>
      <c r="EK524" s="36"/>
      <c r="EL524" s="36"/>
      <c r="EM524" s="36"/>
      <c r="EN524" s="36"/>
      <c r="EO524" s="36"/>
      <c r="EP524" s="36"/>
      <c r="EQ524" s="36"/>
      <c r="ER524" s="36"/>
      <c r="ES524" s="36"/>
      <c r="ET524" s="36"/>
      <c r="EU524" s="36"/>
      <c r="EV524" s="36"/>
      <c r="EW524" s="36"/>
      <c r="EX524" s="36"/>
      <c r="EY524" s="36"/>
      <c r="EZ524" s="36"/>
      <c r="FA524" s="36"/>
      <c r="FB524" s="36"/>
      <c r="FC524" s="36"/>
      <c r="FD524" s="36"/>
      <c r="FE524" s="36"/>
      <c r="FF524" s="36"/>
      <c r="FG524" s="36"/>
      <c r="FH524" s="36"/>
      <c r="FI524" s="36"/>
      <c r="FJ524" s="36"/>
      <c r="FK524" s="36"/>
      <c r="FL524" s="36"/>
      <c r="FM524" s="36"/>
      <c r="FN524" s="36"/>
      <c r="FO524" s="36"/>
      <c r="FP524" s="36"/>
      <c r="FQ524" s="36"/>
      <c r="FR524" s="36"/>
      <c r="FS524" s="36"/>
      <c r="FT524" s="36"/>
      <c r="FU524" s="36"/>
      <c r="FV524" s="36"/>
      <c r="FW524" s="36"/>
      <c r="FX524" s="36"/>
      <c r="FY524" s="36"/>
      <c r="FZ524" s="36"/>
      <c r="GA524" s="36"/>
      <c r="GB524" s="36"/>
      <c r="GC524" s="36"/>
      <c r="GD524" s="36"/>
      <c r="GE524" s="36"/>
      <c r="GF524" s="36"/>
      <c r="GG524" s="36"/>
      <c r="GH524" s="36"/>
      <c r="GI524" s="36"/>
      <c r="GJ524" s="36"/>
      <c r="GK524" s="36"/>
      <c r="GL524" s="36"/>
      <c r="GM524" s="36"/>
      <c r="GN524" s="36"/>
      <c r="GO524" s="36"/>
      <c r="GP524" s="36"/>
      <c r="GQ524" s="36"/>
      <c r="GR524" s="36"/>
      <c r="GS524" s="36"/>
      <c r="GT524" s="36"/>
      <c r="GU524" s="36"/>
      <c r="GV524" s="36"/>
      <c r="GW524" s="36"/>
      <c r="GX524" s="36"/>
      <c r="GY524" s="36"/>
      <c r="GZ524" s="36"/>
      <c r="HA524" s="36"/>
      <c r="HB524" s="36"/>
      <c r="HC524" s="36"/>
      <c r="HD524" s="36"/>
      <c r="HE524" s="36"/>
      <c r="HF524" s="36"/>
      <c r="HG524" s="36"/>
      <c r="HH524" s="36"/>
      <c r="HI524" s="36"/>
      <c r="HJ524" s="36"/>
      <c r="HK524" s="36"/>
      <c r="HL524" s="36"/>
      <c r="HM524" s="36"/>
      <c r="HN524" s="36"/>
      <c r="HO524" s="36"/>
      <c r="HP524" s="36"/>
      <c r="HQ524" s="36"/>
      <c r="HR524" s="36"/>
      <c r="HS524" s="36"/>
      <c r="HT524" s="36"/>
      <c r="HU524" s="36"/>
      <c r="HV524" s="36"/>
      <c r="HW524" s="36"/>
      <c r="HX524" s="36"/>
      <c r="HY524" s="36"/>
      <c r="HZ524" s="36"/>
      <c r="IA524" s="36"/>
      <c r="IB524" s="36"/>
      <c r="IC524" s="36"/>
      <c r="ID524" s="36"/>
      <c r="IE524" s="36"/>
      <c r="IF524" s="36"/>
      <c r="IG524" s="36"/>
      <c r="IH524" s="36"/>
      <c r="II524" s="36"/>
      <c r="IJ524" s="36"/>
      <c r="IK524" s="36"/>
      <c r="IL524" s="36"/>
      <c r="IM524" s="36"/>
      <c r="IN524" s="36"/>
      <c r="IO524" s="36"/>
      <c r="IP524" s="36"/>
      <c r="IQ524" s="36"/>
      <c r="IR524" s="36"/>
      <c r="IS524" s="36"/>
      <c r="IT524" s="36"/>
      <c r="IU524" s="36"/>
      <c r="IV524" s="36"/>
      <c r="IW524" s="36"/>
      <c r="IX524" s="36"/>
      <c r="IY524" s="36"/>
      <c r="IZ524" s="36"/>
      <c r="JA524" s="36"/>
      <c r="JB524" s="36"/>
      <c r="JC524" s="36"/>
      <c r="JD524" s="36"/>
      <c r="JE524" s="36"/>
      <c r="JF524" s="36"/>
      <c r="JG524" s="36"/>
      <c r="JH524" s="36"/>
      <c r="JI524" s="36"/>
      <c r="JJ524" s="36"/>
      <c r="JK524" s="36"/>
      <c r="JL524" s="36"/>
      <c r="JM524" s="36"/>
      <c r="JN524" s="36"/>
      <c r="JO524" s="36"/>
      <c r="JP524" s="36"/>
      <c r="JQ524" s="36"/>
      <c r="JR524" s="36"/>
      <c r="JS524" s="36"/>
      <c r="JT524" s="36"/>
      <c r="JU524" s="36"/>
      <c r="JV524" s="36"/>
      <c r="JW524" s="36"/>
      <c r="JX524" s="36"/>
      <c r="JY524" s="36"/>
      <c r="JZ524" s="36"/>
      <c r="KA524" s="36"/>
      <c r="KB524" s="36"/>
      <c r="KC524" s="36"/>
      <c r="KD524" s="36"/>
      <c r="KE524" s="36"/>
      <c r="KF524" s="36"/>
      <c r="KG524" s="36"/>
      <c r="KH524" s="36"/>
      <c r="KI524" s="36"/>
      <c r="KJ524" s="36"/>
      <c r="KK524" s="36"/>
      <c r="KL524" s="36"/>
      <c r="KM524" s="36"/>
      <c r="KN524" s="36"/>
      <c r="KO524" s="36"/>
      <c r="KP524" s="36"/>
      <c r="KQ524" s="36"/>
      <c r="KR524" s="36"/>
      <c r="KS524" s="36"/>
      <c r="KT524" s="36"/>
      <c r="KU524" s="36"/>
      <c r="KV524" s="36"/>
      <c r="KW524" s="36"/>
      <c r="KX524" s="36"/>
      <c r="KY524" s="36"/>
      <c r="KZ524" s="36"/>
      <c r="LA524" s="36"/>
      <c r="LB524" s="36"/>
      <c r="LC524" s="36"/>
      <c r="LD524" s="36"/>
      <c r="LE524" s="36"/>
      <c r="LF524" s="36"/>
      <c r="LG524" s="36"/>
      <c r="LH524" s="36"/>
      <c r="LI524" s="36"/>
      <c r="LJ524" s="36"/>
      <c r="LK524" s="36"/>
      <c r="LL524" s="36"/>
      <c r="LM524" s="36"/>
      <c r="LN524" s="36"/>
      <c r="LO524" s="36"/>
      <c r="LP524" s="36"/>
      <c r="LQ524" s="36"/>
      <c r="LR524" s="36"/>
      <c r="LS524" s="36"/>
      <c r="LT524" s="36"/>
      <c r="LU524" s="36"/>
      <c r="LV524" s="36"/>
      <c r="LW524" s="36"/>
      <c r="LX524" s="36"/>
      <c r="LY524" s="36"/>
      <c r="LZ524" s="36"/>
      <c r="MA524" s="36"/>
      <c r="MB524" s="36"/>
      <c r="MC524" s="36"/>
      <c r="MD524" s="36"/>
      <c r="ME524" s="36"/>
      <c r="MF524" s="36"/>
      <c r="MG524" s="36"/>
      <c r="MH524" s="36"/>
      <c r="MI524" s="36"/>
      <c r="MJ524" s="36"/>
      <c r="MK524" s="36"/>
      <c r="ML524" s="36"/>
      <c r="MM524" s="36"/>
      <c r="MN524" s="36"/>
      <c r="MO524" s="36"/>
      <c r="MP524" s="36"/>
      <c r="MQ524" s="36"/>
      <c r="MR524" s="36"/>
      <c r="MS524" s="36"/>
      <c r="MT524" s="36"/>
      <c r="MU524" s="36"/>
      <c r="MV524" s="36"/>
      <c r="MW524" s="36"/>
      <c r="MX524" s="36"/>
      <c r="MY524" s="36"/>
      <c r="MZ524" s="36"/>
      <c r="NA524" s="36"/>
      <c r="NB524" s="36"/>
      <c r="NC524" s="36"/>
      <c r="ND524" s="36"/>
      <c r="NE524" s="36"/>
      <c r="NF524" s="36"/>
      <c r="NG524" s="36"/>
      <c r="NH524" s="36"/>
      <c r="NI524" s="36"/>
      <c r="NJ524" s="36"/>
      <c r="NK524" s="36"/>
      <c r="NL524" s="36"/>
      <c r="NM524" s="36"/>
      <c r="NN524" s="36"/>
      <c r="NO524" s="36"/>
      <c r="NP524" s="36"/>
      <c r="NQ524" s="36"/>
      <c r="NR524" s="36"/>
      <c r="NS524" s="36"/>
      <c r="NT524" s="36"/>
      <c r="NU524" s="36"/>
      <c r="NV524" s="36"/>
      <c r="NW524" s="36"/>
      <c r="NX524" s="36"/>
      <c r="NY524" s="36"/>
      <c r="NZ524" s="36"/>
      <c r="OA524" s="36"/>
      <c r="OB524" s="36"/>
      <c r="OC524" s="36"/>
      <c r="OD524" s="36"/>
      <c r="OE524" s="36"/>
      <c r="OF524" s="36"/>
      <c r="OG524" s="36"/>
      <c r="OH524" s="36"/>
      <c r="OI524" s="36"/>
      <c r="OJ524" s="36"/>
      <c r="OK524" s="36"/>
      <c r="OL524" s="36"/>
      <c r="OM524" s="36"/>
      <c r="ON524" s="36"/>
      <c r="OO524" s="36"/>
      <c r="OP524" s="36"/>
      <c r="OQ524" s="36"/>
      <c r="OR524" s="36"/>
      <c r="OS524" s="36"/>
      <c r="OT524" s="36"/>
      <c r="OU524" s="36"/>
      <c r="OV524" s="36"/>
      <c r="OW524" s="36"/>
      <c r="OX524" s="36"/>
    </row>
    <row r="525" spans="2:414" s="27" customFormat="1" ht="15.6">
      <c r="B525" s="51" t="s">
        <v>696</v>
      </c>
      <c r="C525" s="27" t="s">
        <v>1045</v>
      </c>
      <c r="D525" s="29" t="s">
        <v>405</v>
      </c>
      <c r="G525" s="49">
        <v>80</v>
      </c>
      <c r="H525" s="89">
        <v>26.109000000000002</v>
      </c>
      <c r="I525" s="38">
        <f t="shared" si="165"/>
        <v>2088.7200000000003</v>
      </c>
      <c r="K525" s="49">
        <v>80</v>
      </c>
      <c r="L525" s="90">
        <v>26.849599999999999</v>
      </c>
      <c r="M525" s="38">
        <f t="shared" si="166"/>
        <v>2147.9679999999998</v>
      </c>
      <c r="O525" s="49">
        <v>505</v>
      </c>
      <c r="P525" s="38">
        <v>26.728300000000001</v>
      </c>
      <c r="Q525" s="38">
        <f t="shared" si="167"/>
        <v>13497.791500000001</v>
      </c>
      <c r="R525" s="43">
        <f t="shared" si="164"/>
        <v>665</v>
      </c>
      <c r="S525" s="38">
        <f t="shared" si="168"/>
        <v>17734.479500000001</v>
      </c>
      <c r="V525" s="38">
        <f t="shared" si="161"/>
        <v>0</v>
      </c>
      <c r="W525" s="52">
        <v>580</v>
      </c>
      <c r="X525" s="52">
        <v>26.7805</v>
      </c>
      <c r="Y525" s="42">
        <f t="shared" si="159"/>
        <v>15532.69</v>
      </c>
      <c r="AB525" s="42">
        <f t="shared" si="160"/>
        <v>0</v>
      </c>
      <c r="AF525" s="42">
        <f t="shared" si="162"/>
        <v>0</v>
      </c>
      <c r="AU525" s="100"/>
      <c r="AV525" s="35"/>
      <c r="AW525" s="78"/>
      <c r="AZ525" s="42">
        <f t="shared" si="163"/>
        <v>0</v>
      </c>
      <c r="BD525" s="38">
        <f t="shared" si="169"/>
        <v>0</v>
      </c>
      <c r="BH525" s="38">
        <f t="shared" si="170"/>
        <v>0</v>
      </c>
      <c r="BL525" s="38">
        <f t="shared" si="171"/>
        <v>0</v>
      </c>
      <c r="BR525" s="42">
        <f t="shared" si="172"/>
        <v>15532.69</v>
      </c>
      <c r="BS525" s="43">
        <f t="shared" si="173"/>
        <v>2201.7895000000008</v>
      </c>
      <c r="BU525" s="36"/>
      <c r="BV525" s="36"/>
      <c r="BW525" s="36"/>
      <c r="BX525" s="36"/>
      <c r="BY525" s="36"/>
      <c r="BZ525" s="36"/>
      <c r="CA525" s="36"/>
      <c r="CB525" s="36"/>
      <c r="CC525" s="36"/>
      <c r="CD525" s="36"/>
      <c r="CE525" s="36"/>
      <c r="CF525" s="36"/>
      <c r="CG525" s="36"/>
      <c r="CH525" s="36"/>
      <c r="CI525" s="36"/>
      <c r="CJ525" s="36"/>
      <c r="CK525" s="36"/>
      <c r="CL525" s="36"/>
      <c r="CM525" s="36"/>
      <c r="CN525" s="36"/>
      <c r="CO525" s="36"/>
      <c r="CP525" s="36"/>
      <c r="CQ525" s="36"/>
      <c r="CR525" s="36"/>
      <c r="CS525" s="36"/>
      <c r="CT525" s="36"/>
      <c r="CU525" s="36"/>
      <c r="CV525" s="36"/>
      <c r="CW525" s="36"/>
      <c r="CX525" s="36"/>
      <c r="CY525" s="36"/>
      <c r="CZ525" s="36"/>
      <c r="DA525" s="36"/>
      <c r="DB525" s="36"/>
      <c r="DC525" s="36"/>
      <c r="DD525" s="36"/>
      <c r="DE525" s="36"/>
      <c r="DF525" s="36"/>
      <c r="DG525" s="36"/>
      <c r="DH525" s="36"/>
      <c r="DI525" s="36"/>
      <c r="DJ525" s="36"/>
      <c r="DK525" s="36"/>
      <c r="DL525" s="36"/>
      <c r="DM525" s="36"/>
      <c r="DN525" s="36"/>
      <c r="DO525" s="36"/>
      <c r="DP525" s="36"/>
      <c r="DQ525" s="36"/>
      <c r="DR525" s="36"/>
      <c r="DS525" s="36"/>
      <c r="DT525" s="36"/>
      <c r="DU525" s="36"/>
      <c r="DV525" s="36"/>
      <c r="DW525" s="36"/>
      <c r="DX525" s="36"/>
      <c r="DY525" s="36"/>
      <c r="DZ525" s="36"/>
      <c r="EA525" s="36"/>
      <c r="EB525" s="36"/>
      <c r="EC525" s="36"/>
      <c r="ED525" s="36"/>
      <c r="EE525" s="36"/>
      <c r="EF525" s="36"/>
      <c r="EG525" s="36"/>
      <c r="EH525" s="36"/>
      <c r="EI525" s="36"/>
      <c r="EJ525" s="36"/>
      <c r="EK525" s="36"/>
      <c r="EL525" s="36"/>
      <c r="EM525" s="36"/>
      <c r="EN525" s="36"/>
      <c r="EO525" s="36"/>
      <c r="EP525" s="36"/>
      <c r="EQ525" s="36"/>
      <c r="ER525" s="36"/>
      <c r="ES525" s="36"/>
      <c r="ET525" s="36"/>
      <c r="EU525" s="36"/>
      <c r="EV525" s="36"/>
      <c r="EW525" s="36"/>
      <c r="EX525" s="36"/>
      <c r="EY525" s="36"/>
      <c r="EZ525" s="36"/>
      <c r="FA525" s="36"/>
      <c r="FB525" s="36"/>
      <c r="FC525" s="36"/>
      <c r="FD525" s="36"/>
      <c r="FE525" s="36"/>
      <c r="FF525" s="36"/>
      <c r="FG525" s="36"/>
      <c r="FH525" s="36"/>
      <c r="FI525" s="36"/>
      <c r="FJ525" s="36"/>
      <c r="FK525" s="36"/>
      <c r="FL525" s="36"/>
      <c r="FM525" s="36"/>
      <c r="FN525" s="36"/>
      <c r="FO525" s="36"/>
      <c r="FP525" s="36"/>
      <c r="FQ525" s="36"/>
      <c r="FR525" s="36"/>
      <c r="FS525" s="36"/>
      <c r="FT525" s="36"/>
      <c r="FU525" s="36"/>
      <c r="FV525" s="36"/>
      <c r="FW525" s="36"/>
      <c r="FX525" s="36"/>
      <c r="FY525" s="36"/>
      <c r="FZ525" s="36"/>
      <c r="GA525" s="36"/>
      <c r="GB525" s="36"/>
      <c r="GC525" s="36"/>
      <c r="GD525" s="36"/>
      <c r="GE525" s="36"/>
      <c r="GF525" s="36"/>
      <c r="GG525" s="36"/>
      <c r="GH525" s="36"/>
      <c r="GI525" s="36"/>
      <c r="GJ525" s="36"/>
      <c r="GK525" s="36"/>
      <c r="GL525" s="36"/>
      <c r="GM525" s="36"/>
      <c r="GN525" s="36"/>
      <c r="GO525" s="36"/>
      <c r="GP525" s="36"/>
      <c r="GQ525" s="36"/>
      <c r="GR525" s="36"/>
      <c r="GS525" s="36"/>
      <c r="GT525" s="36"/>
      <c r="GU525" s="36"/>
      <c r="GV525" s="36"/>
      <c r="GW525" s="36"/>
      <c r="GX525" s="36"/>
      <c r="GY525" s="36"/>
      <c r="GZ525" s="36"/>
      <c r="HA525" s="36"/>
      <c r="HB525" s="36"/>
      <c r="HC525" s="36"/>
      <c r="HD525" s="36"/>
      <c r="HE525" s="36"/>
      <c r="HF525" s="36"/>
      <c r="HG525" s="36"/>
      <c r="HH525" s="36"/>
      <c r="HI525" s="36"/>
      <c r="HJ525" s="36"/>
      <c r="HK525" s="36"/>
      <c r="HL525" s="36"/>
      <c r="HM525" s="36"/>
      <c r="HN525" s="36"/>
      <c r="HO525" s="36"/>
      <c r="HP525" s="36"/>
      <c r="HQ525" s="36"/>
      <c r="HR525" s="36"/>
      <c r="HS525" s="36"/>
      <c r="HT525" s="36"/>
      <c r="HU525" s="36"/>
      <c r="HV525" s="36"/>
      <c r="HW525" s="36"/>
      <c r="HX525" s="36"/>
      <c r="HY525" s="36"/>
      <c r="HZ525" s="36"/>
      <c r="IA525" s="36"/>
      <c r="IB525" s="36"/>
      <c r="IC525" s="36"/>
      <c r="ID525" s="36"/>
      <c r="IE525" s="36"/>
      <c r="IF525" s="36"/>
      <c r="IG525" s="36"/>
      <c r="IH525" s="36"/>
      <c r="II525" s="36"/>
      <c r="IJ525" s="36"/>
      <c r="IK525" s="36"/>
      <c r="IL525" s="36"/>
      <c r="IM525" s="36"/>
      <c r="IN525" s="36"/>
      <c r="IO525" s="36"/>
      <c r="IP525" s="36"/>
      <c r="IQ525" s="36"/>
      <c r="IR525" s="36"/>
      <c r="IS525" s="36"/>
      <c r="IT525" s="36"/>
      <c r="IU525" s="36"/>
      <c r="IV525" s="36"/>
      <c r="IW525" s="36"/>
      <c r="IX525" s="36"/>
      <c r="IY525" s="36"/>
      <c r="IZ525" s="36"/>
      <c r="JA525" s="36"/>
      <c r="JB525" s="36"/>
      <c r="JC525" s="36"/>
      <c r="JD525" s="36"/>
      <c r="JE525" s="36"/>
      <c r="JF525" s="36"/>
      <c r="JG525" s="36"/>
      <c r="JH525" s="36"/>
      <c r="JI525" s="36"/>
      <c r="JJ525" s="36"/>
      <c r="JK525" s="36"/>
      <c r="JL525" s="36"/>
      <c r="JM525" s="36"/>
      <c r="JN525" s="36"/>
      <c r="JO525" s="36"/>
      <c r="JP525" s="36"/>
      <c r="JQ525" s="36"/>
      <c r="JR525" s="36"/>
      <c r="JS525" s="36"/>
      <c r="JT525" s="36"/>
      <c r="JU525" s="36"/>
      <c r="JV525" s="36"/>
      <c r="JW525" s="36"/>
      <c r="JX525" s="36"/>
      <c r="JY525" s="36"/>
      <c r="JZ525" s="36"/>
      <c r="KA525" s="36"/>
      <c r="KB525" s="36"/>
      <c r="KC525" s="36"/>
      <c r="KD525" s="36"/>
      <c r="KE525" s="36"/>
      <c r="KF525" s="36"/>
      <c r="KG525" s="36"/>
      <c r="KH525" s="36"/>
      <c r="KI525" s="36"/>
      <c r="KJ525" s="36"/>
      <c r="KK525" s="36"/>
      <c r="KL525" s="36"/>
      <c r="KM525" s="36"/>
      <c r="KN525" s="36"/>
      <c r="KO525" s="36"/>
      <c r="KP525" s="36"/>
      <c r="KQ525" s="36"/>
      <c r="KR525" s="36"/>
      <c r="KS525" s="36"/>
      <c r="KT525" s="36"/>
      <c r="KU525" s="36"/>
      <c r="KV525" s="36"/>
      <c r="KW525" s="36"/>
      <c r="KX525" s="36"/>
      <c r="KY525" s="36"/>
      <c r="KZ525" s="36"/>
      <c r="LA525" s="36"/>
      <c r="LB525" s="36"/>
      <c r="LC525" s="36"/>
      <c r="LD525" s="36"/>
      <c r="LE525" s="36"/>
      <c r="LF525" s="36"/>
      <c r="LG525" s="36"/>
      <c r="LH525" s="36"/>
      <c r="LI525" s="36"/>
      <c r="LJ525" s="36"/>
      <c r="LK525" s="36"/>
      <c r="LL525" s="36"/>
      <c r="LM525" s="36"/>
      <c r="LN525" s="36"/>
      <c r="LO525" s="36"/>
      <c r="LP525" s="36"/>
      <c r="LQ525" s="36"/>
      <c r="LR525" s="36"/>
      <c r="LS525" s="36"/>
      <c r="LT525" s="36"/>
      <c r="LU525" s="36"/>
      <c r="LV525" s="36"/>
      <c r="LW525" s="36"/>
      <c r="LX525" s="36"/>
      <c r="LY525" s="36"/>
      <c r="LZ525" s="36"/>
      <c r="MA525" s="36"/>
      <c r="MB525" s="36"/>
      <c r="MC525" s="36"/>
      <c r="MD525" s="36"/>
      <c r="ME525" s="36"/>
      <c r="MF525" s="36"/>
      <c r="MG525" s="36"/>
      <c r="MH525" s="36"/>
      <c r="MI525" s="36"/>
      <c r="MJ525" s="36"/>
      <c r="MK525" s="36"/>
      <c r="ML525" s="36"/>
      <c r="MM525" s="36"/>
      <c r="MN525" s="36"/>
      <c r="MO525" s="36"/>
      <c r="MP525" s="36"/>
      <c r="MQ525" s="36"/>
      <c r="MR525" s="36"/>
      <c r="MS525" s="36"/>
      <c r="MT525" s="36"/>
      <c r="MU525" s="36"/>
      <c r="MV525" s="36"/>
      <c r="MW525" s="36"/>
      <c r="MX525" s="36"/>
      <c r="MY525" s="36"/>
      <c r="MZ525" s="36"/>
      <c r="NA525" s="36"/>
      <c r="NB525" s="36"/>
      <c r="NC525" s="36"/>
      <c r="ND525" s="36"/>
      <c r="NE525" s="36"/>
      <c r="NF525" s="36"/>
      <c r="NG525" s="36"/>
      <c r="NH525" s="36"/>
      <c r="NI525" s="36"/>
      <c r="NJ525" s="36"/>
      <c r="NK525" s="36"/>
      <c r="NL525" s="36"/>
      <c r="NM525" s="36"/>
      <c r="NN525" s="36"/>
      <c r="NO525" s="36"/>
      <c r="NP525" s="36"/>
      <c r="NQ525" s="36"/>
      <c r="NR525" s="36"/>
      <c r="NS525" s="36"/>
      <c r="NT525" s="36"/>
      <c r="NU525" s="36"/>
      <c r="NV525" s="36"/>
      <c r="NW525" s="36"/>
      <c r="NX525" s="36"/>
      <c r="NY525" s="36"/>
      <c r="NZ525" s="36"/>
      <c r="OA525" s="36"/>
      <c r="OB525" s="36"/>
      <c r="OC525" s="36"/>
      <c r="OD525" s="36"/>
      <c r="OE525" s="36"/>
      <c r="OF525" s="36"/>
      <c r="OG525" s="36"/>
      <c r="OH525" s="36"/>
      <c r="OI525" s="36"/>
      <c r="OJ525" s="36"/>
      <c r="OK525" s="36"/>
      <c r="OL525" s="36"/>
      <c r="OM525" s="36"/>
      <c r="ON525" s="36"/>
      <c r="OO525" s="36"/>
      <c r="OP525" s="36"/>
      <c r="OQ525" s="36"/>
      <c r="OR525" s="36"/>
      <c r="OS525" s="36"/>
      <c r="OT525" s="36"/>
      <c r="OU525" s="36"/>
      <c r="OV525" s="36"/>
      <c r="OW525" s="36"/>
      <c r="OX525" s="36"/>
    </row>
    <row r="526" spans="2:414" s="27" customFormat="1" ht="15.6">
      <c r="B526" s="51" t="s">
        <v>1046</v>
      </c>
      <c r="C526" s="27" t="s">
        <v>1047</v>
      </c>
      <c r="D526" s="29" t="s">
        <v>405</v>
      </c>
      <c r="G526" s="49">
        <v>80</v>
      </c>
      <c r="H526" s="89">
        <v>26.109000000000002</v>
      </c>
      <c r="I526" s="38">
        <f t="shared" si="165"/>
        <v>2088.7200000000003</v>
      </c>
      <c r="K526" s="49">
        <v>80</v>
      </c>
      <c r="L526" s="90">
        <v>26.849599999999999</v>
      </c>
      <c r="M526" s="38">
        <f t="shared" si="166"/>
        <v>2147.9679999999998</v>
      </c>
      <c r="O526" s="49">
        <v>505</v>
      </c>
      <c r="P526" s="38">
        <v>26.728300000000001</v>
      </c>
      <c r="Q526" s="38">
        <f t="shared" si="167"/>
        <v>13497.791500000001</v>
      </c>
      <c r="R526" s="43">
        <f t="shared" si="164"/>
        <v>665</v>
      </c>
      <c r="S526" s="38">
        <f t="shared" si="168"/>
        <v>17734.479500000001</v>
      </c>
      <c r="T526" s="52">
        <v>240</v>
      </c>
      <c r="U526" s="52">
        <v>26.827400000000001</v>
      </c>
      <c r="V526" s="38">
        <f t="shared" si="161"/>
        <v>6438.576</v>
      </c>
      <c r="W526" s="52">
        <v>300</v>
      </c>
      <c r="X526" s="52">
        <v>26.677399999999999</v>
      </c>
      <c r="Y526" s="42">
        <f t="shared" si="159"/>
        <v>8003.2199999999993</v>
      </c>
      <c r="AB526" s="42">
        <f t="shared" si="160"/>
        <v>0</v>
      </c>
      <c r="AF526" s="42">
        <f t="shared" si="162"/>
        <v>0</v>
      </c>
      <c r="AU526" s="100"/>
      <c r="AV526" s="35"/>
      <c r="AW526" s="78"/>
      <c r="AZ526" s="42">
        <f t="shared" si="163"/>
        <v>0</v>
      </c>
      <c r="BD526" s="38">
        <f t="shared" si="169"/>
        <v>0</v>
      </c>
      <c r="BH526" s="38">
        <f t="shared" si="170"/>
        <v>0</v>
      </c>
      <c r="BL526" s="38">
        <f t="shared" si="171"/>
        <v>0</v>
      </c>
      <c r="BR526" s="42">
        <f t="shared" si="172"/>
        <v>14441.795999999998</v>
      </c>
      <c r="BS526" s="43">
        <f t="shared" si="173"/>
        <v>3292.6835000000028</v>
      </c>
      <c r="BU526" s="36"/>
      <c r="BV526" s="36"/>
      <c r="BW526" s="36"/>
      <c r="BX526" s="36"/>
      <c r="BY526" s="36"/>
      <c r="BZ526" s="36"/>
      <c r="CA526" s="36"/>
      <c r="CB526" s="36"/>
      <c r="CC526" s="36"/>
      <c r="CD526" s="36"/>
      <c r="CE526" s="36"/>
      <c r="CF526" s="36"/>
      <c r="CG526" s="36"/>
      <c r="CH526" s="36"/>
      <c r="CI526" s="36"/>
      <c r="CJ526" s="36"/>
      <c r="CK526" s="36"/>
      <c r="CL526" s="36"/>
      <c r="CM526" s="36"/>
      <c r="CN526" s="36"/>
      <c r="CO526" s="36"/>
      <c r="CP526" s="36"/>
      <c r="CQ526" s="36"/>
      <c r="CR526" s="36"/>
      <c r="CS526" s="36"/>
      <c r="CT526" s="36"/>
      <c r="CU526" s="36"/>
      <c r="CV526" s="36"/>
      <c r="CW526" s="36"/>
      <c r="CX526" s="36"/>
      <c r="CY526" s="36"/>
      <c r="CZ526" s="36"/>
      <c r="DA526" s="36"/>
      <c r="DB526" s="36"/>
      <c r="DC526" s="36"/>
      <c r="DD526" s="36"/>
      <c r="DE526" s="36"/>
      <c r="DF526" s="36"/>
      <c r="DG526" s="36"/>
      <c r="DH526" s="36"/>
      <c r="DI526" s="36"/>
      <c r="DJ526" s="36"/>
      <c r="DK526" s="36"/>
      <c r="DL526" s="36"/>
      <c r="DM526" s="36"/>
      <c r="DN526" s="36"/>
      <c r="DO526" s="36"/>
      <c r="DP526" s="36"/>
      <c r="DQ526" s="36"/>
      <c r="DR526" s="36"/>
      <c r="DS526" s="36"/>
      <c r="DT526" s="36"/>
      <c r="DU526" s="36"/>
      <c r="DV526" s="36"/>
      <c r="DW526" s="36"/>
      <c r="DX526" s="36"/>
      <c r="DY526" s="36"/>
      <c r="DZ526" s="36"/>
      <c r="EA526" s="36"/>
      <c r="EB526" s="36"/>
      <c r="EC526" s="36"/>
      <c r="ED526" s="36"/>
      <c r="EE526" s="36"/>
      <c r="EF526" s="36"/>
      <c r="EG526" s="36"/>
      <c r="EH526" s="36"/>
      <c r="EI526" s="36"/>
      <c r="EJ526" s="36"/>
      <c r="EK526" s="36"/>
      <c r="EL526" s="36"/>
      <c r="EM526" s="36"/>
      <c r="EN526" s="36"/>
      <c r="EO526" s="36"/>
      <c r="EP526" s="36"/>
      <c r="EQ526" s="36"/>
      <c r="ER526" s="36"/>
      <c r="ES526" s="36"/>
      <c r="ET526" s="36"/>
      <c r="EU526" s="36"/>
      <c r="EV526" s="36"/>
      <c r="EW526" s="36"/>
      <c r="EX526" s="36"/>
      <c r="EY526" s="36"/>
      <c r="EZ526" s="36"/>
      <c r="FA526" s="36"/>
      <c r="FB526" s="36"/>
      <c r="FC526" s="36"/>
      <c r="FD526" s="36"/>
      <c r="FE526" s="36"/>
      <c r="FF526" s="36"/>
      <c r="FG526" s="36"/>
      <c r="FH526" s="36"/>
      <c r="FI526" s="36"/>
      <c r="FJ526" s="36"/>
      <c r="FK526" s="36"/>
      <c r="FL526" s="36"/>
      <c r="FM526" s="36"/>
      <c r="FN526" s="36"/>
      <c r="FO526" s="36"/>
      <c r="FP526" s="36"/>
      <c r="FQ526" s="36"/>
      <c r="FR526" s="36"/>
      <c r="FS526" s="36"/>
      <c r="FT526" s="36"/>
      <c r="FU526" s="36"/>
      <c r="FV526" s="36"/>
      <c r="FW526" s="36"/>
      <c r="FX526" s="36"/>
      <c r="FY526" s="36"/>
      <c r="FZ526" s="36"/>
      <c r="GA526" s="36"/>
      <c r="GB526" s="36"/>
      <c r="GC526" s="36"/>
      <c r="GD526" s="36"/>
      <c r="GE526" s="36"/>
      <c r="GF526" s="36"/>
      <c r="GG526" s="36"/>
      <c r="GH526" s="36"/>
      <c r="GI526" s="36"/>
      <c r="GJ526" s="36"/>
      <c r="GK526" s="36"/>
      <c r="GL526" s="36"/>
      <c r="GM526" s="36"/>
      <c r="GN526" s="36"/>
      <c r="GO526" s="36"/>
      <c r="GP526" s="36"/>
      <c r="GQ526" s="36"/>
      <c r="GR526" s="36"/>
      <c r="GS526" s="36"/>
      <c r="GT526" s="36"/>
      <c r="GU526" s="36"/>
      <c r="GV526" s="36"/>
      <c r="GW526" s="36"/>
      <c r="GX526" s="36"/>
      <c r="GY526" s="36"/>
      <c r="GZ526" s="36"/>
      <c r="HA526" s="36"/>
      <c r="HB526" s="36"/>
      <c r="HC526" s="36"/>
      <c r="HD526" s="36"/>
      <c r="HE526" s="36"/>
      <c r="HF526" s="36"/>
      <c r="HG526" s="36"/>
      <c r="HH526" s="36"/>
      <c r="HI526" s="36"/>
      <c r="HJ526" s="36"/>
      <c r="HK526" s="36"/>
      <c r="HL526" s="36"/>
      <c r="HM526" s="36"/>
      <c r="HN526" s="36"/>
      <c r="HO526" s="36"/>
      <c r="HP526" s="36"/>
      <c r="HQ526" s="36"/>
      <c r="HR526" s="36"/>
      <c r="HS526" s="36"/>
      <c r="HT526" s="36"/>
      <c r="HU526" s="36"/>
      <c r="HV526" s="36"/>
      <c r="HW526" s="36"/>
      <c r="HX526" s="36"/>
      <c r="HY526" s="36"/>
      <c r="HZ526" s="36"/>
      <c r="IA526" s="36"/>
      <c r="IB526" s="36"/>
      <c r="IC526" s="36"/>
      <c r="ID526" s="36"/>
      <c r="IE526" s="36"/>
      <c r="IF526" s="36"/>
      <c r="IG526" s="36"/>
      <c r="IH526" s="36"/>
      <c r="II526" s="36"/>
      <c r="IJ526" s="36"/>
      <c r="IK526" s="36"/>
      <c r="IL526" s="36"/>
      <c r="IM526" s="36"/>
      <c r="IN526" s="36"/>
      <c r="IO526" s="36"/>
      <c r="IP526" s="36"/>
      <c r="IQ526" s="36"/>
      <c r="IR526" s="36"/>
      <c r="IS526" s="36"/>
      <c r="IT526" s="36"/>
      <c r="IU526" s="36"/>
      <c r="IV526" s="36"/>
      <c r="IW526" s="36"/>
      <c r="IX526" s="36"/>
      <c r="IY526" s="36"/>
      <c r="IZ526" s="36"/>
      <c r="JA526" s="36"/>
      <c r="JB526" s="36"/>
      <c r="JC526" s="36"/>
      <c r="JD526" s="36"/>
      <c r="JE526" s="36"/>
      <c r="JF526" s="36"/>
      <c r="JG526" s="36"/>
      <c r="JH526" s="36"/>
      <c r="JI526" s="36"/>
      <c r="JJ526" s="36"/>
      <c r="JK526" s="36"/>
      <c r="JL526" s="36"/>
      <c r="JM526" s="36"/>
      <c r="JN526" s="36"/>
      <c r="JO526" s="36"/>
      <c r="JP526" s="36"/>
      <c r="JQ526" s="36"/>
      <c r="JR526" s="36"/>
      <c r="JS526" s="36"/>
      <c r="JT526" s="36"/>
      <c r="JU526" s="36"/>
      <c r="JV526" s="36"/>
      <c r="JW526" s="36"/>
      <c r="JX526" s="36"/>
      <c r="JY526" s="36"/>
      <c r="JZ526" s="36"/>
      <c r="KA526" s="36"/>
      <c r="KB526" s="36"/>
      <c r="KC526" s="36"/>
      <c r="KD526" s="36"/>
      <c r="KE526" s="36"/>
      <c r="KF526" s="36"/>
      <c r="KG526" s="36"/>
      <c r="KH526" s="36"/>
      <c r="KI526" s="36"/>
      <c r="KJ526" s="36"/>
      <c r="KK526" s="36"/>
      <c r="KL526" s="36"/>
      <c r="KM526" s="36"/>
      <c r="KN526" s="36"/>
      <c r="KO526" s="36"/>
      <c r="KP526" s="36"/>
      <c r="KQ526" s="36"/>
      <c r="KR526" s="36"/>
      <c r="KS526" s="36"/>
      <c r="KT526" s="36"/>
      <c r="KU526" s="36"/>
      <c r="KV526" s="36"/>
      <c r="KW526" s="36"/>
      <c r="KX526" s="36"/>
      <c r="KY526" s="36"/>
      <c r="KZ526" s="36"/>
      <c r="LA526" s="36"/>
      <c r="LB526" s="36"/>
      <c r="LC526" s="36"/>
      <c r="LD526" s="36"/>
      <c r="LE526" s="36"/>
      <c r="LF526" s="36"/>
      <c r="LG526" s="36"/>
      <c r="LH526" s="36"/>
      <c r="LI526" s="36"/>
      <c r="LJ526" s="36"/>
      <c r="LK526" s="36"/>
      <c r="LL526" s="36"/>
      <c r="LM526" s="36"/>
      <c r="LN526" s="36"/>
      <c r="LO526" s="36"/>
      <c r="LP526" s="36"/>
      <c r="LQ526" s="36"/>
      <c r="LR526" s="36"/>
      <c r="LS526" s="36"/>
      <c r="LT526" s="36"/>
      <c r="LU526" s="36"/>
      <c r="LV526" s="36"/>
      <c r="LW526" s="36"/>
      <c r="LX526" s="36"/>
      <c r="LY526" s="36"/>
      <c r="LZ526" s="36"/>
      <c r="MA526" s="36"/>
      <c r="MB526" s="36"/>
      <c r="MC526" s="36"/>
      <c r="MD526" s="36"/>
      <c r="ME526" s="36"/>
      <c r="MF526" s="36"/>
      <c r="MG526" s="36"/>
      <c r="MH526" s="36"/>
      <c r="MI526" s="36"/>
      <c r="MJ526" s="36"/>
      <c r="MK526" s="36"/>
      <c r="ML526" s="36"/>
      <c r="MM526" s="36"/>
      <c r="MN526" s="36"/>
      <c r="MO526" s="36"/>
      <c r="MP526" s="36"/>
      <c r="MQ526" s="36"/>
      <c r="MR526" s="36"/>
      <c r="MS526" s="36"/>
      <c r="MT526" s="36"/>
      <c r="MU526" s="36"/>
      <c r="MV526" s="36"/>
      <c r="MW526" s="36"/>
      <c r="MX526" s="36"/>
      <c r="MY526" s="36"/>
      <c r="MZ526" s="36"/>
      <c r="NA526" s="36"/>
      <c r="NB526" s="36"/>
      <c r="NC526" s="36"/>
      <c r="ND526" s="36"/>
      <c r="NE526" s="36"/>
      <c r="NF526" s="36"/>
      <c r="NG526" s="36"/>
      <c r="NH526" s="36"/>
      <c r="NI526" s="36"/>
      <c r="NJ526" s="36"/>
      <c r="NK526" s="36"/>
      <c r="NL526" s="36"/>
      <c r="NM526" s="36"/>
      <c r="NN526" s="36"/>
      <c r="NO526" s="36"/>
      <c r="NP526" s="36"/>
      <c r="NQ526" s="36"/>
      <c r="NR526" s="36"/>
      <c r="NS526" s="36"/>
      <c r="NT526" s="36"/>
      <c r="NU526" s="36"/>
      <c r="NV526" s="36"/>
      <c r="NW526" s="36"/>
      <c r="NX526" s="36"/>
      <c r="NY526" s="36"/>
      <c r="NZ526" s="36"/>
      <c r="OA526" s="36"/>
      <c r="OB526" s="36"/>
      <c r="OC526" s="36"/>
      <c r="OD526" s="36"/>
      <c r="OE526" s="36"/>
      <c r="OF526" s="36"/>
      <c r="OG526" s="36"/>
      <c r="OH526" s="36"/>
      <c r="OI526" s="36"/>
      <c r="OJ526" s="36"/>
      <c r="OK526" s="36"/>
      <c r="OL526" s="36"/>
      <c r="OM526" s="36"/>
      <c r="ON526" s="36"/>
      <c r="OO526" s="36"/>
      <c r="OP526" s="36"/>
      <c r="OQ526" s="36"/>
      <c r="OR526" s="36"/>
      <c r="OS526" s="36"/>
      <c r="OT526" s="36"/>
      <c r="OU526" s="36"/>
      <c r="OV526" s="36"/>
      <c r="OW526" s="36"/>
      <c r="OX526" s="36"/>
    </row>
    <row r="527" spans="2:414" s="27" customFormat="1" ht="15.6">
      <c r="B527" s="51" t="s">
        <v>1048</v>
      </c>
      <c r="C527" s="27" t="s">
        <v>16</v>
      </c>
      <c r="D527" s="29" t="s">
        <v>405</v>
      </c>
      <c r="G527" s="49">
        <v>80</v>
      </c>
      <c r="H527" s="89">
        <v>26.109000000000002</v>
      </c>
      <c r="I527" s="38">
        <f t="shared" si="165"/>
        <v>2088.7200000000003</v>
      </c>
      <c r="K527" s="49">
        <v>80</v>
      </c>
      <c r="L527" s="90">
        <v>26.849599999999999</v>
      </c>
      <c r="M527" s="38">
        <f t="shared" si="166"/>
        <v>2147.9679999999998</v>
      </c>
      <c r="O527" s="49">
        <v>505</v>
      </c>
      <c r="P527" s="38">
        <v>26.728300000000001</v>
      </c>
      <c r="Q527" s="38">
        <f t="shared" si="167"/>
        <v>13497.791500000001</v>
      </c>
      <c r="R527" s="43">
        <f t="shared" si="164"/>
        <v>665</v>
      </c>
      <c r="S527" s="38">
        <f t="shared" si="168"/>
        <v>17734.479500000001</v>
      </c>
      <c r="T527" s="27">
        <v>245</v>
      </c>
      <c r="U527" s="27">
        <v>26.83</v>
      </c>
      <c r="V527" s="38">
        <f t="shared" si="161"/>
        <v>6573.3499999999995</v>
      </c>
      <c r="W527" s="52">
        <v>512</v>
      </c>
      <c r="X527" s="52">
        <v>26.68</v>
      </c>
      <c r="Y527" s="42">
        <f t="shared" si="159"/>
        <v>13660.16</v>
      </c>
      <c r="AB527" s="42">
        <f t="shared" si="160"/>
        <v>0</v>
      </c>
      <c r="AF527" s="42">
        <f t="shared" si="162"/>
        <v>0</v>
      </c>
      <c r="AU527" s="100"/>
      <c r="AV527" s="35"/>
      <c r="AW527" s="78"/>
      <c r="AZ527" s="42">
        <f t="shared" si="163"/>
        <v>0</v>
      </c>
      <c r="BD527" s="38">
        <f t="shared" si="169"/>
        <v>0</v>
      </c>
      <c r="BH527" s="38">
        <f t="shared" si="170"/>
        <v>0</v>
      </c>
      <c r="BL527" s="38">
        <f t="shared" si="171"/>
        <v>0</v>
      </c>
      <c r="BR527" s="42">
        <f t="shared" si="172"/>
        <v>20233.509999999998</v>
      </c>
      <c r="BS527" s="43"/>
      <c r="BT527" s="27">
        <v>2499.0300000000002</v>
      </c>
      <c r="BU527" s="36"/>
      <c r="BV527" s="36"/>
      <c r="BW527" s="36"/>
      <c r="BX527" s="36"/>
      <c r="BY527" s="36"/>
      <c r="BZ527" s="36"/>
      <c r="CA527" s="36"/>
      <c r="CB527" s="36"/>
      <c r="CC527" s="36"/>
      <c r="CD527" s="36"/>
      <c r="CE527" s="36"/>
      <c r="CF527" s="36"/>
      <c r="CG527" s="36"/>
      <c r="CH527" s="36"/>
      <c r="CI527" s="36"/>
      <c r="CJ527" s="36"/>
      <c r="CK527" s="36"/>
      <c r="CL527" s="36"/>
      <c r="CM527" s="36"/>
      <c r="CN527" s="36"/>
      <c r="CO527" s="36"/>
      <c r="CP527" s="36"/>
      <c r="CQ527" s="36"/>
      <c r="CR527" s="36"/>
      <c r="CS527" s="36"/>
      <c r="CT527" s="36"/>
      <c r="CU527" s="36"/>
      <c r="CV527" s="36"/>
      <c r="CW527" s="36"/>
      <c r="CX527" s="36"/>
      <c r="CY527" s="36"/>
      <c r="CZ527" s="36"/>
      <c r="DA527" s="36"/>
      <c r="DB527" s="36"/>
      <c r="DC527" s="36"/>
      <c r="DD527" s="36"/>
      <c r="DE527" s="36"/>
      <c r="DF527" s="36"/>
      <c r="DG527" s="36"/>
      <c r="DH527" s="36"/>
      <c r="DI527" s="36"/>
      <c r="DJ527" s="36"/>
      <c r="DK527" s="36"/>
      <c r="DL527" s="36"/>
      <c r="DM527" s="36"/>
      <c r="DN527" s="36"/>
      <c r="DO527" s="36"/>
      <c r="DP527" s="36"/>
      <c r="DQ527" s="36"/>
      <c r="DR527" s="36"/>
      <c r="DS527" s="36"/>
      <c r="DT527" s="36"/>
      <c r="DU527" s="36"/>
      <c r="DV527" s="36"/>
      <c r="DW527" s="36"/>
      <c r="DX527" s="36"/>
      <c r="DY527" s="36"/>
      <c r="DZ527" s="36"/>
      <c r="EA527" s="36"/>
      <c r="EB527" s="36"/>
      <c r="EC527" s="36"/>
      <c r="ED527" s="36"/>
      <c r="EE527" s="36"/>
      <c r="EF527" s="36"/>
      <c r="EG527" s="36"/>
      <c r="EH527" s="36"/>
      <c r="EI527" s="36"/>
      <c r="EJ527" s="36"/>
      <c r="EK527" s="36"/>
      <c r="EL527" s="36"/>
      <c r="EM527" s="36"/>
      <c r="EN527" s="36"/>
      <c r="EO527" s="36"/>
      <c r="EP527" s="36"/>
      <c r="EQ527" s="36"/>
      <c r="ER527" s="36"/>
      <c r="ES527" s="36"/>
      <c r="ET527" s="36"/>
      <c r="EU527" s="36"/>
      <c r="EV527" s="36"/>
      <c r="EW527" s="36"/>
      <c r="EX527" s="36"/>
      <c r="EY527" s="36"/>
      <c r="EZ527" s="36"/>
      <c r="FA527" s="36"/>
      <c r="FB527" s="36"/>
      <c r="FC527" s="36"/>
      <c r="FD527" s="36"/>
      <c r="FE527" s="36"/>
      <c r="FF527" s="36"/>
      <c r="FG527" s="36"/>
      <c r="FH527" s="36"/>
      <c r="FI527" s="36"/>
      <c r="FJ527" s="36"/>
      <c r="FK527" s="36"/>
      <c r="FL527" s="36"/>
      <c r="FM527" s="36"/>
      <c r="FN527" s="36"/>
      <c r="FO527" s="36"/>
      <c r="FP527" s="36"/>
      <c r="FQ527" s="36"/>
      <c r="FR527" s="36"/>
      <c r="FS527" s="36"/>
      <c r="FT527" s="36"/>
      <c r="FU527" s="36"/>
      <c r="FV527" s="36"/>
      <c r="FW527" s="36"/>
      <c r="FX527" s="36"/>
      <c r="FY527" s="36"/>
      <c r="FZ527" s="36"/>
      <c r="GA527" s="36"/>
      <c r="GB527" s="36"/>
      <c r="GC527" s="36"/>
      <c r="GD527" s="36"/>
      <c r="GE527" s="36"/>
      <c r="GF527" s="36"/>
      <c r="GG527" s="36"/>
      <c r="GH527" s="36"/>
      <c r="GI527" s="36"/>
      <c r="GJ527" s="36"/>
      <c r="GK527" s="36"/>
      <c r="GL527" s="36"/>
      <c r="GM527" s="36"/>
      <c r="GN527" s="36"/>
      <c r="GO527" s="36"/>
      <c r="GP527" s="36"/>
      <c r="GQ527" s="36"/>
      <c r="GR527" s="36"/>
      <c r="GS527" s="36"/>
      <c r="GT527" s="36"/>
      <c r="GU527" s="36"/>
      <c r="GV527" s="36"/>
      <c r="GW527" s="36"/>
      <c r="GX527" s="36"/>
      <c r="GY527" s="36"/>
      <c r="GZ527" s="36"/>
      <c r="HA527" s="36"/>
      <c r="HB527" s="36"/>
      <c r="HC527" s="36"/>
      <c r="HD527" s="36"/>
      <c r="HE527" s="36"/>
      <c r="HF527" s="36"/>
      <c r="HG527" s="36"/>
      <c r="HH527" s="36"/>
      <c r="HI527" s="36"/>
      <c r="HJ527" s="36"/>
      <c r="HK527" s="36"/>
      <c r="HL527" s="36"/>
      <c r="HM527" s="36"/>
      <c r="HN527" s="36"/>
      <c r="HO527" s="36"/>
      <c r="HP527" s="36"/>
      <c r="HQ527" s="36"/>
      <c r="HR527" s="36"/>
      <c r="HS527" s="36"/>
      <c r="HT527" s="36"/>
      <c r="HU527" s="36"/>
      <c r="HV527" s="36"/>
      <c r="HW527" s="36"/>
      <c r="HX527" s="36"/>
      <c r="HY527" s="36"/>
      <c r="HZ527" s="36"/>
      <c r="IA527" s="36"/>
      <c r="IB527" s="36"/>
      <c r="IC527" s="36"/>
      <c r="ID527" s="36"/>
      <c r="IE527" s="36"/>
      <c r="IF527" s="36"/>
      <c r="IG527" s="36"/>
      <c r="IH527" s="36"/>
      <c r="II527" s="36"/>
      <c r="IJ527" s="36"/>
      <c r="IK527" s="36"/>
      <c r="IL527" s="36"/>
      <c r="IM527" s="36"/>
      <c r="IN527" s="36"/>
      <c r="IO527" s="36"/>
      <c r="IP527" s="36"/>
      <c r="IQ527" s="36"/>
      <c r="IR527" s="36"/>
      <c r="IS527" s="36"/>
      <c r="IT527" s="36"/>
      <c r="IU527" s="36"/>
      <c r="IV527" s="36"/>
      <c r="IW527" s="36"/>
      <c r="IX527" s="36"/>
      <c r="IY527" s="36"/>
      <c r="IZ527" s="36"/>
      <c r="JA527" s="36"/>
      <c r="JB527" s="36"/>
      <c r="JC527" s="36"/>
      <c r="JD527" s="36"/>
      <c r="JE527" s="36"/>
      <c r="JF527" s="36"/>
      <c r="JG527" s="36"/>
      <c r="JH527" s="36"/>
      <c r="JI527" s="36"/>
      <c r="JJ527" s="36"/>
      <c r="JK527" s="36"/>
      <c r="JL527" s="36"/>
      <c r="JM527" s="36"/>
      <c r="JN527" s="36"/>
      <c r="JO527" s="36"/>
      <c r="JP527" s="36"/>
      <c r="JQ527" s="36"/>
      <c r="JR527" s="36"/>
      <c r="JS527" s="36"/>
      <c r="JT527" s="36"/>
      <c r="JU527" s="36"/>
      <c r="JV527" s="36"/>
      <c r="JW527" s="36"/>
      <c r="JX527" s="36"/>
      <c r="JY527" s="36"/>
      <c r="JZ527" s="36"/>
      <c r="KA527" s="36"/>
      <c r="KB527" s="36"/>
      <c r="KC527" s="36"/>
      <c r="KD527" s="36"/>
      <c r="KE527" s="36"/>
      <c r="KF527" s="36"/>
      <c r="KG527" s="36"/>
      <c r="KH527" s="36"/>
      <c r="KI527" s="36"/>
      <c r="KJ527" s="36"/>
      <c r="KK527" s="36"/>
      <c r="KL527" s="36"/>
      <c r="KM527" s="36"/>
      <c r="KN527" s="36"/>
      <c r="KO527" s="36"/>
      <c r="KP527" s="36"/>
      <c r="KQ527" s="36"/>
      <c r="KR527" s="36"/>
      <c r="KS527" s="36"/>
      <c r="KT527" s="36"/>
      <c r="KU527" s="36"/>
      <c r="KV527" s="36"/>
      <c r="KW527" s="36"/>
      <c r="KX527" s="36"/>
      <c r="KY527" s="36"/>
      <c r="KZ527" s="36"/>
      <c r="LA527" s="36"/>
      <c r="LB527" s="36"/>
      <c r="LC527" s="36"/>
      <c r="LD527" s="36"/>
      <c r="LE527" s="36"/>
      <c r="LF527" s="36"/>
      <c r="LG527" s="36"/>
      <c r="LH527" s="36"/>
      <c r="LI527" s="36"/>
      <c r="LJ527" s="36"/>
      <c r="LK527" s="36"/>
      <c r="LL527" s="36"/>
      <c r="LM527" s="36"/>
      <c r="LN527" s="36"/>
      <c r="LO527" s="36"/>
      <c r="LP527" s="36"/>
      <c r="LQ527" s="36"/>
      <c r="LR527" s="36"/>
      <c r="LS527" s="36"/>
      <c r="LT527" s="36"/>
      <c r="LU527" s="36"/>
      <c r="LV527" s="36"/>
      <c r="LW527" s="36"/>
      <c r="LX527" s="36"/>
      <c r="LY527" s="36"/>
      <c r="LZ527" s="36"/>
      <c r="MA527" s="36"/>
      <c r="MB527" s="36"/>
      <c r="MC527" s="36"/>
      <c r="MD527" s="36"/>
      <c r="ME527" s="36"/>
      <c r="MF527" s="36"/>
      <c r="MG527" s="36"/>
      <c r="MH527" s="36"/>
      <c r="MI527" s="36"/>
      <c r="MJ527" s="36"/>
      <c r="MK527" s="36"/>
      <c r="ML527" s="36"/>
      <c r="MM527" s="36"/>
      <c r="MN527" s="36"/>
      <c r="MO527" s="36"/>
      <c r="MP527" s="36"/>
      <c r="MQ527" s="36"/>
      <c r="MR527" s="36"/>
      <c r="MS527" s="36"/>
      <c r="MT527" s="36"/>
      <c r="MU527" s="36"/>
      <c r="MV527" s="36"/>
      <c r="MW527" s="36"/>
      <c r="MX527" s="36"/>
      <c r="MY527" s="36"/>
      <c r="MZ527" s="36"/>
      <c r="NA527" s="36"/>
      <c r="NB527" s="36"/>
      <c r="NC527" s="36"/>
      <c r="ND527" s="36"/>
      <c r="NE527" s="36"/>
      <c r="NF527" s="36"/>
      <c r="NG527" s="36"/>
      <c r="NH527" s="36"/>
      <c r="NI527" s="36"/>
      <c r="NJ527" s="36"/>
      <c r="NK527" s="36"/>
      <c r="NL527" s="36"/>
      <c r="NM527" s="36"/>
      <c r="NN527" s="36"/>
      <c r="NO527" s="36"/>
      <c r="NP527" s="36"/>
      <c r="NQ527" s="36"/>
      <c r="NR527" s="36"/>
      <c r="NS527" s="36"/>
      <c r="NT527" s="36"/>
      <c r="NU527" s="36"/>
      <c r="NV527" s="36"/>
      <c r="NW527" s="36"/>
      <c r="NX527" s="36"/>
      <c r="NY527" s="36"/>
      <c r="NZ527" s="36"/>
      <c r="OA527" s="36"/>
      <c r="OB527" s="36"/>
      <c r="OC527" s="36"/>
      <c r="OD527" s="36"/>
      <c r="OE527" s="36"/>
      <c r="OF527" s="36"/>
      <c r="OG527" s="36"/>
      <c r="OH527" s="36"/>
      <c r="OI527" s="36"/>
      <c r="OJ527" s="36"/>
      <c r="OK527" s="36"/>
      <c r="OL527" s="36"/>
      <c r="OM527" s="36"/>
      <c r="ON527" s="36"/>
      <c r="OO527" s="36"/>
      <c r="OP527" s="36"/>
      <c r="OQ527" s="36"/>
      <c r="OR527" s="36"/>
      <c r="OS527" s="36"/>
      <c r="OT527" s="36"/>
      <c r="OU527" s="36"/>
      <c r="OV527" s="36"/>
      <c r="OW527" s="36"/>
      <c r="OX527" s="36"/>
    </row>
    <row r="528" spans="2:414" s="27" customFormat="1" ht="15.6">
      <c r="B528" s="51" t="s">
        <v>1049</v>
      </c>
      <c r="C528" s="27" t="s">
        <v>1050</v>
      </c>
      <c r="D528" s="29" t="s">
        <v>405</v>
      </c>
      <c r="G528" s="49">
        <v>80</v>
      </c>
      <c r="H528" s="89">
        <v>26.109000000000002</v>
      </c>
      <c r="I528" s="38">
        <f t="shared" si="165"/>
        <v>2088.7200000000003</v>
      </c>
      <c r="K528" s="49">
        <v>80</v>
      </c>
      <c r="L528" s="90">
        <v>26.849599999999999</v>
      </c>
      <c r="M528" s="38">
        <f t="shared" si="166"/>
        <v>2147.9679999999998</v>
      </c>
      <c r="O528" s="49">
        <v>505</v>
      </c>
      <c r="P528" s="38">
        <v>26.728300000000001</v>
      </c>
      <c r="Q528" s="38">
        <f t="shared" si="167"/>
        <v>13497.791500000001</v>
      </c>
      <c r="R528" s="43">
        <f t="shared" si="164"/>
        <v>665</v>
      </c>
      <c r="S528" s="38">
        <f t="shared" si="168"/>
        <v>17734.479500000001</v>
      </c>
      <c r="T528" s="52">
        <v>240</v>
      </c>
      <c r="U528" s="52">
        <v>26.83</v>
      </c>
      <c r="V528" s="38">
        <f t="shared" si="161"/>
        <v>6439.2</v>
      </c>
      <c r="W528" s="52">
        <v>505</v>
      </c>
      <c r="X528" s="52">
        <v>26.57</v>
      </c>
      <c r="Y528" s="42">
        <f t="shared" si="159"/>
        <v>13417.85</v>
      </c>
      <c r="AB528" s="42">
        <f t="shared" si="160"/>
        <v>0</v>
      </c>
      <c r="AF528" s="42">
        <f t="shared" si="162"/>
        <v>0</v>
      </c>
      <c r="AU528" s="100"/>
      <c r="AV528" s="35"/>
      <c r="AW528" s="78"/>
      <c r="AZ528" s="42">
        <f t="shared" si="163"/>
        <v>0</v>
      </c>
      <c r="BD528" s="38">
        <f t="shared" si="169"/>
        <v>0</v>
      </c>
      <c r="BH528" s="38">
        <f t="shared" si="170"/>
        <v>0</v>
      </c>
      <c r="BL528" s="38">
        <f t="shared" si="171"/>
        <v>0</v>
      </c>
      <c r="BR528" s="42">
        <f t="shared" si="172"/>
        <v>19857.05</v>
      </c>
      <c r="BS528" s="43"/>
      <c r="BT528" s="27">
        <v>2122.5700000000002</v>
      </c>
      <c r="BU528" s="36"/>
      <c r="BV528" s="36"/>
      <c r="BW528" s="36"/>
      <c r="BX528" s="36"/>
      <c r="BY528" s="36"/>
      <c r="BZ528" s="36"/>
      <c r="CA528" s="36"/>
      <c r="CB528" s="36"/>
      <c r="CC528" s="36"/>
      <c r="CD528" s="36"/>
      <c r="CE528" s="36"/>
      <c r="CF528" s="36"/>
      <c r="CG528" s="36"/>
      <c r="CH528" s="36"/>
      <c r="CI528" s="36"/>
      <c r="CJ528" s="36"/>
      <c r="CK528" s="36"/>
      <c r="CL528" s="36"/>
      <c r="CM528" s="36"/>
      <c r="CN528" s="36"/>
      <c r="CO528" s="36"/>
      <c r="CP528" s="36"/>
      <c r="CQ528" s="36"/>
      <c r="CR528" s="36"/>
      <c r="CS528" s="36"/>
      <c r="CT528" s="36"/>
      <c r="CU528" s="36"/>
      <c r="CV528" s="36"/>
      <c r="CW528" s="36"/>
      <c r="CX528" s="36"/>
      <c r="CY528" s="36"/>
      <c r="CZ528" s="36"/>
      <c r="DA528" s="36"/>
      <c r="DB528" s="36"/>
      <c r="DC528" s="36"/>
      <c r="DD528" s="36"/>
      <c r="DE528" s="36"/>
      <c r="DF528" s="36"/>
      <c r="DG528" s="36"/>
      <c r="DH528" s="36"/>
      <c r="DI528" s="36"/>
      <c r="DJ528" s="36"/>
      <c r="DK528" s="36"/>
      <c r="DL528" s="36"/>
      <c r="DM528" s="36"/>
      <c r="DN528" s="36"/>
      <c r="DO528" s="36"/>
      <c r="DP528" s="36"/>
      <c r="DQ528" s="36"/>
      <c r="DR528" s="36"/>
      <c r="DS528" s="36"/>
      <c r="DT528" s="36"/>
      <c r="DU528" s="36"/>
      <c r="DV528" s="36"/>
      <c r="DW528" s="36"/>
      <c r="DX528" s="36"/>
      <c r="DY528" s="36"/>
      <c r="DZ528" s="36"/>
      <c r="EA528" s="36"/>
      <c r="EB528" s="36"/>
      <c r="EC528" s="36"/>
      <c r="ED528" s="36"/>
      <c r="EE528" s="36"/>
      <c r="EF528" s="36"/>
      <c r="EG528" s="36"/>
      <c r="EH528" s="36"/>
      <c r="EI528" s="36"/>
      <c r="EJ528" s="36"/>
      <c r="EK528" s="36"/>
      <c r="EL528" s="36"/>
      <c r="EM528" s="36"/>
      <c r="EN528" s="36"/>
      <c r="EO528" s="36"/>
      <c r="EP528" s="36"/>
      <c r="EQ528" s="36"/>
      <c r="ER528" s="36"/>
      <c r="ES528" s="36"/>
      <c r="ET528" s="36"/>
      <c r="EU528" s="36"/>
      <c r="EV528" s="36"/>
      <c r="EW528" s="36"/>
      <c r="EX528" s="36"/>
      <c r="EY528" s="36"/>
      <c r="EZ528" s="36"/>
      <c r="FA528" s="36"/>
      <c r="FB528" s="36"/>
      <c r="FC528" s="36"/>
      <c r="FD528" s="36"/>
      <c r="FE528" s="36"/>
      <c r="FF528" s="36"/>
      <c r="FG528" s="36"/>
      <c r="FH528" s="36"/>
      <c r="FI528" s="36"/>
      <c r="FJ528" s="36"/>
      <c r="FK528" s="36"/>
      <c r="FL528" s="36"/>
      <c r="FM528" s="36"/>
      <c r="FN528" s="36"/>
      <c r="FO528" s="36"/>
      <c r="FP528" s="36"/>
      <c r="FQ528" s="36"/>
      <c r="FR528" s="36"/>
      <c r="FS528" s="36"/>
      <c r="FT528" s="36"/>
      <c r="FU528" s="36"/>
      <c r="FV528" s="36"/>
      <c r="FW528" s="36"/>
      <c r="FX528" s="36"/>
      <c r="FY528" s="36"/>
      <c r="FZ528" s="36"/>
      <c r="GA528" s="36"/>
      <c r="GB528" s="36"/>
      <c r="GC528" s="36"/>
      <c r="GD528" s="36"/>
      <c r="GE528" s="36"/>
      <c r="GF528" s="36"/>
      <c r="GG528" s="36"/>
      <c r="GH528" s="36"/>
      <c r="GI528" s="36"/>
      <c r="GJ528" s="36"/>
      <c r="GK528" s="36"/>
      <c r="GL528" s="36"/>
      <c r="GM528" s="36"/>
      <c r="GN528" s="36"/>
      <c r="GO528" s="36"/>
      <c r="GP528" s="36"/>
      <c r="GQ528" s="36"/>
      <c r="GR528" s="36"/>
      <c r="GS528" s="36"/>
      <c r="GT528" s="36"/>
      <c r="GU528" s="36"/>
      <c r="GV528" s="36"/>
      <c r="GW528" s="36"/>
      <c r="GX528" s="36"/>
      <c r="GY528" s="36"/>
      <c r="GZ528" s="36"/>
      <c r="HA528" s="36"/>
      <c r="HB528" s="36"/>
      <c r="HC528" s="36"/>
      <c r="HD528" s="36"/>
      <c r="HE528" s="36"/>
      <c r="HF528" s="36"/>
      <c r="HG528" s="36"/>
      <c r="HH528" s="36"/>
      <c r="HI528" s="36"/>
      <c r="HJ528" s="36"/>
      <c r="HK528" s="36"/>
      <c r="HL528" s="36"/>
      <c r="HM528" s="36"/>
      <c r="HN528" s="36"/>
      <c r="HO528" s="36"/>
      <c r="HP528" s="36"/>
      <c r="HQ528" s="36"/>
      <c r="HR528" s="36"/>
      <c r="HS528" s="36"/>
      <c r="HT528" s="36"/>
      <c r="HU528" s="36"/>
      <c r="HV528" s="36"/>
      <c r="HW528" s="36"/>
      <c r="HX528" s="36"/>
      <c r="HY528" s="36"/>
      <c r="HZ528" s="36"/>
      <c r="IA528" s="36"/>
      <c r="IB528" s="36"/>
      <c r="IC528" s="36"/>
      <c r="ID528" s="36"/>
      <c r="IE528" s="36"/>
      <c r="IF528" s="36"/>
      <c r="IG528" s="36"/>
      <c r="IH528" s="36"/>
      <c r="II528" s="36"/>
      <c r="IJ528" s="36"/>
      <c r="IK528" s="36"/>
      <c r="IL528" s="36"/>
      <c r="IM528" s="36"/>
      <c r="IN528" s="36"/>
      <c r="IO528" s="36"/>
      <c r="IP528" s="36"/>
      <c r="IQ528" s="36"/>
      <c r="IR528" s="36"/>
      <c r="IS528" s="36"/>
      <c r="IT528" s="36"/>
      <c r="IU528" s="36"/>
      <c r="IV528" s="36"/>
      <c r="IW528" s="36"/>
      <c r="IX528" s="36"/>
      <c r="IY528" s="36"/>
      <c r="IZ528" s="36"/>
      <c r="JA528" s="36"/>
      <c r="JB528" s="36"/>
      <c r="JC528" s="36"/>
      <c r="JD528" s="36"/>
      <c r="JE528" s="36"/>
      <c r="JF528" s="36"/>
      <c r="JG528" s="36"/>
      <c r="JH528" s="36"/>
      <c r="JI528" s="36"/>
      <c r="JJ528" s="36"/>
      <c r="JK528" s="36"/>
      <c r="JL528" s="36"/>
      <c r="JM528" s="36"/>
      <c r="JN528" s="36"/>
      <c r="JO528" s="36"/>
      <c r="JP528" s="36"/>
      <c r="JQ528" s="36"/>
      <c r="JR528" s="36"/>
      <c r="JS528" s="36"/>
      <c r="JT528" s="36"/>
      <c r="JU528" s="36"/>
      <c r="JV528" s="36"/>
      <c r="JW528" s="36"/>
      <c r="JX528" s="36"/>
      <c r="JY528" s="36"/>
      <c r="JZ528" s="36"/>
      <c r="KA528" s="36"/>
      <c r="KB528" s="36"/>
      <c r="KC528" s="36"/>
      <c r="KD528" s="36"/>
      <c r="KE528" s="36"/>
      <c r="KF528" s="36"/>
      <c r="KG528" s="36"/>
      <c r="KH528" s="36"/>
      <c r="KI528" s="36"/>
      <c r="KJ528" s="36"/>
      <c r="KK528" s="36"/>
      <c r="KL528" s="36"/>
      <c r="KM528" s="36"/>
      <c r="KN528" s="36"/>
      <c r="KO528" s="36"/>
      <c r="KP528" s="36"/>
      <c r="KQ528" s="36"/>
      <c r="KR528" s="36"/>
      <c r="KS528" s="36"/>
      <c r="KT528" s="36"/>
      <c r="KU528" s="36"/>
      <c r="KV528" s="36"/>
      <c r="KW528" s="36"/>
      <c r="KX528" s="36"/>
      <c r="KY528" s="36"/>
      <c r="KZ528" s="36"/>
      <c r="LA528" s="36"/>
      <c r="LB528" s="36"/>
      <c r="LC528" s="36"/>
      <c r="LD528" s="36"/>
      <c r="LE528" s="36"/>
      <c r="LF528" s="36"/>
      <c r="LG528" s="36"/>
      <c r="LH528" s="36"/>
      <c r="LI528" s="36"/>
      <c r="LJ528" s="36"/>
      <c r="LK528" s="36"/>
      <c r="LL528" s="36"/>
      <c r="LM528" s="36"/>
      <c r="LN528" s="36"/>
      <c r="LO528" s="36"/>
      <c r="LP528" s="36"/>
      <c r="LQ528" s="36"/>
      <c r="LR528" s="36"/>
      <c r="LS528" s="36"/>
      <c r="LT528" s="36"/>
      <c r="LU528" s="36"/>
      <c r="LV528" s="36"/>
      <c r="LW528" s="36"/>
      <c r="LX528" s="36"/>
      <c r="LY528" s="36"/>
      <c r="LZ528" s="36"/>
      <c r="MA528" s="36"/>
      <c r="MB528" s="36"/>
      <c r="MC528" s="36"/>
      <c r="MD528" s="36"/>
      <c r="ME528" s="36"/>
      <c r="MF528" s="36"/>
      <c r="MG528" s="36"/>
      <c r="MH528" s="36"/>
      <c r="MI528" s="36"/>
      <c r="MJ528" s="36"/>
      <c r="MK528" s="36"/>
      <c r="ML528" s="36"/>
      <c r="MM528" s="36"/>
      <c r="MN528" s="36"/>
      <c r="MO528" s="36"/>
      <c r="MP528" s="36"/>
      <c r="MQ528" s="36"/>
      <c r="MR528" s="36"/>
      <c r="MS528" s="36"/>
      <c r="MT528" s="36"/>
      <c r="MU528" s="36"/>
      <c r="MV528" s="36"/>
      <c r="MW528" s="36"/>
      <c r="MX528" s="36"/>
      <c r="MY528" s="36"/>
      <c r="MZ528" s="36"/>
      <c r="NA528" s="36"/>
      <c r="NB528" s="36"/>
      <c r="NC528" s="36"/>
      <c r="ND528" s="36"/>
      <c r="NE528" s="36"/>
      <c r="NF528" s="36"/>
      <c r="NG528" s="36"/>
      <c r="NH528" s="36"/>
      <c r="NI528" s="36"/>
      <c r="NJ528" s="36"/>
      <c r="NK528" s="36"/>
      <c r="NL528" s="36"/>
      <c r="NM528" s="36"/>
      <c r="NN528" s="36"/>
      <c r="NO528" s="36"/>
      <c r="NP528" s="36"/>
      <c r="NQ528" s="36"/>
      <c r="NR528" s="36"/>
      <c r="NS528" s="36"/>
      <c r="NT528" s="36"/>
      <c r="NU528" s="36"/>
      <c r="NV528" s="36"/>
      <c r="NW528" s="36"/>
      <c r="NX528" s="36"/>
      <c r="NY528" s="36"/>
      <c r="NZ528" s="36"/>
      <c r="OA528" s="36"/>
      <c r="OB528" s="36"/>
      <c r="OC528" s="36"/>
      <c r="OD528" s="36"/>
      <c r="OE528" s="36"/>
      <c r="OF528" s="36"/>
      <c r="OG528" s="36"/>
      <c r="OH528" s="36"/>
      <c r="OI528" s="36"/>
      <c r="OJ528" s="36"/>
      <c r="OK528" s="36"/>
      <c r="OL528" s="36"/>
      <c r="OM528" s="36"/>
      <c r="ON528" s="36"/>
      <c r="OO528" s="36"/>
      <c r="OP528" s="36"/>
      <c r="OQ528" s="36"/>
      <c r="OR528" s="36"/>
      <c r="OS528" s="36"/>
      <c r="OT528" s="36"/>
      <c r="OU528" s="36"/>
      <c r="OV528" s="36"/>
      <c r="OW528" s="36"/>
      <c r="OX528" s="36"/>
    </row>
    <row r="529" spans="2:414" s="27" customFormat="1" ht="15.6">
      <c r="B529" s="51" t="s">
        <v>906</v>
      </c>
      <c r="C529" s="27" t="s">
        <v>479</v>
      </c>
      <c r="D529" s="29" t="s">
        <v>405</v>
      </c>
      <c r="G529" s="49">
        <v>80</v>
      </c>
      <c r="H529" s="89">
        <v>26.109000000000002</v>
      </c>
      <c r="I529" s="38">
        <f t="shared" si="165"/>
        <v>2088.7200000000003</v>
      </c>
      <c r="K529" s="49">
        <v>80</v>
      </c>
      <c r="L529" s="90">
        <v>26.849599999999999</v>
      </c>
      <c r="M529" s="38">
        <f t="shared" si="166"/>
        <v>2147.9679999999998</v>
      </c>
      <c r="O529" s="49">
        <v>505</v>
      </c>
      <c r="P529" s="38">
        <v>26.728300000000001</v>
      </c>
      <c r="Q529" s="38">
        <f t="shared" si="167"/>
        <v>13497.791500000001</v>
      </c>
      <c r="R529" s="43">
        <f t="shared" si="164"/>
        <v>665</v>
      </c>
      <c r="S529" s="38">
        <f t="shared" si="168"/>
        <v>17734.479500000001</v>
      </c>
      <c r="T529" s="27">
        <v>240</v>
      </c>
      <c r="U529" s="27">
        <v>26.73</v>
      </c>
      <c r="V529" s="38">
        <f t="shared" si="161"/>
        <v>6415.2</v>
      </c>
      <c r="W529" s="52">
        <v>505</v>
      </c>
      <c r="X529" s="52">
        <v>26.57</v>
      </c>
      <c r="Y529" s="42">
        <f t="shared" si="159"/>
        <v>13417.85</v>
      </c>
      <c r="AB529" s="42">
        <f t="shared" si="160"/>
        <v>0</v>
      </c>
      <c r="AF529" s="42">
        <f t="shared" si="162"/>
        <v>0</v>
      </c>
      <c r="AU529" s="100"/>
      <c r="AV529" s="35"/>
      <c r="AW529" s="78"/>
      <c r="AZ529" s="42">
        <f t="shared" si="163"/>
        <v>0</v>
      </c>
      <c r="BD529" s="38">
        <f t="shared" si="169"/>
        <v>0</v>
      </c>
      <c r="BH529" s="38">
        <f t="shared" si="170"/>
        <v>0</v>
      </c>
      <c r="BL529" s="38">
        <f t="shared" si="171"/>
        <v>0</v>
      </c>
      <c r="BR529" s="42">
        <f t="shared" si="172"/>
        <v>19833.05</v>
      </c>
      <c r="BS529" s="43"/>
      <c r="BT529" s="27">
        <v>2098.5700000000002</v>
      </c>
      <c r="BU529" s="36"/>
      <c r="BV529" s="36"/>
      <c r="BW529" s="36"/>
      <c r="BX529" s="36"/>
      <c r="BY529" s="36"/>
      <c r="BZ529" s="36"/>
      <c r="CA529" s="36"/>
      <c r="CB529" s="36"/>
      <c r="CC529" s="36"/>
      <c r="CD529" s="36"/>
      <c r="CE529" s="36"/>
      <c r="CF529" s="36"/>
      <c r="CG529" s="36"/>
      <c r="CH529" s="36"/>
      <c r="CI529" s="36"/>
      <c r="CJ529" s="36"/>
      <c r="CK529" s="36"/>
      <c r="CL529" s="36"/>
      <c r="CM529" s="36"/>
      <c r="CN529" s="36"/>
      <c r="CO529" s="36"/>
      <c r="CP529" s="36"/>
      <c r="CQ529" s="36"/>
      <c r="CR529" s="36"/>
      <c r="CS529" s="36"/>
      <c r="CT529" s="36"/>
      <c r="CU529" s="36"/>
      <c r="CV529" s="36"/>
      <c r="CW529" s="36"/>
      <c r="CX529" s="36"/>
      <c r="CY529" s="36"/>
      <c r="CZ529" s="36"/>
      <c r="DA529" s="36"/>
      <c r="DB529" s="36"/>
      <c r="DC529" s="36"/>
      <c r="DD529" s="36"/>
      <c r="DE529" s="36"/>
      <c r="DF529" s="36"/>
      <c r="DG529" s="36"/>
      <c r="DH529" s="36"/>
      <c r="DI529" s="36"/>
      <c r="DJ529" s="36"/>
      <c r="DK529" s="36"/>
      <c r="DL529" s="36"/>
      <c r="DM529" s="36"/>
      <c r="DN529" s="36"/>
      <c r="DO529" s="36"/>
      <c r="DP529" s="36"/>
      <c r="DQ529" s="36"/>
      <c r="DR529" s="36"/>
      <c r="DS529" s="36"/>
      <c r="DT529" s="36"/>
      <c r="DU529" s="36"/>
      <c r="DV529" s="36"/>
      <c r="DW529" s="36"/>
      <c r="DX529" s="36"/>
      <c r="DY529" s="36"/>
      <c r="DZ529" s="36"/>
      <c r="EA529" s="36"/>
      <c r="EB529" s="36"/>
      <c r="EC529" s="36"/>
      <c r="ED529" s="36"/>
      <c r="EE529" s="36"/>
      <c r="EF529" s="36"/>
      <c r="EG529" s="36"/>
      <c r="EH529" s="36"/>
      <c r="EI529" s="36"/>
      <c r="EJ529" s="36"/>
      <c r="EK529" s="36"/>
      <c r="EL529" s="36"/>
      <c r="EM529" s="36"/>
      <c r="EN529" s="36"/>
      <c r="EO529" s="36"/>
      <c r="EP529" s="36"/>
      <c r="EQ529" s="36"/>
      <c r="ER529" s="36"/>
      <c r="ES529" s="36"/>
      <c r="ET529" s="36"/>
      <c r="EU529" s="36"/>
      <c r="EV529" s="36"/>
      <c r="EW529" s="36"/>
      <c r="EX529" s="36"/>
      <c r="EY529" s="36"/>
      <c r="EZ529" s="36"/>
      <c r="FA529" s="36"/>
      <c r="FB529" s="36"/>
      <c r="FC529" s="36"/>
      <c r="FD529" s="36"/>
      <c r="FE529" s="36"/>
      <c r="FF529" s="36"/>
      <c r="FG529" s="36"/>
      <c r="FH529" s="36"/>
      <c r="FI529" s="36"/>
      <c r="FJ529" s="36"/>
      <c r="FK529" s="36"/>
      <c r="FL529" s="36"/>
      <c r="FM529" s="36"/>
      <c r="FN529" s="36"/>
      <c r="FO529" s="36"/>
      <c r="FP529" s="36"/>
      <c r="FQ529" s="36"/>
      <c r="FR529" s="36"/>
      <c r="FS529" s="36"/>
      <c r="FT529" s="36"/>
      <c r="FU529" s="36"/>
      <c r="FV529" s="36"/>
      <c r="FW529" s="36"/>
      <c r="FX529" s="36"/>
      <c r="FY529" s="36"/>
      <c r="FZ529" s="36"/>
      <c r="GA529" s="36"/>
      <c r="GB529" s="36"/>
      <c r="GC529" s="36"/>
      <c r="GD529" s="36"/>
      <c r="GE529" s="36"/>
      <c r="GF529" s="36"/>
      <c r="GG529" s="36"/>
      <c r="GH529" s="36"/>
      <c r="GI529" s="36"/>
      <c r="GJ529" s="36"/>
      <c r="GK529" s="36"/>
      <c r="GL529" s="36"/>
      <c r="GM529" s="36"/>
      <c r="GN529" s="36"/>
      <c r="GO529" s="36"/>
      <c r="GP529" s="36"/>
      <c r="GQ529" s="36"/>
      <c r="GR529" s="36"/>
      <c r="GS529" s="36"/>
      <c r="GT529" s="36"/>
      <c r="GU529" s="36"/>
      <c r="GV529" s="36"/>
      <c r="GW529" s="36"/>
      <c r="GX529" s="36"/>
      <c r="GY529" s="36"/>
      <c r="GZ529" s="36"/>
      <c r="HA529" s="36"/>
      <c r="HB529" s="36"/>
      <c r="HC529" s="36"/>
      <c r="HD529" s="36"/>
      <c r="HE529" s="36"/>
      <c r="HF529" s="36"/>
      <c r="HG529" s="36"/>
      <c r="HH529" s="36"/>
      <c r="HI529" s="36"/>
      <c r="HJ529" s="36"/>
      <c r="HK529" s="36"/>
      <c r="HL529" s="36"/>
      <c r="HM529" s="36"/>
      <c r="HN529" s="36"/>
      <c r="HO529" s="36"/>
      <c r="HP529" s="36"/>
      <c r="HQ529" s="36"/>
      <c r="HR529" s="36"/>
      <c r="HS529" s="36"/>
      <c r="HT529" s="36"/>
      <c r="HU529" s="36"/>
      <c r="HV529" s="36"/>
      <c r="HW529" s="36"/>
      <c r="HX529" s="36"/>
      <c r="HY529" s="36"/>
      <c r="HZ529" s="36"/>
      <c r="IA529" s="36"/>
      <c r="IB529" s="36"/>
      <c r="IC529" s="36"/>
      <c r="ID529" s="36"/>
      <c r="IE529" s="36"/>
      <c r="IF529" s="36"/>
      <c r="IG529" s="36"/>
      <c r="IH529" s="36"/>
      <c r="II529" s="36"/>
      <c r="IJ529" s="36"/>
      <c r="IK529" s="36"/>
      <c r="IL529" s="36"/>
      <c r="IM529" s="36"/>
      <c r="IN529" s="36"/>
      <c r="IO529" s="36"/>
      <c r="IP529" s="36"/>
      <c r="IQ529" s="36"/>
      <c r="IR529" s="36"/>
      <c r="IS529" s="36"/>
      <c r="IT529" s="36"/>
      <c r="IU529" s="36"/>
      <c r="IV529" s="36"/>
      <c r="IW529" s="36"/>
      <c r="IX529" s="36"/>
      <c r="IY529" s="36"/>
      <c r="IZ529" s="36"/>
      <c r="JA529" s="36"/>
      <c r="JB529" s="36"/>
      <c r="JC529" s="36"/>
      <c r="JD529" s="36"/>
      <c r="JE529" s="36"/>
      <c r="JF529" s="36"/>
      <c r="JG529" s="36"/>
      <c r="JH529" s="36"/>
      <c r="JI529" s="36"/>
      <c r="JJ529" s="36"/>
      <c r="JK529" s="36"/>
      <c r="JL529" s="36"/>
      <c r="JM529" s="36"/>
      <c r="JN529" s="36"/>
      <c r="JO529" s="36"/>
      <c r="JP529" s="36"/>
      <c r="JQ529" s="36"/>
      <c r="JR529" s="36"/>
      <c r="JS529" s="36"/>
      <c r="JT529" s="36"/>
      <c r="JU529" s="36"/>
      <c r="JV529" s="36"/>
      <c r="JW529" s="36"/>
      <c r="JX529" s="36"/>
      <c r="JY529" s="36"/>
      <c r="JZ529" s="36"/>
      <c r="KA529" s="36"/>
      <c r="KB529" s="36"/>
      <c r="KC529" s="36"/>
      <c r="KD529" s="36"/>
      <c r="KE529" s="36"/>
      <c r="KF529" s="36"/>
      <c r="KG529" s="36"/>
      <c r="KH529" s="36"/>
      <c r="KI529" s="36"/>
      <c r="KJ529" s="36"/>
      <c r="KK529" s="36"/>
      <c r="KL529" s="36"/>
      <c r="KM529" s="36"/>
      <c r="KN529" s="36"/>
      <c r="KO529" s="36"/>
      <c r="KP529" s="36"/>
      <c r="KQ529" s="36"/>
      <c r="KR529" s="36"/>
      <c r="KS529" s="36"/>
      <c r="KT529" s="36"/>
      <c r="KU529" s="36"/>
      <c r="KV529" s="36"/>
      <c r="KW529" s="36"/>
      <c r="KX529" s="36"/>
      <c r="KY529" s="36"/>
      <c r="KZ529" s="36"/>
      <c r="LA529" s="36"/>
      <c r="LB529" s="36"/>
      <c r="LC529" s="36"/>
      <c r="LD529" s="36"/>
      <c r="LE529" s="36"/>
      <c r="LF529" s="36"/>
      <c r="LG529" s="36"/>
      <c r="LH529" s="36"/>
      <c r="LI529" s="36"/>
      <c r="LJ529" s="36"/>
      <c r="LK529" s="36"/>
      <c r="LL529" s="36"/>
      <c r="LM529" s="36"/>
      <c r="LN529" s="36"/>
      <c r="LO529" s="36"/>
      <c r="LP529" s="36"/>
      <c r="LQ529" s="36"/>
      <c r="LR529" s="36"/>
      <c r="LS529" s="36"/>
      <c r="LT529" s="36"/>
      <c r="LU529" s="36"/>
      <c r="LV529" s="36"/>
      <c r="LW529" s="36"/>
      <c r="LX529" s="36"/>
      <c r="LY529" s="36"/>
      <c r="LZ529" s="36"/>
      <c r="MA529" s="36"/>
      <c r="MB529" s="36"/>
      <c r="MC529" s="36"/>
      <c r="MD529" s="36"/>
      <c r="ME529" s="36"/>
      <c r="MF529" s="36"/>
      <c r="MG529" s="36"/>
      <c r="MH529" s="36"/>
      <c r="MI529" s="36"/>
      <c r="MJ529" s="36"/>
      <c r="MK529" s="36"/>
      <c r="ML529" s="36"/>
      <c r="MM529" s="36"/>
      <c r="MN529" s="36"/>
      <c r="MO529" s="36"/>
      <c r="MP529" s="36"/>
      <c r="MQ529" s="36"/>
      <c r="MR529" s="36"/>
      <c r="MS529" s="36"/>
      <c r="MT529" s="36"/>
      <c r="MU529" s="36"/>
      <c r="MV529" s="36"/>
      <c r="MW529" s="36"/>
      <c r="MX529" s="36"/>
      <c r="MY529" s="36"/>
      <c r="MZ529" s="36"/>
      <c r="NA529" s="36"/>
      <c r="NB529" s="36"/>
      <c r="NC529" s="36"/>
      <c r="ND529" s="36"/>
      <c r="NE529" s="36"/>
      <c r="NF529" s="36"/>
      <c r="NG529" s="36"/>
      <c r="NH529" s="36"/>
      <c r="NI529" s="36"/>
      <c r="NJ529" s="36"/>
      <c r="NK529" s="36"/>
      <c r="NL529" s="36"/>
      <c r="NM529" s="36"/>
      <c r="NN529" s="36"/>
      <c r="NO529" s="36"/>
      <c r="NP529" s="36"/>
      <c r="NQ529" s="36"/>
      <c r="NR529" s="36"/>
      <c r="NS529" s="36"/>
      <c r="NT529" s="36"/>
      <c r="NU529" s="36"/>
      <c r="NV529" s="36"/>
      <c r="NW529" s="36"/>
      <c r="NX529" s="36"/>
      <c r="NY529" s="36"/>
      <c r="NZ529" s="36"/>
      <c r="OA529" s="36"/>
      <c r="OB529" s="36"/>
      <c r="OC529" s="36"/>
      <c r="OD529" s="36"/>
      <c r="OE529" s="36"/>
      <c r="OF529" s="36"/>
      <c r="OG529" s="36"/>
      <c r="OH529" s="36"/>
      <c r="OI529" s="36"/>
      <c r="OJ529" s="36"/>
      <c r="OK529" s="36"/>
      <c r="OL529" s="36"/>
      <c r="OM529" s="36"/>
      <c r="ON529" s="36"/>
      <c r="OO529" s="36"/>
      <c r="OP529" s="36"/>
      <c r="OQ529" s="36"/>
      <c r="OR529" s="36"/>
      <c r="OS529" s="36"/>
      <c r="OT529" s="36"/>
      <c r="OU529" s="36"/>
      <c r="OV529" s="36"/>
      <c r="OW529" s="36"/>
      <c r="OX529" s="36"/>
    </row>
    <row r="530" spans="2:414" s="27" customFormat="1" ht="15.6">
      <c r="B530" s="51" t="s">
        <v>1051</v>
      </c>
      <c r="C530" s="27" t="s">
        <v>745</v>
      </c>
      <c r="D530" s="29" t="s">
        <v>405</v>
      </c>
      <c r="G530" s="49">
        <v>80</v>
      </c>
      <c r="H530" s="89">
        <v>26.109000000000002</v>
      </c>
      <c r="I530" s="38">
        <f t="shared" si="165"/>
        <v>2088.7200000000003</v>
      </c>
      <c r="K530" s="49">
        <v>80</v>
      </c>
      <c r="L530" s="90">
        <v>26.849599999999999</v>
      </c>
      <c r="M530" s="38">
        <f t="shared" si="166"/>
        <v>2147.9679999999998</v>
      </c>
      <c r="O530" s="49">
        <v>505</v>
      </c>
      <c r="P530" s="38">
        <v>26.728300000000001</v>
      </c>
      <c r="Q530" s="38">
        <f t="shared" si="167"/>
        <v>13497.791500000001</v>
      </c>
      <c r="R530" s="43">
        <f t="shared" si="164"/>
        <v>665</v>
      </c>
      <c r="S530" s="38">
        <f t="shared" si="168"/>
        <v>17734.479500000001</v>
      </c>
      <c r="T530" s="52">
        <v>240</v>
      </c>
      <c r="U530" s="52">
        <v>26.56</v>
      </c>
      <c r="V530" s="38">
        <f t="shared" si="161"/>
        <v>6374.4</v>
      </c>
      <c r="W530" s="52">
        <v>505</v>
      </c>
      <c r="X530" s="52">
        <v>26.68</v>
      </c>
      <c r="Y530" s="42">
        <f t="shared" si="159"/>
        <v>13473.4</v>
      </c>
      <c r="AB530" s="42">
        <f t="shared" si="160"/>
        <v>0</v>
      </c>
      <c r="AF530" s="42">
        <f t="shared" si="162"/>
        <v>0</v>
      </c>
      <c r="AU530" s="100"/>
      <c r="AV530" s="35"/>
      <c r="AW530" s="78"/>
      <c r="AZ530" s="42">
        <f t="shared" si="163"/>
        <v>0</v>
      </c>
      <c r="BD530" s="38">
        <f t="shared" si="169"/>
        <v>0</v>
      </c>
      <c r="BH530" s="38">
        <f t="shared" si="170"/>
        <v>0</v>
      </c>
      <c r="BL530" s="38">
        <f t="shared" si="171"/>
        <v>0</v>
      </c>
      <c r="BR530" s="42">
        <f t="shared" si="172"/>
        <v>19847.8</v>
      </c>
      <c r="BS530" s="43"/>
      <c r="BT530" s="27">
        <v>2113.3200000000002</v>
      </c>
      <c r="BU530" s="36"/>
      <c r="BV530" s="36"/>
      <c r="BW530" s="36"/>
      <c r="BX530" s="36"/>
      <c r="BY530" s="36"/>
      <c r="BZ530" s="36"/>
      <c r="CA530" s="36"/>
      <c r="CB530" s="36"/>
      <c r="CC530" s="36"/>
      <c r="CD530" s="36"/>
      <c r="CE530" s="36"/>
      <c r="CF530" s="36"/>
      <c r="CG530" s="36"/>
      <c r="CH530" s="36"/>
      <c r="CI530" s="36"/>
      <c r="CJ530" s="36"/>
      <c r="CK530" s="36"/>
      <c r="CL530" s="36"/>
      <c r="CM530" s="36"/>
      <c r="CN530" s="36"/>
      <c r="CO530" s="36"/>
      <c r="CP530" s="36"/>
      <c r="CQ530" s="36"/>
      <c r="CR530" s="36"/>
      <c r="CS530" s="36"/>
      <c r="CT530" s="36"/>
      <c r="CU530" s="36"/>
      <c r="CV530" s="36"/>
      <c r="CW530" s="36"/>
      <c r="CX530" s="36"/>
      <c r="CY530" s="36"/>
      <c r="CZ530" s="36"/>
      <c r="DA530" s="36"/>
      <c r="DB530" s="36"/>
      <c r="DC530" s="36"/>
      <c r="DD530" s="36"/>
      <c r="DE530" s="36"/>
      <c r="DF530" s="36"/>
      <c r="DG530" s="36"/>
      <c r="DH530" s="36"/>
      <c r="DI530" s="36"/>
      <c r="DJ530" s="36"/>
      <c r="DK530" s="36"/>
      <c r="DL530" s="36"/>
      <c r="DM530" s="36"/>
      <c r="DN530" s="36"/>
      <c r="DO530" s="36"/>
      <c r="DP530" s="36"/>
      <c r="DQ530" s="36"/>
      <c r="DR530" s="36"/>
      <c r="DS530" s="36"/>
      <c r="DT530" s="36"/>
      <c r="DU530" s="36"/>
      <c r="DV530" s="36"/>
      <c r="DW530" s="36"/>
      <c r="DX530" s="36"/>
      <c r="DY530" s="36"/>
      <c r="DZ530" s="36"/>
      <c r="EA530" s="36"/>
      <c r="EB530" s="36"/>
      <c r="EC530" s="36"/>
      <c r="ED530" s="36"/>
      <c r="EE530" s="36"/>
      <c r="EF530" s="36"/>
      <c r="EG530" s="36"/>
      <c r="EH530" s="36"/>
      <c r="EI530" s="36"/>
      <c r="EJ530" s="36"/>
      <c r="EK530" s="36"/>
      <c r="EL530" s="36"/>
      <c r="EM530" s="36"/>
      <c r="EN530" s="36"/>
      <c r="EO530" s="36"/>
      <c r="EP530" s="36"/>
      <c r="EQ530" s="36"/>
      <c r="ER530" s="36"/>
      <c r="ES530" s="36"/>
      <c r="ET530" s="36"/>
      <c r="EU530" s="36"/>
      <c r="EV530" s="36"/>
      <c r="EW530" s="36"/>
      <c r="EX530" s="36"/>
      <c r="EY530" s="36"/>
      <c r="EZ530" s="36"/>
      <c r="FA530" s="36"/>
      <c r="FB530" s="36"/>
      <c r="FC530" s="36"/>
      <c r="FD530" s="36"/>
      <c r="FE530" s="36"/>
      <c r="FF530" s="36"/>
      <c r="FG530" s="36"/>
      <c r="FH530" s="36"/>
      <c r="FI530" s="36"/>
      <c r="FJ530" s="36"/>
      <c r="FK530" s="36"/>
      <c r="FL530" s="36"/>
      <c r="FM530" s="36"/>
      <c r="FN530" s="36"/>
      <c r="FO530" s="36"/>
      <c r="FP530" s="36"/>
      <c r="FQ530" s="36"/>
      <c r="FR530" s="36"/>
      <c r="FS530" s="36"/>
      <c r="FT530" s="36"/>
      <c r="FU530" s="36"/>
      <c r="FV530" s="36"/>
      <c r="FW530" s="36"/>
      <c r="FX530" s="36"/>
      <c r="FY530" s="36"/>
      <c r="FZ530" s="36"/>
      <c r="GA530" s="36"/>
      <c r="GB530" s="36"/>
      <c r="GC530" s="36"/>
      <c r="GD530" s="36"/>
      <c r="GE530" s="36"/>
      <c r="GF530" s="36"/>
      <c r="GG530" s="36"/>
      <c r="GH530" s="36"/>
      <c r="GI530" s="36"/>
      <c r="GJ530" s="36"/>
      <c r="GK530" s="36"/>
      <c r="GL530" s="36"/>
      <c r="GM530" s="36"/>
      <c r="GN530" s="36"/>
      <c r="GO530" s="36"/>
      <c r="GP530" s="36"/>
      <c r="GQ530" s="36"/>
      <c r="GR530" s="36"/>
      <c r="GS530" s="36"/>
      <c r="GT530" s="36"/>
      <c r="GU530" s="36"/>
      <c r="GV530" s="36"/>
      <c r="GW530" s="36"/>
      <c r="GX530" s="36"/>
      <c r="GY530" s="36"/>
      <c r="GZ530" s="36"/>
      <c r="HA530" s="36"/>
      <c r="HB530" s="36"/>
      <c r="HC530" s="36"/>
      <c r="HD530" s="36"/>
      <c r="HE530" s="36"/>
      <c r="HF530" s="36"/>
      <c r="HG530" s="36"/>
      <c r="HH530" s="36"/>
      <c r="HI530" s="36"/>
      <c r="HJ530" s="36"/>
      <c r="HK530" s="36"/>
      <c r="HL530" s="36"/>
      <c r="HM530" s="36"/>
      <c r="HN530" s="36"/>
      <c r="HO530" s="36"/>
      <c r="HP530" s="36"/>
      <c r="HQ530" s="36"/>
      <c r="HR530" s="36"/>
      <c r="HS530" s="36"/>
      <c r="HT530" s="36"/>
      <c r="HU530" s="36"/>
      <c r="HV530" s="36"/>
      <c r="HW530" s="36"/>
      <c r="HX530" s="36"/>
      <c r="HY530" s="36"/>
      <c r="HZ530" s="36"/>
      <c r="IA530" s="36"/>
      <c r="IB530" s="36"/>
      <c r="IC530" s="36"/>
      <c r="ID530" s="36"/>
      <c r="IE530" s="36"/>
      <c r="IF530" s="36"/>
      <c r="IG530" s="36"/>
      <c r="IH530" s="36"/>
      <c r="II530" s="36"/>
      <c r="IJ530" s="36"/>
      <c r="IK530" s="36"/>
      <c r="IL530" s="36"/>
      <c r="IM530" s="36"/>
      <c r="IN530" s="36"/>
      <c r="IO530" s="36"/>
      <c r="IP530" s="36"/>
      <c r="IQ530" s="36"/>
      <c r="IR530" s="36"/>
      <c r="IS530" s="36"/>
      <c r="IT530" s="36"/>
      <c r="IU530" s="36"/>
      <c r="IV530" s="36"/>
      <c r="IW530" s="36"/>
      <c r="IX530" s="36"/>
      <c r="IY530" s="36"/>
      <c r="IZ530" s="36"/>
      <c r="JA530" s="36"/>
      <c r="JB530" s="36"/>
      <c r="JC530" s="36"/>
      <c r="JD530" s="36"/>
      <c r="JE530" s="36"/>
      <c r="JF530" s="36"/>
      <c r="JG530" s="36"/>
      <c r="JH530" s="36"/>
      <c r="JI530" s="36"/>
      <c r="JJ530" s="36"/>
      <c r="JK530" s="36"/>
      <c r="JL530" s="36"/>
      <c r="JM530" s="36"/>
      <c r="JN530" s="36"/>
      <c r="JO530" s="36"/>
      <c r="JP530" s="36"/>
      <c r="JQ530" s="36"/>
      <c r="JR530" s="36"/>
      <c r="JS530" s="36"/>
      <c r="JT530" s="36"/>
      <c r="JU530" s="36"/>
      <c r="JV530" s="36"/>
      <c r="JW530" s="36"/>
      <c r="JX530" s="36"/>
      <c r="JY530" s="36"/>
      <c r="JZ530" s="36"/>
      <c r="KA530" s="36"/>
      <c r="KB530" s="36"/>
      <c r="KC530" s="36"/>
      <c r="KD530" s="36"/>
      <c r="KE530" s="36"/>
      <c r="KF530" s="36"/>
      <c r="KG530" s="36"/>
      <c r="KH530" s="36"/>
      <c r="KI530" s="36"/>
      <c r="KJ530" s="36"/>
      <c r="KK530" s="36"/>
      <c r="KL530" s="36"/>
      <c r="KM530" s="36"/>
      <c r="KN530" s="36"/>
      <c r="KO530" s="36"/>
      <c r="KP530" s="36"/>
      <c r="KQ530" s="36"/>
      <c r="KR530" s="36"/>
      <c r="KS530" s="36"/>
      <c r="KT530" s="36"/>
      <c r="KU530" s="36"/>
      <c r="KV530" s="36"/>
      <c r="KW530" s="36"/>
      <c r="KX530" s="36"/>
      <c r="KY530" s="36"/>
      <c r="KZ530" s="36"/>
      <c r="LA530" s="36"/>
      <c r="LB530" s="36"/>
      <c r="LC530" s="36"/>
      <c r="LD530" s="36"/>
      <c r="LE530" s="36"/>
      <c r="LF530" s="36"/>
      <c r="LG530" s="36"/>
      <c r="LH530" s="36"/>
      <c r="LI530" s="36"/>
      <c r="LJ530" s="36"/>
      <c r="LK530" s="36"/>
      <c r="LL530" s="36"/>
      <c r="LM530" s="36"/>
      <c r="LN530" s="36"/>
      <c r="LO530" s="36"/>
      <c r="LP530" s="36"/>
      <c r="LQ530" s="36"/>
      <c r="LR530" s="36"/>
      <c r="LS530" s="36"/>
      <c r="LT530" s="36"/>
      <c r="LU530" s="36"/>
      <c r="LV530" s="36"/>
      <c r="LW530" s="36"/>
      <c r="LX530" s="36"/>
      <c r="LY530" s="36"/>
      <c r="LZ530" s="36"/>
      <c r="MA530" s="36"/>
      <c r="MB530" s="36"/>
      <c r="MC530" s="36"/>
      <c r="MD530" s="36"/>
      <c r="ME530" s="36"/>
      <c r="MF530" s="36"/>
      <c r="MG530" s="36"/>
      <c r="MH530" s="36"/>
      <c r="MI530" s="36"/>
      <c r="MJ530" s="36"/>
      <c r="MK530" s="36"/>
      <c r="ML530" s="36"/>
      <c r="MM530" s="36"/>
      <c r="MN530" s="36"/>
      <c r="MO530" s="36"/>
      <c r="MP530" s="36"/>
      <c r="MQ530" s="36"/>
      <c r="MR530" s="36"/>
      <c r="MS530" s="36"/>
      <c r="MT530" s="36"/>
      <c r="MU530" s="36"/>
      <c r="MV530" s="36"/>
      <c r="MW530" s="36"/>
      <c r="MX530" s="36"/>
      <c r="MY530" s="36"/>
      <c r="MZ530" s="36"/>
      <c r="NA530" s="36"/>
      <c r="NB530" s="36"/>
      <c r="NC530" s="36"/>
      <c r="ND530" s="36"/>
      <c r="NE530" s="36"/>
      <c r="NF530" s="36"/>
      <c r="NG530" s="36"/>
      <c r="NH530" s="36"/>
      <c r="NI530" s="36"/>
      <c r="NJ530" s="36"/>
      <c r="NK530" s="36"/>
      <c r="NL530" s="36"/>
      <c r="NM530" s="36"/>
      <c r="NN530" s="36"/>
      <c r="NO530" s="36"/>
      <c r="NP530" s="36"/>
      <c r="NQ530" s="36"/>
      <c r="NR530" s="36"/>
      <c r="NS530" s="36"/>
      <c r="NT530" s="36"/>
      <c r="NU530" s="36"/>
      <c r="NV530" s="36"/>
      <c r="NW530" s="36"/>
      <c r="NX530" s="36"/>
      <c r="NY530" s="36"/>
      <c r="NZ530" s="36"/>
      <c r="OA530" s="36"/>
      <c r="OB530" s="36"/>
      <c r="OC530" s="36"/>
      <c r="OD530" s="36"/>
      <c r="OE530" s="36"/>
      <c r="OF530" s="36"/>
      <c r="OG530" s="36"/>
      <c r="OH530" s="36"/>
      <c r="OI530" s="36"/>
      <c r="OJ530" s="36"/>
      <c r="OK530" s="36"/>
      <c r="OL530" s="36"/>
      <c r="OM530" s="36"/>
      <c r="ON530" s="36"/>
      <c r="OO530" s="36"/>
      <c r="OP530" s="36"/>
      <c r="OQ530" s="36"/>
      <c r="OR530" s="36"/>
      <c r="OS530" s="36"/>
      <c r="OT530" s="36"/>
      <c r="OU530" s="36"/>
      <c r="OV530" s="36"/>
      <c r="OW530" s="36"/>
      <c r="OX530" s="36"/>
    </row>
    <row r="531" spans="2:414" s="27" customFormat="1" ht="15.6">
      <c r="B531" s="51" t="s">
        <v>1053</v>
      </c>
      <c r="C531" s="27" t="s">
        <v>221</v>
      </c>
      <c r="D531" s="29" t="s">
        <v>1052</v>
      </c>
      <c r="G531" s="49">
        <v>80</v>
      </c>
      <c r="H531" s="89">
        <v>26.109000000000002</v>
      </c>
      <c r="I531" s="38">
        <f t="shared" si="165"/>
        <v>2088.7200000000003</v>
      </c>
      <c r="K531" s="49">
        <v>80</v>
      </c>
      <c r="L531" s="90">
        <v>26.849599999999999</v>
      </c>
      <c r="M531" s="38">
        <f t="shared" si="166"/>
        <v>2147.9679999999998</v>
      </c>
      <c r="O531" s="49">
        <v>505</v>
      </c>
      <c r="P531" s="38">
        <v>26.728300000000001</v>
      </c>
      <c r="Q531" s="38">
        <f t="shared" si="167"/>
        <v>13497.791500000001</v>
      </c>
      <c r="R531" s="43">
        <f t="shared" si="164"/>
        <v>665</v>
      </c>
      <c r="S531" s="38">
        <f t="shared" si="168"/>
        <v>17734.479500000001</v>
      </c>
      <c r="T531" s="27">
        <v>240</v>
      </c>
      <c r="U531" s="27">
        <v>26.78</v>
      </c>
      <c r="V531" s="38">
        <f t="shared" si="161"/>
        <v>6427.2000000000007</v>
      </c>
      <c r="W531" s="52">
        <v>505</v>
      </c>
      <c r="X531" s="52">
        <v>26.776199999999999</v>
      </c>
      <c r="Y531" s="42">
        <f t="shared" si="159"/>
        <v>13521.981</v>
      </c>
      <c r="AB531" s="42">
        <f t="shared" si="160"/>
        <v>0</v>
      </c>
      <c r="AF531" s="42">
        <f t="shared" si="162"/>
        <v>0</v>
      </c>
      <c r="AU531" s="100"/>
      <c r="AV531" s="35"/>
      <c r="AW531" s="78"/>
      <c r="AZ531" s="42">
        <f t="shared" si="163"/>
        <v>0</v>
      </c>
      <c r="BD531" s="38">
        <f t="shared" si="169"/>
        <v>0</v>
      </c>
      <c r="BH531" s="38">
        <f t="shared" si="170"/>
        <v>0</v>
      </c>
      <c r="BL531" s="38">
        <f t="shared" si="171"/>
        <v>0</v>
      </c>
      <c r="BR531" s="42">
        <f t="shared" si="172"/>
        <v>19949.181</v>
      </c>
      <c r="BS531" s="43"/>
      <c r="BT531" s="27">
        <v>2214.6999999999998</v>
      </c>
      <c r="BU531" s="36"/>
      <c r="BV531" s="36"/>
      <c r="BW531" s="36"/>
      <c r="BX531" s="36"/>
      <c r="BY531" s="36"/>
      <c r="BZ531" s="36"/>
      <c r="CA531" s="36"/>
      <c r="CB531" s="36"/>
      <c r="CC531" s="36"/>
      <c r="CD531" s="36"/>
      <c r="CE531" s="36"/>
      <c r="CF531" s="36"/>
      <c r="CG531" s="36"/>
      <c r="CH531" s="36"/>
      <c r="CI531" s="36"/>
      <c r="CJ531" s="36"/>
      <c r="CK531" s="36"/>
      <c r="CL531" s="36"/>
      <c r="CM531" s="36"/>
      <c r="CN531" s="36"/>
      <c r="CO531" s="36"/>
      <c r="CP531" s="36"/>
      <c r="CQ531" s="36"/>
      <c r="CR531" s="36"/>
      <c r="CS531" s="36"/>
      <c r="CT531" s="36"/>
      <c r="CU531" s="36"/>
      <c r="CV531" s="36"/>
      <c r="CW531" s="36"/>
      <c r="CX531" s="36"/>
      <c r="CY531" s="36"/>
      <c r="CZ531" s="36"/>
      <c r="DA531" s="36"/>
      <c r="DB531" s="36"/>
      <c r="DC531" s="36"/>
      <c r="DD531" s="36"/>
      <c r="DE531" s="36"/>
      <c r="DF531" s="36"/>
      <c r="DG531" s="36"/>
      <c r="DH531" s="36"/>
      <c r="DI531" s="36"/>
      <c r="DJ531" s="36"/>
      <c r="DK531" s="36"/>
      <c r="DL531" s="36"/>
      <c r="DM531" s="36"/>
      <c r="DN531" s="36"/>
      <c r="DO531" s="36"/>
      <c r="DP531" s="36"/>
      <c r="DQ531" s="36"/>
      <c r="DR531" s="36"/>
      <c r="DS531" s="36"/>
      <c r="DT531" s="36"/>
      <c r="DU531" s="36"/>
      <c r="DV531" s="36"/>
      <c r="DW531" s="36"/>
      <c r="DX531" s="36"/>
      <c r="DY531" s="36"/>
      <c r="DZ531" s="36"/>
      <c r="EA531" s="36"/>
      <c r="EB531" s="36"/>
      <c r="EC531" s="36"/>
      <c r="ED531" s="36"/>
      <c r="EE531" s="36"/>
      <c r="EF531" s="36"/>
      <c r="EG531" s="36"/>
      <c r="EH531" s="36"/>
      <c r="EI531" s="36"/>
      <c r="EJ531" s="36"/>
      <c r="EK531" s="36"/>
      <c r="EL531" s="36"/>
      <c r="EM531" s="36"/>
      <c r="EN531" s="36"/>
      <c r="EO531" s="36"/>
      <c r="EP531" s="36"/>
      <c r="EQ531" s="36"/>
      <c r="ER531" s="36"/>
      <c r="ES531" s="36"/>
      <c r="ET531" s="36"/>
      <c r="EU531" s="36"/>
      <c r="EV531" s="36"/>
      <c r="EW531" s="36"/>
      <c r="EX531" s="36"/>
      <c r="EY531" s="36"/>
      <c r="EZ531" s="36"/>
      <c r="FA531" s="36"/>
      <c r="FB531" s="36"/>
      <c r="FC531" s="36"/>
      <c r="FD531" s="36"/>
      <c r="FE531" s="36"/>
      <c r="FF531" s="36"/>
      <c r="FG531" s="36"/>
      <c r="FH531" s="36"/>
      <c r="FI531" s="36"/>
      <c r="FJ531" s="36"/>
      <c r="FK531" s="36"/>
      <c r="FL531" s="36"/>
      <c r="FM531" s="36"/>
      <c r="FN531" s="36"/>
      <c r="FO531" s="36"/>
      <c r="FP531" s="36"/>
      <c r="FQ531" s="36"/>
      <c r="FR531" s="36"/>
      <c r="FS531" s="36"/>
      <c r="FT531" s="36"/>
      <c r="FU531" s="36"/>
      <c r="FV531" s="36"/>
      <c r="FW531" s="36"/>
      <c r="FX531" s="36"/>
      <c r="FY531" s="36"/>
      <c r="FZ531" s="36"/>
      <c r="GA531" s="36"/>
      <c r="GB531" s="36"/>
      <c r="GC531" s="36"/>
      <c r="GD531" s="36"/>
      <c r="GE531" s="36"/>
      <c r="GF531" s="36"/>
      <c r="GG531" s="36"/>
      <c r="GH531" s="36"/>
      <c r="GI531" s="36"/>
      <c r="GJ531" s="36"/>
      <c r="GK531" s="36"/>
      <c r="GL531" s="36"/>
      <c r="GM531" s="36"/>
      <c r="GN531" s="36"/>
      <c r="GO531" s="36"/>
      <c r="GP531" s="36"/>
      <c r="GQ531" s="36"/>
      <c r="GR531" s="36"/>
      <c r="GS531" s="36"/>
      <c r="GT531" s="36"/>
      <c r="GU531" s="36"/>
      <c r="GV531" s="36"/>
      <c r="GW531" s="36"/>
      <c r="GX531" s="36"/>
      <c r="GY531" s="36"/>
      <c r="GZ531" s="36"/>
      <c r="HA531" s="36"/>
      <c r="HB531" s="36"/>
      <c r="HC531" s="36"/>
      <c r="HD531" s="36"/>
      <c r="HE531" s="36"/>
      <c r="HF531" s="36"/>
      <c r="HG531" s="36"/>
      <c r="HH531" s="36"/>
      <c r="HI531" s="36"/>
      <c r="HJ531" s="36"/>
      <c r="HK531" s="36"/>
      <c r="HL531" s="36"/>
      <c r="HM531" s="36"/>
      <c r="HN531" s="36"/>
      <c r="HO531" s="36"/>
      <c r="HP531" s="36"/>
      <c r="HQ531" s="36"/>
      <c r="HR531" s="36"/>
      <c r="HS531" s="36"/>
      <c r="HT531" s="36"/>
      <c r="HU531" s="36"/>
      <c r="HV531" s="36"/>
      <c r="HW531" s="36"/>
      <c r="HX531" s="36"/>
      <c r="HY531" s="36"/>
      <c r="HZ531" s="36"/>
      <c r="IA531" s="36"/>
      <c r="IB531" s="36"/>
      <c r="IC531" s="36"/>
      <c r="ID531" s="36"/>
      <c r="IE531" s="36"/>
      <c r="IF531" s="36"/>
      <c r="IG531" s="36"/>
      <c r="IH531" s="36"/>
      <c r="II531" s="36"/>
      <c r="IJ531" s="36"/>
      <c r="IK531" s="36"/>
      <c r="IL531" s="36"/>
      <c r="IM531" s="36"/>
      <c r="IN531" s="36"/>
      <c r="IO531" s="36"/>
      <c r="IP531" s="36"/>
      <c r="IQ531" s="36"/>
      <c r="IR531" s="36"/>
      <c r="IS531" s="36"/>
      <c r="IT531" s="36"/>
      <c r="IU531" s="36"/>
      <c r="IV531" s="36"/>
      <c r="IW531" s="36"/>
      <c r="IX531" s="36"/>
      <c r="IY531" s="36"/>
      <c r="IZ531" s="36"/>
      <c r="JA531" s="36"/>
      <c r="JB531" s="36"/>
      <c r="JC531" s="36"/>
      <c r="JD531" s="36"/>
      <c r="JE531" s="36"/>
      <c r="JF531" s="36"/>
      <c r="JG531" s="36"/>
      <c r="JH531" s="36"/>
      <c r="JI531" s="36"/>
      <c r="JJ531" s="36"/>
      <c r="JK531" s="36"/>
      <c r="JL531" s="36"/>
      <c r="JM531" s="36"/>
      <c r="JN531" s="36"/>
      <c r="JO531" s="36"/>
      <c r="JP531" s="36"/>
      <c r="JQ531" s="36"/>
      <c r="JR531" s="36"/>
      <c r="JS531" s="36"/>
      <c r="JT531" s="36"/>
      <c r="JU531" s="36"/>
      <c r="JV531" s="36"/>
      <c r="JW531" s="36"/>
      <c r="JX531" s="36"/>
      <c r="JY531" s="36"/>
      <c r="JZ531" s="36"/>
      <c r="KA531" s="36"/>
      <c r="KB531" s="36"/>
      <c r="KC531" s="36"/>
      <c r="KD531" s="36"/>
      <c r="KE531" s="36"/>
      <c r="KF531" s="36"/>
      <c r="KG531" s="36"/>
      <c r="KH531" s="36"/>
      <c r="KI531" s="36"/>
      <c r="KJ531" s="36"/>
      <c r="KK531" s="36"/>
      <c r="KL531" s="36"/>
      <c r="KM531" s="36"/>
      <c r="KN531" s="36"/>
      <c r="KO531" s="36"/>
      <c r="KP531" s="36"/>
      <c r="KQ531" s="36"/>
      <c r="KR531" s="36"/>
      <c r="KS531" s="36"/>
      <c r="KT531" s="36"/>
      <c r="KU531" s="36"/>
      <c r="KV531" s="36"/>
      <c r="KW531" s="36"/>
      <c r="KX531" s="36"/>
      <c r="KY531" s="36"/>
      <c r="KZ531" s="36"/>
      <c r="LA531" s="36"/>
      <c r="LB531" s="36"/>
      <c r="LC531" s="36"/>
      <c r="LD531" s="36"/>
      <c r="LE531" s="36"/>
      <c r="LF531" s="36"/>
      <c r="LG531" s="36"/>
      <c r="LH531" s="36"/>
      <c r="LI531" s="36"/>
      <c r="LJ531" s="36"/>
      <c r="LK531" s="36"/>
      <c r="LL531" s="36"/>
      <c r="LM531" s="36"/>
      <c r="LN531" s="36"/>
      <c r="LO531" s="36"/>
      <c r="LP531" s="36"/>
      <c r="LQ531" s="36"/>
      <c r="LR531" s="36"/>
      <c r="LS531" s="36"/>
      <c r="LT531" s="36"/>
      <c r="LU531" s="36"/>
      <c r="LV531" s="36"/>
      <c r="LW531" s="36"/>
      <c r="LX531" s="36"/>
      <c r="LY531" s="36"/>
      <c r="LZ531" s="36"/>
      <c r="MA531" s="36"/>
      <c r="MB531" s="36"/>
      <c r="MC531" s="36"/>
      <c r="MD531" s="36"/>
      <c r="ME531" s="36"/>
      <c r="MF531" s="36"/>
      <c r="MG531" s="36"/>
      <c r="MH531" s="36"/>
      <c r="MI531" s="36"/>
      <c r="MJ531" s="36"/>
      <c r="MK531" s="36"/>
      <c r="ML531" s="36"/>
      <c r="MM531" s="36"/>
      <c r="MN531" s="36"/>
      <c r="MO531" s="36"/>
      <c r="MP531" s="36"/>
      <c r="MQ531" s="36"/>
      <c r="MR531" s="36"/>
      <c r="MS531" s="36"/>
      <c r="MT531" s="36"/>
      <c r="MU531" s="36"/>
      <c r="MV531" s="36"/>
      <c r="MW531" s="36"/>
      <c r="MX531" s="36"/>
      <c r="MY531" s="36"/>
      <c r="MZ531" s="36"/>
      <c r="NA531" s="36"/>
      <c r="NB531" s="36"/>
      <c r="NC531" s="36"/>
      <c r="ND531" s="36"/>
      <c r="NE531" s="36"/>
      <c r="NF531" s="36"/>
      <c r="NG531" s="36"/>
      <c r="NH531" s="36"/>
      <c r="NI531" s="36"/>
      <c r="NJ531" s="36"/>
      <c r="NK531" s="36"/>
      <c r="NL531" s="36"/>
      <c r="NM531" s="36"/>
      <c r="NN531" s="36"/>
      <c r="NO531" s="36"/>
      <c r="NP531" s="36"/>
      <c r="NQ531" s="36"/>
      <c r="NR531" s="36"/>
      <c r="NS531" s="36"/>
      <c r="NT531" s="36"/>
      <c r="NU531" s="36"/>
      <c r="NV531" s="36"/>
      <c r="NW531" s="36"/>
      <c r="NX531" s="36"/>
      <c r="NY531" s="36"/>
      <c r="NZ531" s="36"/>
      <c r="OA531" s="36"/>
      <c r="OB531" s="36"/>
      <c r="OC531" s="36"/>
      <c r="OD531" s="36"/>
      <c r="OE531" s="36"/>
      <c r="OF531" s="36"/>
      <c r="OG531" s="36"/>
      <c r="OH531" s="36"/>
      <c r="OI531" s="36"/>
      <c r="OJ531" s="36"/>
      <c r="OK531" s="36"/>
      <c r="OL531" s="36"/>
      <c r="OM531" s="36"/>
      <c r="ON531" s="36"/>
      <c r="OO531" s="36"/>
      <c r="OP531" s="36"/>
      <c r="OQ531" s="36"/>
      <c r="OR531" s="36"/>
      <c r="OS531" s="36"/>
      <c r="OT531" s="36"/>
      <c r="OU531" s="36"/>
      <c r="OV531" s="36"/>
      <c r="OW531" s="36"/>
      <c r="OX531" s="36"/>
    </row>
    <row r="532" spans="2:414" s="27" customFormat="1" ht="15.6">
      <c r="B532" s="51" t="s">
        <v>728</v>
      </c>
      <c r="C532" s="27" t="s">
        <v>899</v>
      </c>
      <c r="D532" s="29" t="s">
        <v>1052</v>
      </c>
      <c r="G532" s="49">
        <v>80</v>
      </c>
      <c r="H532" s="89">
        <v>26.109000000000002</v>
      </c>
      <c r="I532" s="38">
        <f t="shared" si="165"/>
        <v>2088.7200000000003</v>
      </c>
      <c r="K532" s="49">
        <v>80</v>
      </c>
      <c r="L532" s="90">
        <v>26.849599999999999</v>
      </c>
      <c r="M532" s="38">
        <f t="shared" si="166"/>
        <v>2147.9679999999998</v>
      </c>
      <c r="O532" s="49">
        <v>505</v>
      </c>
      <c r="P532" s="38">
        <v>26.728300000000001</v>
      </c>
      <c r="Q532" s="38">
        <f t="shared" si="167"/>
        <v>13497.791500000001</v>
      </c>
      <c r="R532" s="43">
        <f t="shared" si="164"/>
        <v>665</v>
      </c>
      <c r="S532" s="38">
        <f t="shared" si="168"/>
        <v>17734.479500000001</v>
      </c>
      <c r="T532" s="52">
        <v>240</v>
      </c>
      <c r="U532" s="52">
        <v>26.26</v>
      </c>
      <c r="V532" s="38">
        <f t="shared" si="161"/>
        <v>6302.4000000000005</v>
      </c>
      <c r="W532" s="52">
        <v>505</v>
      </c>
      <c r="X532" s="52">
        <v>26.78</v>
      </c>
      <c r="Y532" s="42">
        <f t="shared" si="159"/>
        <v>13523.900000000001</v>
      </c>
      <c r="AB532" s="42">
        <f t="shared" si="160"/>
        <v>0</v>
      </c>
      <c r="AF532" s="42">
        <f t="shared" si="162"/>
        <v>0</v>
      </c>
      <c r="AU532" s="100"/>
      <c r="AV532" s="35"/>
      <c r="AW532" s="78"/>
      <c r="AZ532" s="42">
        <f t="shared" si="163"/>
        <v>0</v>
      </c>
      <c r="BD532" s="38">
        <f t="shared" si="169"/>
        <v>0</v>
      </c>
      <c r="BH532" s="38">
        <f t="shared" si="170"/>
        <v>0</v>
      </c>
      <c r="BL532" s="38">
        <f t="shared" si="171"/>
        <v>0</v>
      </c>
      <c r="BR532" s="42">
        <f t="shared" si="172"/>
        <v>19826.300000000003</v>
      </c>
      <c r="BS532" s="43"/>
      <c r="BT532" s="27">
        <v>2091.8200000000002</v>
      </c>
      <c r="BU532" s="36"/>
      <c r="BV532" s="36"/>
      <c r="BW532" s="36"/>
      <c r="BX532" s="36"/>
      <c r="BY532" s="36"/>
      <c r="BZ532" s="36"/>
      <c r="CA532" s="36"/>
      <c r="CB532" s="36"/>
      <c r="CC532" s="36"/>
      <c r="CD532" s="36"/>
      <c r="CE532" s="36"/>
      <c r="CF532" s="36"/>
      <c r="CG532" s="36"/>
      <c r="CH532" s="36"/>
      <c r="CI532" s="36"/>
      <c r="CJ532" s="36"/>
      <c r="CK532" s="36"/>
      <c r="CL532" s="36"/>
      <c r="CM532" s="36"/>
      <c r="CN532" s="36"/>
      <c r="CO532" s="36"/>
      <c r="CP532" s="36"/>
      <c r="CQ532" s="36"/>
      <c r="CR532" s="36"/>
      <c r="CS532" s="36"/>
      <c r="CT532" s="36"/>
      <c r="CU532" s="36"/>
      <c r="CV532" s="36"/>
      <c r="CW532" s="36"/>
      <c r="CX532" s="36"/>
      <c r="CY532" s="36"/>
      <c r="CZ532" s="36"/>
      <c r="DA532" s="36"/>
      <c r="DB532" s="36"/>
      <c r="DC532" s="36"/>
      <c r="DD532" s="36"/>
      <c r="DE532" s="36"/>
      <c r="DF532" s="36"/>
      <c r="DG532" s="36"/>
      <c r="DH532" s="36"/>
      <c r="DI532" s="36"/>
      <c r="DJ532" s="36"/>
      <c r="DK532" s="36"/>
      <c r="DL532" s="36"/>
      <c r="DM532" s="36"/>
      <c r="DN532" s="36"/>
      <c r="DO532" s="36"/>
      <c r="DP532" s="36"/>
      <c r="DQ532" s="36"/>
      <c r="DR532" s="36"/>
      <c r="DS532" s="36"/>
      <c r="DT532" s="36"/>
      <c r="DU532" s="36"/>
      <c r="DV532" s="36"/>
      <c r="DW532" s="36"/>
      <c r="DX532" s="36"/>
      <c r="DY532" s="36"/>
      <c r="DZ532" s="36"/>
      <c r="EA532" s="36"/>
      <c r="EB532" s="36"/>
      <c r="EC532" s="36"/>
      <c r="ED532" s="36"/>
      <c r="EE532" s="36"/>
      <c r="EF532" s="36"/>
      <c r="EG532" s="36"/>
      <c r="EH532" s="36"/>
      <c r="EI532" s="36"/>
      <c r="EJ532" s="36"/>
      <c r="EK532" s="36"/>
      <c r="EL532" s="36"/>
      <c r="EM532" s="36"/>
      <c r="EN532" s="36"/>
      <c r="EO532" s="36"/>
      <c r="EP532" s="36"/>
      <c r="EQ532" s="36"/>
      <c r="ER532" s="36"/>
      <c r="ES532" s="36"/>
      <c r="ET532" s="36"/>
      <c r="EU532" s="36"/>
      <c r="EV532" s="36"/>
      <c r="EW532" s="36"/>
      <c r="EX532" s="36"/>
      <c r="EY532" s="36"/>
      <c r="EZ532" s="36"/>
      <c r="FA532" s="36"/>
      <c r="FB532" s="36"/>
      <c r="FC532" s="36"/>
      <c r="FD532" s="36"/>
      <c r="FE532" s="36"/>
      <c r="FF532" s="36"/>
      <c r="FG532" s="36"/>
      <c r="FH532" s="36"/>
      <c r="FI532" s="36"/>
      <c r="FJ532" s="36"/>
      <c r="FK532" s="36"/>
      <c r="FL532" s="36"/>
      <c r="FM532" s="36"/>
      <c r="FN532" s="36"/>
      <c r="FO532" s="36"/>
      <c r="FP532" s="36"/>
      <c r="FQ532" s="36"/>
      <c r="FR532" s="36"/>
      <c r="FS532" s="36"/>
      <c r="FT532" s="36"/>
      <c r="FU532" s="36"/>
      <c r="FV532" s="36"/>
      <c r="FW532" s="36"/>
      <c r="FX532" s="36"/>
      <c r="FY532" s="36"/>
      <c r="FZ532" s="36"/>
      <c r="GA532" s="36"/>
      <c r="GB532" s="36"/>
      <c r="GC532" s="36"/>
      <c r="GD532" s="36"/>
      <c r="GE532" s="36"/>
      <c r="GF532" s="36"/>
      <c r="GG532" s="36"/>
      <c r="GH532" s="36"/>
      <c r="GI532" s="36"/>
      <c r="GJ532" s="36"/>
      <c r="GK532" s="36"/>
      <c r="GL532" s="36"/>
      <c r="GM532" s="36"/>
      <c r="GN532" s="36"/>
      <c r="GO532" s="36"/>
      <c r="GP532" s="36"/>
      <c r="GQ532" s="36"/>
      <c r="GR532" s="36"/>
      <c r="GS532" s="36"/>
      <c r="GT532" s="36"/>
      <c r="GU532" s="36"/>
      <c r="GV532" s="36"/>
      <c r="GW532" s="36"/>
      <c r="GX532" s="36"/>
      <c r="GY532" s="36"/>
      <c r="GZ532" s="36"/>
      <c r="HA532" s="36"/>
      <c r="HB532" s="36"/>
      <c r="HC532" s="36"/>
      <c r="HD532" s="36"/>
      <c r="HE532" s="36"/>
      <c r="HF532" s="36"/>
      <c r="HG532" s="36"/>
      <c r="HH532" s="36"/>
      <c r="HI532" s="36"/>
      <c r="HJ532" s="36"/>
      <c r="HK532" s="36"/>
      <c r="HL532" s="36"/>
      <c r="HM532" s="36"/>
      <c r="HN532" s="36"/>
      <c r="HO532" s="36"/>
      <c r="HP532" s="36"/>
      <c r="HQ532" s="36"/>
      <c r="HR532" s="36"/>
      <c r="HS532" s="36"/>
      <c r="HT532" s="36"/>
      <c r="HU532" s="36"/>
      <c r="HV532" s="36"/>
      <c r="HW532" s="36"/>
      <c r="HX532" s="36"/>
      <c r="HY532" s="36"/>
      <c r="HZ532" s="36"/>
      <c r="IA532" s="36"/>
      <c r="IB532" s="36"/>
      <c r="IC532" s="36"/>
      <c r="ID532" s="36"/>
      <c r="IE532" s="36"/>
      <c r="IF532" s="36"/>
      <c r="IG532" s="36"/>
      <c r="IH532" s="36"/>
      <c r="II532" s="36"/>
      <c r="IJ532" s="36"/>
      <c r="IK532" s="36"/>
      <c r="IL532" s="36"/>
      <c r="IM532" s="36"/>
      <c r="IN532" s="36"/>
      <c r="IO532" s="36"/>
      <c r="IP532" s="36"/>
      <c r="IQ532" s="36"/>
      <c r="IR532" s="36"/>
      <c r="IS532" s="36"/>
      <c r="IT532" s="36"/>
      <c r="IU532" s="36"/>
      <c r="IV532" s="36"/>
      <c r="IW532" s="36"/>
      <c r="IX532" s="36"/>
      <c r="IY532" s="36"/>
      <c r="IZ532" s="36"/>
      <c r="JA532" s="36"/>
      <c r="JB532" s="36"/>
      <c r="JC532" s="36"/>
      <c r="JD532" s="36"/>
      <c r="JE532" s="36"/>
      <c r="JF532" s="36"/>
      <c r="JG532" s="36"/>
      <c r="JH532" s="36"/>
      <c r="JI532" s="36"/>
      <c r="JJ532" s="36"/>
      <c r="JK532" s="36"/>
      <c r="JL532" s="36"/>
      <c r="JM532" s="36"/>
      <c r="JN532" s="36"/>
      <c r="JO532" s="36"/>
      <c r="JP532" s="36"/>
      <c r="JQ532" s="36"/>
      <c r="JR532" s="36"/>
      <c r="JS532" s="36"/>
      <c r="JT532" s="36"/>
      <c r="JU532" s="36"/>
      <c r="JV532" s="36"/>
      <c r="JW532" s="36"/>
      <c r="JX532" s="36"/>
      <c r="JY532" s="36"/>
      <c r="JZ532" s="36"/>
      <c r="KA532" s="36"/>
      <c r="KB532" s="36"/>
      <c r="KC532" s="36"/>
      <c r="KD532" s="36"/>
      <c r="KE532" s="36"/>
      <c r="KF532" s="36"/>
      <c r="KG532" s="36"/>
      <c r="KH532" s="36"/>
      <c r="KI532" s="36"/>
      <c r="KJ532" s="36"/>
      <c r="KK532" s="36"/>
      <c r="KL532" s="36"/>
      <c r="KM532" s="36"/>
      <c r="KN532" s="36"/>
      <c r="KO532" s="36"/>
      <c r="KP532" s="36"/>
      <c r="KQ532" s="36"/>
      <c r="KR532" s="36"/>
      <c r="KS532" s="36"/>
      <c r="KT532" s="36"/>
      <c r="KU532" s="36"/>
      <c r="KV532" s="36"/>
      <c r="KW532" s="36"/>
      <c r="KX532" s="36"/>
      <c r="KY532" s="36"/>
      <c r="KZ532" s="36"/>
      <c r="LA532" s="36"/>
      <c r="LB532" s="36"/>
      <c r="LC532" s="36"/>
      <c r="LD532" s="36"/>
      <c r="LE532" s="36"/>
      <c r="LF532" s="36"/>
      <c r="LG532" s="36"/>
      <c r="LH532" s="36"/>
      <c r="LI532" s="36"/>
      <c r="LJ532" s="36"/>
      <c r="LK532" s="36"/>
      <c r="LL532" s="36"/>
      <c r="LM532" s="36"/>
      <c r="LN532" s="36"/>
      <c r="LO532" s="36"/>
      <c r="LP532" s="36"/>
      <c r="LQ532" s="36"/>
      <c r="LR532" s="36"/>
      <c r="LS532" s="36"/>
      <c r="LT532" s="36"/>
      <c r="LU532" s="36"/>
      <c r="LV532" s="36"/>
      <c r="LW532" s="36"/>
      <c r="LX532" s="36"/>
      <c r="LY532" s="36"/>
      <c r="LZ532" s="36"/>
      <c r="MA532" s="36"/>
      <c r="MB532" s="36"/>
      <c r="MC532" s="36"/>
      <c r="MD532" s="36"/>
      <c r="ME532" s="36"/>
      <c r="MF532" s="36"/>
      <c r="MG532" s="36"/>
      <c r="MH532" s="36"/>
      <c r="MI532" s="36"/>
      <c r="MJ532" s="36"/>
      <c r="MK532" s="36"/>
      <c r="ML532" s="36"/>
      <c r="MM532" s="36"/>
      <c r="MN532" s="36"/>
      <c r="MO532" s="36"/>
      <c r="MP532" s="36"/>
      <c r="MQ532" s="36"/>
      <c r="MR532" s="36"/>
      <c r="MS532" s="36"/>
      <c r="MT532" s="36"/>
      <c r="MU532" s="36"/>
      <c r="MV532" s="36"/>
      <c r="MW532" s="36"/>
      <c r="MX532" s="36"/>
      <c r="MY532" s="36"/>
      <c r="MZ532" s="36"/>
      <c r="NA532" s="36"/>
      <c r="NB532" s="36"/>
      <c r="NC532" s="36"/>
      <c r="ND532" s="36"/>
      <c r="NE532" s="36"/>
      <c r="NF532" s="36"/>
      <c r="NG532" s="36"/>
      <c r="NH532" s="36"/>
      <c r="NI532" s="36"/>
      <c r="NJ532" s="36"/>
      <c r="NK532" s="36"/>
      <c r="NL532" s="36"/>
      <c r="NM532" s="36"/>
      <c r="NN532" s="36"/>
      <c r="NO532" s="36"/>
      <c r="NP532" s="36"/>
      <c r="NQ532" s="36"/>
      <c r="NR532" s="36"/>
      <c r="NS532" s="36"/>
      <c r="NT532" s="36"/>
      <c r="NU532" s="36"/>
      <c r="NV532" s="36"/>
      <c r="NW532" s="36"/>
      <c r="NX532" s="36"/>
      <c r="NY532" s="36"/>
      <c r="NZ532" s="36"/>
      <c r="OA532" s="36"/>
      <c r="OB532" s="36"/>
      <c r="OC532" s="36"/>
      <c r="OD532" s="36"/>
      <c r="OE532" s="36"/>
      <c r="OF532" s="36"/>
      <c r="OG532" s="36"/>
      <c r="OH532" s="36"/>
      <c r="OI532" s="36"/>
      <c r="OJ532" s="36"/>
      <c r="OK532" s="36"/>
      <c r="OL532" s="36"/>
      <c r="OM532" s="36"/>
      <c r="ON532" s="36"/>
      <c r="OO532" s="36"/>
      <c r="OP532" s="36"/>
      <c r="OQ532" s="36"/>
      <c r="OR532" s="36"/>
      <c r="OS532" s="36"/>
      <c r="OT532" s="36"/>
      <c r="OU532" s="36"/>
      <c r="OV532" s="36"/>
      <c r="OW532" s="36"/>
      <c r="OX532" s="36"/>
    </row>
    <row r="533" spans="2:414" s="27" customFormat="1" ht="15.6">
      <c r="B533" s="51" t="s">
        <v>778</v>
      </c>
      <c r="C533" s="27" t="s">
        <v>777</v>
      </c>
      <c r="D533" s="29" t="s">
        <v>1052</v>
      </c>
      <c r="G533" s="49">
        <v>80</v>
      </c>
      <c r="H533" s="89">
        <v>26.109000000000002</v>
      </c>
      <c r="I533" s="38">
        <f t="shared" si="165"/>
        <v>2088.7200000000003</v>
      </c>
      <c r="K533" s="49">
        <v>80</v>
      </c>
      <c r="L533" s="90">
        <v>26.849599999999999</v>
      </c>
      <c r="M533" s="38">
        <f t="shared" si="166"/>
        <v>2147.9679999999998</v>
      </c>
      <c r="O533" s="49">
        <v>505</v>
      </c>
      <c r="P533" s="38">
        <v>26.728300000000001</v>
      </c>
      <c r="Q533" s="38">
        <f t="shared" si="167"/>
        <v>13497.791500000001</v>
      </c>
      <c r="R533" s="43">
        <f t="shared" si="164"/>
        <v>665</v>
      </c>
      <c r="S533" s="38">
        <f t="shared" si="168"/>
        <v>17734.479500000001</v>
      </c>
      <c r="T533" s="27">
        <v>240</v>
      </c>
      <c r="U533" s="52">
        <v>26.26</v>
      </c>
      <c r="V533" s="38">
        <f t="shared" si="161"/>
        <v>6302.4000000000005</v>
      </c>
      <c r="W533" s="52">
        <v>505</v>
      </c>
      <c r="X533" s="52">
        <v>26.677399999999999</v>
      </c>
      <c r="Y533" s="42">
        <f t="shared" si="159"/>
        <v>13472.087</v>
      </c>
      <c r="AB533" s="42">
        <f t="shared" si="160"/>
        <v>0</v>
      </c>
      <c r="AF533" s="42">
        <f t="shared" si="162"/>
        <v>0</v>
      </c>
      <c r="AU533" s="100"/>
      <c r="AV533" s="35"/>
      <c r="AW533" s="78"/>
      <c r="AZ533" s="42">
        <f t="shared" si="163"/>
        <v>0</v>
      </c>
      <c r="BD533" s="38">
        <f t="shared" si="169"/>
        <v>0</v>
      </c>
      <c r="BH533" s="38">
        <f t="shared" si="170"/>
        <v>0</v>
      </c>
      <c r="BL533" s="38">
        <f t="shared" si="171"/>
        <v>0</v>
      </c>
      <c r="BR533" s="42">
        <f t="shared" si="172"/>
        <v>19774.487000000001</v>
      </c>
      <c r="BS533" s="43"/>
      <c r="BT533" s="27">
        <v>2040.01</v>
      </c>
      <c r="BU533" s="36"/>
      <c r="BV533" s="36"/>
      <c r="BW533" s="36"/>
      <c r="BX533" s="36"/>
      <c r="BY533" s="36"/>
      <c r="BZ533" s="36"/>
      <c r="CA533" s="36"/>
      <c r="CB533" s="36"/>
      <c r="CC533" s="36"/>
      <c r="CD533" s="36"/>
      <c r="CE533" s="36"/>
      <c r="CF533" s="36"/>
      <c r="CG533" s="36"/>
      <c r="CH533" s="36"/>
      <c r="CI533" s="36"/>
      <c r="CJ533" s="36"/>
      <c r="CK533" s="36"/>
      <c r="CL533" s="36"/>
      <c r="CM533" s="36"/>
      <c r="CN533" s="36"/>
      <c r="CO533" s="36"/>
      <c r="CP533" s="36"/>
      <c r="CQ533" s="36"/>
      <c r="CR533" s="36"/>
      <c r="CS533" s="36"/>
      <c r="CT533" s="36"/>
      <c r="CU533" s="36"/>
      <c r="CV533" s="36"/>
      <c r="CW533" s="36"/>
      <c r="CX533" s="36"/>
      <c r="CY533" s="36"/>
      <c r="CZ533" s="36"/>
      <c r="DA533" s="36"/>
      <c r="DB533" s="36"/>
      <c r="DC533" s="36"/>
      <c r="DD533" s="36"/>
      <c r="DE533" s="36"/>
      <c r="DF533" s="36"/>
      <c r="DG533" s="36"/>
      <c r="DH533" s="36"/>
      <c r="DI533" s="36"/>
      <c r="DJ533" s="36"/>
      <c r="DK533" s="36"/>
      <c r="DL533" s="36"/>
      <c r="DM533" s="36"/>
      <c r="DN533" s="36"/>
      <c r="DO533" s="36"/>
      <c r="DP533" s="36"/>
      <c r="DQ533" s="36"/>
      <c r="DR533" s="36"/>
      <c r="DS533" s="36"/>
      <c r="DT533" s="36"/>
      <c r="DU533" s="36"/>
      <c r="DV533" s="36"/>
      <c r="DW533" s="36"/>
      <c r="DX533" s="36"/>
      <c r="DY533" s="36"/>
      <c r="DZ533" s="36"/>
      <c r="EA533" s="36"/>
      <c r="EB533" s="36"/>
      <c r="EC533" s="36"/>
      <c r="ED533" s="36"/>
      <c r="EE533" s="36"/>
      <c r="EF533" s="36"/>
      <c r="EG533" s="36"/>
      <c r="EH533" s="36"/>
      <c r="EI533" s="36"/>
      <c r="EJ533" s="36"/>
      <c r="EK533" s="36"/>
      <c r="EL533" s="36"/>
      <c r="EM533" s="36"/>
      <c r="EN533" s="36"/>
      <c r="EO533" s="36"/>
      <c r="EP533" s="36"/>
      <c r="EQ533" s="36"/>
      <c r="ER533" s="36"/>
      <c r="ES533" s="36"/>
      <c r="ET533" s="36"/>
      <c r="EU533" s="36"/>
      <c r="EV533" s="36"/>
      <c r="EW533" s="36"/>
      <c r="EX533" s="36"/>
      <c r="EY533" s="36"/>
      <c r="EZ533" s="36"/>
      <c r="FA533" s="36"/>
      <c r="FB533" s="36"/>
      <c r="FC533" s="36"/>
      <c r="FD533" s="36"/>
      <c r="FE533" s="36"/>
      <c r="FF533" s="36"/>
      <c r="FG533" s="36"/>
      <c r="FH533" s="36"/>
      <c r="FI533" s="36"/>
      <c r="FJ533" s="36"/>
      <c r="FK533" s="36"/>
      <c r="FL533" s="36"/>
      <c r="FM533" s="36"/>
      <c r="FN533" s="36"/>
      <c r="FO533" s="36"/>
      <c r="FP533" s="36"/>
      <c r="FQ533" s="36"/>
      <c r="FR533" s="36"/>
      <c r="FS533" s="36"/>
      <c r="FT533" s="36"/>
      <c r="FU533" s="36"/>
      <c r="FV533" s="36"/>
      <c r="FW533" s="36"/>
      <c r="FX533" s="36"/>
      <c r="FY533" s="36"/>
      <c r="FZ533" s="36"/>
      <c r="GA533" s="36"/>
      <c r="GB533" s="36"/>
      <c r="GC533" s="36"/>
      <c r="GD533" s="36"/>
      <c r="GE533" s="36"/>
      <c r="GF533" s="36"/>
      <c r="GG533" s="36"/>
      <c r="GH533" s="36"/>
      <c r="GI533" s="36"/>
      <c r="GJ533" s="36"/>
      <c r="GK533" s="36"/>
      <c r="GL533" s="36"/>
      <c r="GM533" s="36"/>
      <c r="GN533" s="36"/>
      <c r="GO533" s="36"/>
      <c r="GP533" s="36"/>
      <c r="GQ533" s="36"/>
      <c r="GR533" s="36"/>
      <c r="GS533" s="36"/>
      <c r="GT533" s="36"/>
      <c r="GU533" s="36"/>
      <c r="GV533" s="36"/>
      <c r="GW533" s="36"/>
      <c r="GX533" s="36"/>
      <c r="GY533" s="36"/>
      <c r="GZ533" s="36"/>
      <c r="HA533" s="36"/>
      <c r="HB533" s="36"/>
      <c r="HC533" s="36"/>
      <c r="HD533" s="36"/>
      <c r="HE533" s="36"/>
      <c r="HF533" s="36"/>
      <c r="HG533" s="36"/>
      <c r="HH533" s="36"/>
      <c r="HI533" s="36"/>
      <c r="HJ533" s="36"/>
      <c r="HK533" s="36"/>
      <c r="HL533" s="36"/>
      <c r="HM533" s="36"/>
      <c r="HN533" s="36"/>
      <c r="HO533" s="36"/>
      <c r="HP533" s="36"/>
      <c r="HQ533" s="36"/>
      <c r="HR533" s="36"/>
      <c r="HS533" s="36"/>
      <c r="HT533" s="36"/>
      <c r="HU533" s="36"/>
      <c r="HV533" s="36"/>
      <c r="HW533" s="36"/>
      <c r="HX533" s="36"/>
      <c r="HY533" s="36"/>
      <c r="HZ533" s="36"/>
      <c r="IA533" s="36"/>
      <c r="IB533" s="36"/>
      <c r="IC533" s="36"/>
      <c r="ID533" s="36"/>
      <c r="IE533" s="36"/>
      <c r="IF533" s="36"/>
      <c r="IG533" s="36"/>
      <c r="IH533" s="36"/>
      <c r="II533" s="36"/>
      <c r="IJ533" s="36"/>
      <c r="IK533" s="36"/>
      <c r="IL533" s="36"/>
      <c r="IM533" s="36"/>
      <c r="IN533" s="36"/>
      <c r="IO533" s="36"/>
      <c r="IP533" s="36"/>
      <c r="IQ533" s="36"/>
      <c r="IR533" s="36"/>
      <c r="IS533" s="36"/>
      <c r="IT533" s="36"/>
      <c r="IU533" s="36"/>
      <c r="IV533" s="36"/>
      <c r="IW533" s="36"/>
      <c r="IX533" s="36"/>
      <c r="IY533" s="36"/>
      <c r="IZ533" s="36"/>
      <c r="JA533" s="36"/>
      <c r="JB533" s="36"/>
      <c r="JC533" s="36"/>
      <c r="JD533" s="36"/>
      <c r="JE533" s="36"/>
      <c r="JF533" s="36"/>
      <c r="JG533" s="36"/>
      <c r="JH533" s="36"/>
      <c r="JI533" s="36"/>
      <c r="JJ533" s="36"/>
      <c r="JK533" s="36"/>
      <c r="JL533" s="36"/>
      <c r="JM533" s="36"/>
      <c r="JN533" s="36"/>
      <c r="JO533" s="36"/>
      <c r="JP533" s="36"/>
      <c r="JQ533" s="36"/>
      <c r="JR533" s="36"/>
      <c r="JS533" s="36"/>
      <c r="JT533" s="36"/>
      <c r="JU533" s="36"/>
      <c r="JV533" s="36"/>
      <c r="JW533" s="36"/>
      <c r="JX533" s="36"/>
      <c r="JY533" s="36"/>
      <c r="JZ533" s="36"/>
      <c r="KA533" s="36"/>
      <c r="KB533" s="36"/>
      <c r="KC533" s="36"/>
      <c r="KD533" s="36"/>
      <c r="KE533" s="36"/>
      <c r="KF533" s="36"/>
      <c r="KG533" s="36"/>
      <c r="KH533" s="36"/>
      <c r="KI533" s="36"/>
      <c r="KJ533" s="36"/>
      <c r="KK533" s="36"/>
      <c r="KL533" s="36"/>
      <c r="KM533" s="36"/>
      <c r="KN533" s="36"/>
      <c r="KO533" s="36"/>
      <c r="KP533" s="36"/>
      <c r="KQ533" s="36"/>
      <c r="KR533" s="36"/>
      <c r="KS533" s="36"/>
      <c r="KT533" s="36"/>
      <c r="KU533" s="36"/>
      <c r="KV533" s="36"/>
      <c r="KW533" s="36"/>
      <c r="KX533" s="36"/>
      <c r="KY533" s="36"/>
      <c r="KZ533" s="36"/>
      <c r="LA533" s="36"/>
      <c r="LB533" s="36"/>
      <c r="LC533" s="36"/>
      <c r="LD533" s="36"/>
      <c r="LE533" s="36"/>
      <c r="LF533" s="36"/>
      <c r="LG533" s="36"/>
      <c r="LH533" s="36"/>
      <c r="LI533" s="36"/>
      <c r="LJ533" s="36"/>
      <c r="LK533" s="36"/>
      <c r="LL533" s="36"/>
      <c r="LM533" s="36"/>
      <c r="LN533" s="36"/>
      <c r="LO533" s="36"/>
      <c r="LP533" s="36"/>
      <c r="LQ533" s="36"/>
      <c r="LR533" s="36"/>
      <c r="LS533" s="36"/>
      <c r="LT533" s="36"/>
      <c r="LU533" s="36"/>
      <c r="LV533" s="36"/>
      <c r="LW533" s="36"/>
      <c r="LX533" s="36"/>
      <c r="LY533" s="36"/>
      <c r="LZ533" s="36"/>
      <c r="MA533" s="36"/>
      <c r="MB533" s="36"/>
      <c r="MC533" s="36"/>
      <c r="MD533" s="36"/>
      <c r="ME533" s="36"/>
      <c r="MF533" s="36"/>
      <c r="MG533" s="36"/>
      <c r="MH533" s="36"/>
      <c r="MI533" s="36"/>
      <c r="MJ533" s="36"/>
      <c r="MK533" s="36"/>
      <c r="ML533" s="36"/>
      <c r="MM533" s="36"/>
      <c r="MN533" s="36"/>
      <c r="MO533" s="36"/>
      <c r="MP533" s="36"/>
      <c r="MQ533" s="36"/>
      <c r="MR533" s="36"/>
      <c r="MS533" s="36"/>
      <c r="MT533" s="36"/>
      <c r="MU533" s="36"/>
      <c r="MV533" s="36"/>
      <c r="MW533" s="36"/>
      <c r="MX533" s="36"/>
      <c r="MY533" s="36"/>
      <c r="MZ533" s="36"/>
      <c r="NA533" s="36"/>
      <c r="NB533" s="36"/>
      <c r="NC533" s="36"/>
      <c r="ND533" s="36"/>
      <c r="NE533" s="36"/>
      <c r="NF533" s="36"/>
      <c r="NG533" s="36"/>
      <c r="NH533" s="36"/>
      <c r="NI533" s="36"/>
      <c r="NJ533" s="36"/>
      <c r="NK533" s="36"/>
      <c r="NL533" s="36"/>
      <c r="NM533" s="36"/>
      <c r="NN533" s="36"/>
      <c r="NO533" s="36"/>
      <c r="NP533" s="36"/>
      <c r="NQ533" s="36"/>
      <c r="NR533" s="36"/>
      <c r="NS533" s="36"/>
      <c r="NT533" s="36"/>
      <c r="NU533" s="36"/>
      <c r="NV533" s="36"/>
      <c r="NW533" s="36"/>
      <c r="NX533" s="36"/>
      <c r="NY533" s="36"/>
      <c r="NZ533" s="36"/>
      <c r="OA533" s="36"/>
      <c r="OB533" s="36"/>
      <c r="OC533" s="36"/>
      <c r="OD533" s="36"/>
      <c r="OE533" s="36"/>
      <c r="OF533" s="36"/>
      <c r="OG533" s="36"/>
      <c r="OH533" s="36"/>
      <c r="OI533" s="36"/>
      <c r="OJ533" s="36"/>
      <c r="OK533" s="36"/>
      <c r="OL533" s="36"/>
      <c r="OM533" s="36"/>
      <c r="ON533" s="36"/>
      <c r="OO533" s="36"/>
      <c r="OP533" s="36"/>
      <c r="OQ533" s="36"/>
      <c r="OR533" s="36"/>
      <c r="OS533" s="36"/>
      <c r="OT533" s="36"/>
      <c r="OU533" s="36"/>
      <c r="OV533" s="36"/>
      <c r="OW533" s="36"/>
      <c r="OX533" s="36"/>
    </row>
    <row r="534" spans="2:414" s="27" customFormat="1" ht="15.6">
      <c r="B534" s="51" t="s">
        <v>725</v>
      </c>
      <c r="C534" s="27" t="s">
        <v>319</v>
      </c>
      <c r="D534" s="29" t="s">
        <v>1052</v>
      </c>
      <c r="G534" s="49">
        <v>80</v>
      </c>
      <c r="H534" s="89">
        <v>26.109000000000002</v>
      </c>
      <c r="I534" s="38">
        <f t="shared" si="165"/>
        <v>2088.7200000000003</v>
      </c>
      <c r="K534" s="49">
        <v>80</v>
      </c>
      <c r="L534" s="90">
        <v>26.849599999999999</v>
      </c>
      <c r="M534" s="38">
        <f t="shared" si="166"/>
        <v>2147.9679999999998</v>
      </c>
      <c r="O534" s="49">
        <v>505</v>
      </c>
      <c r="P534" s="38">
        <v>26.728300000000001</v>
      </c>
      <c r="Q534" s="38">
        <f t="shared" si="167"/>
        <v>13497.791500000001</v>
      </c>
      <c r="R534" s="43">
        <f t="shared" si="164"/>
        <v>665</v>
      </c>
      <c r="S534" s="38">
        <f t="shared" si="168"/>
        <v>17734.479500000001</v>
      </c>
      <c r="T534" s="52">
        <v>240</v>
      </c>
      <c r="U534" s="52">
        <v>26.26</v>
      </c>
      <c r="V534" s="38">
        <f t="shared" si="161"/>
        <v>6302.4000000000005</v>
      </c>
      <c r="Y534" s="35">
        <v>5600</v>
      </c>
      <c r="Z534" s="78">
        <v>300</v>
      </c>
      <c r="AA534" s="27">
        <v>26.68</v>
      </c>
      <c r="AB534" s="32">
        <f>Z534*AA534</f>
        <v>8004</v>
      </c>
      <c r="AF534" s="42">
        <f t="shared" si="162"/>
        <v>0</v>
      </c>
      <c r="AU534" s="100"/>
      <c r="AV534" s="35"/>
      <c r="AW534" s="78"/>
      <c r="AZ534" s="42">
        <f t="shared" si="163"/>
        <v>0</v>
      </c>
      <c r="BD534" s="38">
        <f t="shared" si="169"/>
        <v>0</v>
      </c>
      <c r="BH534" s="38">
        <f t="shared" si="170"/>
        <v>0</v>
      </c>
      <c r="BL534" s="38">
        <f t="shared" si="171"/>
        <v>0</v>
      </c>
      <c r="BR534" s="42">
        <f t="shared" si="172"/>
        <v>19906.400000000001</v>
      </c>
      <c r="BS534" s="43"/>
      <c r="BT534" s="27">
        <v>2171.92</v>
      </c>
      <c r="BU534" s="36"/>
      <c r="BV534" s="36"/>
      <c r="BW534" s="36"/>
      <c r="BX534" s="36"/>
      <c r="BY534" s="36"/>
      <c r="BZ534" s="36"/>
      <c r="CA534" s="36"/>
      <c r="CB534" s="36"/>
      <c r="CC534" s="36"/>
      <c r="CD534" s="36"/>
      <c r="CE534" s="36"/>
      <c r="CF534" s="36"/>
      <c r="CG534" s="36"/>
      <c r="CH534" s="36"/>
      <c r="CI534" s="36"/>
      <c r="CJ534" s="36"/>
      <c r="CK534" s="36"/>
      <c r="CL534" s="36"/>
      <c r="CM534" s="36"/>
      <c r="CN534" s="36"/>
      <c r="CO534" s="36"/>
      <c r="CP534" s="36"/>
      <c r="CQ534" s="36"/>
      <c r="CR534" s="36"/>
      <c r="CS534" s="36"/>
      <c r="CT534" s="36"/>
      <c r="CU534" s="36"/>
      <c r="CV534" s="36"/>
      <c r="CW534" s="36"/>
      <c r="CX534" s="36"/>
      <c r="CY534" s="36"/>
      <c r="CZ534" s="36"/>
      <c r="DA534" s="36"/>
      <c r="DB534" s="36"/>
      <c r="DC534" s="36"/>
      <c r="DD534" s="36"/>
      <c r="DE534" s="36"/>
      <c r="DF534" s="36"/>
      <c r="DG534" s="36"/>
      <c r="DH534" s="36"/>
      <c r="DI534" s="36"/>
      <c r="DJ534" s="36"/>
      <c r="DK534" s="36"/>
      <c r="DL534" s="36"/>
      <c r="DM534" s="36"/>
      <c r="DN534" s="36"/>
      <c r="DO534" s="36"/>
      <c r="DP534" s="36"/>
      <c r="DQ534" s="36"/>
      <c r="DR534" s="36"/>
      <c r="DS534" s="36"/>
      <c r="DT534" s="36"/>
      <c r="DU534" s="36"/>
      <c r="DV534" s="36"/>
      <c r="DW534" s="36"/>
      <c r="DX534" s="36"/>
      <c r="DY534" s="36"/>
      <c r="DZ534" s="36"/>
      <c r="EA534" s="36"/>
      <c r="EB534" s="36"/>
      <c r="EC534" s="36"/>
      <c r="ED534" s="36"/>
      <c r="EE534" s="36"/>
      <c r="EF534" s="36"/>
      <c r="EG534" s="36"/>
      <c r="EH534" s="36"/>
      <c r="EI534" s="36"/>
      <c r="EJ534" s="36"/>
      <c r="EK534" s="36"/>
      <c r="EL534" s="36"/>
      <c r="EM534" s="36"/>
      <c r="EN534" s="36"/>
      <c r="EO534" s="36"/>
      <c r="EP534" s="36"/>
      <c r="EQ534" s="36"/>
      <c r="ER534" s="36"/>
      <c r="ES534" s="36"/>
      <c r="ET534" s="36"/>
      <c r="EU534" s="36"/>
      <c r="EV534" s="36"/>
      <c r="EW534" s="36"/>
      <c r="EX534" s="36"/>
      <c r="EY534" s="36"/>
      <c r="EZ534" s="36"/>
      <c r="FA534" s="36"/>
      <c r="FB534" s="36"/>
      <c r="FC534" s="36"/>
      <c r="FD534" s="36"/>
      <c r="FE534" s="36"/>
      <c r="FF534" s="36"/>
      <c r="FG534" s="36"/>
      <c r="FH534" s="36"/>
      <c r="FI534" s="36"/>
      <c r="FJ534" s="36"/>
      <c r="FK534" s="36"/>
      <c r="FL534" s="36"/>
      <c r="FM534" s="36"/>
      <c r="FN534" s="36"/>
      <c r="FO534" s="36"/>
      <c r="FP534" s="36"/>
      <c r="FQ534" s="36"/>
      <c r="FR534" s="36"/>
      <c r="FS534" s="36"/>
      <c r="FT534" s="36"/>
      <c r="FU534" s="36"/>
      <c r="FV534" s="36"/>
      <c r="FW534" s="36"/>
      <c r="FX534" s="36"/>
      <c r="FY534" s="36"/>
      <c r="FZ534" s="36"/>
      <c r="GA534" s="36"/>
      <c r="GB534" s="36"/>
      <c r="GC534" s="36"/>
      <c r="GD534" s="36"/>
      <c r="GE534" s="36"/>
      <c r="GF534" s="36"/>
      <c r="GG534" s="36"/>
      <c r="GH534" s="36"/>
      <c r="GI534" s="36"/>
      <c r="GJ534" s="36"/>
      <c r="GK534" s="36"/>
      <c r="GL534" s="36"/>
      <c r="GM534" s="36"/>
      <c r="GN534" s="36"/>
      <c r="GO534" s="36"/>
      <c r="GP534" s="36"/>
      <c r="GQ534" s="36"/>
      <c r="GR534" s="36"/>
      <c r="GS534" s="36"/>
      <c r="GT534" s="36"/>
      <c r="GU534" s="36"/>
      <c r="GV534" s="36"/>
      <c r="GW534" s="36"/>
      <c r="GX534" s="36"/>
      <c r="GY534" s="36"/>
      <c r="GZ534" s="36"/>
      <c r="HA534" s="36"/>
      <c r="HB534" s="36"/>
      <c r="HC534" s="36"/>
      <c r="HD534" s="36"/>
      <c r="HE534" s="36"/>
      <c r="HF534" s="36"/>
      <c r="HG534" s="36"/>
      <c r="HH534" s="36"/>
      <c r="HI534" s="36"/>
      <c r="HJ534" s="36"/>
      <c r="HK534" s="36"/>
      <c r="HL534" s="36"/>
      <c r="HM534" s="36"/>
      <c r="HN534" s="36"/>
      <c r="HO534" s="36"/>
      <c r="HP534" s="36"/>
      <c r="HQ534" s="36"/>
      <c r="HR534" s="36"/>
      <c r="HS534" s="36"/>
      <c r="HT534" s="36"/>
      <c r="HU534" s="36"/>
      <c r="HV534" s="36"/>
      <c r="HW534" s="36"/>
      <c r="HX534" s="36"/>
      <c r="HY534" s="36"/>
      <c r="HZ534" s="36"/>
      <c r="IA534" s="36"/>
      <c r="IB534" s="36"/>
      <c r="IC534" s="36"/>
      <c r="ID534" s="36"/>
      <c r="IE534" s="36"/>
      <c r="IF534" s="36"/>
      <c r="IG534" s="36"/>
      <c r="IH534" s="36"/>
      <c r="II534" s="36"/>
      <c r="IJ534" s="36"/>
      <c r="IK534" s="36"/>
      <c r="IL534" s="36"/>
      <c r="IM534" s="36"/>
      <c r="IN534" s="36"/>
      <c r="IO534" s="36"/>
      <c r="IP534" s="36"/>
      <c r="IQ534" s="36"/>
      <c r="IR534" s="36"/>
      <c r="IS534" s="36"/>
      <c r="IT534" s="36"/>
      <c r="IU534" s="36"/>
      <c r="IV534" s="36"/>
      <c r="IW534" s="36"/>
      <c r="IX534" s="36"/>
      <c r="IY534" s="36"/>
      <c r="IZ534" s="36"/>
      <c r="JA534" s="36"/>
      <c r="JB534" s="36"/>
      <c r="JC534" s="36"/>
      <c r="JD534" s="36"/>
      <c r="JE534" s="36"/>
      <c r="JF534" s="36"/>
      <c r="JG534" s="36"/>
      <c r="JH534" s="36"/>
      <c r="JI534" s="36"/>
      <c r="JJ534" s="36"/>
      <c r="JK534" s="36"/>
      <c r="JL534" s="36"/>
      <c r="JM534" s="36"/>
      <c r="JN534" s="36"/>
      <c r="JO534" s="36"/>
      <c r="JP534" s="36"/>
      <c r="JQ534" s="36"/>
      <c r="JR534" s="36"/>
      <c r="JS534" s="36"/>
      <c r="JT534" s="36"/>
      <c r="JU534" s="36"/>
      <c r="JV534" s="36"/>
      <c r="JW534" s="36"/>
      <c r="JX534" s="36"/>
      <c r="JY534" s="36"/>
      <c r="JZ534" s="36"/>
      <c r="KA534" s="36"/>
      <c r="KB534" s="36"/>
      <c r="KC534" s="36"/>
      <c r="KD534" s="36"/>
      <c r="KE534" s="36"/>
      <c r="KF534" s="36"/>
      <c r="KG534" s="36"/>
      <c r="KH534" s="36"/>
      <c r="KI534" s="36"/>
      <c r="KJ534" s="36"/>
      <c r="KK534" s="36"/>
      <c r="KL534" s="36"/>
      <c r="KM534" s="36"/>
      <c r="KN534" s="36"/>
      <c r="KO534" s="36"/>
      <c r="KP534" s="36"/>
      <c r="KQ534" s="36"/>
      <c r="KR534" s="36"/>
      <c r="KS534" s="36"/>
      <c r="KT534" s="36"/>
      <c r="KU534" s="36"/>
      <c r="KV534" s="36"/>
      <c r="KW534" s="36"/>
      <c r="KX534" s="36"/>
      <c r="KY534" s="36"/>
      <c r="KZ534" s="36"/>
      <c r="LA534" s="36"/>
      <c r="LB534" s="36"/>
      <c r="LC534" s="36"/>
      <c r="LD534" s="36"/>
      <c r="LE534" s="36"/>
      <c r="LF534" s="36"/>
      <c r="LG534" s="36"/>
      <c r="LH534" s="36"/>
      <c r="LI534" s="36"/>
      <c r="LJ534" s="36"/>
      <c r="LK534" s="36"/>
      <c r="LL534" s="36"/>
      <c r="LM534" s="36"/>
      <c r="LN534" s="36"/>
      <c r="LO534" s="36"/>
      <c r="LP534" s="36"/>
      <c r="LQ534" s="36"/>
      <c r="LR534" s="36"/>
      <c r="LS534" s="36"/>
      <c r="LT534" s="36"/>
      <c r="LU534" s="36"/>
      <c r="LV534" s="36"/>
      <c r="LW534" s="36"/>
      <c r="LX534" s="36"/>
      <c r="LY534" s="36"/>
      <c r="LZ534" s="36"/>
      <c r="MA534" s="36"/>
      <c r="MB534" s="36"/>
      <c r="MC534" s="36"/>
      <c r="MD534" s="36"/>
      <c r="ME534" s="36"/>
      <c r="MF534" s="36"/>
      <c r="MG534" s="36"/>
      <c r="MH534" s="36"/>
      <c r="MI534" s="36"/>
      <c r="MJ534" s="36"/>
      <c r="MK534" s="36"/>
      <c r="ML534" s="36"/>
      <c r="MM534" s="36"/>
      <c r="MN534" s="36"/>
      <c r="MO534" s="36"/>
      <c r="MP534" s="36"/>
      <c r="MQ534" s="36"/>
      <c r="MR534" s="36"/>
      <c r="MS534" s="36"/>
      <c r="MT534" s="36"/>
      <c r="MU534" s="36"/>
      <c r="MV534" s="36"/>
      <c r="MW534" s="36"/>
      <c r="MX534" s="36"/>
      <c r="MY534" s="36"/>
      <c r="MZ534" s="36"/>
      <c r="NA534" s="36"/>
      <c r="NB534" s="36"/>
      <c r="NC534" s="36"/>
      <c r="ND534" s="36"/>
      <c r="NE534" s="36"/>
      <c r="NF534" s="36"/>
      <c r="NG534" s="36"/>
      <c r="NH534" s="36"/>
      <c r="NI534" s="36"/>
      <c r="NJ534" s="36"/>
      <c r="NK534" s="36"/>
      <c r="NL534" s="36"/>
      <c r="NM534" s="36"/>
      <c r="NN534" s="36"/>
      <c r="NO534" s="36"/>
      <c r="NP534" s="36"/>
      <c r="NQ534" s="36"/>
      <c r="NR534" s="36"/>
      <c r="NS534" s="36"/>
      <c r="NT534" s="36"/>
      <c r="NU534" s="36"/>
      <c r="NV534" s="36"/>
      <c r="NW534" s="36"/>
      <c r="NX534" s="36"/>
      <c r="NY534" s="36"/>
      <c r="NZ534" s="36"/>
      <c r="OA534" s="36"/>
      <c r="OB534" s="36"/>
      <c r="OC534" s="36"/>
      <c r="OD534" s="36"/>
      <c r="OE534" s="36"/>
      <c r="OF534" s="36"/>
      <c r="OG534" s="36"/>
      <c r="OH534" s="36"/>
      <c r="OI534" s="36"/>
      <c r="OJ534" s="36"/>
      <c r="OK534" s="36"/>
      <c r="OL534" s="36"/>
      <c r="OM534" s="36"/>
      <c r="ON534" s="36"/>
      <c r="OO534" s="36"/>
      <c r="OP534" s="36"/>
      <c r="OQ534" s="36"/>
      <c r="OR534" s="36"/>
      <c r="OS534" s="36"/>
      <c r="OT534" s="36"/>
      <c r="OU534" s="36"/>
      <c r="OV534" s="36"/>
      <c r="OW534" s="36"/>
      <c r="OX534" s="36"/>
    </row>
    <row r="535" spans="2:414" s="27" customFormat="1" ht="15.6">
      <c r="B535" s="51" t="s">
        <v>735</v>
      </c>
      <c r="C535" s="27" t="s">
        <v>735</v>
      </c>
      <c r="D535" s="29" t="s">
        <v>1052</v>
      </c>
      <c r="G535" s="49">
        <v>80</v>
      </c>
      <c r="H535" s="89">
        <v>26.109000000000002</v>
      </c>
      <c r="I535" s="38">
        <f t="shared" si="165"/>
        <v>2088.7200000000003</v>
      </c>
      <c r="K535" s="49">
        <v>80</v>
      </c>
      <c r="L535" s="90">
        <v>26.849599999999999</v>
      </c>
      <c r="M535" s="38">
        <f t="shared" si="166"/>
        <v>2147.9679999999998</v>
      </c>
      <c r="O535" s="49">
        <v>505</v>
      </c>
      <c r="P535" s="38">
        <v>26.728300000000001</v>
      </c>
      <c r="Q535" s="38">
        <f t="shared" si="167"/>
        <v>13497.791500000001</v>
      </c>
      <c r="R535" s="43">
        <f t="shared" si="164"/>
        <v>665</v>
      </c>
      <c r="S535" s="38">
        <f t="shared" si="168"/>
        <v>17734.479500000001</v>
      </c>
      <c r="T535" s="27">
        <v>240</v>
      </c>
      <c r="U535" s="52">
        <v>26.26</v>
      </c>
      <c r="V535" s="38">
        <f t="shared" si="161"/>
        <v>6302.4000000000005</v>
      </c>
      <c r="W535" s="52">
        <v>505</v>
      </c>
      <c r="X535" s="52">
        <v>26.570799999999998</v>
      </c>
      <c r="Y535" s="35">
        <f>W535*X535</f>
        <v>13418.253999999999</v>
      </c>
      <c r="Z535" s="78"/>
      <c r="AB535" s="32">
        <f>Z535*AA535</f>
        <v>0</v>
      </c>
      <c r="AF535" s="42">
        <f t="shared" si="162"/>
        <v>0</v>
      </c>
      <c r="AU535" s="100"/>
      <c r="AV535" s="35"/>
      <c r="AW535" s="78"/>
      <c r="AZ535" s="42">
        <f t="shared" si="163"/>
        <v>0</v>
      </c>
      <c r="BD535" s="38">
        <f t="shared" si="169"/>
        <v>0</v>
      </c>
      <c r="BH535" s="38">
        <f t="shared" si="170"/>
        <v>0</v>
      </c>
      <c r="BL535" s="38">
        <f t="shared" si="171"/>
        <v>0</v>
      </c>
      <c r="BR535" s="42">
        <f t="shared" si="172"/>
        <v>19720.653999999999</v>
      </c>
      <c r="BS535" s="43"/>
      <c r="BT535" s="27">
        <v>1986.17</v>
      </c>
      <c r="BU535" s="36"/>
      <c r="BV535" s="36"/>
      <c r="BW535" s="36"/>
      <c r="BX535" s="36"/>
      <c r="BY535" s="36"/>
      <c r="BZ535" s="36"/>
      <c r="CA535" s="36"/>
      <c r="CB535" s="36"/>
      <c r="CC535" s="36"/>
      <c r="CD535" s="36"/>
      <c r="CE535" s="36"/>
      <c r="CF535" s="36"/>
      <c r="CG535" s="36"/>
      <c r="CH535" s="36"/>
      <c r="CI535" s="36"/>
      <c r="CJ535" s="36"/>
      <c r="CK535" s="36"/>
      <c r="CL535" s="36"/>
      <c r="CM535" s="36"/>
      <c r="CN535" s="36"/>
      <c r="CO535" s="36"/>
      <c r="CP535" s="36"/>
      <c r="CQ535" s="36"/>
      <c r="CR535" s="36"/>
      <c r="CS535" s="36"/>
      <c r="CT535" s="36"/>
      <c r="CU535" s="36"/>
      <c r="CV535" s="36"/>
      <c r="CW535" s="36"/>
      <c r="CX535" s="36"/>
      <c r="CY535" s="36"/>
      <c r="CZ535" s="36"/>
      <c r="DA535" s="36"/>
      <c r="DB535" s="36"/>
      <c r="DC535" s="36"/>
      <c r="DD535" s="36"/>
      <c r="DE535" s="36"/>
      <c r="DF535" s="36"/>
      <c r="DG535" s="36"/>
      <c r="DH535" s="36"/>
      <c r="DI535" s="36"/>
      <c r="DJ535" s="36"/>
      <c r="DK535" s="36"/>
      <c r="DL535" s="36"/>
      <c r="DM535" s="36"/>
      <c r="DN535" s="36"/>
      <c r="DO535" s="36"/>
      <c r="DP535" s="36"/>
      <c r="DQ535" s="36"/>
      <c r="DR535" s="36"/>
      <c r="DS535" s="36"/>
      <c r="DT535" s="36"/>
      <c r="DU535" s="36"/>
      <c r="DV535" s="36"/>
      <c r="DW535" s="36"/>
      <c r="DX535" s="36"/>
      <c r="DY535" s="36"/>
      <c r="DZ535" s="36"/>
      <c r="EA535" s="36"/>
      <c r="EB535" s="36"/>
      <c r="EC535" s="36"/>
      <c r="ED535" s="36"/>
      <c r="EE535" s="36"/>
      <c r="EF535" s="36"/>
      <c r="EG535" s="36"/>
      <c r="EH535" s="36"/>
      <c r="EI535" s="36"/>
      <c r="EJ535" s="36"/>
      <c r="EK535" s="36"/>
      <c r="EL535" s="36"/>
      <c r="EM535" s="36"/>
      <c r="EN535" s="36"/>
      <c r="EO535" s="36"/>
      <c r="EP535" s="36"/>
      <c r="EQ535" s="36"/>
      <c r="ER535" s="36"/>
      <c r="ES535" s="36"/>
      <c r="ET535" s="36"/>
      <c r="EU535" s="36"/>
      <c r="EV535" s="36"/>
      <c r="EW535" s="36"/>
      <c r="EX535" s="36"/>
      <c r="EY535" s="36"/>
      <c r="EZ535" s="36"/>
      <c r="FA535" s="36"/>
      <c r="FB535" s="36"/>
      <c r="FC535" s="36"/>
      <c r="FD535" s="36"/>
      <c r="FE535" s="36"/>
      <c r="FF535" s="36"/>
      <c r="FG535" s="36"/>
      <c r="FH535" s="36"/>
      <c r="FI535" s="36"/>
      <c r="FJ535" s="36"/>
      <c r="FK535" s="36"/>
      <c r="FL535" s="36"/>
      <c r="FM535" s="36"/>
      <c r="FN535" s="36"/>
      <c r="FO535" s="36"/>
      <c r="FP535" s="36"/>
      <c r="FQ535" s="36"/>
      <c r="FR535" s="36"/>
      <c r="FS535" s="36"/>
      <c r="FT535" s="36"/>
      <c r="FU535" s="36"/>
      <c r="FV535" s="36"/>
      <c r="FW535" s="36"/>
      <c r="FX535" s="36"/>
      <c r="FY535" s="36"/>
      <c r="FZ535" s="36"/>
      <c r="GA535" s="36"/>
      <c r="GB535" s="36"/>
      <c r="GC535" s="36"/>
      <c r="GD535" s="36"/>
      <c r="GE535" s="36"/>
      <c r="GF535" s="36"/>
      <c r="GG535" s="36"/>
      <c r="GH535" s="36"/>
      <c r="GI535" s="36"/>
      <c r="GJ535" s="36"/>
      <c r="GK535" s="36"/>
      <c r="GL535" s="36"/>
      <c r="GM535" s="36"/>
      <c r="GN535" s="36"/>
      <c r="GO535" s="36"/>
      <c r="GP535" s="36"/>
      <c r="GQ535" s="36"/>
      <c r="GR535" s="36"/>
      <c r="GS535" s="36"/>
      <c r="GT535" s="36"/>
      <c r="GU535" s="36"/>
      <c r="GV535" s="36"/>
      <c r="GW535" s="36"/>
      <c r="GX535" s="36"/>
      <c r="GY535" s="36"/>
      <c r="GZ535" s="36"/>
      <c r="HA535" s="36"/>
      <c r="HB535" s="36"/>
      <c r="HC535" s="36"/>
      <c r="HD535" s="36"/>
      <c r="HE535" s="36"/>
      <c r="HF535" s="36"/>
      <c r="HG535" s="36"/>
      <c r="HH535" s="36"/>
      <c r="HI535" s="36"/>
      <c r="HJ535" s="36"/>
      <c r="HK535" s="36"/>
      <c r="HL535" s="36"/>
      <c r="HM535" s="36"/>
      <c r="HN535" s="36"/>
      <c r="HO535" s="36"/>
      <c r="HP535" s="36"/>
      <c r="HQ535" s="36"/>
      <c r="HR535" s="36"/>
      <c r="HS535" s="36"/>
      <c r="HT535" s="36"/>
      <c r="HU535" s="36"/>
      <c r="HV535" s="36"/>
      <c r="HW535" s="36"/>
      <c r="HX535" s="36"/>
      <c r="HY535" s="36"/>
      <c r="HZ535" s="36"/>
      <c r="IA535" s="36"/>
      <c r="IB535" s="36"/>
      <c r="IC535" s="36"/>
      <c r="ID535" s="36"/>
      <c r="IE535" s="36"/>
      <c r="IF535" s="36"/>
      <c r="IG535" s="36"/>
      <c r="IH535" s="36"/>
      <c r="II535" s="36"/>
      <c r="IJ535" s="36"/>
      <c r="IK535" s="36"/>
      <c r="IL535" s="36"/>
      <c r="IM535" s="36"/>
      <c r="IN535" s="36"/>
      <c r="IO535" s="36"/>
      <c r="IP535" s="36"/>
      <c r="IQ535" s="36"/>
      <c r="IR535" s="36"/>
      <c r="IS535" s="36"/>
      <c r="IT535" s="36"/>
      <c r="IU535" s="36"/>
      <c r="IV535" s="36"/>
      <c r="IW535" s="36"/>
      <c r="IX535" s="36"/>
      <c r="IY535" s="36"/>
      <c r="IZ535" s="36"/>
      <c r="JA535" s="36"/>
      <c r="JB535" s="36"/>
      <c r="JC535" s="36"/>
      <c r="JD535" s="36"/>
      <c r="JE535" s="36"/>
      <c r="JF535" s="36"/>
      <c r="JG535" s="36"/>
      <c r="JH535" s="36"/>
      <c r="JI535" s="36"/>
      <c r="JJ535" s="36"/>
      <c r="JK535" s="36"/>
      <c r="JL535" s="36"/>
      <c r="JM535" s="36"/>
      <c r="JN535" s="36"/>
      <c r="JO535" s="36"/>
      <c r="JP535" s="36"/>
      <c r="JQ535" s="36"/>
      <c r="JR535" s="36"/>
      <c r="JS535" s="36"/>
      <c r="JT535" s="36"/>
      <c r="JU535" s="36"/>
      <c r="JV535" s="36"/>
      <c r="JW535" s="36"/>
      <c r="JX535" s="36"/>
      <c r="JY535" s="36"/>
      <c r="JZ535" s="36"/>
      <c r="KA535" s="36"/>
      <c r="KB535" s="36"/>
      <c r="KC535" s="36"/>
      <c r="KD535" s="36"/>
      <c r="KE535" s="36"/>
      <c r="KF535" s="36"/>
      <c r="KG535" s="36"/>
      <c r="KH535" s="36"/>
      <c r="KI535" s="36"/>
      <c r="KJ535" s="36"/>
      <c r="KK535" s="36"/>
      <c r="KL535" s="36"/>
      <c r="KM535" s="36"/>
      <c r="KN535" s="36"/>
      <c r="KO535" s="36"/>
      <c r="KP535" s="36"/>
      <c r="KQ535" s="36"/>
      <c r="KR535" s="36"/>
      <c r="KS535" s="36"/>
      <c r="KT535" s="36"/>
      <c r="KU535" s="36"/>
      <c r="KV535" s="36"/>
      <c r="KW535" s="36"/>
      <c r="KX535" s="36"/>
      <c r="KY535" s="36"/>
      <c r="KZ535" s="36"/>
      <c r="LA535" s="36"/>
      <c r="LB535" s="36"/>
      <c r="LC535" s="36"/>
      <c r="LD535" s="36"/>
      <c r="LE535" s="36"/>
      <c r="LF535" s="36"/>
      <c r="LG535" s="36"/>
      <c r="LH535" s="36"/>
      <c r="LI535" s="36"/>
      <c r="LJ535" s="36"/>
      <c r="LK535" s="36"/>
      <c r="LL535" s="36"/>
      <c r="LM535" s="36"/>
      <c r="LN535" s="36"/>
      <c r="LO535" s="36"/>
      <c r="LP535" s="36"/>
      <c r="LQ535" s="36"/>
      <c r="LR535" s="36"/>
      <c r="LS535" s="36"/>
      <c r="LT535" s="36"/>
      <c r="LU535" s="36"/>
      <c r="LV535" s="36"/>
      <c r="LW535" s="36"/>
      <c r="LX535" s="36"/>
      <c r="LY535" s="36"/>
      <c r="LZ535" s="36"/>
      <c r="MA535" s="36"/>
      <c r="MB535" s="36"/>
      <c r="MC535" s="36"/>
      <c r="MD535" s="36"/>
      <c r="ME535" s="36"/>
      <c r="MF535" s="36"/>
      <c r="MG535" s="36"/>
      <c r="MH535" s="36"/>
      <c r="MI535" s="36"/>
      <c r="MJ535" s="36"/>
      <c r="MK535" s="36"/>
      <c r="ML535" s="36"/>
      <c r="MM535" s="36"/>
      <c r="MN535" s="36"/>
      <c r="MO535" s="36"/>
      <c r="MP535" s="36"/>
      <c r="MQ535" s="36"/>
      <c r="MR535" s="36"/>
      <c r="MS535" s="36"/>
      <c r="MT535" s="36"/>
      <c r="MU535" s="36"/>
      <c r="MV535" s="36"/>
      <c r="MW535" s="36"/>
      <c r="MX535" s="36"/>
      <c r="MY535" s="36"/>
      <c r="MZ535" s="36"/>
      <c r="NA535" s="36"/>
      <c r="NB535" s="36"/>
      <c r="NC535" s="36"/>
      <c r="ND535" s="36"/>
      <c r="NE535" s="36"/>
      <c r="NF535" s="36"/>
      <c r="NG535" s="36"/>
      <c r="NH535" s="36"/>
      <c r="NI535" s="36"/>
      <c r="NJ535" s="36"/>
      <c r="NK535" s="36"/>
      <c r="NL535" s="36"/>
      <c r="NM535" s="36"/>
      <c r="NN535" s="36"/>
      <c r="NO535" s="36"/>
      <c r="NP535" s="36"/>
      <c r="NQ535" s="36"/>
      <c r="NR535" s="36"/>
      <c r="NS535" s="36"/>
      <c r="NT535" s="36"/>
      <c r="NU535" s="36"/>
      <c r="NV535" s="36"/>
      <c r="NW535" s="36"/>
      <c r="NX535" s="36"/>
      <c r="NY535" s="36"/>
      <c r="NZ535" s="36"/>
      <c r="OA535" s="36"/>
      <c r="OB535" s="36"/>
      <c r="OC535" s="36"/>
      <c r="OD535" s="36"/>
      <c r="OE535" s="36"/>
      <c r="OF535" s="36"/>
      <c r="OG535" s="36"/>
      <c r="OH535" s="36"/>
      <c r="OI535" s="36"/>
      <c r="OJ535" s="36"/>
      <c r="OK535" s="36"/>
      <c r="OL535" s="36"/>
      <c r="OM535" s="36"/>
      <c r="ON535" s="36"/>
      <c r="OO535" s="36"/>
      <c r="OP535" s="36"/>
      <c r="OQ535" s="36"/>
      <c r="OR535" s="36"/>
      <c r="OS535" s="36"/>
      <c r="OT535" s="36"/>
      <c r="OU535" s="36"/>
      <c r="OV535" s="36"/>
      <c r="OW535" s="36"/>
      <c r="OX535" s="36"/>
    </row>
    <row r="536" spans="2:414" s="27" customFormat="1" ht="15.6">
      <c r="B536" s="51" t="s">
        <v>1054</v>
      </c>
      <c r="C536" s="27" t="s">
        <v>1055</v>
      </c>
      <c r="D536" s="29" t="s">
        <v>1052</v>
      </c>
      <c r="G536" s="49">
        <v>80</v>
      </c>
      <c r="H536" s="89">
        <v>26.109000000000002</v>
      </c>
      <c r="I536" s="38">
        <f t="shared" si="165"/>
        <v>2088.7200000000003</v>
      </c>
      <c r="K536" s="49">
        <v>80</v>
      </c>
      <c r="L536" s="90">
        <v>26.849599999999999</v>
      </c>
      <c r="M536" s="38">
        <f t="shared" si="166"/>
        <v>2147.9679999999998</v>
      </c>
      <c r="O536" s="49">
        <v>505</v>
      </c>
      <c r="P536" s="38">
        <v>26.728300000000001</v>
      </c>
      <c r="Q536" s="38">
        <f t="shared" si="167"/>
        <v>13497.791500000001</v>
      </c>
      <c r="R536" s="43">
        <f t="shared" si="164"/>
        <v>665</v>
      </c>
      <c r="S536" s="38">
        <f t="shared" si="168"/>
        <v>17734.479500000001</v>
      </c>
      <c r="T536" s="52">
        <v>240</v>
      </c>
      <c r="U536" s="52">
        <v>26.26</v>
      </c>
      <c r="V536" s="38">
        <f t="shared" si="161"/>
        <v>6302.4000000000005</v>
      </c>
      <c r="W536" s="52">
        <v>505</v>
      </c>
      <c r="X536" s="52">
        <v>26.795400000000001</v>
      </c>
      <c r="Y536" s="35">
        <f t="shared" ref="Y536:Y599" si="174">W536*X536</f>
        <v>13531.677</v>
      </c>
      <c r="Z536" s="78"/>
      <c r="AB536" s="32">
        <f t="shared" ref="AB536:AB578" si="175">Z536*AA536</f>
        <v>0</v>
      </c>
      <c r="AF536" s="42">
        <f t="shared" si="162"/>
        <v>0</v>
      </c>
      <c r="AU536" s="100"/>
      <c r="AV536" s="35"/>
      <c r="AW536" s="78"/>
      <c r="AZ536" s="42">
        <f t="shared" si="163"/>
        <v>0</v>
      </c>
      <c r="BD536" s="38">
        <f t="shared" si="169"/>
        <v>0</v>
      </c>
      <c r="BH536" s="38">
        <f t="shared" si="170"/>
        <v>0</v>
      </c>
      <c r="BL536" s="38">
        <f t="shared" si="171"/>
        <v>0</v>
      </c>
      <c r="BR536" s="42">
        <f t="shared" si="172"/>
        <v>19834.077000000001</v>
      </c>
      <c r="BS536" s="43"/>
      <c r="BT536" s="27">
        <v>2099.6</v>
      </c>
      <c r="BU536" s="36"/>
      <c r="BV536" s="36"/>
      <c r="BW536" s="36"/>
      <c r="BX536" s="36"/>
      <c r="BY536" s="36"/>
      <c r="BZ536" s="36"/>
      <c r="CA536" s="36"/>
      <c r="CB536" s="36"/>
      <c r="CC536" s="36"/>
      <c r="CD536" s="36"/>
      <c r="CE536" s="36"/>
      <c r="CF536" s="36"/>
      <c r="CG536" s="36"/>
      <c r="CH536" s="36"/>
      <c r="CI536" s="36"/>
      <c r="CJ536" s="36"/>
      <c r="CK536" s="36"/>
      <c r="CL536" s="36"/>
      <c r="CM536" s="36"/>
      <c r="CN536" s="36"/>
      <c r="CO536" s="36"/>
      <c r="CP536" s="36"/>
      <c r="CQ536" s="36"/>
      <c r="CR536" s="36"/>
      <c r="CS536" s="36"/>
      <c r="CT536" s="36"/>
      <c r="CU536" s="36"/>
      <c r="CV536" s="36"/>
      <c r="CW536" s="36"/>
      <c r="CX536" s="36"/>
      <c r="CY536" s="36"/>
      <c r="CZ536" s="36"/>
      <c r="DA536" s="36"/>
      <c r="DB536" s="36"/>
      <c r="DC536" s="36"/>
      <c r="DD536" s="36"/>
      <c r="DE536" s="36"/>
      <c r="DF536" s="36"/>
      <c r="DG536" s="36"/>
      <c r="DH536" s="36"/>
      <c r="DI536" s="36"/>
      <c r="DJ536" s="36"/>
      <c r="DK536" s="36"/>
      <c r="DL536" s="36"/>
      <c r="DM536" s="36"/>
      <c r="DN536" s="36"/>
      <c r="DO536" s="36"/>
      <c r="DP536" s="36"/>
      <c r="DQ536" s="36"/>
      <c r="DR536" s="36"/>
      <c r="DS536" s="36"/>
      <c r="DT536" s="36"/>
      <c r="DU536" s="36"/>
      <c r="DV536" s="36"/>
      <c r="DW536" s="36"/>
      <c r="DX536" s="36"/>
      <c r="DY536" s="36"/>
      <c r="DZ536" s="36"/>
      <c r="EA536" s="36"/>
      <c r="EB536" s="36"/>
      <c r="EC536" s="36"/>
      <c r="ED536" s="36"/>
      <c r="EE536" s="36"/>
      <c r="EF536" s="36"/>
      <c r="EG536" s="36"/>
      <c r="EH536" s="36"/>
      <c r="EI536" s="36"/>
      <c r="EJ536" s="36"/>
      <c r="EK536" s="36"/>
      <c r="EL536" s="36"/>
      <c r="EM536" s="36"/>
      <c r="EN536" s="36"/>
      <c r="EO536" s="36"/>
      <c r="EP536" s="36"/>
      <c r="EQ536" s="36"/>
      <c r="ER536" s="36"/>
      <c r="ES536" s="36"/>
      <c r="ET536" s="36"/>
      <c r="EU536" s="36"/>
      <c r="EV536" s="36"/>
      <c r="EW536" s="36"/>
      <c r="EX536" s="36"/>
      <c r="EY536" s="36"/>
      <c r="EZ536" s="36"/>
      <c r="FA536" s="36"/>
      <c r="FB536" s="36"/>
      <c r="FC536" s="36"/>
      <c r="FD536" s="36"/>
      <c r="FE536" s="36"/>
      <c r="FF536" s="36"/>
      <c r="FG536" s="36"/>
      <c r="FH536" s="36"/>
      <c r="FI536" s="36"/>
      <c r="FJ536" s="36"/>
      <c r="FK536" s="36"/>
      <c r="FL536" s="36"/>
      <c r="FM536" s="36"/>
      <c r="FN536" s="36"/>
      <c r="FO536" s="36"/>
      <c r="FP536" s="36"/>
      <c r="FQ536" s="36"/>
      <c r="FR536" s="36"/>
      <c r="FS536" s="36"/>
      <c r="FT536" s="36"/>
      <c r="FU536" s="36"/>
      <c r="FV536" s="36"/>
      <c r="FW536" s="36"/>
      <c r="FX536" s="36"/>
      <c r="FY536" s="36"/>
      <c r="FZ536" s="36"/>
      <c r="GA536" s="36"/>
      <c r="GB536" s="36"/>
      <c r="GC536" s="36"/>
      <c r="GD536" s="36"/>
      <c r="GE536" s="36"/>
      <c r="GF536" s="36"/>
      <c r="GG536" s="36"/>
      <c r="GH536" s="36"/>
      <c r="GI536" s="36"/>
      <c r="GJ536" s="36"/>
      <c r="GK536" s="36"/>
      <c r="GL536" s="36"/>
      <c r="GM536" s="36"/>
      <c r="GN536" s="36"/>
      <c r="GO536" s="36"/>
      <c r="GP536" s="36"/>
      <c r="GQ536" s="36"/>
      <c r="GR536" s="36"/>
      <c r="GS536" s="36"/>
      <c r="GT536" s="36"/>
      <c r="GU536" s="36"/>
      <c r="GV536" s="36"/>
      <c r="GW536" s="36"/>
      <c r="GX536" s="36"/>
      <c r="GY536" s="36"/>
      <c r="GZ536" s="36"/>
      <c r="HA536" s="36"/>
      <c r="HB536" s="36"/>
      <c r="HC536" s="36"/>
      <c r="HD536" s="36"/>
      <c r="HE536" s="36"/>
      <c r="HF536" s="36"/>
      <c r="HG536" s="36"/>
      <c r="HH536" s="36"/>
      <c r="HI536" s="36"/>
      <c r="HJ536" s="36"/>
      <c r="HK536" s="36"/>
      <c r="HL536" s="36"/>
      <c r="HM536" s="36"/>
      <c r="HN536" s="36"/>
      <c r="HO536" s="36"/>
      <c r="HP536" s="36"/>
      <c r="HQ536" s="36"/>
      <c r="HR536" s="36"/>
      <c r="HS536" s="36"/>
      <c r="HT536" s="36"/>
      <c r="HU536" s="36"/>
      <c r="HV536" s="36"/>
      <c r="HW536" s="36"/>
      <c r="HX536" s="36"/>
      <c r="HY536" s="36"/>
      <c r="HZ536" s="36"/>
      <c r="IA536" s="36"/>
      <c r="IB536" s="36"/>
      <c r="IC536" s="36"/>
      <c r="ID536" s="36"/>
      <c r="IE536" s="36"/>
      <c r="IF536" s="36"/>
      <c r="IG536" s="36"/>
      <c r="IH536" s="36"/>
      <c r="II536" s="36"/>
      <c r="IJ536" s="36"/>
      <c r="IK536" s="36"/>
      <c r="IL536" s="36"/>
      <c r="IM536" s="36"/>
      <c r="IN536" s="36"/>
      <c r="IO536" s="36"/>
      <c r="IP536" s="36"/>
      <c r="IQ536" s="36"/>
      <c r="IR536" s="36"/>
      <c r="IS536" s="36"/>
      <c r="IT536" s="36"/>
      <c r="IU536" s="36"/>
      <c r="IV536" s="36"/>
      <c r="IW536" s="36"/>
      <c r="IX536" s="36"/>
      <c r="IY536" s="36"/>
      <c r="IZ536" s="36"/>
      <c r="JA536" s="36"/>
      <c r="JB536" s="36"/>
      <c r="JC536" s="36"/>
      <c r="JD536" s="36"/>
      <c r="JE536" s="36"/>
      <c r="JF536" s="36"/>
      <c r="JG536" s="36"/>
      <c r="JH536" s="36"/>
      <c r="JI536" s="36"/>
      <c r="JJ536" s="36"/>
      <c r="JK536" s="36"/>
      <c r="JL536" s="36"/>
      <c r="JM536" s="36"/>
      <c r="JN536" s="36"/>
      <c r="JO536" s="36"/>
      <c r="JP536" s="36"/>
      <c r="JQ536" s="36"/>
      <c r="JR536" s="36"/>
      <c r="JS536" s="36"/>
      <c r="JT536" s="36"/>
      <c r="JU536" s="36"/>
      <c r="JV536" s="36"/>
      <c r="JW536" s="36"/>
      <c r="JX536" s="36"/>
      <c r="JY536" s="36"/>
      <c r="JZ536" s="36"/>
      <c r="KA536" s="36"/>
      <c r="KB536" s="36"/>
      <c r="KC536" s="36"/>
      <c r="KD536" s="36"/>
      <c r="KE536" s="36"/>
      <c r="KF536" s="36"/>
      <c r="KG536" s="36"/>
      <c r="KH536" s="36"/>
      <c r="KI536" s="36"/>
      <c r="KJ536" s="36"/>
      <c r="KK536" s="36"/>
      <c r="KL536" s="36"/>
      <c r="KM536" s="36"/>
      <c r="KN536" s="36"/>
      <c r="KO536" s="36"/>
      <c r="KP536" s="36"/>
      <c r="KQ536" s="36"/>
      <c r="KR536" s="36"/>
      <c r="KS536" s="36"/>
      <c r="KT536" s="36"/>
      <c r="KU536" s="36"/>
      <c r="KV536" s="36"/>
      <c r="KW536" s="36"/>
      <c r="KX536" s="36"/>
      <c r="KY536" s="36"/>
      <c r="KZ536" s="36"/>
      <c r="LA536" s="36"/>
      <c r="LB536" s="36"/>
      <c r="LC536" s="36"/>
      <c r="LD536" s="36"/>
      <c r="LE536" s="36"/>
      <c r="LF536" s="36"/>
      <c r="LG536" s="36"/>
      <c r="LH536" s="36"/>
      <c r="LI536" s="36"/>
      <c r="LJ536" s="36"/>
      <c r="LK536" s="36"/>
      <c r="LL536" s="36"/>
      <c r="LM536" s="36"/>
      <c r="LN536" s="36"/>
      <c r="LO536" s="36"/>
      <c r="LP536" s="36"/>
      <c r="LQ536" s="36"/>
      <c r="LR536" s="36"/>
      <c r="LS536" s="36"/>
      <c r="LT536" s="36"/>
      <c r="LU536" s="36"/>
      <c r="LV536" s="36"/>
      <c r="LW536" s="36"/>
      <c r="LX536" s="36"/>
      <c r="LY536" s="36"/>
      <c r="LZ536" s="36"/>
      <c r="MA536" s="36"/>
      <c r="MB536" s="36"/>
      <c r="MC536" s="36"/>
      <c r="MD536" s="36"/>
      <c r="ME536" s="36"/>
      <c r="MF536" s="36"/>
      <c r="MG536" s="36"/>
      <c r="MH536" s="36"/>
      <c r="MI536" s="36"/>
      <c r="MJ536" s="36"/>
      <c r="MK536" s="36"/>
      <c r="ML536" s="36"/>
      <c r="MM536" s="36"/>
      <c r="MN536" s="36"/>
      <c r="MO536" s="36"/>
      <c r="MP536" s="36"/>
      <c r="MQ536" s="36"/>
      <c r="MR536" s="36"/>
      <c r="MS536" s="36"/>
      <c r="MT536" s="36"/>
      <c r="MU536" s="36"/>
      <c r="MV536" s="36"/>
      <c r="MW536" s="36"/>
      <c r="MX536" s="36"/>
      <c r="MY536" s="36"/>
      <c r="MZ536" s="36"/>
      <c r="NA536" s="36"/>
      <c r="NB536" s="36"/>
      <c r="NC536" s="36"/>
      <c r="ND536" s="36"/>
      <c r="NE536" s="36"/>
      <c r="NF536" s="36"/>
      <c r="NG536" s="36"/>
      <c r="NH536" s="36"/>
      <c r="NI536" s="36"/>
      <c r="NJ536" s="36"/>
      <c r="NK536" s="36"/>
      <c r="NL536" s="36"/>
      <c r="NM536" s="36"/>
      <c r="NN536" s="36"/>
      <c r="NO536" s="36"/>
      <c r="NP536" s="36"/>
      <c r="NQ536" s="36"/>
      <c r="NR536" s="36"/>
      <c r="NS536" s="36"/>
      <c r="NT536" s="36"/>
      <c r="NU536" s="36"/>
      <c r="NV536" s="36"/>
      <c r="NW536" s="36"/>
      <c r="NX536" s="36"/>
      <c r="NY536" s="36"/>
      <c r="NZ536" s="36"/>
      <c r="OA536" s="36"/>
      <c r="OB536" s="36"/>
      <c r="OC536" s="36"/>
      <c r="OD536" s="36"/>
      <c r="OE536" s="36"/>
      <c r="OF536" s="36"/>
      <c r="OG536" s="36"/>
      <c r="OH536" s="36"/>
      <c r="OI536" s="36"/>
      <c r="OJ536" s="36"/>
      <c r="OK536" s="36"/>
      <c r="OL536" s="36"/>
      <c r="OM536" s="36"/>
      <c r="ON536" s="36"/>
      <c r="OO536" s="36"/>
      <c r="OP536" s="36"/>
      <c r="OQ536" s="36"/>
      <c r="OR536" s="36"/>
      <c r="OS536" s="36"/>
      <c r="OT536" s="36"/>
      <c r="OU536" s="36"/>
      <c r="OV536" s="36"/>
      <c r="OW536" s="36"/>
      <c r="OX536" s="36"/>
    </row>
    <row r="537" spans="2:414" s="27" customFormat="1" ht="15.6">
      <c r="B537" s="51" t="s">
        <v>131</v>
      </c>
      <c r="C537" s="27" t="s">
        <v>1056</v>
      </c>
      <c r="D537" s="29" t="s">
        <v>1052</v>
      </c>
      <c r="G537" s="49">
        <v>80</v>
      </c>
      <c r="H537" s="89">
        <v>26.109000000000002</v>
      </c>
      <c r="I537" s="38">
        <f t="shared" si="165"/>
        <v>2088.7200000000003</v>
      </c>
      <c r="K537" s="49">
        <v>80</v>
      </c>
      <c r="L537" s="90">
        <v>26.849599999999999</v>
      </c>
      <c r="M537" s="38">
        <f t="shared" si="166"/>
        <v>2147.9679999999998</v>
      </c>
      <c r="O537" s="49">
        <v>505</v>
      </c>
      <c r="P537" s="38">
        <v>26.728300000000001</v>
      </c>
      <c r="Q537" s="38">
        <f t="shared" si="167"/>
        <v>13497.791500000001</v>
      </c>
      <c r="R537" s="43">
        <f t="shared" si="164"/>
        <v>665</v>
      </c>
      <c r="S537" s="38">
        <f t="shared" si="168"/>
        <v>17734.479500000001</v>
      </c>
      <c r="T537" s="27">
        <v>240</v>
      </c>
      <c r="U537" s="52">
        <v>26.26</v>
      </c>
      <c r="V537" s="38">
        <f t="shared" ref="V537:V600" si="176">T537*U537</f>
        <v>6302.4000000000005</v>
      </c>
      <c r="W537" s="52">
        <v>505</v>
      </c>
      <c r="X537" s="52">
        <v>26.732500000000002</v>
      </c>
      <c r="Y537" s="35">
        <f t="shared" si="174"/>
        <v>13499.9125</v>
      </c>
      <c r="Z537" s="78"/>
      <c r="AB537" s="32">
        <f t="shared" si="175"/>
        <v>0</v>
      </c>
      <c r="AF537" s="42">
        <f t="shared" si="162"/>
        <v>0</v>
      </c>
      <c r="AU537" s="100"/>
      <c r="AV537" s="35"/>
      <c r="AW537" s="78"/>
      <c r="AZ537" s="42">
        <f t="shared" si="163"/>
        <v>0</v>
      </c>
      <c r="BD537" s="38">
        <f t="shared" si="169"/>
        <v>0</v>
      </c>
      <c r="BH537" s="38">
        <f t="shared" si="170"/>
        <v>0</v>
      </c>
      <c r="BL537" s="38">
        <f t="shared" si="171"/>
        <v>0</v>
      </c>
      <c r="BR537" s="42">
        <f t="shared" si="172"/>
        <v>19802.3125</v>
      </c>
      <c r="BS537" s="43"/>
      <c r="BT537" s="27">
        <v>2067.83</v>
      </c>
      <c r="BU537" s="36"/>
      <c r="BV537" s="36"/>
      <c r="BW537" s="36"/>
      <c r="BX537" s="36"/>
      <c r="BY537" s="36"/>
      <c r="BZ537" s="36"/>
      <c r="CA537" s="36"/>
      <c r="CB537" s="36"/>
      <c r="CC537" s="36"/>
      <c r="CD537" s="36"/>
      <c r="CE537" s="36"/>
      <c r="CF537" s="36"/>
      <c r="CG537" s="36"/>
      <c r="CH537" s="36"/>
      <c r="CI537" s="36"/>
      <c r="CJ537" s="36"/>
      <c r="CK537" s="36"/>
      <c r="CL537" s="36"/>
      <c r="CM537" s="36"/>
      <c r="CN537" s="36"/>
      <c r="CO537" s="36"/>
      <c r="CP537" s="36"/>
      <c r="CQ537" s="36"/>
      <c r="CR537" s="36"/>
      <c r="CS537" s="36"/>
      <c r="CT537" s="36"/>
      <c r="CU537" s="36"/>
      <c r="CV537" s="36"/>
      <c r="CW537" s="36"/>
      <c r="CX537" s="36"/>
      <c r="CY537" s="36"/>
      <c r="CZ537" s="36"/>
      <c r="DA537" s="36"/>
      <c r="DB537" s="36"/>
      <c r="DC537" s="36"/>
      <c r="DD537" s="36"/>
      <c r="DE537" s="36"/>
      <c r="DF537" s="36"/>
      <c r="DG537" s="36"/>
      <c r="DH537" s="36"/>
      <c r="DI537" s="36"/>
      <c r="DJ537" s="36"/>
      <c r="DK537" s="36"/>
      <c r="DL537" s="36"/>
      <c r="DM537" s="36"/>
      <c r="DN537" s="36"/>
      <c r="DO537" s="36"/>
      <c r="DP537" s="36"/>
      <c r="DQ537" s="36"/>
      <c r="DR537" s="36"/>
      <c r="DS537" s="36"/>
      <c r="DT537" s="36"/>
      <c r="DU537" s="36"/>
      <c r="DV537" s="36"/>
      <c r="DW537" s="36"/>
      <c r="DX537" s="36"/>
      <c r="DY537" s="36"/>
      <c r="DZ537" s="36"/>
      <c r="EA537" s="36"/>
      <c r="EB537" s="36"/>
      <c r="EC537" s="36"/>
      <c r="ED537" s="36"/>
      <c r="EE537" s="36"/>
      <c r="EF537" s="36"/>
      <c r="EG537" s="36"/>
      <c r="EH537" s="36"/>
      <c r="EI537" s="36"/>
      <c r="EJ537" s="36"/>
      <c r="EK537" s="36"/>
      <c r="EL537" s="36"/>
      <c r="EM537" s="36"/>
      <c r="EN537" s="36"/>
      <c r="EO537" s="36"/>
      <c r="EP537" s="36"/>
      <c r="EQ537" s="36"/>
      <c r="ER537" s="36"/>
      <c r="ES537" s="36"/>
      <c r="ET537" s="36"/>
      <c r="EU537" s="36"/>
      <c r="EV537" s="36"/>
      <c r="EW537" s="36"/>
      <c r="EX537" s="36"/>
      <c r="EY537" s="36"/>
      <c r="EZ537" s="36"/>
      <c r="FA537" s="36"/>
      <c r="FB537" s="36"/>
      <c r="FC537" s="36"/>
      <c r="FD537" s="36"/>
      <c r="FE537" s="36"/>
      <c r="FF537" s="36"/>
      <c r="FG537" s="36"/>
      <c r="FH537" s="36"/>
      <c r="FI537" s="36"/>
      <c r="FJ537" s="36"/>
      <c r="FK537" s="36"/>
      <c r="FL537" s="36"/>
      <c r="FM537" s="36"/>
      <c r="FN537" s="36"/>
      <c r="FO537" s="36"/>
      <c r="FP537" s="36"/>
      <c r="FQ537" s="36"/>
      <c r="FR537" s="36"/>
      <c r="FS537" s="36"/>
      <c r="FT537" s="36"/>
      <c r="FU537" s="36"/>
      <c r="FV537" s="36"/>
      <c r="FW537" s="36"/>
      <c r="FX537" s="36"/>
      <c r="FY537" s="36"/>
      <c r="FZ537" s="36"/>
      <c r="GA537" s="36"/>
      <c r="GB537" s="36"/>
      <c r="GC537" s="36"/>
      <c r="GD537" s="36"/>
      <c r="GE537" s="36"/>
      <c r="GF537" s="36"/>
      <c r="GG537" s="36"/>
      <c r="GH537" s="36"/>
      <c r="GI537" s="36"/>
      <c r="GJ537" s="36"/>
      <c r="GK537" s="36"/>
      <c r="GL537" s="36"/>
      <c r="GM537" s="36"/>
      <c r="GN537" s="36"/>
      <c r="GO537" s="36"/>
      <c r="GP537" s="36"/>
      <c r="GQ537" s="36"/>
      <c r="GR537" s="36"/>
      <c r="GS537" s="36"/>
      <c r="GT537" s="36"/>
      <c r="GU537" s="36"/>
      <c r="GV537" s="36"/>
      <c r="GW537" s="36"/>
      <c r="GX537" s="36"/>
      <c r="GY537" s="36"/>
      <c r="GZ537" s="36"/>
      <c r="HA537" s="36"/>
      <c r="HB537" s="36"/>
      <c r="HC537" s="36"/>
      <c r="HD537" s="36"/>
      <c r="HE537" s="36"/>
      <c r="HF537" s="36"/>
      <c r="HG537" s="36"/>
      <c r="HH537" s="36"/>
      <c r="HI537" s="36"/>
      <c r="HJ537" s="36"/>
      <c r="HK537" s="36"/>
      <c r="HL537" s="36"/>
      <c r="HM537" s="36"/>
      <c r="HN537" s="36"/>
      <c r="HO537" s="36"/>
      <c r="HP537" s="36"/>
      <c r="HQ537" s="36"/>
      <c r="HR537" s="36"/>
      <c r="HS537" s="36"/>
      <c r="HT537" s="36"/>
      <c r="HU537" s="36"/>
      <c r="HV537" s="36"/>
      <c r="HW537" s="36"/>
      <c r="HX537" s="36"/>
      <c r="HY537" s="36"/>
      <c r="HZ537" s="36"/>
      <c r="IA537" s="36"/>
      <c r="IB537" s="36"/>
      <c r="IC537" s="36"/>
      <c r="ID537" s="36"/>
      <c r="IE537" s="36"/>
      <c r="IF537" s="36"/>
      <c r="IG537" s="36"/>
      <c r="IH537" s="36"/>
      <c r="II537" s="36"/>
      <c r="IJ537" s="36"/>
      <c r="IK537" s="36"/>
      <c r="IL537" s="36"/>
      <c r="IM537" s="36"/>
      <c r="IN537" s="36"/>
      <c r="IO537" s="36"/>
      <c r="IP537" s="36"/>
      <c r="IQ537" s="36"/>
      <c r="IR537" s="36"/>
      <c r="IS537" s="36"/>
      <c r="IT537" s="36"/>
      <c r="IU537" s="36"/>
      <c r="IV537" s="36"/>
      <c r="IW537" s="36"/>
      <c r="IX537" s="36"/>
      <c r="IY537" s="36"/>
      <c r="IZ537" s="36"/>
      <c r="JA537" s="36"/>
      <c r="JB537" s="36"/>
      <c r="JC537" s="36"/>
      <c r="JD537" s="36"/>
      <c r="JE537" s="36"/>
      <c r="JF537" s="36"/>
      <c r="JG537" s="36"/>
      <c r="JH537" s="36"/>
      <c r="JI537" s="36"/>
      <c r="JJ537" s="36"/>
      <c r="JK537" s="36"/>
      <c r="JL537" s="36"/>
      <c r="JM537" s="36"/>
      <c r="JN537" s="36"/>
      <c r="JO537" s="36"/>
      <c r="JP537" s="36"/>
      <c r="JQ537" s="36"/>
      <c r="JR537" s="36"/>
      <c r="JS537" s="36"/>
      <c r="JT537" s="36"/>
      <c r="JU537" s="36"/>
      <c r="JV537" s="36"/>
      <c r="JW537" s="36"/>
      <c r="JX537" s="36"/>
      <c r="JY537" s="36"/>
      <c r="JZ537" s="36"/>
      <c r="KA537" s="36"/>
      <c r="KB537" s="36"/>
      <c r="KC537" s="36"/>
      <c r="KD537" s="36"/>
      <c r="KE537" s="36"/>
      <c r="KF537" s="36"/>
      <c r="KG537" s="36"/>
      <c r="KH537" s="36"/>
      <c r="KI537" s="36"/>
      <c r="KJ537" s="36"/>
      <c r="KK537" s="36"/>
      <c r="KL537" s="36"/>
      <c r="KM537" s="36"/>
      <c r="KN537" s="36"/>
      <c r="KO537" s="36"/>
      <c r="KP537" s="36"/>
      <c r="KQ537" s="36"/>
      <c r="KR537" s="36"/>
      <c r="KS537" s="36"/>
      <c r="KT537" s="36"/>
      <c r="KU537" s="36"/>
      <c r="KV537" s="36"/>
      <c r="KW537" s="36"/>
      <c r="KX537" s="36"/>
      <c r="KY537" s="36"/>
      <c r="KZ537" s="36"/>
      <c r="LA537" s="36"/>
      <c r="LB537" s="36"/>
      <c r="LC537" s="36"/>
      <c r="LD537" s="36"/>
      <c r="LE537" s="36"/>
      <c r="LF537" s="36"/>
      <c r="LG537" s="36"/>
      <c r="LH537" s="36"/>
      <c r="LI537" s="36"/>
      <c r="LJ537" s="36"/>
      <c r="LK537" s="36"/>
      <c r="LL537" s="36"/>
      <c r="LM537" s="36"/>
      <c r="LN537" s="36"/>
      <c r="LO537" s="36"/>
      <c r="LP537" s="36"/>
      <c r="LQ537" s="36"/>
      <c r="LR537" s="36"/>
      <c r="LS537" s="36"/>
      <c r="LT537" s="36"/>
      <c r="LU537" s="36"/>
      <c r="LV537" s="36"/>
      <c r="LW537" s="36"/>
      <c r="LX537" s="36"/>
      <c r="LY537" s="36"/>
      <c r="LZ537" s="36"/>
      <c r="MA537" s="36"/>
      <c r="MB537" s="36"/>
      <c r="MC537" s="36"/>
      <c r="MD537" s="36"/>
      <c r="ME537" s="36"/>
      <c r="MF537" s="36"/>
      <c r="MG537" s="36"/>
      <c r="MH537" s="36"/>
      <c r="MI537" s="36"/>
      <c r="MJ537" s="36"/>
      <c r="MK537" s="36"/>
      <c r="ML537" s="36"/>
      <c r="MM537" s="36"/>
      <c r="MN537" s="36"/>
      <c r="MO537" s="36"/>
      <c r="MP537" s="36"/>
      <c r="MQ537" s="36"/>
      <c r="MR537" s="36"/>
      <c r="MS537" s="36"/>
      <c r="MT537" s="36"/>
      <c r="MU537" s="36"/>
      <c r="MV537" s="36"/>
      <c r="MW537" s="36"/>
      <c r="MX537" s="36"/>
      <c r="MY537" s="36"/>
      <c r="MZ537" s="36"/>
      <c r="NA537" s="36"/>
      <c r="NB537" s="36"/>
      <c r="NC537" s="36"/>
      <c r="ND537" s="36"/>
      <c r="NE537" s="36"/>
      <c r="NF537" s="36"/>
      <c r="NG537" s="36"/>
      <c r="NH537" s="36"/>
      <c r="NI537" s="36"/>
      <c r="NJ537" s="36"/>
      <c r="NK537" s="36"/>
      <c r="NL537" s="36"/>
      <c r="NM537" s="36"/>
      <c r="NN537" s="36"/>
      <c r="NO537" s="36"/>
      <c r="NP537" s="36"/>
      <c r="NQ537" s="36"/>
      <c r="NR537" s="36"/>
      <c r="NS537" s="36"/>
      <c r="NT537" s="36"/>
      <c r="NU537" s="36"/>
      <c r="NV537" s="36"/>
      <c r="NW537" s="36"/>
      <c r="NX537" s="36"/>
      <c r="NY537" s="36"/>
      <c r="NZ537" s="36"/>
      <c r="OA537" s="36"/>
      <c r="OB537" s="36"/>
      <c r="OC537" s="36"/>
      <c r="OD537" s="36"/>
      <c r="OE537" s="36"/>
      <c r="OF537" s="36"/>
      <c r="OG537" s="36"/>
      <c r="OH537" s="36"/>
      <c r="OI537" s="36"/>
      <c r="OJ537" s="36"/>
      <c r="OK537" s="36"/>
      <c r="OL537" s="36"/>
      <c r="OM537" s="36"/>
      <c r="ON537" s="36"/>
      <c r="OO537" s="36"/>
      <c r="OP537" s="36"/>
      <c r="OQ537" s="36"/>
      <c r="OR537" s="36"/>
      <c r="OS537" s="36"/>
      <c r="OT537" s="36"/>
      <c r="OU537" s="36"/>
      <c r="OV537" s="36"/>
      <c r="OW537" s="36"/>
      <c r="OX537" s="36"/>
    </row>
    <row r="538" spans="2:414" s="27" customFormat="1" ht="15.6">
      <c r="B538" s="51" t="s">
        <v>164</v>
      </c>
      <c r="C538" s="27" t="s">
        <v>1057</v>
      </c>
      <c r="D538" s="29" t="s">
        <v>1052</v>
      </c>
      <c r="G538" s="49">
        <v>80</v>
      </c>
      <c r="H538" s="89">
        <v>26.109000000000002</v>
      </c>
      <c r="I538" s="38">
        <f t="shared" si="165"/>
        <v>2088.7200000000003</v>
      </c>
      <c r="K538" s="49">
        <v>80</v>
      </c>
      <c r="L538" s="90">
        <v>26.849599999999999</v>
      </c>
      <c r="M538" s="38">
        <f t="shared" si="166"/>
        <v>2147.9679999999998</v>
      </c>
      <c r="O538" s="49">
        <v>505</v>
      </c>
      <c r="P538" s="38">
        <v>26.728300000000001</v>
      </c>
      <c r="Q538" s="38">
        <f t="shared" si="167"/>
        <v>13497.791500000001</v>
      </c>
      <c r="R538" s="43">
        <f t="shared" si="164"/>
        <v>665</v>
      </c>
      <c r="S538" s="38">
        <f t="shared" si="168"/>
        <v>17734.479500000001</v>
      </c>
      <c r="T538" s="52">
        <v>240</v>
      </c>
      <c r="U538" s="52">
        <v>26.26</v>
      </c>
      <c r="V538" s="38">
        <f t="shared" si="176"/>
        <v>6302.4000000000005</v>
      </c>
      <c r="W538" s="52">
        <v>505</v>
      </c>
      <c r="X538" s="52">
        <v>26.78</v>
      </c>
      <c r="Y538" s="35">
        <f t="shared" si="174"/>
        <v>13523.900000000001</v>
      </c>
      <c r="Z538" s="78"/>
      <c r="AB538" s="32">
        <f t="shared" si="175"/>
        <v>0</v>
      </c>
      <c r="AF538" s="42">
        <f t="shared" si="162"/>
        <v>0</v>
      </c>
      <c r="AU538" s="100"/>
      <c r="AV538" s="35"/>
      <c r="AW538" s="78"/>
      <c r="AZ538" s="42">
        <f t="shared" si="163"/>
        <v>0</v>
      </c>
      <c r="BD538" s="38">
        <f t="shared" si="169"/>
        <v>0</v>
      </c>
      <c r="BH538" s="38">
        <f t="shared" si="170"/>
        <v>0</v>
      </c>
      <c r="BL538" s="38">
        <f t="shared" si="171"/>
        <v>0</v>
      </c>
      <c r="BR538" s="42">
        <f t="shared" si="172"/>
        <v>19826.300000000003</v>
      </c>
      <c r="BS538" s="43"/>
      <c r="BT538" s="27">
        <v>2091.8200000000002</v>
      </c>
      <c r="BU538" s="36"/>
      <c r="BV538" s="36"/>
      <c r="BW538" s="36"/>
      <c r="BX538" s="36"/>
      <c r="BY538" s="36"/>
      <c r="BZ538" s="36"/>
      <c r="CA538" s="36"/>
      <c r="CB538" s="36"/>
      <c r="CC538" s="36"/>
      <c r="CD538" s="36"/>
      <c r="CE538" s="36"/>
      <c r="CF538" s="36"/>
      <c r="CG538" s="36"/>
      <c r="CH538" s="36"/>
      <c r="CI538" s="36"/>
      <c r="CJ538" s="36"/>
      <c r="CK538" s="36"/>
      <c r="CL538" s="36"/>
      <c r="CM538" s="36"/>
      <c r="CN538" s="36"/>
      <c r="CO538" s="36"/>
      <c r="CP538" s="36"/>
      <c r="CQ538" s="36"/>
      <c r="CR538" s="36"/>
      <c r="CS538" s="36"/>
      <c r="CT538" s="36"/>
      <c r="CU538" s="36"/>
      <c r="CV538" s="36"/>
      <c r="CW538" s="36"/>
      <c r="CX538" s="36"/>
      <c r="CY538" s="36"/>
      <c r="CZ538" s="36"/>
      <c r="DA538" s="36"/>
      <c r="DB538" s="36"/>
      <c r="DC538" s="36"/>
      <c r="DD538" s="36"/>
      <c r="DE538" s="36"/>
      <c r="DF538" s="36"/>
      <c r="DG538" s="36"/>
      <c r="DH538" s="36"/>
      <c r="DI538" s="36"/>
      <c r="DJ538" s="36"/>
      <c r="DK538" s="36"/>
      <c r="DL538" s="36"/>
      <c r="DM538" s="36"/>
      <c r="DN538" s="36"/>
      <c r="DO538" s="36"/>
      <c r="DP538" s="36"/>
      <c r="DQ538" s="36"/>
      <c r="DR538" s="36"/>
      <c r="DS538" s="36"/>
      <c r="DT538" s="36"/>
      <c r="DU538" s="36"/>
      <c r="DV538" s="36"/>
      <c r="DW538" s="36"/>
      <c r="DX538" s="36"/>
      <c r="DY538" s="36"/>
      <c r="DZ538" s="36"/>
      <c r="EA538" s="36"/>
      <c r="EB538" s="36"/>
      <c r="EC538" s="36"/>
      <c r="ED538" s="36"/>
      <c r="EE538" s="36"/>
      <c r="EF538" s="36"/>
      <c r="EG538" s="36"/>
      <c r="EH538" s="36"/>
      <c r="EI538" s="36"/>
      <c r="EJ538" s="36"/>
      <c r="EK538" s="36"/>
      <c r="EL538" s="36"/>
      <c r="EM538" s="36"/>
      <c r="EN538" s="36"/>
      <c r="EO538" s="36"/>
      <c r="EP538" s="36"/>
      <c r="EQ538" s="36"/>
      <c r="ER538" s="36"/>
      <c r="ES538" s="36"/>
      <c r="ET538" s="36"/>
      <c r="EU538" s="36"/>
      <c r="EV538" s="36"/>
      <c r="EW538" s="36"/>
      <c r="EX538" s="36"/>
      <c r="EY538" s="36"/>
      <c r="EZ538" s="36"/>
      <c r="FA538" s="36"/>
      <c r="FB538" s="36"/>
      <c r="FC538" s="36"/>
      <c r="FD538" s="36"/>
      <c r="FE538" s="36"/>
      <c r="FF538" s="36"/>
      <c r="FG538" s="36"/>
      <c r="FH538" s="36"/>
      <c r="FI538" s="36"/>
      <c r="FJ538" s="36"/>
      <c r="FK538" s="36"/>
      <c r="FL538" s="36"/>
      <c r="FM538" s="36"/>
      <c r="FN538" s="36"/>
      <c r="FO538" s="36"/>
      <c r="FP538" s="36"/>
      <c r="FQ538" s="36"/>
      <c r="FR538" s="36"/>
      <c r="FS538" s="36"/>
      <c r="FT538" s="36"/>
      <c r="FU538" s="36"/>
      <c r="FV538" s="36"/>
      <c r="FW538" s="36"/>
      <c r="FX538" s="36"/>
      <c r="FY538" s="36"/>
      <c r="FZ538" s="36"/>
      <c r="GA538" s="36"/>
      <c r="GB538" s="36"/>
      <c r="GC538" s="36"/>
      <c r="GD538" s="36"/>
      <c r="GE538" s="36"/>
      <c r="GF538" s="36"/>
      <c r="GG538" s="36"/>
      <c r="GH538" s="36"/>
      <c r="GI538" s="36"/>
      <c r="GJ538" s="36"/>
      <c r="GK538" s="36"/>
      <c r="GL538" s="36"/>
      <c r="GM538" s="36"/>
      <c r="GN538" s="36"/>
      <c r="GO538" s="36"/>
      <c r="GP538" s="36"/>
      <c r="GQ538" s="36"/>
      <c r="GR538" s="36"/>
      <c r="GS538" s="36"/>
      <c r="GT538" s="36"/>
      <c r="GU538" s="36"/>
      <c r="GV538" s="36"/>
      <c r="GW538" s="36"/>
      <c r="GX538" s="36"/>
      <c r="GY538" s="36"/>
      <c r="GZ538" s="36"/>
      <c r="HA538" s="36"/>
      <c r="HB538" s="36"/>
      <c r="HC538" s="36"/>
      <c r="HD538" s="36"/>
      <c r="HE538" s="36"/>
      <c r="HF538" s="36"/>
      <c r="HG538" s="36"/>
      <c r="HH538" s="36"/>
      <c r="HI538" s="36"/>
      <c r="HJ538" s="36"/>
      <c r="HK538" s="36"/>
      <c r="HL538" s="36"/>
      <c r="HM538" s="36"/>
      <c r="HN538" s="36"/>
      <c r="HO538" s="36"/>
      <c r="HP538" s="36"/>
      <c r="HQ538" s="36"/>
      <c r="HR538" s="36"/>
      <c r="HS538" s="36"/>
      <c r="HT538" s="36"/>
      <c r="HU538" s="36"/>
      <c r="HV538" s="36"/>
      <c r="HW538" s="36"/>
      <c r="HX538" s="36"/>
      <c r="HY538" s="36"/>
      <c r="HZ538" s="36"/>
      <c r="IA538" s="36"/>
      <c r="IB538" s="36"/>
      <c r="IC538" s="36"/>
      <c r="ID538" s="36"/>
      <c r="IE538" s="36"/>
      <c r="IF538" s="36"/>
      <c r="IG538" s="36"/>
      <c r="IH538" s="36"/>
      <c r="II538" s="36"/>
      <c r="IJ538" s="36"/>
      <c r="IK538" s="36"/>
      <c r="IL538" s="36"/>
      <c r="IM538" s="36"/>
      <c r="IN538" s="36"/>
      <c r="IO538" s="36"/>
      <c r="IP538" s="36"/>
      <c r="IQ538" s="36"/>
      <c r="IR538" s="36"/>
      <c r="IS538" s="36"/>
      <c r="IT538" s="36"/>
      <c r="IU538" s="36"/>
      <c r="IV538" s="36"/>
      <c r="IW538" s="36"/>
      <c r="IX538" s="36"/>
      <c r="IY538" s="36"/>
      <c r="IZ538" s="36"/>
      <c r="JA538" s="36"/>
      <c r="JB538" s="36"/>
      <c r="JC538" s="36"/>
      <c r="JD538" s="36"/>
      <c r="JE538" s="36"/>
      <c r="JF538" s="36"/>
      <c r="JG538" s="36"/>
      <c r="JH538" s="36"/>
      <c r="JI538" s="36"/>
      <c r="JJ538" s="36"/>
      <c r="JK538" s="36"/>
      <c r="JL538" s="36"/>
      <c r="JM538" s="36"/>
      <c r="JN538" s="36"/>
      <c r="JO538" s="36"/>
      <c r="JP538" s="36"/>
      <c r="JQ538" s="36"/>
      <c r="JR538" s="36"/>
      <c r="JS538" s="36"/>
      <c r="JT538" s="36"/>
      <c r="JU538" s="36"/>
      <c r="JV538" s="36"/>
      <c r="JW538" s="36"/>
      <c r="JX538" s="36"/>
      <c r="JY538" s="36"/>
      <c r="JZ538" s="36"/>
      <c r="KA538" s="36"/>
      <c r="KB538" s="36"/>
      <c r="KC538" s="36"/>
      <c r="KD538" s="36"/>
      <c r="KE538" s="36"/>
      <c r="KF538" s="36"/>
      <c r="KG538" s="36"/>
      <c r="KH538" s="36"/>
      <c r="KI538" s="36"/>
      <c r="KJ538" s="36"/>
      <c r="KK538" s="36"/>
      <c r="KL538" s="36"/>
      <c r="KM538" s="36"/>
      <c r="KN538" s="36"/>
      <c r="KO538" s="36"/>
      <c r="KP538" s="36"/>
      <c r="KQ538" s="36"/>
      <c r="KR538" s="36"/>
      <c r="KS538" s="36"/>
      <c r="KT538" s="36"/>
      <c r="KU538" s="36"/>
      <c r="KV538" s="36"/>
      <c r="KW538" s="36"/>
      <c r="KX538" s="36"/>
      <c r="KY538" s="36"/>
      <c r="KZ538" s="36"/>
      <c r="LA538" s="36"/>
      <c r="LB538" s="36"/>
      <c r="LC538" s="36"/>
      <c r="LD538" s="36"/>
      <c r="LE538" s="36"/>
      <c r="LF538" s="36"/>
      <c r="LG538" s="36"/>
      <c r="LH538" s="36"/>
      <c r="LI538" s="36"/>
      <c r="LJ538" s="36"/>
      <c r="LK538" s="36"/>
      <c r="LL538" s="36"/>
      <c r="LM538" s="36"/>
      <c r="LN538" s="36"/>
      <c r="LO538" s="36"/>
      <c r="LP538" s="36"/>
      <c r="LQ538" s="36"/>
      <c r="LR538" s="36"/>
      <c r="LS538" s="36"/>
      <c r="LT538" s="36"/>
      <c r="LU538" s="36"/>
      <c r="LV538" s="36"/>
      <c r="LW538" s="36"/>
      <c r="LX538" s="36"/>
      <c r="LY538" s="36"/>
      <c r="LZ538" s="36"/>
      <c r="MA538" s="36"/>
      <c r="MB538" s="36"/>
      <c r="MC538" s="36"/>
      <c r="MD538" s="36"/>
      <c r="ME538" s="36"/>
      <c r="MF538" s="36"/>
      <c r="MG538" s="36"/>
      <c r="MH538" s="36"/>
      <c r="MI538" s="36"/>
      <c r="MJ538" s="36"/>
      <c r="MK538" s="36"/>
      <c r="ML538" s="36"/>
      <c r="MM538" s="36"/>
      <c r="MN538" s="36"/>
      <c r="MO538" s="36"/>
      <c r="MP538" s="36"/>
      <c r="MQ538" s="36"/>
      <c r="MR538" s="36"/>
      <c r="MS538" s="36"/>
      <c r="MT538" s="36"/>
      <c r="MU538" s="36"/>
      <c r="MV538" s="36"/>
      <c r="MW538" s="36"/>
      <c r="MX538" s="36"/>
      <c r="MY538" s="36"/>
      <c r="MZ538" s="36"/>
      <c r="NA538" s="36"/>
      <c r="NB538" s="36"/>
      <c r="NC538" s="36"/>
      <c r="ND538" s="36"/>
      <c r="NE538" s="36"/>
      <c r="NF538" s="36"/>
      <c r="NG538" s="36"/>
      <c r="NH538" s="36"/>
      <c r="NI538" s="36"/>
      <c r="NJ538" s="36"/>
      <c r="NK538" s="36"/>
      <c r="NL538" s="36"/>
      <c r="NM538" s="36"/>
      <c r="NN538" s="36"/>
      <c r="NO538" s="36"/>
      <c r="NP538" s="36"/>
      <c r="NQ538" s="36"/>
      <c r="NR538" s="36"/>
      <c r="NS538" s="36"/>
      <c r="NT538" s="36"/>
      <c r="NU538" s="36"/>
      <c r="NV538" s="36"/>
      <c r="NW538" s="36"/>
      <c r="NX538" s="36"/>
      <c r="NY538" s="36"/>
      <c r="NZ538" s="36"/>
      <c r="OA538" s="36"/>
      <c r="OB538" s="36"/>
      <c r="OC538" s="36"/>
      <c r="OD538" s="36"/>
      <c r="OE538" s="36"/>
      <c r="OF538" s="36"/>
      <c r="OG538" s="36"/>
      <c r="OH538" s="36"/>
      <c r="OI538" s="36"/>
      <c r="OJ538" s="36"/>
      <c r="OK538" s="36"/>
      <c r="OL538" s="36"/>
      <c r="OM538" s="36"/>
      <c r="ON538" s="36"/>
      <c r="OO538" s="36"/>
      <c r="OP538" s="36"/>
      <c r="OQ538" s="36"/>
      <c r="OR538" s="36"/>
      <c r="OS538" s="36"/>
      <c r="OT538" s="36"/>
      <c r="OU538" s="36"/>
      <c r="OV538" s="36"/>
      <c r="OW538" s="36"/>
      <c r="OX538" s="36"/>
    </row>
    <row r="539" spans="2:414" s="27" customFormat="1" ht="15.6">
      <c r="B539" s="51" t="s">
        <v>836</v>
      </c>
      <c r="C539" s="27" t="s">
        <v>837</v>
      </c>
      <c r="D539" s="29" t="s">
        <v>1052</v>
      </c>
      <c r="G539" s="49">
        <v>80</v>
      </c>
      <c r="H539" s="89">
        <v>26.109000000000002</v>
      </c>
      <c r="I539" s="38">
        <f t="shared" si="165"/>
        <v>2088.7200000000003</v>
      </c>
      <c r="K539" s="49">
        <v>80</v>
      </c>
      <c r="L539" s="90">
        <v>26.849599999999999</v>
      </c>
      <c r="M539" s="38">
        <f t="shared" si="166"/>
        <v>2147.9679999999998</v>
      </c>
      <c r="O539" s="49">
        <v>505</v>
      </c>
      <c r="P539" s="38">
        <v>26.728300000000001</v>
      </c>
      <c r="Q539" s="38">
        <f t="shared" si="167"/>
        <v>13497.791500000001</v>
      </c>
      <c r="R539" s="43">
        <f t="shared" si="164"/>
        <v>665</v>
      </c>
      <c r="S539" s="38">
        <f t="shared" si="168"/>
        <v>17734.479500000001</v>
      </c>
      <c r="T539" s="27">
        <v>240</v>
      </c>
      <c r="U539" s="52">
        <v>26.26</v>
      </c>
      <c r="V539" s="38">
        <f t="shared" si="176"/>
        <v>6302.4000000000005</v>
      </c>
      <c r="W539" s="52">
        <v>505</v>
      </c>
      <c r="X539" s="52">
        <v>26.26</v>
      </c>
      <c r="Y539" s="35">
        <f t="shared" si="174"/>
        <v>13261.300000000001</v>
      </c>
      <c r="Z539" s="78"/>
      <c r="AB539" s="32">
        <f t="shared" si="175"/>
        <v>0</v>
      </c>
      <c r="AF539" s="42">
        <f t="shared" si="162"/>
        <v>0</v>
      </c>
      <c r="AU539" s="100"/>
      <c r="AV539" s="35"/>
      <c r="AW539" s="78"/>
      <c r="AZ539" s="42">
        <f t="shared" si="163"/>
        <v>0</v>
      </c>
      <c r="BD539" s="38">
        <f t="shared" si="169"/>
        <v>0</v>
      </c>
      <c r="BH539" s="38">
        <f t="shared" si="170"/>
        <v>0</v>
      </c>
      <c r="BL539" s="38">
        <f t="shared" si="171"/>
        <v>0</v>
      </c>
      <c r="BR539" s="42">
        <f t="shared" si="172"/>
        <v>19563.7</v>
      </c>
      <c r="BS539" s="43"/>
      <c r="BT539" s="27">
        <v>1829.22</v>
      </c>
      <c r="BU539" s="36"/>
      <c r="BV539" s="36"/>
      <c r="BW539" s="36"/>
      <c r="BX539" s="36"/>
      <c r="BY539" s="36"/>
      <c r="BZ539" s="36"/>
      <c r="CA539" s="36"/>
      <c r="CB539" s="36"/>
      <c r="CC539" s="36"/>
      <c r="CD539" s="36"/>
      <c r="CE539" s="36"/>
      <c r="CF539" s="36"/>
      <c r="CG539" s="36"/>
      <c r="CH539" s="36"/>
      <c r="CI539" s="36"/>
      <c r="CJ539" s="36"/>
      <c r="CK539" s="36"/>
      <c r="CL539" s="36"/>
      <c r="CM539" s="36"/>
      <c r="CN539" s="36"/>
      <c r="CO539" s="36"/>
      <c r="CP539" s="36"/>
      <c r="CQ539" s="36"/>
      <c r="CR539" s="36"/>
      <c r="CS539" s="36"/>
      <c r="CT539" s="36"/>
      <c r="CU539" s="36"/>
      <c r="CV539" s="36"/>
      <c r="CW539" s="36"/>
      <c r="CX539" s="36"/>
      <c r="CY539" s="36"/>
      <c r="CZ539" s="36"/>
      <c r="DA539" s="36"/>
      <c r="DB539" s="36"/>
      <c r="DC539" s="36"/>
      <c r="DD539" s="36"/>
      <c r="DE539" s="36"/>
      <c r="DF539" s="36"/>
      <c r="DG539" s="36"/>
      <c r="DH539" s="36"/>
      <c r="DI539" s="36"/>
      <c r="DJ539" s="36"/>
      <c r="DK539" s="36"/>
      <c r="DL539" s="36"/>
      <c r="DM539" s="36"/>
      <c r="DN539" s="36"/>
      <c r="DO539" s="36"/>
      <c r="DP539" s="36"/>
      <c r="DQ539" s="36"/>
      <c r="DR539" s="36"/>
      <c r="DS539" s="36"/>
      <c r="DT539" s="36"/>
      <c r="DU539" s="36"/>
      <c r="DV539" s="36"/>
      <c r="DW539" s="36"/>
      <c r="DX539" s="36"/>
      <c r="DY539" s="36"/>
      <c r="DZ539" s="36"/>
      <c r="EA539" s="36"/>
      <c r="EB539" s="36"/>
      <c r="EC539" s="36"/>
      <c r="ED539" s="36"/>
      <c r="EE539" s="36"/>
      <c r="EF539" s="36"/>
      <c r="EG539" s="36"/>
      <c r="EH539" s="36"/>
      <c r="EI539" s="36"/>
      <c r="EJ539" s="36"/>
      <c r="EK539" s="36"/>
      <c r="EL539" s="36"/>
      <c r="EM539" s="36"/>
      <c r="EN539" s="36"/>
      <c r="EO539" s="36"/>
      <c r="EP539" s="36"/>
      <c r="EQ539" s="36"/>
      <c r="ER539" s="36"/>
      <c r="ES539" s="36"/>
      <c r="ET539" s="36"/>
      <c r="EU539" s="36"/>
      <c r="EV539" s="36"/>
      <c r="EW539" s="36"/>
      <c r="EX539" s="36"/>
      <c r="EY539" s="36"/>
      <c r="EZ539" s="36"/>
      <c r="FA539" s="36"/>
      <c r="FB539" s="36"/>
      <c r="FC539" s="36"/>
      <c r="FD539" s="36"/>
      <c r="FE539" s="36"/>
      <c r="FF539" s="36"/>
      <c r="FG539" s="36"/>
      <c r="FH539" s="36"/>
      <c r="FI539" s="36"/>
      <c r="FJ539" s="36"/>
      <c r="FK539" s="36"/>
      <c r="FL539" s="36"/>
      <c r="FM539" s="36"/>
      <c r="FN539" s="36"/>
      <c r="FO539" s="36"/>
      <c r="FP539" s="36"/>
      <c r="FQ539" s="36"/>
      <c r="FR539" s="36"/>
      <c r="FS539" s="36"/>
      <c r="FT539" s="36"/>
      <c r="FU539" s="36"/>
      <c r="FV539" s="36"/>
      <c r="FW539" s="36"/>
      <c r="FX539" s="36"/>
      <c r="FY539" s="36"/>
      <c r="FZ539" s="36"/>
      <c r="GA539" s="36"/>
      <c r="GB539" s="36"/>
      <c r="GC539" s="36"/>
      <c r="GD539" s="36"/>
      <c r="GE539" s="36"/>
      <c r="GF539" s="36"/>
      <c r="GG539" s="36"/>
      <c r="GH539" s="36"/>
      <c r="GI539" s="36"/>
      <c r="GJ539" s="36"/>
      <c r="GK539" s="36"/>
      <c r="GL539" s="36"/>
      <c r="GM539" s="36"/>
      <c r="GN539" s="36"/>
      <c r="GO539" s="36"/>
      <c r="GP539" s="36"/>
      <c r="GQ539" s="36"/>
      <c r="GR539" s="36"/>
      <c r="GS539" s="36"/>
      <c r="GT539" s="36"/>
      <c r="GU539" s="36"/>
      <c r="GV539" s="36"/>
      <c r="GW539" s="36"/>
      <c r="GX539" s="36"/>
      <c r="GY539" s="36"/>
      <c r="GZ539" s="36"/>
      <c r="HA539" s="36"/>
      <c r="HB539" s="36"/>
      <c r="HC539" s="36"/>
      <c r="HD539" s="36"/>
      <c r="HE539" s="36"/>
      <c r="HF539" s="36"/>
      <c r="HG539" s="36"/>
      <c r="HH539" s="36"/>
      <c r="HI539" s="36"/>
      <c r="HJ539" s="36"/>
      <c r="HK539" s="36"/>
      <c r="HL539" s="36"/>
      <c r="HM539" s="36"/>
      <c r="HN539" s="36"/>
      <c r="HO539" s="36"/>
      <c r="HP539" s="36"/>
      <c r="HQ539" s="36"/>
      <c r="HR539" s="36"/>
      <c r="HS539" s="36"/>
      <c r="HT539" s="36"/>
      <c r="HU539" s="36"/>
      <c r="HV539" s="36"/>
      <c r="HW539" s="36"/>
      <c r="HX539" s="36"/>
      <c r="HY539" s="36"/>
      <c r="HZ539" s="36"/>
      <c r="IA539" s="36"/>
      <c r="IB539" s="36"/>
      <c r="IC539" s="36"/>
      <c r="ID539" s="36"/>
      <c r="IE539" s="36"/>
      <c r="IF539" s="36"/>
      <c r="IG539" s="36"/>
      <c r="IH539" s="36"/>
      <c r="II539" s="36"/>
      <c r="IJ539" s="36"/>
      <c r="IK539" s="36"/>
      <c r="IL539" s="36"/>
      <c r="IM539" s="36"/>
      <c r="IN539" s="36"/>
      <c r="IO539" s="36"/>
      <c r="IP539" s="36"/>
      <c r="IQ539" s="36"/>
      <c r="IR539" s="36"/>
      <c r="IS539" s="36"/>
      <c r="IT539" s="36"/>
      <c r="IU539" s="36"/>
      <c r="IV539" s="36"/>
      <c r="IW539" s="36"/>
      <c r="IX539" s="36"/>
      <c r="IY539" s="36"/>
      <c r="IZ539" s="36"/>
      <c r="JA539" s="36"/>
      <c r="JB539" s="36"/>
      <c r="JC539" s="36"/>
      <c r="JD539" s="36"/>
      <c r="JE539" s="36"/>
      <c r="JF539" s="36"/>
      <c r="JG539" s="36"/>
      <c r="JH539" s="36"/>
      <c r="JI539" s="36"/>
      <c r="JJ539" s="36"/>
      <c r="JK539" s="36"/>
      <c r="JL539" s="36"/>
      <c r="JM539" s="36"/>
      <c r="JN539" s="36"/>
      <c r="JO539" s="36"/>
      <c r="JP539" s="36"/>
      <c r="JQ539" s="36"/>
      <c r="JR539" s="36"/>
      <c r="JS539" s="36"/>
      <c r="JT539" s="36"/>
      <c r="JU539" s="36"/>
      <c r="JV539" s="36"/>
      <c r="JW539" s="36"/>
      <c r="JX539" s="36"/>
      <c r="JY539" s="36"/>
      <c r="JZ539" s="36"/>
      <c r="KA539" s="36"/>
      <c r="KB539" s="36"/>
      <c r="KC539" s="36"/>
      <c r="KD539" s="36"/>
      <c r="KE539" s="36"/>
      <c r="KF539" s="36"/>
      <c r="KG539" s="36"/>
      <c r="KH539" s="36"/>
      <c r="KI539" s="36"/>
      <c r="KJ539" s="36"/>
      <c r="KK539" s="36"/>
      <c r="KL539" s="36"/>
      <c r="KM539" s="36"/>
      <c r="KN539" s="36"/>
      <c r="KO539" s="36"/>
      <c r="KP539" s="36"/>
      <c r="KQ539" s="36"/>
      <c r="KR539" s="36"/>
      <c r="KS539" s="36"/>
      <c r="KT539" s="36"/>
      <c r="KU539" s="36"/>
      <c r="KV539" s="36"/>
      <c r="KW539" s="36"/>
      <c r="KX539" s="36"/>
      <c r="KY539" s="36"/>
      <c r="KZ539" s="36"/>
      <c r="LA539" s="36"/>
      <c r="LB539" s="36"/>
      <c r="LC539" s="36"/>
      <c r="LD539" s="36"/>
      <c r="LE539" s="36"/>
      <c r="LF539" s="36"/>
      <c r="LG539" s="36"/>
      <c r="LH539" s="36"/>
      <c r="LI539" s="36"/>
      <c r="LJ539" s="36"/>
      <c r="LK539" s="36"/>
      <c r="LL539" s="36"/>
      <c r="LM539" s="36"/>
      <c r="LN539" s="36"/>
      <c r="LO539" s="36"/>
      <c r="LP539" s="36"/>
      <c r="LQ539" s="36"/>
      <c r="LR539" s="36"/>
      <c r="LS539" s="36"/>
      <c r="LT539" s="36"/>
      <c r="LU539" s="36"/>
      <c r="LV539" s="36"/>
      <c r="LW539" s="36"/>
      <c r="LX539" s="36"/>
      <c r="LY539" s="36"/>
      <c r="LZ539" s="36"/>
      <c r="MA539" s="36"/>
      <c r="MB539" s="36"/>
      <c r="MC539" s="36"/>
      <c r="MD539" s="36"/>
      <c r="ME539" s="36"/>
      <c r="MF539" s="36"/>
      <c r="MG539" s="36"/>
      <c r="MH539" s="36"/>
      <c r="MI539" s="36"/>
      <c r="MJ539" s="36"/>
      <c r="MK539" s="36"/>
      <c r="ML539" s="36"/>
      <c r="MM539" s="36"/>
      <c r="MN539" s="36"/>
      <c r="MO539" s="36"/>
      <c r="MP539" s="36"/>
      <c r="MQ539" s="36"/>
      <c r="MR539" s="36"/>
      <c r="MS539" s="36"/>
      <c r="MT539" s="36"/>
      <c r="MU539" s="36"/>
      <c r="MV539" s="36"/>
      <c r="MW539" s="36"/>
      <c r="MX539" s="36"/>
      <c r="MY539" s="36"/>
      <c r="MZ539" s="36"/>
      <c r="NA539" s="36"/>
      <c r="NB539" s="36"/>
      <c r="NC539" s="36"/>
      <c r="ND539" s="36"/>
      <c r="NE539" s="36"/>
      <c r="NF539" s="36"/>
      <c r="NG539" s="36"/>
      <c r="NH539" s="36"/>
      <c r="NI539" s="36"/>
      <c r="NJ539" s="36"/>
      <c r="NK539" s="36"/>
      <c r="NL539" s="36"/>
      <c r="NM539" s="36"/>
      <c r="NN539" s="36"/>
      <c r="NO539" s="36"/>
      <c r="NP539" s="36"/>
      <c r="NQ539" s="36"/>
      <c r="NR539" s="36"/>
      <c r="NS539" s="36"/>
      <c r="NT539" s="36"/>
      <c r="NU539" s="36"/>
      <c r="NV539" s="36"/>
      <c r="NW539" s="36"/>
      <c r="NX539" s="36"/>
      <c r="NY539" s="36"/>
      <c r="NZ539" s="36"/>
      <c r="OA539" s="36"/>
      <c r="OB539" s="36"/>
      <c r="OC539" s="36"/>
      <c r="OD539" s="36"/>
      <c r="OE539" s="36"/>
      <c r="OF539" s="36"/>
      <c r="OG539" s="36"/>
      <c r="OH539" s="36"/>
      <c r="OI539" s="36"/>
      <c r="OJ539" s="36"/>
      <c r="OK539" s="36"/>
      <c r="OL539" s="36"/>
      <c r="OM539" s="36"/>
      <c r="ON539" s="36"/>
      <c r="OO539" s="36"/>
      <c r="OP539" s="36"/>
      <c r="OQ539" s="36"/>
      <c r="OR539" s="36"/>
      <c r="OS539" s="36"/>
      <c r="OT539" s="36"/>
      <c r="OU539" s="36"/>
      <c r="OV539" s="36"/>
      <c r="OW539" s="36"/>
      <c r="OX539" s="36"/>
    </row>
    <row r="540" spans="2:414" s="27" customFormat="1" ht="15.6">
      <c r="B540" s="51" t="s">
        <v>893</v>
      </c>
      <c r="C540" s="27" t="s">
        <v>18</v>
      </c>
      <c r="D540" s="29" t="s">
        <v>1052</v>
      </c>
      <c r="G540" s="49">
        <v>80</v>
      </c>
      <c r="H540" s="89">
        <v>26.109000000000002</v>
      </c>
      <c r="I540" s="38">
        <f t="shared" si="165"/>
        <v>2088.7200000000003</v>
      </c>
      <c r="K540" s="49">
        <v>80</v>
      </c>
      <c r="L540" s="90">
        <v>26.849599999999999</v>
      </c>
      <c r="M540" s="38">
        <f t="shared" si="166"/>
        <v>2147.9679999999998</v>
      </c>
      <c r="O540" s="49">
        <v>505</v>
      </c>
      <c r="P540" s="38">
        <v>26.728300000000001</v>
      </c>
      <c r="Q540" s="38">
        <f t="shared" si="167"/>
        <v>13497.791500000001</v>
      </c>
      <c r="R540" s="43">
        <f t="shared" si="164"/>
        <v>665</v>
      </c>
      <c r="S540" s="38">
        <f t="shared" si="168"/>
        <v>17734.479500000001</v>
      </c>
      <c r="T540" s="52">
        <v>240</v>
      </c>
      <c r="U540" s="52">
        <v>26.26</v>
      </c>
      <c r="V540" s="38">
        <f t="shared" si="176"/>
        <v>6302.4000000000005</v>
      </c>
      <c r="W540" s="52">
        <v>390</v>
      </c>
      <c r="X540" s="52">
        <v>26.78</v>
      </c>
      <c r="Y540" s="35">
        <f t="shared" si="174"/>
        <v>10444.200000000001</v>
      </c>
      <c r="Z540" s="78"/>
      <c r="AB540" s="32">
        <f t="shared" si="175"/>
        <v>0</v>
      </c>
      <c r="AF540" s="42">
        <f t="shared" si="162"/>
        <v>0</v>
      </c>
      <c r="AU540" s="100"/>
      <c r="AV540" s="35"/>
      <c r="AW540" s="78"/>
      <c r="AZ540" s="42">
        <f t="shared" si="163"/>
        <v>0</v>
      </c>
      <c r="BD540" s="38">
        <f t="shared" si="169"/>
        <v>0</v>
      </c>
      <c r="BH540" s="38">
        <f t="shared" si="170"/>
        <v>0</v>
      </c>
      <c r="BL540" s="38">
        <f t="shared" si="171"/>
        <v>0</v>
      </c>
      <c r="BR540" s="42">
        <f t="shared" si="172"/>
        <v>16746.600000000002</v>
      </c>
      <c r="BS540" s="43">
        <f t="shared" si="173"/>
        <v>987.8794999999991</v>
      </c>
      <c r="BU540" s="36"/>
      <c r="BV540" s="36"/>
      <c r="BW540" s="36"/>
      <c r="BX540" s="36"/>
      <c r="BY540" s="36"/>
      <c r="BZ540" s="36"/>
      <c r="CA540" s="36"/>
      <c r="CB540" s="36"/>
      <c r="CC540" s="36"/>
      <c r="CD540" s="36"/>
      <c r="CE540" s="36"/>
      <c r="CF540" s="36"/>
      <c r="CG540" s="36"/>
      <c r="CH540" s="36"/>
      <c r="CI540" s="36"/>
      <c r="CJ540" s="36"/>
      <c r="CK540" s="36"/>
      <c r="CL540" s="36"/>
      <c r="CM540" s="36"/>
      <c r="CN540" s="36"/>
      <c r="CO540" s="36"/>
      <c r="CP540" s="36"/>
      <c r="CQ540" s="36"/>
      <c r="CR540" s="36"/>
      <c r="CS540" s="36"/>
      <c r="CT540" s="36"/>
      <c r="CU540" s="36"/>
      <c r="CV540" s="36"/>
      <c r="CW540" s="36"/>
      <c r="CX540" s="36"/>
      <c r="CY540" s="36"/>
      <c r="CZ540" s="36"/>
      <c r="DA540" s="36"/>
      <c r="DB540" s="36"/>
      <c r="DC540" s="36"/>
      <c r="DD540" s="36"/>
      <c r="DE540" s="36"/>
      <c r="DF540" s="36"/>
      <c r="DG540" s="36"/>
      <c r="DH540" s="36"/>
      <c r="DI540" s="36"/>
      <c r="DJ540" s="36"/>
      <c r="DK540" s="36"/>
      <c r="DL540" s="36"/>
      <c r="DM540" s="36"/>
      <c r="DN540" s="36"/>
      <c r="DO540" s="36"/>
      <c r="DP540" s="36"/>
      <c r="DQ540" s="36"/>
      <c r="DR540" s="36"/>
      <c r="DS540" s="36"/>
      <c r="DT540" s="36"/>
      <c r="DU540" s="36"/>
      <c r="DV540" s="36"/>
      <c r="DW540" s="36"/>
      <c r="DX540" s="36"/>
      <c r="DY540" s="36"/>
      <c r="DZ540" s="36"/>
      <c r="EA540" s="36"/>
      <c r="EB540" s="36"/>
      <c r="EC540" s="36"/>
      <c r="ED540" s="36"/>
      <c r="EE540" s="36"/>
      <c r="EF540" s="36"/>
      <c r="EG540" s="36"/>
      <c r="EH540" s="36"/>
      <c r="EI540" s="36"/>
      <c r="EJ540" s="36"/>
      <c r="EK540" s="36"/>
      <c r="EL540" s="36"/>
      <c r="EM540" s="36"/>
      <c r="EN540" s="36"/>
      <c r="EO540" s="36"/>
      <c r="EP540" s="36"/>
      <c r="EQ540" s="36"/>
      <c r="ER540" s="36"/>
      <c r="ES540" s="36"/>
      <c r="ET540" s="36"/>
      <c r="EU540" s="36"/>
      <c r="EV540" s="36"/>
      <c r="EW540" s="36"/>
      <c r="EX540" s="36"/>
      <c r="EY540" s="36"/>
      <c r="EZ540" s="36"/>
      <c r="FA540" s="36"/>
      <c r="FB540" s="36"/>
      <c r="FC540" s="36"/>
      <c r="FD540" s="36"/>
      <c r="FE540" s="36"/>
      <c r="FF540" s="36"/>
      <c r="FG540" s="36"/>
      <c r="FH540" s="36"/>
      <c r="FI540" s="36"/>
      <c r="FJ540" s="36"/>
      <c r="FK540" s="36"/>
      <c r="FL540" s="36"/>
      <c r="FM540" s="36"/>
      <c r="FN540" s="36"/>
      <c r="FO540" s="36"/>
      <c r="FP540" s="36"/>
      <c r="FQ540" s="36"/>
      <c r="FR540" s="36"/>
      <c r="FS540" s="36"/>
      <c r="FT540" s="36"/>
      <c r="FU540" s="36"/>
      <c r="FV540" s="36"/>
      <c r="FW540" s="36"/>
      <c r="FX540" s="36"/>
      <c r="FY540" s="36"/>
      <c r="FZ540" s="36"/>
      <c r="GA540" s="36"/>
      <c r="GB540" s="36"/>
      <c r="GC540" s="36"/>
      <c r="GD540" s="36"/>
      <c r="GE540" s="36"/>
      <c r="GF540" s="36"/>
      <c r="GG540" s="36"/>
      <c r="GH540" s="36"/>
      <c r="GI540" s="36"/>
      <c r="GJ540" s="36"/>
      <c r="GK540" s="36"/>
      <c r="GL540" s="36"/>
      <c r="GM540" s="36"/>
      <c r="GN540" s="36"/>
      <c r="GO540" s="36"/>
      <c r="GP540" s="36"/>
      <c r="GQ540" s="36"/>
      <c r="GR540" s="36"/>
      <c r="GS540" s="36"/>
      <c r="GT540" s="36"/>
      <c r="GU540" s="36"/>
      <c r="GV540" s="36"/>
      <c r="GW540" s="36"/>
      <c r="GX540" s="36"/>
      <c r="GY540" s="36"/>
      <c r="GZ540" s="36"/>
      <c r="HA540" s="36"/>
      <c r="HB540" s="36"/>
      <c r="HC540" s="36"/>
      <c r="HD540" s="36"/>
      <c r="HE540" s="36"/>
      <c r="HF540" s="36"/>
      <c r="HG540" s="36"/>
      <c r="HH540" s="36"/>
      <c r="HI540" s="36"/>
      <c r="HJ540" s="36"/>
      <c r="HK540" s="36"/>
      <c r="HL540" s="36"/>
      <c r="HM540" s="36"/>
      <c r="HN540" s="36"/>
      <c r="HO540" s="36"/>
      <c r="HP540" s="36"/>
      <c r="HQ540" s="36"/>
      <c r="HR540" s="36"/>
      <c r="HS540" s="36"/>
      <c r="HT540" s="36"/>
      <c r="HU540" s="36"/>
      <c r="HV540" s="36"/>
      <c r="HW540" s="36"/>
      <c r="HX540" s="36"/>
      <c r="HY540" s="36"/>
      <c r="HZ540" s="36"/>
      <c r="IA540" s="36"/>
      <c r="IB540" s="36"/>
      <c r="IC540" s="36"/>
      <c r="ID540" s="36"/>
      <c r="IE540" s="36"/>
      <c r="IF540" s="36"/>
      <c r="IG540" s="36"/>
      <c r="IH540" s="36"/>
      <c r="II540" s="36"/>
      <c r="IJ540" s="36"/>
      <c r="IK540" s="36"/>
      <c r="IL540" s="36"/>
      <c r="IM540" s="36"/>
      <c r="IN540" s="36"/>
      <c r="IO540" s="36"/>
      <c r="IP540" s="36"/>
      <c r="IQ540" s="36"/>
      <c r="IR540" s="36"/>
      <c r="IS540" s="36"/>
      <c r="IT540" s="36"/>
      <c r="IU540" s="36"/>
      <c r="IV540" s="36"/>
      <c r="IW540" s="36"/>
      <c r="IX540" s="36"/>
      <c r="IY540" s="36"/>
      <c r="IZ540" s="36"/>
      <c r="JA540" s="36"/>
      <c r="JB540" s="36"/>
      <c r="JC540" s="36"/>
      <c r="JD540" s="36"/>
      <c r="JE540" s="36"/>
      <c r="JF540" s="36"/>
      <c r="JG540" s="36"/>
      <c r="JH540" s="36"/>
      <c r="JI540" s="36"/>
      <c r="JJ540" s="36"/>
      <c r="JK540" s="36"/>
      <c r="JL540" s="36"/>
      <c r="JM540" s="36"/>
      <c r="JN540" s="36"/>
      <c r="JO540" s="36"/>
      <c r="JP540" s="36"/>
      <c r="JQ540" s="36"/>
      <c r="JR540" s="36"/>
      <c r="JS540" s="36"/>
      <c r="JT540" s="36"/>
      <c r="JU540" s="36"/>
      <c r="JV540" s="36"/>
      <c r="JW540" s="36"/>
      <c r="JX540" s="36"/>
      <c r="JY540" s="36"/>
      <c r="JZ540" s="36"/>
      <c r="KA540" s="36"/>
      <c r="KB540" s="36"/>
      <c r="KC540" s="36"/>
      <c r="KD540" s="36"/>
      <c r="KE540" s="36"/>
      <c r="KF540" s="36"/>
      <c r="KG540" s="36"/>
      <c r="KH540" s="36"/>
      <c r="KI540" s="36"/>
      <c r="KJ540" s="36"/>
      <c r="KK540" s="36"/>
      <c r="KL540" s="36"/>
      <c r="KM540" s="36"/>
      <c r="KN540" s="36"/>
      <c r="KO540" s="36"/>
      <c r="KP540" s="36"/>
      <c r="KQ540" s="36"/>
      <c r="KR540" s="36"/>
      <c r="KS540" s="36"/>
      <c r="KT540" s="36"/>
      <c r="KU540" s="36"/>
      <c r="KV540" s="36"/>
      <c r="KW540" s="36"/>
      <c r="KX540" s="36"/>
      <c r="KY540" s="36"/>
      <c r="KZ540" s="36"/>
      <c r="LA540" s="36"/>
      <c r="LB540" s="36"/>
      <c r="LC540" s="36"/>
      <c r="LD540" s="36"/>
      <c r="LE540" s="36"/>
      <c r="LF540" s="36"/>
      <c r="LG540" s="36"/>
      <c r="LH540" s="36"/>
      <c r="LI540" s="36"/>
      <c r="LJ540" s="36"/>
      <c r="LK540" s="36"/>
      <c r="LL540" s="36"/>
      <c r="LM540" s="36"/>
      <c r="LN540" s="36"/>
      <c r="LO540" s="36"/>
      <c r="LP540" s="36"/>
      <c r="LQ540" s="36"/>
      <c r="LR540" s="36"/>
      <c r="LS540" s="36"/>
      <c r="LT540" s="36"/>
      <c r="LU540" s="36"/>
      <c r="LV540" s="36"/>
      <c r="LW540" s="36"/>
      <c r="LX540" s="36"/>
      <c r="LY540" s="36"/>
      <c r="LZ540" s="36"/>
      <c r="MA540" s="36"/>
      <c r="MB540" s="36"/>
      <c r="MC540" s="36"/>
      <c r="MD540" s="36"/>
      <c r="ME540" s="36"/>
      <c r="MF540" s="36"/>
      <c r="MG540" s="36"/>
      <c r="MH540" s="36"/>
      <c r="MI540" s="36"/>
      <c r="MJ540" s="36"/>
      <c r="MK540" s="36"/>
      <c r="ML540" s="36"/>
      <c r="MM540" s="36"/>
      <c r="MN540" s="36"/>
      <c r="MO540" s="36"/>
      <c r="MP540" s="36"/>
      <c r="MQ540" s="36"/>
      <c r="MR540" s="36"/>
      <c r="MS540" s="36"/>
      <c r="MT540" s="36"/>
      <c r="MU540" s="36"/>
      <c r="MV540" s="36"/>
      <c r="MW540" s="36"/>
      <c r="MX540" s="36"/>
      <c r="MY540" s="36"/>
      <c r="MZ540" s="36"/>
      <c r="NA540" s="36"/>
      <c r="NB540" s="36"/>
      <c r="NC540" s="36"/>
      <c r="ND540" s="36"/>
      <c r="NE540" s="36"/>
      <c r="NF540" s="36"/>
      <c r="NG540" s="36"/>
      <c r="NH540" s="36"/>
      <c r="NI540" s="36"/>
      <c r="NJ540" s="36"/>
      <c r="NK540" s="36"/>
      <c r="NL540" s="36"/>
      <c r="NM540" s="36"/>
      <c r="NN540" s="36"/>
      <c r="NO540" s="36"/>
      <c r="NP540" s="36"/>
      <c r="NQ540" s="36"/>
      <c r="NR540" s="36"/>
      <c r="NS540" s="36"/>
      <c r="NT540" s="36"/>
      <c r="NU540" s="36"/>
      <c r="NV540" s="36"/>
      <c r="NW540" s="36"/>
      <c r="NX540" s="36"/>
      <c r="NY540" s="36"/>
      <c r="NZ540" s="36"/>
      <c r="OA540" s="36"/>
      <c r="OB540" s="36"/>
      <c r="OC540" s="36"/>
      <c r="OD540" s="36"/>
      <c r="OE540" s="36"/>
      <c r="OF540" s="36"/>
      <c r="OG540" s="36"/>
      <c r="OH540" s="36"/>
      <c r="OI540" s="36"/>
      <c r="OJ540" s="36"/>
      <c r="OK540" s="36"/>
      <c r="OL540" s="36"/>
      <c r="OM540" s="36"/>
      <c r="ON540" s="36"/>
      <c r="OO540" s="36"/>
      <c r="OP540" s="36"/>
      <c r="OQ540" s="36"/>
      <c r="OR540" s="36"/>
      <c r="OS540" s="36"/>
      <c r="OT540" s="36"/>
      <c r="OU540" s="36"/>
      <c r="OV540" s="36"/>
      <c r="OW540" s="36"/>
      <c r="OX540" s="36"/>
    </row>
    <row r="541" spans="2:414" s="27" customFormat="1" ht="15.6">
      <c r="B541" s="51" t="s">
        <v>805</v>
      </c>
      <c r="C541" s="27" t="s">
        <v>1058</v>
      </c>
      <c r="D541" s="29" t="s">
        <v>1052</v>
      </c>
      <c r="G541" s="49">
        <v>80</v>
      </c>
      <c r="H541" s="89">
        <v>26.109000000000002</v>
      </c>
      <c r="I541" s="38">
        <f t="shared" si="165"/>
        <v>2088.7200000000003</v>
      </c>
      <c r="K541" s="49">
        <v>80</v>
      </c>
      <c r="L541" s="90">
        <v>26.849599999999999</v>
      </c>
      <c r="M541" s="38">
        <f t="shared" si="166"/>
        <v>2147.9679999999998</v>
      </c>
      <c r="O541" s="49">
        <v>505</v>
      </c>
      <c r="P541" s="38">
        <v>26.728300000000001</v>
      </c>
      <c r="Q541" s="38">
        <f t="shared" si="167"/>
        <v>13497.791500000001</v>
      </c>
      <c r="R541" s="43">
        <f t="shared" si="164"/>
        <v>665</v>
      </c>
      <c r="S541" s="38">
        <f t="shared" si="168"/>
        <v>17734.479500000001</v>
      </c>
      <c r="T541" s="27">
        <v>240</v>
      </c>
      <c r="U541" s="52">
        <v>26.158100000000001</v>
      </c>
      <c r="V541" s="38">
        <f t="shared" si="176"/>
        <v>6277.9440000000004</v>
      </c>
      <c r="W541" s="52">
        <v>505</v>
      </c>
      <c r="X541" s="52">
        <v>26.677399999999999</v>
      </c>
      <c r="Y541" s="35">
        <f t="shared" si="174"/>
        <v>13472.087</v>
      </c>
      <c r="Z541" s="78"/>
      <c r="AB541" s="32">
        <f t="shared" si="175"/>
        <v>0</v>
      </c>
      <c r="AF541" s="42">
        <f t="shared" si="162"/>
        <v>0</v>
      </c>
      <c r="AU541" s="100"/>
      <c r="AV541" s="35"/>
      <c r="AW541" s="78"/>
      <c r="AZ541" s="42">
        <f t="shared" si="163"/>
        <v>0</v>
      </c>
      <c r="BD541" s="38">
        <f t="shared" si="169"/>
        <v>0</v>
      </c>
      <c r="BH541" s="38">
        <f t="shared" si="170"/>
        <v>0</v>
      </c>
      <c r="BL541" s="38">
        <f t="shared" si="171"/>
        <v>0</v>
      </c>
      <c r="BR541" s="42">
        <f t="shared" si="172"/>
        <v>19750.030999999999</v>
      </c>
      <c r="BS541" s="43"/>
      <c r="BT541" s="27">
        <v>2015.55</v>
      </c>
      <c r="BU541" s="36"/>
      <c r="BV541" s="36"/>
      <c r="BW541" s="36"/>
      <c r="BX541" s="36"/>
      <c r="BY541" s="36"/>
      <c r="BZ541" s="36"/>
      <c r="CA541" s="36"/>
      <c r="CB541" s="36"/>
      <c r="CC541" s="36"/>
      <c r="CD541" s="36"/>
      <c r="CE541" s="36"/>
      <c r="CF541" s="36"/>
      <c r="CG541" s="36"/>
      <c r="CH541" s="36"/>
      <c r="CI541" s="36"/>
      <c r="CJ541" s="36"/>
      <c r="CK541" s="36"/>
      <c r="CL541" s="36"/>
      <c r="CM541" s="36"/>
      <c r="CN541" s="36"/>
      <c r="CO541" s="36"/>
      <c r="CP541" s="36"/>
      <c r="CQ541" s="36"/>
      <c r="CR541" s="36"/>
      <c r="CS541" s="36"/>
      <c r="CT541" s="36"/>
      <c r="CU541" s="36"/>
      <c r="CV541" s="36"/>
      <c r="CW541" s="36"/>
      <c r="CX541" s="36"/>
      <c r="CY541" s="36"/>
      <c r="CZ541" s="36"/>
      <c r="DA541" s="36"/>
      <c r="DB541" s="36"/>
      <c r="DC541" s="36"/>
      <c r="DD541" s="36"/>
      <c r="DE541" s="36"/>
      <c r="DF541" s="36"/>
      <c r="DG541" s="36"/>
      <c r="DH541" s="36"/>
      <c r="DI541" s="36"/>
      <c r="DJ541" s="36"/>
      <c r="DK541" s="36"/>
      <c r="DL541" s="36"/>
      <c r="DM541" s="36"/>
      <c r="DN541" s="36"/>
      <c r="DO541" s="36"/>
      <c r="DP541" s="36"/>
      <c r="DQ541" s="36"/>
      <c r="DR541" s="36"/>
      <c r="DS541" s="36"/>
      <c r="DT541" s="36"/>
      <c r="DU541" s="36"/>
      <c r="DV541" s="36"/>
      <c r="DW541" s="36"/>
      <c r="DX541" s="36"/>
      <c r="DY541" s="36"/>
      <c r="DZ541" s="36"/>
      <c r="EA541" s="36"/>
      <c r="EB541" s="36"/>
      <c r="EC541" s="36"/>
      <c r="ED541" s="36"/>
      <c r="EE541" s="36"/>
      <c r="EF541" s="36"/>
      <c r="EG541" s="36"/>
      <c r="EH541" s="36"/>
      <c r="EI541" s="36"/>
      <c r="EJ541" s="36"/>
      <c r="EK541" s="36"/>
      <c r="EL541" s="36"/>
      <c r="EM541" s="36"/>
      <c r="EN541" s="36"/>
      <c r="EO541" s="36"/>
      <c r="EP541" s="36"/>
      <c r="EQ541" s="36"/>
      <c r="ER541" s="36"/>
      <c r="ES541" s="36"/>
      <c r="ET541" s="36"/>
      <c r="EU541" s="36"/>
      <c r="EV541" s="36"/>
      <c r="EW541" s="36"/>
      <c r="EX541" s="36"/>
      <c r="EY541" s="36"/>
      <c r="EZ541" s="36"/>
      <c r="FA541" s="36"/>
      <c r="FB541" s="36"/>
      <c r="FC541" s="36"/>
      <c r="FD541" s="36"/>
      <c r="FE541" s="36"/>
      <c r="FF541" s="36"/>
      <c r="FG541" s="36"/>
      <c r="FH541" s="36"/>
      <c r="FI541" s="36"/>
      <c r="FJ541" s="36"/>
      <c r="FK541" s="36"/>
      <c r="FL541" s="36"/>
      <c r="FM541" s="36"/>
      <c r="FN541" s="36"/>
      <c r="FO541" s="36"/>
      <c r="FP541" s="36"/>
      <c r="FQ541" s="36"/>
      <c r="FR541" s="36"/>
      <c r="FS541" s="36"/>
      <c r="FT541" s="36"/>
      <c r="FU541" s="36"/>
      <c r="FV541" s="36"/>
      <c r="FW541" s="36"/>
      <c r="FX541" s="36"/>
      <c r="FY541" s="36"/>
      <c r="FZ541" s="36"/>
      <c r="GA541" s="36"/>
      <c r="GB541" s="36"/>
      <c r="GC541" s="36"/>
      <c r="GD541" s="36"/>
      <c r="GE541" s="36"/>
      <c r="GF541" s="36"/>
      <c r="GG541" s="36"/>
      <c r="GH541" s="36"/>
      <c r="GI541" s="36"/>
      <c r="GJ541" s="36"/>
      <c r="GK541" s="36"/>
      <c r="GL541" s="36"/>
      <c r="GM541" s="36"/>
      <c r="GN541" s="36"/>
      <c r="GO541" s="36"/>
      <c r="GP541" s="36"/>
      <c r="GQ541" s="36"/>
      <c r="GR541" s="36"/>
      <c r="GS541" s="36"/>
      <c r="GT541" s="36"/>
      <c r="GU541" s="36"/>
      <c r="GV541" s="36"/>
      <c r="GW541" s="36"/>
      <c r="GX541" s="36"/>
      <c r="GY541" s="36"/>
      <c r="GZ541" s="36"/>
      <c r="HA541" s="36"/>
      <c r="HB541" s="36"/>
      <c r="HC541" s="36"/>
      <c r="HD541" s="36"/>
      <c r="HE541" s="36"/>
      <c r="HF541" s="36"/>
      <c r="HG541" s="36"/>
      <c r="HH541" s="36"/>
      <c r="HI541" s="36"/>
      <c r="HJ541" s="36"/>
      <c r="HK541" s="36"/>
      <c r="HL541" s="36"/>
      <c r="HM541" s="36"/>
      <c r="HN541" s="36"/>
      <c r="HO541" s="36"/>
      <c r="HP541" s="36"/>
      <c r="HQ541" s="36"/>
      <c r="HR541" s="36"/>
      <c r="HS541" s="36"/>
      <c r="HT541" s="36"/>
      <c r="HU541" s="36"/>
      <c r="HV541" s="36"/>
      <c r="HW541" s="36"/>
      <c r="HX541" s="36"/>
      <c r="HY541" s="36"/>
      <c r="HZ541" s="36"/>
      <c r="IA541" s="36"/>
      <c r="IB541" s="36"/>
      <c r="IC541" s="36"/>
      <c r="ID541" s="36"/>
      <c r="IE541" s="36"/>
      <c r="IF541" s="36"/>
      <c r="IG541" s="36"/>
      <c r="IH541" s="36"/>
      <c r="II541" s="36"/>
      <c r="IJ541" s="36"/>
      <c r="IK541" s="36"/>
      <c r="IL541" s="36"/>
      <c r="IM541" s="36"/>
      <c r="IN541" s="36"/>
      <c r="IO541" s="36"/>
      <c r="IP541" s="36"/>
      <c r="IQ541" s="36"/>
      <c r="IR541" s="36"/>
      <c r="IS541" s="36"/>
      <c r="IT541" s="36"/>
      <c r="IU541" s="36"/>
      <c r="IV541" s="36"/>
      <c r="IW541" s="36"/>
      <c r="IX541" s="36"/>
      <c r="IY541" s="36"/>
      <c r="IZ541" s="36"/>
      <c r="JA541" s="36"/>
      <c r="JB541" s="36"/>
      <c r="JC541" s="36"/>
      <c r="JD541" s="36"/>
      <c r="JE541" s="36"/>
      <c r="JF541" s="36"/>
      <c r="JG541" s="36"/>
      <c r="JH541" s="36"/>
      <c r="JI541" s="36"/>
      <c r="JJ541" s="36"/>
      <c r="JK541" s="36"/>
      <c r="JL541" s="36"/>
      <c r="JM541" s="36"/>
      <c r="JN541" s="36"/>
      <c r="JO541" s="36"/>
      <c r="JP541" s="36"/>
      <c r="JQ541" s="36"/>
      <c r="JR541" s="36"/>
      <c r="JS541" s="36"/>
      <c r="JT541" s="36"/>
      <c r="JU541" s="36"/>
      <c r="JV541" s="36"/>
      <c r="JW541" s="36"/>
      <c r="JX541" s="36"/>
      <c r="JY541" s="36"/>
      <c r="JZ541" s="36"/>
      <c r="KA541" s="36"/>
      <c r="KB541" s="36"/>
      <c r="KC541" s="36"/>
      <c r="KD541" s="36"/>
      <c r="KE541" s="36"/>
      <c r="KF541" s="36"/>
      <c r="KG541" s="36"/>
      <c r="KH541" s="36"/>
      <c r="KI541" s="36"/>
      <c r="KJ541" s="36"/>
      <c r="KK541" s="36"/>
      <c r="KL541" s="36"/>
      <c r="KM541" s="36"/>
      <c r="KN541" s="36"/>
      <c r="KO541" s="36"/>
      <c r="KP541" s="36"/>
      <c r="KQ541" s="36"/>
      <c r="KR541" s="36"/>
      <c r="KS541" s="36"/>
      <c r="KT541" s="36"/>
      <c r="KU541" s="36"/>
      <c r="KV541" s="36"/>
      <c r="KW541" s="36"/>
      <c r="KX541" s="36"/>
      <c r="KY541" s="36"/>
      <c r="KZ541" s="36"/>
      <c r="LA541" s="36"/>
      <c r="LB541" s="36"/>
      <c r="LC541" s="36"/>
      <c r="LD541" s="36"/>
      <c r="LE541" s="36"/>
      <c r="LF541" s="36"/>
      <c r="LG541" s="36"/>
      <c r="LH541" s="36"/>
      <c r="LI541" s="36"/>
      <c r="LJ541" s="36"/>
      <c r="LK541" s="36"/>
      <c r="LL541" s="36"/>
      <c r="LM541" s="36"/>
      <c r="LN541" s="36"/>
      <c r="LO541" s="36"/>
      <c r="LP541" s="36"/>
      <c r="LQ541" s="36"/>
      <c r="LR541" s="36"/>
      <c r="LS541" s="36"/>
      <c r="LT541" s="36"/>
      <c r="LU541" s="36"/>
      <c r="LV541" s="36"/>
      <c r="LW541" s="36"/>
      <c r="LX541" s="36"/>
      <c r="LY541" s="36"/>
      <c r="LZ541" s="36"/>
      <c r="MA541" s="36"/>
      <c r="MB541" s="36"/>
      <c r="MC541" s="36"/>
      <c r="MD541" s="36"/>
      <c r="ME541" s="36"/>
      <c r="MF541" s="36"/>
      <c r="MG541" s="36"/>
      <c r="MH541" s="36"/>
      <c r="MI541" s="36"/>
      <c r="MJ541" s="36"/>
      <c r="MK541" s="36"/>
      <c r="ML541" s="36"/>
      <c r="MM541" s="36"/>
      <c r="MN541" s="36"/>
      <c r="MO541" s="36"/>
      <c r="MP541" s="36"/>
      <c r="MQ541" s="36"/>
      <c r="MR541" s="36"/>
      <c r="MS541" s="36"/>
      <c r="MT541" s="36"/>
      <c r="MU541" s="36"/>
      <c r="MV541" s="36"/>
      <c r="MW541" s="36"/>
      <c r="MX541" s="36"/>
      <c r="MY541" s="36"/>
      <c r="MZ541" s="36"/>
      <c r="NA541" s="36"/>
      <c r="NB541" s="36"/>
      <c r="NC541" s="36"/>
      <c r="ND541" s="36"/>
      <c r="NE541" s="36"/>
      <c r="NF541" s="36"/>
      <c r="NG541" s="36"/>
      <c r="NH541" s="36"/>
      <c r="NI541" s="36"/>
      <c r="NJ541" s="36"/>
      <c r="NK541" s="36"/>
      <c r="NL541" s="36"/>
      <c r="NM541" s="36"/>
      <c r="NN541" s="36"/>
      <c r="NO541" s="36"/>
      <c r="NP541" s="36"/>
      <c r="NQ541" s="36"/>
      <c r="NR541" s="36"/>
      <c r="NS541" s="36"/>
      <c r="NT541" s="36"/>
      <c r="NU541" s="36"/>
      <c r="NV541" s="36"/>
      <c r="NW541" s="36"/>
      <c r="NX541" s="36"/>
      <c r="NY541" s="36"/>
      <c r="NZ541" s="36"/>
      <c r="OA541" s="36"/>
      <c r="OB541" s="36"/>
      <c r="OC541" s="36"/>
      <c r="OD541" s="36"/>
      <c r="OE541" s="36"/>
      <c r="OF541" s="36"/>
      <c r="OG541" s="36"/>
      <c r="OH541" s="36"/>
      <c r="OI541" s="36"/>
      <c r="OJ541" s="36"/>
      <c r="OK541" s="36"/>
      <c r="OL541" s="36"/>
      <c r="OM541" s="36"/>
      <c r="ON541" s="36"/>
      <c r="OO541" s="36"/>
      <c r="OP541" s="36"/>
      <c r="OQ541" s="36"/>
      <c r="OR541" s="36"/>
      <c r="OS541" s="36"/>
      <c r="OT541" s="36"/>
      <c r="OU541" s="36"/>
      <c r="OV541" s="36"/>
      <c r="OW541" s="36"/>
      <c r="OX541" s="36"/>
    </row>
    <row r="542" spans="2:414" s="27" customFormat="1" ht="15.6">
      <c r="B542" s="51" t="s">
        <v>1059</v>
      </c>
      <c r="C542" s="27" t="s">
        <v>1060</v>
      </c>
      <c r="D542" s="29" t="s">
        <v>201</v>
      </c>
      <c r="G542" s="49">
        <v>80</v>
      </c>
      <c r="H542" s="89">
        <v>26.109000000000002</v>
      </c>
      <c r="I542" s="38">
        <f t="shared" si="165"/>
        <v>2088.7200000000003</v>
      </c>
      <c r="K542" s="49">
        <v>80</v>
      </c>
      <c r="L542" s="90">
        <v>26.849599999999999</v>
      </c>
      <c r="M542" s="38">
        <f t="shared" si="166"/>
        <v>2147.9679999999998</v>
      </c>
      <c r="O542" s="49">
        <v>505</v>
      </c>
      <c r="P542" s="38">
        <v>26.728300000000001</v>
      </c>
      <c r="Q542" s="38">
        <f t="shared" si="167"/>
        <v>13497.791500000001</v>
      </c>
      <c r="R542" s="43">
        <f t="shared" si="164"/>
        <v>665</v>
      </c>
      <c r="S542" s="38">
        <f t="shared" si="168"/>
        <v>17734.479500000001</v>
      </c>
      <c r="T542" s="52">
        <v>240</v>
      </c>
      <c r="U542" s="52">
        <v>26.26</v>
      </c>
      <c r="V542" s="38">
        <f t="shared" si="176"/>
        <v>6302.4000000000005</v>
      </c>
      <c r="W542" s="52">
        <v>505</v>
      </c>
      <c r="X542" s="52">
        <v>26.567399999999999</v>
      </c>
      <c r="Y542" s="35">
        <f t="shared" si="174"/>
        <v>13416.537</v>
      </c>
      <c r="Z542" s="78"/>
      <c r="AB542" s="32">
        <f t="shared" si="175"/>
        <v>0</v>
      </c>
      <c r="AF542" s="42">
        <f t="shared" si="162"/>
        <v>0</v>
      </c>
      <c r="AU542" s="100"/>
      <c r="AV542" s="35"/>
      <c r="AW542" s="78"/>
      <c r="AZ542" s="42">
        <f t="shared" si="163"/>
        <v>0</v>
      </c>
      <c r="BD542" s="38">
        <f t="shared" si="169"/>
        <v>0</v>
      </c>
      <c r="BH542" s="38">
        <f t="shared" si="170"/>
        <v>0</v>
      </c>
      <c r="BL542" s="38">
        <f t="shared" si="171"/>
        <v>0</v>
      </c>
      <c r="BR542" s="42">
        <f t="shared" si="172"/>
        <v>19718.937000000002</v>
      </c>
      <c r="BS542" s="43"/>
      <c r="BT542" s="27">
        <v>1984.46</v>
      </c>
      <c r="BU542" s="36"/>
      <c r="BV542" s="36"/>
      <c r="BW542" s="36"/>
      <c r="BX542" s="36"/>
      <c r="BY542" s="36"/>
      <c r="BZ542" s="36"/>
      <c r="CA542" s="36"/>
      <c r="CB542" s="36"/>
      <c r="CC542" s="36"/>
      <c r="CD542" s="36"/>
      <c r="CE542" s="36"/>
      <c r="CF542" s="36"/>
      <c r="CG542" s="36"/>
      <c r="CH542" s="36"/>
      <c r="CI542" s="36"/>
      <c r="CJ542" s="36"/>
      <c r="CK542" s="36"/>
      <c r="CL542" s="36"/>
      <c r="CM542" s="36"/>
      <c r="CN542" s="36"/>
      <c r="CO542" s="36"/>
      <c r="CP542" s="36"/>
      <c r="CQ542" s="36"/>
      <c r="CR542" s="36"/>
      <c r="CS542" s="36"/>
      <c r="CT542" s="36"/>
      <c r="CU542" s="36"/>
      <c r="CV542" s="36"/>
      <c r="CW542" s="36"/>
      <c r="CX542" s="36"/>
      <c r="CY542" s="36"/>
      <c r="CZ542" s="36"/>
      <c r="DA542" s="36"/>
      <c r="DB542" s="36"/>
      <c r="DC542" s="36"/>
      <c r="DD542" s="36"/>
      <c r="DE542" s="36"/>
      <c r="DF542" s="36"/>
      <c r="DG542" s="36"/>
      <c r="DH542" s="36"/>
      <c r="DI542" s="36"/>
      <c r="DJ542" s="36"/>
      <c r="DK542" s="36"/>
      <c r="DL542" s="36"/>
      <c r="DM542" s="36"/>
      <c r="DN542" s="36"/>
      <c r="DO542" s="36"/>
      <c r="DP542" s="36"/>
      <c r="DQ542" s="36"/>
      <c r="DR542" s="36"/>
      <c r="DS542" s="36"/>
      <c r="DT542" s="36"/>
      <c r="DU542" s="36"/>
      <c r="DV542" s="36"/>
      <c r="DW542" s="36"/>
      <c r="DX542" s="36"/>
      <c r="DY542" s="36"/>
      <c r="DZ542" s="36"/>
      <c r="EA542" s="36"/>
      <c r="EB542" s="36"/>
      <c r="EC542" s="36"/>
      <c r="ED542" s="36"/>
      <c r="EE542" s="36"/>
      <c r="EF542" s="36"/>
      <c r="EG542" s="36"/>
      <c r="EH542" s="36"/>
      <c r="EI542" s="36"/>
      <c r="EJ542" s="36"/>
      <c r="EK542" s="36"/>
      <c r="EL542" s="36"/>
      <c r="EM542" s="36"/>
      <c r="EN542" s="36"/>
      <c r="EO542" s="36"/>
      <c r="EP542" s="36"/>
      <c r="EQ542" s="36"/>
      <c r="ER542" s="36"/>
      <c r="ES542" s="36"/>
      <c r="ET542" s="36"/>
      <c r="EU542" s="36"/>
      <c r="EV542" s="36"/>
      <c r="EW542" s="36"/>
      <c r="EX542" s="36"/>
      <c r="EY542" s="36"/>
      <c r="EZ542" s="36"/>
      <c r="FA542" s="36"/>
      <c r="FB542" s="36"/>
      <c r="FC542" s="36"/>
      <c r="FD542" s="36"/>
      <c r="FE542" s="36"/>
      <c r="FF542" s="36"/>
      <c r="FG542" s="36"/>
      <c r="FH542" s="36"/>
      <c r="FI542" s="36"/>
      <c r="FJ542" s="36"/>
      <c r="FK542" s="36"/>
      <c r="FL542" s="36"/>
      <c r="FM542" s="36"/>
      <c r="FN542" s="36"/>
      <c r="FO542" s="36"/>
      <c r="FP542" s="36"/>
      <c r="FQ542" s="36"/>
      <c r="FR542" s="36"/>
      <c r="FS542" s="36"/>
      <c r="FT542" s="36"/>
      <c r="FU542" s="36"/>
      <c r="FV542" s="36"/>
      <c r="FW542" s="36"/>
      <c r="FX542" s="36"/>
      <c r="FY542" s="36"/>
      <c r="FZ542" s="36"/>
      <c r="GA542" s="36"/>
      <c r="GB542" s="36"/>
      <c r="GC542" s="36"/>
      <c r="GD542" s="36"/>
      <c r="GE542" s="36"/>
      <c r="GF542" s="36"/>
      <c r="GG542" s="36"/>
      <c r="GH542" s="36"/>
      <c r="GI542" s="36"/>
      <c r="GJ542" s="36"/>
      <c r="GK542" s="36"/>
      <c r="GL542" s="36"/>
      <c r="GM542" s="36"/>
      <c r="GN542" s="36"/>
      <c r="GO542" s="36"/>
      <c r="GP542" s="36"/>
      <c r="GQ542" s="36"/>
      <c r="GR542" s="36"/>
      <c r="GS542" s="36"/>
      <c r="GT542" s="36"/>
      <c r="GU542" s="36"/>
      <c r="GV542" s="36"/>
      <c r="GW542" s="36"/>
      <c r="GX542" s="36"/>
      <c r="GY542" s="36"/>
      <c r="GZ542" s="36"/>
      <c r="HA542" s="36"/>
      <c r="HB542" s="36"/>
      <c r="HC542" s="36"/>
      <c r="HD542" s="36"/>
      <c r="HE542" s="36"/>
      <c r="HF542" s="36"/>
      <c r="HG542" s="36"/>
      <c r="HH542" s="36"/>
      <c r="HI542" s="36"/>
      <c r="HJ542" s="36"/>
      <c r="HK542" s="36"/>
      <c r="HL542" s="36"/>
      <c r="HM542" s="36"/>
      <c r="HN542" s="36"/>
      <c r="HO542" s="36"/>
      <c r="HP542" s="36"/>
      <c r="HQ542" s="36"/>
      <c r="HR542" s="36"/>
      <c r="HS542" s="36"/>
      <c r="HT542" s="36"/>
      <c r="HU542" s="36"/>
      <c r="HV542" s="36"/>
      <c r="HW542" s="36"/>
      <c r="HX542" s="36"/>
      <c r="HY542" s="36"/>
      <c r="HZ542" s="36"/>
      <c r="IA542" s="36"/>
      <c r="IB542" s="36"/>
      <c r="IC542" s="36"/>
      <c r="ID542" s="36"/>
      <c r="IE542" s="36"/>
      <c r="IF542" s="36"/>
      <c r="IG542" s="36"/>
      <c r="IH542" s="36"/>
      <c r="II542" s="36"/>
      <c r="IJ542" s="36"/>
      <c r="IK542" s="36"/>
      <c r="IL542" s="36"/>
      <c r="IM542" s="36"/>
      <c r="IN542" s="36"/>
      <c r="IO542" s="36"/>
      <c r="IP542" s="36"/>
      <c r="IQ542" s="36"/>
      <c r="IR542" s="36"/>
      <c r="IS542" s="36"/>
      <c r="IT542" s="36"/>
      <c r="IU542" s="36"/>
      <c r="IV542" s="36"/>
      <c r="IW542" s="36"/>
      <c r="IX542" s="36"/>
      <c r="IY542" s="36"/>
      <c r="IZ542" s="36"/>
      <c r="JA542" s="36"/>
      <c r="JB542" s="36"/>
      <c r="JC542" s="36"/>
      <c r="JD542" s="36"/>
      <c r="JE542" s="36"/>
      <c r="JF542" s="36"/>
      <c r="JG542" s="36"/>
      <c r="JH542" s="36"/>
      <c r="JI542" s="36"/>
      <c r="JJ542" s="36"/>
      <c r="JK542" s="36"/>
      <c r="JL542" s="36"/>
      <c r="JM542" s="36"/>
      <c r="JN542" s="36"/>
      <c r="JO542" s="36"/>
      <c r="JP542" s="36"/>
      <c r="JQ542" s="36"/>
      <c r="JR542" s="36"/>
      <c r="JS542" s="36"/>
      <c r="JT542" s="36"/>
      <c r="JU542" s="36"/>
      <c r="JV542" s="36"/>
      <c r="JW542" s="36"/>
      <c r="JX542" s="36"/>
      <c r="JY542" s="36"/>
      <c r="JZ542" s="36"/>
      <c r="KA542" s="36"/>
      <c r="KB542" s="36"/>
      <c r="KC542" s="36"/>
      <c r="KD542" s="36"/>
      <c r="KE542" s="36"/>
      <c r="KF542" s="36"/>
      <c r="KG542" s="36"/>
      <c r="KH542" s="36"/>
      <c r="KI542" s="36"/>
      <c r="KJ542" s="36"/>
      <c r="KK542" s="36"/>
      <c r="KL542" s="36"/>
      <c r="KM542" s="36"/>
      <c r="KN542" s="36"/>
      <c r="KO542" s="36"/>
      <c r="KP542" s="36"/>
      <c r="KQ542" s="36"/>
      <c r="KR542" s="36"/>
      <c r="KS542" s="36"/>
      <c r="KT542" s="36"/>
      <c r="KU542" s="36"/>
      <c r="KV542" s="36"/>
      <c r="KW542" s="36"/>
      <c r="KX542" s="36"/>
      <c r="KY542" s="36"/>
      <c r="KZ542" s="36"/>
      <c r="LA542" s="36"/>
      <c r="LB542" s="36"/>
      <c r="LC542" s="36"/>
      <c r="LD542" s="36"/>
      <c r="LE542" s="36"/>
      <c r="LF542" s="36"/>
      <c r="LG542" s="36"/>
      <c r="LH542" s="36"/>
      <c r="LI542" s="36"/>
      <c r="LJ542" s="36"/>
      <c r="LK542" s="36"/>
      <c r="LL542" s="36"/>
      <c r="LM542" s="36"/>
      <c r="LN542" s="36"/>
      <c r="LO542" s="36"/>
      <c r="LP542" s="36"/>
      <c r="LQ542" s="36"/>
      <c r="LR542" s="36"/>
      <c r="LS542" s="36"/>
      <c r="LT542" s="36"/>
      <c r="LU542" s="36"/>
      <c r="LV542" s="36"/>
      <c r="LW542" s="36"/>
      <c r="LX542" s="36"/>
      <c r="LY542" s="36"/>
      <c r="LZ542" s="36"/>
      <c r="MA542" s="36"/>
      <c r="MB542" s="36"/>
      <c r="MC542" s="36"/>
      <c r="MD542" s="36"/>
      <c r="ME542" s="36"/>
      <c r="MF542" s="36"/>
      <c r="MG542" s="36"/>
      <c r="MH542" s="36"/>
      <c r="MI542" s="36"/>
      <c r="MJ542" s="36"/>
      <c r="MK542" s="36"/>
      <c r="ML542" s="36"/>
      <c r="MM542" s="36"/>
      <c r="MN542" s="36"/>
      <c r="MO542" s="36"/>
      <c r="MP542" s="36"/>
      <c r="MQ542" s="36"/>
      <c r="MR542" s="36"/>
      <c r="MS542" s="36"/>
      <c r="MT542" s="36"/>
      <c r="MU542" s="36"/>
      <c r="MV542" s="36"/>
      <c r="MW542" s="36"/>
      <c r="MX542" s="36"/>
      <c r="MY542" s="36"/>
      <c r="MZ542" s="36"/>
      <c r="NA542" s="36"/>
      <c r="NB542" s="36"/>
      <c r="NC542" s="36"/>
      <c r="ND542" s="36"/>
      <c r="NE542" s="36"/>
      <c r="NF542" s="36"/>
      <c r="NG542" s="36"/>
      <c r="NH542" s="36"/>
      <c r="NI542" s="36"/>
      <c r="NJ542" s="36"/>
      <c r="NK542" s="36"/>
      <c r="NL542" s="36"/>
      <c r="NM542" s="36"/>
      <c r="NN542" s="36"/>
      <c r="NO542" s="36"/>
      <c r="NP542" s="36"/>
      <c r="NQ542" s="36"/>
      <c r="NR542" s="36"/>
      <c r="NS542" s="36"/>
      <c r="NT542" s="36"/>
      <c r="NU542" s="36"/>
      <c r="NV542" s="36"/>
      <c r="NW542" s="36"/>
      <c r="NX542" s="36"/>
      <c r="NY542" s="36"/>
      <c r="NZ542" s="36"/>
      <c r="OA542" s="36"/>
      <c r="OB542" s="36"/>
      <c r="OC542" s="36"/>
      <c r="OD542" s="36"/>
      <c r="OE542" s="36"/>
      <c r="OF542" s="36"/>
      <c r="OG542" s="36"/>
      <c r="OH542" s="36"/>
      <c r="OI542" s="36"/>
      <c r="OJ542" s="36"/>
      <c r="OK542" s="36"/>
      <c r="OL542" s="36"/>
      <c r="OM542" s="36"/>
      <c r="ON542" s="36"/>
      <c r="OO542" s="36"/>
      <c r="OP542" s="36"/>
      <c r="OQ542" s="36"/>
      <c r="OR542" s="36"/>
      <c r="OS542" s="36"/>
      <c r="OT542" s="36"/>
      <c r="OU542" s="36"/>
      <c r="OV542" s="36"/>
      <c r="OW542" s="36"/>
      <c r="OX542" s="36"/>
    </row>
    <row r="543" spans="2:414" s="27" customFormat="1" ht="15.6">
      <c r="B543" s="51" t="s">
        <v>583</v>
      </c>
      <c r="C543" s="27" t="s">
        <v>1061</v>
      </c>
      <c r="D543" s="29" t="s">
        <v>201</v>
      </c>
      <c r="G543" s="49">
        <v>80</v>
      </c>
      <c r="H543" s="89">
        <v>26.109000000000002</v>
      </c>
      <c r="I543" s="38">
        <f t="shared" si="165"/>
        <v>2088.7200000000003</v>
      </c>
      <c r="K543" s="49">
        <v>80</v>
      </c>
      <c r="L543" s="90">
        <v>26.849599999999999</v>
      </c>
      <c r="M543" s="38">
        <f t="shared" si="166"/>
        <v>2147.9679999999998</v>
      </c>
      <c r="O543" s="49">
        <v>505</v>
      </c>
      <c r="P543" s="38">
        <v>26.728300000000001</v>
      </c>
      <c r="Q543" s="38">
        <f t="shared" si="167"/>
        <v>13497.791500000001</v>
      </c>
      <c r="R543" s="43">
        <f t="shared" si="164"/>
        <v>665</v>
      </c>
      <c r="S543" s="38">
        <f t="shared" si="168"/>
        <v>17734.479500000001</v>
      </c>
      <c r="T543" s="27">
        <v>240</v>
      </c>
      <c r="U543" s="52">
        <v>26.26</v>
      </c>
      <c r="V543" s="38">
        <f t="shared" si="176"/>
        <v>6302.4000000000005</v>
      </c>
      <c r="W543" s="52">
        <v>70</v>
      </c>
      <c r="X543" s="52">
        <v>26.57</v>
      </c>
      <c r="Y543" s="35">
        <f t="shared" si="174"/>
        <v>1859.9</v>
      </c>
      <c r="Z543" s="78"/>
      <c r="AB543" s="32">
        <f t="shared" si="175"/>
        <v>0</v>
      </c>
      <c r="AF543" s="42">
        <f t="shared" si="162"/>
        <v>0</v>
      </c>
      <c r="AU543" s="100"/>
      <c r="AV543" s="35"/>
      <c r="AW543" s="78"/>
      <c r="AZ543" s="42">
        <f t="shared" si="163"/>
        <v>0</v>
      </c>
      <c r="BD543" s="38">
        <f t="shared" si="169"/>
        <v>0</v>
      </c>
      <c r="BH543" s="38">
        <f t="shared" si="170"/>
        <v>0</v>
      </c>
      <c r="BL543" s="38">
        <f t="shared" si="171"/>
        <v>0</v>
      </c>
      <c r="BR543" s="42">
        <f t="shared" si="172"/>
        <v>8162.3000000000011</v>
      </c>
      <c r="BS543" s="43">
        <f t="shared" si="173"/>
        <v>9572.1795000000002</v>
      </c>
      <c r="BU543" s="36"/>
      <c r="BV543" s="36"/>
      <c r="BW543" s="36"/>
      <c r="BX543" s="36"/>
      <c r="BY543" s="36"/>
      <c r="BZ543" s="36"/>
      <c r="CA543" s="36"/>
      <c r="CB543" s="36"/>
      <c r="CC543" s="36"/>
      <c r="CD543" s="36"/>
      <c r="CE543" s="36"/>
      <c r="CF543" s="36"/>
      <c r="CG543" s="36"/>
      <c r="CH543" s="36"/>
      <c r="CI543" s="36"/>
      <c r="CJ543" s="36"/>
      <c r="CK543" s="36"/>
      <c r="CL543" s="36"/>
      <c r="CM543" s="36"/>
      <c r="CN543" s="36"/>
      <c r="CO543" s="36"/>
      <c r="CP543" s="36"/>
      <c r="CQ543" s="36"/>
      <c r="CR543" s="36"/>
      <c r="CS543" s="36"/>
      <c r="CT543" s="36"/>
      <c r="CU543" s="36"/>
      <c r="CV543" s="36"/>
      <c r="CW543" s="36"/>
      <c r="CX543" s="36"/>
      <c r="CY543" s="36"/>
      <c r="CZ543" s="36"/>
      <c r="DA543" s="36"/>
      <c r="DB543" s="36"/>
      <c r="DC543" s="36"/>
      <c r="DD543" s="36"/>
      <c r="DE543" s="36"/>
      <c r="DF543" s="36"/>
      <c r="DG543" s="36"/>
      <c r="DH543" s="36"/>
      <c r="DI543" s="36"/>
      <c r="DJ543" s="36"/>
      <c r="DK543" s="36"/>
      <c r="DL543" s="36"/>
      <c r="DM543" s="36"/>
      <c r="DN543" s="36"/>
      <c r="DO543" s="36"/>
      <c r="DP543" s="36"/>
      <c r="DQ543" s="36"/>
      <c r="DR543" s="36"/>
      <c r="DS543" s="36"/>
      <c r="DT543" s="36"/>
      <c r="DU543" s="36"/>
      <c r="DV543" s="36"/>
      <c r="DW543" s="36"/>
      <c r="DX543" s="36"/>
      <c r="DY543" s="36"/>
      <c r="DZ543" s="36"/>
      <c r="EA543" s="36"/>
      <c r="EB543" s="36"/>
      <c r="EC543" s="36"/>
      <c r="ED543" s="36"/>
      <c r="EE543" s="36"/>
      <c r="EF543" s="36"/>
      <c r="EG543" s="36"/>
      <c r="EH543" s="36"/>
      <c r="EI543" s="36"/>
      <c r="EJ543" s="36"/>
      <c r="EK543" s="36"/>
      <c r="EL543" s="36"/>
      <c r="EM543" s="36"/>
      <c r="EN543" s="36"/>
      <c r="EO543" s="36"/>
      <c r="EP543" s="36"/>
      <c r="EQ543" s="36"/>
      <c r="ER543" s="36"/>
      <c r="ES543" s="36"/>
      <c r="ET543" s="36"/>
      <c r="EU543" s="36"/>
      <c r="EV543" s="36"/>
      <c r="EW543" s="36"/>
      <c r="EX543" s="36"/>
      <c r="EY543" s="36"/>
      <c r="EZ543" s="36"/>
      <c r="FA543" s="36"/>
      <c r="FB543" s="36"/>
      <c r="FC543" s="36"/>
      <c r="FD543" s="36"/>
      <c r="FE543" s="36"/>
      <c r="FF543" s="36"/>
      <c r="FG543" s="36"/>
      <c r="FH543" s="36"/>
      <c r="FI543" s="36"/>
      <c r="FJ543" s="36"/>
      <c r="FK543" s="36"/>
      <c r="FL543" s="36"/>
      <c r="FM543" s="36"/>
      <c r="FN543" s="36"/>
      <c r="FO543" s="36"/>
      <c r="FP543" s="36"/>
      <c r="FQ543" s="36"/>
      <c r="FR543" s="36"/>
      <c r="FS543" s="36"/>
      <c r="FT543" s="36"/>
      <c r="FU543" s="36"/>
      <c r="FV543" s="36"/>
      <c r="FW543" s="36"/>
      <c r="FX543" s="36"/>
      <c r="FY543" s="36"/>
      <c r="FZ543" s="36"/>
      <c r="GA543" s="36"/>
      <c r="GB543" s="36"/>
      <c r="GC543" s="36"/>
      <c r="GD543" s="36"/>
      <c r="GE543" s="36"/>
      <c r="GF543" s="36"/>
      <c r="GG543" s="36"/>
      <c r="GH543" s="36"/>
      <c r="GI543" s="36"/>
      <c r="GJ543" s="36"/>
      <c r="GK543" s="36"/>
      <c r="GL543" s="36"/>
      <c r="GM543" s="36"/>
      <c r="GN543" s="36"/>
      <c r="GO543" s="36"/>
      <c r="GP543" s="36"/>
      <c r="GQ543" s="36"/>
      <c r="GR543" s="36"/>
      <c r="GS543" s="36"/>
      <c r="GT543" s="36"/>
      <c r="GU543" s="36"/>
      <c r="GV543" s="36"/>
      <c r="GW543" s="36"/>
      <c r="GX543" s="36"/>
      <c r="GY543" s="36"/>
      <c r="GZ543" s="36"/>
      <c r="HA543" s="36"/>
      <c r="HB543" s="36"/>
      <c r="HC543" s="36"/>
      <c r="HD543" s="36"/>
      <c r="HE543" s="36"/>
      <c r="HF543" s="36"/>
      <c r="HG543" s="36"/>
      <c r="HH543" s="36"/>
      <c r="HI543" s="36"/>
      <c r="HJ543" s="36"/>
      <c r="HK543" s="36"/>
      <c r="HL543" s="36"/>
      <c r="HM543" s="36"/>
      <c r="HN543" s="36"/>
      <c r="HO543" s="36"/>
      <c r="HP543" s="36"/>
      <c r="HQ543" s="36"/>
      <c r="HR543" s="36"/>
      <c r="HS543" s="36"/>
      <c r="HT543" s="36"/>
      <c r="HU543" s="36"/>
      <c r="HV543" s="36"/>
      <c r="HW543" s="36"/>
      <c r="HX543" s="36"/>
      <c r="HY543" s="36"/>
      <c r="HZ543" s="36"/>
      <c r="IA543" s="36"/>
      <c r="IB543" s="36"/>
      <c r="IC543" s="36"/>
      <c r="ID543" s="36"/>
      <c r="IE543" s="36"/>
      <c r="IF543" s="36"/>
      <c r="IG543" s="36"/>
      <c r="IH543" s="36"/>
      <c r="II543" s="36"/>
      <c r="IJ543" s="36"/>
      <c r="IK543" s="36"/>
      <c r="IL543" s="36"/>
      <c r="IM543" s="36"/>
      <c r="IN543" s="36"/>
      <c r="IO543" s="36"/>
      <c r="IP543" s="36"/>
      <c r="IQ543" s="36"/>
      <c r="IR543" s="36"/>
      <c r="IS543" s="36"/>
      <c r="IT543" s="36"/>
      <c r="IU543" s="36"/>
      <c r="IV543" s="36"/>
      <c r="IW543" s="36"/>
      <c r="IX543" s="36"/>
      <c r="IY543" s="36"/>
      <c r="IZ543" s="36"/>
      <c r="JA543" s="36"/>
      <c r="JB543" s="36"/>
      <c r="JC543" s="36"/>
      <c r="JD543" s="36"/>
      <c r="JE543" s="36"/>
      <c r="JF543" s="36"/>
      <c r="JG543" s="36"/>
      <c r="JH543" s="36"/>
      <c r="JI543" s="36"/>
      <c r="JJ543" s="36"/>
      <c r="JK543" s="36"/>
      <c r="JL543" s="36"/>
      <c r="JM543" s="36"/>
      <c r="JN543" s="36"/>
      <c r="JO543" s="36"/>
      <c r="JP543" s="36"/>
      <c r="JQ543" s="36"/>
      <c r="JR543" s="36"/>
      <c r="JS543" s="36"/>
      <c r="JT543" s="36"/>
      <c r="JU543" s="36"/>
      <c r="JV543" s="36"/>
      <c r="JW543" s="36"/>
      <c r="JX543" s="36"/>
      <c r="JY543" s="36"/>
      <c r="JZ543" s="36"/>
      <c r="KA543" s="36"/>
      <c r="KB543" s="36"/>
      <c r="KC543" s="36"/>
      <c r="KD543" s="36"/>
      <c r="KE543" s="36"/>
      <c r="KF543" s="36"/>
      <c r="KG543" s="36"/>
      <c r="KH543" s="36"/>
      <c r="KI543" s="36"/>
      <c r="KJ543" s="36"/>
      <c r="KK543" s="36"/>
      <c r="KL543" s="36"/>
      <c r="KM543" s="36"/>
      <c r="KN543" s="36"/>
      <c r="KO543" s="36"/>
      <c r="KP543" s="36"/>
      <c r="KQ543" s="36"/>
      <c r="KR543" s="36"/>
      <c r="KS543" s="36"/>
      <c r="KT543" s="36"/>
      <c r="KU543" s="36"/>
      <c r="KV543" s="36"/>
      <c r="KW543" s="36"/>
      <c r="KX543" s="36"/>
      <c r="KY543" s="36"/>
      <c r="KZ543" s="36"/>
      <c r="LA543" s="36"/>
      <c r="LB543" s="36"/>
      <c r="LC543" s="36"/>
      <c r="LD543" s="36"/>
      <c r="LE543" s="36"/>
      <c r="LF543" s="36"/>
      <c r="LG543" s="36"/>
      <c r="LH543" s="36"/>
      <c r="LI543" s="36"/>
      <c r="LJ543" s="36"/>
      <c r="LK543" s="36"/>
      <c r="LL543" s="36"/>
      <c r="LM543" s="36"/>
      <c r="LN543" s="36"/>
      <c r="LO543" s="36"/>
      <c r="LP543" s="36"/>
      <c r="LQ543" s="36"/>
      <c r="LR543" s="36"/>
      <c r="LS543" s="36"/>
      <c r="LT543" s="36"/>
      <c r="LU543" s="36"/>
      <c r="LV543" s="36"/>
      <c r="LW543" s="36"/>
      <c r="LX543" s="36"/>
      <c r="LY543" s="36"/>
      <c r="LZ543" s="36"/>
      <c r="MA543" s="36"/>
      <c r="MB543" s="36"/>
      <c r="MC543" s="36"/>
      <c r="MD543" s="36"/>
      <c r="ME543" s="36"/>
      <c r="MF543" s="36"/>
      <c r="MG543" s="36"/>
      <c r="MH543" s="36"/>
      <c r="MI543" s="36"/>
      <c r="MJ543" s="36"/>
      <c r="MK543" s="36"/>
      <c r="ML543" s="36"/>
      <c r="MM543" s="36"/>
      <c r="MN543" s="36"/>
      <c r="MO543" s="36"/>
      <c r="MP543" s="36"/>
      <c r="MQ543" s="36"/>
      <c r="MR543" s="36"/>
      <c r="MS543" s="36"/>
      <c r="MT543" s="36"/>
      <c r="MU543" s="36"/>
      <c r="MV543" s="36"/>
      <c r="MW543" s="36"/>
      <c r="MX543" s="36"/>
      <c r="MY543" s="36"/>
      <c r="MZ543" s="36"/>
      <c r="NA543" s="36"/>
      <c r="NB543" s="36"/>
      <c r="NC543" s="36"/>
      <c r="ND543" s="36"/>
      <c r="NE543" s="36"/>
      <c r="NF543" s="36"/>
      <c r="NG543" s="36"/>
      <c r="NH543" s="36"/>
      <c r="NI543" s="36"/>
      <c r="NJ543" s="36"/>
      <c r="NK543" s="36"/>
      <c r="NL543" s="36"/>
      <c r="NM543" s="36"/>
      <c r="NN543" s="36"/>
      <c r="NO543" s="36"/>
      <c r="NP543" s="36"/>
      <c r="NQ543" s="36"/>
      <c r="NR543" s="36"/>
      <c r="NS543" s="36"/>
      <c r="NT543" s="36"/>
      <c r="NU543" s="36"/>
      <c r="NV543" s="36"/>
      <c r="NW543" s="36"/>
      <c r="NX543" s="36"/>
      <c r="NY543" s="36"/>
      <c r="NZ543" s="36"/>
      <c r="OA543" s="36"/>
      <c r="OB543" s="36"/>
      <c r="OC543" s="36"/>
      <c r="OD543" s="36"/>
      <c r="OE543" s="36"/>
      <c r="OF543" s="36"/>
      <c r="OG543" s="36"/>
      <c r="OH543" s="36"/>
      <c r="OI543" s="36"/>
      <c r="OJ543" s="36"/>
      <c r="OK543" s="36"/>
      <c r="OL543" s="36"/>
      <c r="OM543" s="36"/>
      <c r="ON543" s="36"/>
      <c r="OO543" s="36"/>
      <c r="OP543" s="36"/>
      <c r="OQ543" s="36"/>
      <c r="OR543" s="36"/>
      <c r="OS543" s="36"/>
      <c r="OT543" s="36"/>
      <c r="OU543" s="36"/>
      <c r="OV543" s="36"/>
      <c r="OW543" s="36"/>
      <c r="OX543" s="36"/>
    </row>
    <row r="544" spans="2:414" s="27" customFormat="1" ht="15.6">
      <c r="B544" s="51" t="s">
        <v>190</v>
      </c>
      <c r="C544" s="27" t="s">
        <v>1062</v>
      </c>
      <c r="D544" s="29" t="s">
        <v>201</v>
      </c>
      <c r="G544" s="49">
        <v>80</v>
      </c>
      <c r="H544" s="89">
        <v>26.109000000000002</v>
      </c>
      <c r="I544" s="38">
        <f t="shared" si="165"/>
        <v>2088.7200000000003</v>
      </c>
      <c r="K544" s="49">
        <v>80</v>
      </c>
      <c r="L544" s="90">
        <v>26.849599999999999</v>
      </c>
      <c r="M544" s="38">
        <f t="shared" si="166"/>
        <v>2147.9679999999998</v>
      </c>
      <c r="O544" s="49">
        <v>505</v>
      </c>
      <c r="P544" s="38">
        <v>26.728300000000001</v>
      </c>
      <c r="Q544" s="38">
        <f t="shared" si="167"/>
        <v>13497.791500000001</v>
      </c>
      <c r="R544" s="43">
        <f t="shared" si="164"/>
        <v>665</v>
      </c>
      <c r="S544" s="38">
        <f t="shared" si="168"/>
        <v>17734.479500000001</v>
      </c>
      <c r="T544" s="52">
        <v>240</v>
      </c>
      <c r="U544" s="52">
        <v>26.803799999999999</v>
      </c>
      <c r="V544" s="38">
        <f t="shared" si="176"/>
        <v>6432.9119999999994</v>
      </c>
      <c r="W544" s="52">
        <v>505</v>
      </c>
      <c r="X544" s="52">
        <v>26.732500000000002</v>
      </c>
      <c r="Y544" s="35">
        <f t="shared" si="174"/>
        <v>13499.9125</v>
      </c>
      <c r="Z544" s="78"/>
      <c r="AB544" s="32">
        <f t="shared" si="175"/>
        <v>0</v>
      </c>
      <c r="AF544" s="42">
        <f t="shared" si="162"/>
        <v>0</v>
      </c>
      <c r="AU544" s="100"/>
      <c r="AV544" s="35"/>
      <c r="AW544" s="78"/>
      <c r="AZ544" s="42">
        <f t="shared" si="163"/>
        <v>0</v>
      </c>
      <c r="BD544" s="38">
        <f t="shared" si="169"/>
        <v>0</v>
      </c>
      <c r="BH544" s="38">
        <f t="shared" si="170"/>
        <v>0</v>
      </c>
      <c r="BL544" s="38">
        <f t="shared" si="171"/>
        <v>0</v>
      </c>
      <c r="BR544" s="42">
        <f t="shared" si="172"/>
        <v>19932.824499999999</v>
      </c>
      <c r="BS544" s="43"/>
      <c r="BT544" s="27">
        <v>2198.35</v>
      </c>
      <c r="BU544" s="36"/>
      <c r="BV544" s="36"/>
      <c r="BW544" s="36"/>
      <c r="BX544" s="36"/>
      <c r="BY544" s="36"/>
      <c r="BZ544" s="36"/>
      <c r="CA544" s="36"/>
      <c r="CB544" s="36"/>
      <c r="CC544" s="36"/>
      <c r="CD544" s="36"/>
      <c r="CE544" s="36"/>
      <c r="CF544" s="36"/>
      <c r="CG544" s="36"/>
      <c r="CH544" s="36"/>
      <c r="CI544" s="36"/>
      <c r="CJ544" s="36"/>
      <c r="CK544" s="36"/>
      <c r="CL544" s="36"/>
      <c r="CM544" s="36"/>
      <c r="CN544" s="36"/>
      <c r="CO544" s="36"/>
      <c r="CP544" s="36"/>
      <c r="CQ544" s="36"/>
      <c r="CR544" s="36"/>
      <c r="CS544" s="36"/>
      <c r="CT544" s="36"/>
      <c r="CU544" s="36"/>
      <c r="CV544" s="36"/>
      <c r="CW544" s="36"/>
      <c r="CX544" s="36"/>
      <c r="CY544" s="36"/>
      <c r="CZ544" s="36"/>
      <c r="DA544" s="36"/>
      <c r="DB544" s="36"/>
      <c r="DC544" s="36"/>
      <c r="DD544" s="36"/>
      <c r="DE544" s="36"/>
      <c r="DF544" s="36"/>
      <c r="DG544" s="36"/>
      <c r="DH544" s="36"/>
      <c r="DI544" s="36"/>
      <c r="DJ544" s="36"/>
      <c r="DK544" s="36"/>
      <c r="DL544" s="36"/>
      <c r="DM544" s="36"/>
      <c r="DN544" s="36"/>
      <c r="DO544" s="36"/>
      <c r="DP544" s="36"/>
      <c r="DQ544" s="36"/>
      <c r="DR544" s="36"/>
      <c r="DS544" s="36"/>
      <c r="DT544" s="36"/>
      <c r="DU544" s="36"/>
      <c r="DV544" s="36"/>
      <c r="DW544" s="36"/>
      <c r="DX544" s="36"/>
      <c r="DY544" s="36"/>
      <c r="DZ544" s="36"/>
      <c r="EA544" s="36"/>
      <c r="EB544" s="36"/>
      <c r="EC544" s="36"/>
      <c r="ED544" s="36"/>
      <c r="EE544" s="36"/>
      <c r="EF544" s="36"/>
      <c r="EG544" s="36"/>
      <c r="EH544" s="36"/>
      <c r="EI544" s="36"/>
      <c r="EJ544" s="36"/>
      <c r="EK544" s="36"/>
      <c r="EL544" s="36"/>
      <c r="EM544" s="36"/>
      <c r="EN544" s="36"/>
      <c r="EO544" s="36"/>
      <c r="EP544" s="36"/>
      <c r="EQ544" s="36"/>
      <c r="ER544" s="36"/>
      <c r="ES544" s="36"/>
      <c r="ET544" s="36"/>
      <c r="EU544" s="36"/>
      <c r="EV544" s="36"/>
      <c r="EW544" s="36"/>
      <c r="EX544" s="36"/>
      <c r="EY544" s="36"/>
      <c r="EZ544" s="36"/>
      <c r="FA544" s="36"/>
      <c r="FB544" s="36"/>
      <c r="FC544" s="36"/>
      <c r="FD544" s="36"/>
      <c r="FE544" s="36"/>
      <c r="FF544" s="36"/>
      <c r="FG544" s="36"/>
      <c r="FH544" s="36"/>
      <c r="FI544" s="36"/>
      <c r="FJ544" s="36"/>
      <c r="FK544" s="36"/>
      <c r="FL544" s="36"/>
      <c r="FM544" s="36"/>
      <c r="FN544" s="36"/>
      <c r="FO544" s="36"/>
      <c r="FP544" s="36"/>
      <c r="FQ544" s="36"/>
      <c r="FR544" s="36"/>
      <c r="FS544" s="36"/>
      <c r="FT544" s="36"/>
      <c r="FU544" s="36"/>
      <c r="FV544" s="36"/>
      <c r="FW544" s="36"/>
      <c r="FX544" s="36"/>
      <c r="FY544" s="36"/>
      <c r="FZ544" s="36"/>
      <c r="GA544" s="36"/>
      <c r="GB544" s="36"/>
      <c r="GC544" s="36"/>
      <c r="GD544" s="36"/>
      <c r="GE544" s="36"/>
      <c r="GF544" s="36"/>
      <c r="GG544" s="36"/>
      <c r="GH544" s="36"/>
      <c r="GI544" s="36"/>
      <c r="GJ544" s="36"/>
      <c r="GK544" s="36"/>
      <c r="GL544" s="36"/>
      <c r="GM544" s="36"/>
      <c r="GN544" s="36"/>
      <c r="GO544" s="36"/>
      <c r="GP544" s="36"/>
      <c r="GQ544" s="36"/>
      <c r="GR544" s="36"/>
      <c r="GS544" s="36"/>
      <c r="GT544" s="36"/>
      <c r="GU544" s="36"/>
      <c r="GV544" s="36"/>
      <c r="GW544" s="36"/>
      <c r="GX544" s="36"/>
      <c r="GY544" s="36"/>
      <c r="GZ544" s="36"/>
      <c r="HA544" s="36"/>
      <c r="HB544" s="36"/>
      <c r="HC544" s="36"/>
      <c r="HD544" s="36"/>
      <c r="HE544" s="36"/>
      <c r="HF544" s="36"/>
      <c r="HG544" s="36"/>
      <c r="HH544" s="36"/>
      <c r="HI544" s="36"/>
      <c r="HJ544" s="36"/>
      <c r="HK544" s="36"/>
      <c r="HL544" s="36"/>
      <c r="HM544" s="36"/>
      <c r="HN544" s="36"/>
      <c r="HO544" s="36"/>
      <c r="HP544" s="36"/>
      <c r="HQ544" s="36"/>
      <c r="HR544" s="36"/>
      <c r="HS544" s="36"/>
      <c r="HT544" s="36"/>
      <c r="HU544" s="36"/>
      <c r="HV544" s="36"/>
      <c r="HW544" s="36"/>
      <c r="HX544" s="36"/>
      <c r="HY544" s="36"/>
      <c r="HZ544" s="36"/>
      <c r="IA544" s="36"/>
      <c r="IB544" s="36"/>
      <c r="IC544" s="36"/>
      <c r="ID544" s="36"/>
      <c r="IE544" s="36"/>
      <c r="IF544" s="36"/>
      <c r="IG544" s="36"/>
      <c r="IH544" s="36"/>
      <c r="II544" s="36"/>
      <c r="IJ544" s="36"/>
      <c r="IK544" s="36"/>
      <c r="IL544" s="36"/>
      <c r="IM544" s="36"/>
      <c r="IN544" s="36"/>
      <c r="IO544" s="36"/>
      <c r="IP544" s="36"/>
      <c r="IQ544" s="36"/>
      <c r="IR544" s="36"/>
      <c r="IS544" s="36"/>
      <c r="IT544" s="36"/>
      <c r="IU544" s="36"/>
      <c r="IV544" s="36"/>
      <c r="IW544" s="36"/>
      <c r="IX544" s="36"/>
      <c r="IY544" s="36"/>
      <c r="IZ544" s="36"/>
      <c r="JA544" s="36"/>
      <c r="JB544" s="36"/>
      <c r="JC544" s="36"/>
      <c r="JD544" s="36"/>
      <c r="JE544" s="36"/>
      <c r="JF544" s="36"/>
      <c r="JG544" s="36"/>
      <c r="JH544" s="36"/>
      <c r="JI544" s="36"/>
      <c r="JJ544" s="36"/>
      <c r="JK544" s="36"/>
      <c r="JL544" s="36"/>
      <c r="JM544" s="36"/>
      <c r="JN544" s="36"/>
      <c r="JO544" s="36"/>
      <c r="JP544" s="36"/>
      <c r="JQ544" s="36"/>
      <c r="JR544" s="36"/>
      <c r="JS544" s="36"/>
      <c r="JT544" s="36"/>
      <c r="JU544" s="36"/>
      <c r="JV544" s="36"/>
      <c r="JW544" s="36"/>
      <c r="JX544" s="36"/>
      <c r="JY544" s="36"/>
      <c r="JZ544" s="36"/>
      <c r="KA544" s="36"/>
      <c r="KB544" s="36"/>
      <c r="KC544" s="36"/>
      <c r="KD544" s="36"/>
      <c r="KE544" s="36"/>
      <c r="KF544" s="36"/>
      <c r="KG544" s="36"/>
      <c r="KH544" s="36"/>
      <c r="KI544" s="36"/>
      <c r="KJ544" s="36"/>
      <c r="KK544" s="36"/>
      <c r="KL544" s="36"/>
      <c r="KM544" s="36"/>
      <c r="KN544" s="36"/>
      <c r="KO544" s="36"/>
      <c r="KP544" s="36"/>
      <c r="KQ544" s="36"/>
      <c r="KR544" s="36"/>
      <c r="KS544" s="36"/>
      <c r="KT544" s="36"/>
      <c r="KU544" s="36"/>
      <c r="KV544" s="36"/>
      <c r="KW544" s="36"/>
      <c r="KX544" s="36"/>
      <c r="KY544" s="36"/>
      <c r="KZ544" s="36"/>
      <c r="LA544" s="36"/>
      <c r="LB544" s="36"/>
      <c r="LC544" s="36"/>
      <c r="LD544" s="36"/>
      <c r="LE544" s="36"/>
      <c r="LF544" s="36"/>
      <c r="LG544" s="36"/>
      <c r="LH544" s="36"/>
      <c r="LI544" s="36"/>
      <c r="LJ544" s="36"/>
      <c r="LK544" s="36"/>
      <c r="LL544" s="36"/>
      <c r="LM544" s="36"/>
      <c r="LN544" s="36"/>
      <c r="LO544" s="36"/>
      <c r="LP544" s="36"/>
      <c r="LQ544" s="36"/>
      <c r="LR544" s="36"/>
      <c r="LS544" s="36"/>
      <c r="LT544" s="36"/>
      <c r="LU544" s="36"/>
      <c r="LV544" s="36"/>
      <c r="LW544" s="36"/>
      <c r="LX544" s="36"/>
      <c r="LY544" s="36"/>
      <c r="LZ544" s="36"/>
      <c r="MA544" s="36"/>
      <c r="MB544" s="36"/>
      <c r="MC544" s="36"/>
      <c r="MD544" s="36"/>
      <c r="ME544" s="36"/>
      <c r="MF544" s="36"/>
      <c r="MG544" s="36"/>
      <c r="MH544" s="36"/>
      <c r="MI544" s="36"/>
      <c r="MJ544" s="36"/>
      <c r="MK544" s="36"/>
      <c r="ML544" s="36"/>
      <c r="MM544" s="36"/>
      <c r="MN544" s="36"/>
      <c r="MO544" s="36"/>
      <c r="MP544" s="36"/>
      <c r="MQ544" s="36"/>
      <c r="MR544" s="36"/>
      <c r="MS544" s="36"/>
      <c r="MT544" s="36"/>
      <c r="MU544" s="36"/>
      <c r="MV544" s="36"/>
      <c r="MW544" s="36"/>
      <c r="MX544" s="36"/>
      <c r="MY544" s="36"/>
      <c r="MZ544" s="36"/>
      <c r="NA544" s="36"/>
      <c r="NB544" s="36"/>
      <c r="NC544" s="36"/>
      <c r="ND544" s="36"/>
      <c r="NE544" s="36"/>
      <c r="NF544" s="36"/>
      <c r="NG544" s="36"/>
      <c r="NH544" s="36"/>
      <c r="NI544" s="36"/>
      <c r="NJ544" s="36"/>
      <c r="NK544" s="36"/>
      <c r="NL544" s="36"/>
      <c r="NM544" s="36"/>
      <c r="NN544" s="36"/>
      <c r="NO544" s="36"/>
      <c r="NP544" s="36"/>
      <c r="NQ544" s="36"/>
      <c r="NR544" s="36"/>
      <c r="NS544" s="36"/>
      <c r="NT544" s="36"/>
      <c r="NU544" s="36"/>
      <c r="NV544" s="36"/>
      <c r="NW544" s="36"/>
      <c r="NX544" s="36"/>
      <c r="NY544" s="36"/>
      <c r="NZ544" s="36"/>
      <c r="OA544" s="36"/>
      <c r="OB544" s="36"/>
      <c r="OC544" s="36"/>
      <c r="OD544" s="36"/>
      <c r="OE544" s="36"/>
      <c r="OF544" s="36"/>
      <c r="OG544" s="36"/>
      <c r="OH544" s="36"/>
      <c r="OI544" s="36"/>
      <c r="OJ544" s="36"/>
      <c r="OK544" s="36"/>
      <c r="OL544" s="36"/>
      <c r="OM544" s="36"/>
      <c r="ON544" s="36"/>
      <c r="OO544" s="36"/>
      <c r="OP544" s="36"/>
      <c r="OQ544" s="36"/>
      <c r="OR544" s="36"/>
      <c r="OS544" s="36"/>
      <c r="OT544" s="36"/>
      <c r="OU544" s="36"/>
      <c r="OV544" s="36"/>
      <c r="OW544" s="36"/>
      <c r="OX544" s="36"/>
    </row>
    <row r="545" spans="2:414" s="27" customFormat="1" ht="15.6">
      <c r="B545" s="51" t="s">
        <v>246</v>
      </c>
      <c r="C545" s="27" t="s">
        <v>1063</v>
      </c>
      <c r="D545" s="29" t="s">
        <v>201</v>
      </c>
      <c r="G545" s="49">
        <v>80</v>
      </c>
      <c r="H545" s="89">
        <v>26.109000000000002</v>
      </c>
      <c r="I545" s="38">
        <f t="shared" si="165"/>
        <v>2088.7200000000003</v>
      </c>
      <c r="K545" s="49">
        <v>80</v>
      </c>
      <c r="L545" s="90">
        <v>26.849599999999999</v>
      </c>
      <c r="M545" s="38">
        <f t="shared" si="166"/>
        <v>2147.9679999999998</v>
      </c>
      <c r="O545" s="49">
        <v>505</v>
      </c>
      <c r="P545" s="38">
        <v>26.728300000000001</v>
      </c>
      <c r="Q545" s="38">
        <f t="shared" si="167"/>
        <v>13497.791500000001</v>
      </c>
      <c r="R545" s="43">
        <f t="shared" si="164"/>
        <v>665</v>
      </c>
      <c r="S545" s="38">
        <f t="shared" si="168"/>
        <v>17734.479500000001</v>
      </c>
      <c r="T545" s="27">
        <v>300</v>
      </c>
      <c r="U545" s="52">
        <v>26.677399999999999</v>
      </c>
      <c r="V545" s="38">
        <f t="shared" si="176"/>
        <v>8003.2199999999993</v>
      </c>
      <c r="W545" s="52">
        <v>445</v>
      </c>
      <c r="X545" s="52">
        <v>26.732500000000002</v>
      </c>
      <c r="Y545" s="35">
        <f t="shared" si="174"/>
        <v>11895.962500000001</v>
      </c>
      <c r="Z545" s="78"/>
      <c r="AB545" s="32">
        <f t="shared" si="175"/>
        <v>0</v>
      </c>
      <c r="AF545" s="42">
        <f t="shared" si="162"/>
        <v>0</v>
      </c>
      <c r="AU545" s="100"/>
      <c r="AV545" s="35"/>
      <c r="AW545" s="78"/>
      <c r="AZ545" s="42">
        <f t="shared" si="163"/>
        <v>0</v>
      </c>
      <c r="BD545" s="38">
        <f t="shared" si="169"/>
        <v>0</v>
      </c>
      <c r="BH545" s="38">
        <f t="shared" si="170"/>
        <v>0</v>
      </c>
      <c r="BL545" s="38">
        <f t="shared" si="171"/>
        <v>0</v>
      </c>
      <c r="BR545" s="42">
        <f t="shared" si="172"/>
        <v>19899.182500000003</v>
      </c>
      <c r="BS545" s="43"/>
      <c r="BT545" s="27">
        <v>2164.6999999999998</v>
      </c>
      <c r="BU545" s="36"/>
      <c r="BV545" s="36"/>
      <c r="BW545" s="36"/>
      <c r="BX545" s="36"/>
      <c r="BY545" s="36"/>
      <c r="BZ545" s="36"/>
      <c r="CA545" s="36"/>
      <c r="CB545" s="36"/>
      <c r="CC545" s="36"/>
      <c r="CD545" s="36"/>
      <c r="CE545" s="36"/>
      <c r="CF545" s="36"/>
      <c r="CG545" s="36"/>
      <c r="CH545" s="36"/>
      <c r="CI545" s="36"/>
      <c r="CJ545" s="36"/>
      <c r="CK545" s="36"/>
      <c r="CL545" s="36"/>
      <c r="CM545" s="36"/>
      <c r="CN545" s="36"/>
      <c r="CO545" s="36"/>
      <c r="CP545" s="36"/>
      <c r="CQ545" s="36"/>
      <c r="CR545" s="36"/>
      <c r="CS545" s="36"/>
      <c r="CT545" s="36"/>
      <c r="CU545" s="36"/>
      <c r="CV545" s="36"/>
      <c r="CW545" s="36"/>
      <c r="CX545" s="36"/>
      <c r="CY545" s="36"/>
      <c r="CZ545" s="36"/>
      <c r="DA545" s="36"/>
      <c r="DB545" s="36"/>
      <c r="DC545" s="36"/>
      <c r="DD545" s="36"/>
      <c r="DE545" s="36"/>
      <c r="DF545" s="36"/>
      <c r="DG545" s="36"/>
      <c r="DH545" s="36"/>
      <c r="DI545" s="36"/>
      <c r="DJ545" s="36"/>
      <c r="DK545" s="36"/>
      <c r="DL545" s="36"/>
      <c r="DM545" s="36"/>
      <c r="DN545" s="36"/>
      <c r="DO545" s="36"/>
      <c r="DP545" s="36"/>
      <c r="DQ545" s="36"/>
      <c r="DR545" s="36"/>
      <c r="DS545" s="36"/>
      <c r="DT545" s="36"/>
      <c r="DU545" s="36"/>
      <c r="DV545" s="36"/>
      <c r="DW545" s="36"/>
      <c r="DX545" s="36"/>
      <c r="DY545" s="36"/>
      <c r="DZ545" s="36"/>
      <c r="EA545" s="36"/>
      <c r="EB545" s="36"/>
      <c r="EC545" s="36"/>
      <c r="ED545" s="36"/>
      <c r="EE545" s="36"/>
      <c r="EF545" s="36"/>
      <c r="EG545" s="36"/>
      <c r="EH545" s="36"/>
      <c r="EI545" s="36"/>
      <c r="EJ545" s="36"/>
      <c r="EK545" s="36"/>
      <c r="EL545" s="36"/>
      <c r="EM545" s="36"/>
      <c r="EN545" s="36"/>
      <c r="EO545" s="36"/>
      <c r="EP545" s="36"/>
      <c r="EQ545" s="36"/>
      <c r="ER545" s="36"/>
      <c r="ES545" s="36"/>
      <c r="ET545" s="36"/>
      <c r="EU545" s="36"/>
      <c r="EV545" s="36"/>
      <c r="EW545" s="36"/>
      <c r="EX545" s="36"/>
      <c r="EY545" s="36"/>
      <c r="EZ545" s="36"/>
      <c r="FA545" s="36"/>
      <c r="FB545" s="36"/>
      <c r="FC545" s="36"/>
      <c r="FD545" s="36"/>
      <c r="FE545" s="36"/>
      <c r="FF545" s="36"/>
      <c r="FG545" s="36"/>
      <c r="FH545" s="36"/>
      <c r="FI545" s="36"/>
      <c r="FJ545" s="36"/>
      <c r="FK545" s="36"/>
      <c r="FL545" s="36"/>
      <c r="FM545" s="36"/>
      <c r="FN545" s="36"/>
      <c r="FO545" s="36"/>
      <c r="FP545" s="36"/>
      <c r="FQ545" s="36"/>
      <c r="FR545" s="36"/>
      <c r="FS545" s="36"/>
      <c r="FT545" s="36"/>
      <c r="FU545" s="36"/>
      <c r="FV545" s="36"/>
      <c r="FW545" s="36"/>
      <c r="FX545" s="36"/>
      <c r="FY545" s="36"/>
      <c r="FZ545" s="36"/>
      <c r="GA545" s="36"/>
      <c r="GB545" s="36"/>
      <c r="GC545" s="36"/>
      <c r="GD545" s="36"/>
      <c r="GE545" s="36"/>
      <c r="GF545" s="36"/>
      <c r="GG545" s="36"/>
      <c r="GH545" s="36"/>
      <c r="GI545" s="36"/>
      <c r="GJ545" s="36"/>
      <c r="GK545" s="36"/>
      <c r="GL545" s="36"/>
      <c r="GM545" s="36"/>
      <c r="GN545" s="36"/>
      <c r="GO545" s="36"/>
      <c r="GP545" s="36"/>
      <c r="GQ545" s="36"/>
      <c r="GR545" s="36"/>
      <c r="GS545" s="36"/>
      <c r="GT545" s="36"/>
      <c r="GU545" s="36"/>
      <c r="GV545" s="36"/>
      <c r="GW545" s="36"/>
      <c r="GX545" s="36"/>
      <c r="GY545" s="36"/>
      <c r="GZ545" s="36"/>
      <c r="HA545" s="36"/>
      <c r="HB545" s="36"/>
      <c r="HC545" s="36"/>
      <c r="HD545" s="36"/>
      <c r="HE545" s="36"/>
      <c r="HF545" s="36"/>
      <c r="HG545" s="36"/>
      <c r="HH545" s="36"/>
      <c r="HI545" s="36"/>
      <c r="HJ545" s="36"/>
      <c r="HK545" s="36"/>
      <c r="HL545" s="36"/>
      <c r="HM545" s="36"/>
      <c r="HN545" s="36"/>
      <c r="HO545" s="36"/>
      <c r="HP545" s="36"/>
      <c r="HQ545" s="36"/>
      <c r="HR545" s="36"/>
      <c r="HS545" s="36"/>
      <c r="HT545" s="36"/>
      <c r="HU545" s="36"/>
      <c r="HV545" s="36"/>
      <c r="HW545" s="36"/>
      <c r="HX545" s="36"/>
      <c r="HY545" s="36"/>
      <c r="HZ545" s="36"/>
      <c r="IA545" s="36"/>
      <c r="IB545" s="36"/>
      <c r="IC545" s="36"/>
      <c r="ID545" s="36"/>
      <c r="IE545" s="36"/>
      <c r="IF545" s="36"/>
      <c r="IG545" s="36"/>
      <c r="IH545" s="36"/>
      <c r="II545" s="36"/>
      <c r="IJ545" s="36"/>
      <c r="IK545" s="36"/>
      <c r="IL545" s="36"/>
      <c r="IM545" s="36"/>
      <c r="IN545" s="36"/>
      <c r="IO545" s="36"/>
      <c r="IP545" s="36"/>
      <c r="IQ545" s="36"/>
      <c r="IR545" s="36"/>
      <c r="IS545" s="36"/>
      <c r="IT545" s="36"/>
      <c r="IU545" s="36"/>
      <c r="IV545" s="36"/>
      <c r="IW545" s="36"/>
      <c r="IX545" s="36"/>
      <c r="IY545" s="36"/>
      <c r="IZ545" s="36"/>
      <c r="JA545" s="36"/>
      <c r="JB545" s="36"/>
      <c r="JC545" s="36"/>
      <c r="JD545" s="36"/>
      <c r="JE545" s="36"/>
      <c r="JF545" s="36"/>
      <c r="JG545" s="36"/>
      <c r="JH545" s="36"/>
      <c r="JI545" s="36"/>
      <c r="JJ545" s="36"/>
      <c r="JK545" s="36"/>
      <c r="JL545" s="36"/>
      <c r="JM545" s="36"/>
      <c r="JN545" s="36"/>
      <c r="JO545" s="36"/>
      <c r="JP545" s="36"/>
      <c r="JQ545" s="36"/>
      <c r="JR545" s="36"/>
      <c r="JS545" s="36"/>
      <c r="JT545" s="36"/>
      <c r="JU545" s="36"/>
      <c r="JV545" s="36"/>
      <c r="JW545" s="36"/>
      <c r="JX545" s="36"/>
      <c r="JY545" s="36"/>
      <c r="JZ545" s="36"/>
      <c r="KA545" s="36"/>
      <c r="KB545" s="36"/>
      <c r="KC545" s="36"/>
      <c r="KD545" s="36"/>
      <c r="KE545" s="36"/>
      <c r="KF545" s="36"/>
      <c r="KG545" s="36"/>
      <c r="KH545" s="36"/>
      <c r="KI545" s="36"/>
      <c r="KJ545" s="36"/>
      <c r="KK545" s="36"/>
      <c r="KL545" s="36"/>
      <c r="KM545" s="36"/>
      <c r="KN545" s="36"/>
      <c r="KO545" s="36"/>
      <c r="KP545" s="36"/>
      <c r="KQ545" s="36"/>
      <c r="KR545" s="36"/>
      <c r="KS545" s="36"/>
      <c r="KT545" s="36"/>
      <c r="KU545" s="36"/>
      <c r="KV545" s="36"/>
      <c r="KW545" s="36"/>
      <c r="KX545" s="36"/>
      <c r="KY545" s="36"/>
      <c r="KZ545" s="36"/>
      <c r="LA545" s="36"/>
      <c r="LB545" s="36"/>
      <c r="LC545" s="36"/>
      <c r="LD545" s="36"/>
      <c r="LE545" s="36"/>
      <c r="LF545" s="36"/>
      <c r="LG545" s="36"/>
      <c r="LH545" s="36"/>
      <c r="LI545" s="36"/>
      <c r="LJ545" s="36"/>
      <c r="LK545" s="36"/>
      <c r="LL545" s="36"/>
      <c r="LM545" s="36"/>
      <c r="LN545" s="36"/>
      <c r="LO545" s="36"/>
      <c r="LP545" s="36"/>
      <c r="LQ545" s="36"/>
      <c r="LR545" s="36"/>
      <c r="LS545" s="36"/>
      <c r="LT545" s="36"/>
      <c r="LU545" s="36"/>
      <c r="LV545" s="36"/>
      <c r="LW545" s="36"/>
      <c r="LX545" s="36"/>
      <c r="LY545" s="36"/>
      <c r="LZ545" s="36"/>
      <c r="MA545" s="36"/>
      <c r="MB545" s="36"/>
      <c r="MC545" s="36"/>
      <c r="MD545" s="36"/>
      <c r="ME545" s="36"/>
      <c r="MF545" s="36"/>
      <c r="MG545" s="36"/>
      <c r="MH545" s="36"/>
      <c r="MI545" s="36"/>
      <c r="MJ545" s="36"/>
      <c r="MK545" s="36"/>
      <c r="ML545" s="36"/>
      <c r="MM545" s="36"/>
      <c r="MN545" s="36"/>
      <c r="MO545" s="36"/>
      <c r="MP545" s="36"/>
      <c r="MQ545" s="36"/>
      <c r="MR545" s="36"/>
      <c r="MS545" s="36"/>
      <c r="MT545" s="36"/>
      <c r="MU545" s="36"/>
      <c r="MV545" s="36"/>
      <c r="MW545" s="36"/>
      <c r="MX545" s="36"/>
      <c r="MY545" s="36"/>
      <c r="MZ545" s="36"/>
      <c r="NA545" s="36"/>
      <c r="NB545" s="36"/>
      <c r="NC545" s="36"/>
      <c r="ND545" s="36"/>
      <c r="NE545" s="36"/>
      <c r="NF545" s="36"/>
      <c r="NG545" s="36"/>
      <c r="NH545" s="36"/>
      <c r="NI545" s="36"/>
      <c r="NJ545" s="36"/>
      <c r="NK545" s="36"/>
      <c r="NL545" s="36"/>
      <c r="NM545" s="36"/>
      <c r="NN545" s="36"/>
      <c r="NO545" s="36"/>
      <c r="NP545" s="36"/>
      <c r="NQ545" s="36"/>
      <c r="NR545" s="36"/>
      <c r="NS545" s="36"/>
      <c r="NT545" s="36"/>
      <c r="NU545" s="36"/>
      <c r="NV545" s="36"/>
      <c r="NW545" s="36"/>
      <c r="NX545" s="36"/>
      <c r="NY545" s="36"/>
      <c r="NZ545" s="36"/>
      <c r="OA545" s="36"/>
      <c r="OB545" s="36"/>
      <c r="OC545" s="36"/>
      <c r="OD545" s="36"/>
      <c r="OE545" s="36"/>
      <c r="OF545" s="36"/>
      <c r="OG545" s="36"/>
      <c r="OH545" s="36"/>
      <c r="OI545" s="36"/>
      <c r="OJ545" s="36"/>
      <c r="OK545" s="36"/>
      <c r="OL545" s="36"/>
      <c r="OM545" s="36"/>
      <c r="ON545" s="36"/>
      <c r="OO545" s="36"/>
      <c r="OP545" s="36"/>
      <c r="OQ545" s="36"/>
      <c r="OR545" s="36"/>
      <c r="OS545" s="36"/>
      <c r="OT545" s="36"/>
      <c r="OU545" s="36"/>
      <c r="OV545" s="36"/>
      <c r="OW545" s="36"/>
      <c r="OX545" s="36"/>
    </row>
    <row r="546" spans="2:414" s="27" customFormat="1" ht="15.6">
      <c r="B546" s="51" t="s">
        <v>883</v>
      </c>
      <c r="C546" s="27" t="s">
        <v>21</v>
      </c>
      <c r="D546" s="29" t="s">
        <v>201</v>
      </c>
      <c r="G546" s="49">
        <v>80</v>
      </c>
      <c r="H546" s="89">
        <v>26.109000000000002</v>
      </c>
      <c r="I546" s="38">
        <f t="shared" si="165"/>
        <v>2088.7200000000003</v>
      </c>
      <c r="K546" s="49">
        <v>80</v>
      </c>
      <c r="L546" s="90">
        <v>26.849599999999999</v>
      </c>
      <c r="M546" s="38">
        <f t="shared" si="166"/>
        <v>2147.9679999999998</v>
      </c>
      <c r="O546" s="49">
        <v>505</v>
      </c>
      <c r="P546" s="38">
        <v>26.728300000000001</v>
      </c>
      <c r="Q546" s="38">
        <f t="shared" si="167"/>
        <v>13497.791500000001</v>
      </c>
      <c r="R546" s="43">
        <f t="shared" si="164"/>
        <v>665</v>
      </c>
      <c r="S546" s="38">
        <f t="shared" si="168"/>
        <v>17734.479500000001</v>
      </c>
      <c r="T546" s="52">
        <v>240</v>
      </c>
      <c r="U546" s="52">
        <v>26.68</v>
      </c>
      <c r="V546" s="38">
        <f t="shared" si="176"/>
        <v>6403.2</v>
      </c>
      <c r="W546" s="52">
        <v>505</v>
      </c>
      <c r="X546" s="52">
        <v>26.689900000000002</v>
      </c>
      <c r="Y546" s="35">
        <f t="shared" si="174"/>
        <v>13478.399500000001</v>
      </c>
      <c r="Z546" s="78"/>
      <c r="AB546" s="32">
        <f t="shared" si="175"/>
        <v>0</v>
      </c>
      <c r="AF546" s="42">
        <f t="shared" si="162"/>
        <v>0</v>
      </c>
      <c r="AU546" s="100"/>
      <c r="AV546" s="35"/>
      <c r="AW546" s="78"/>
      <c r="AZ546" s="42">
        <f t="shared" si="163"/>
        <v>0</v>
      </c>
      <c r="BD546" s="38">
        <f t="shared" si="169"/>
        <v>0</v>
      </c>
      <c r="BH546" s="38">
        <f t="shared" si="170"/>
        <v>0</v>
      </c>
      <c r="BL546" s="38">
        <f t="shared" si="171"/>
        <v>0</v>
      </c>
      <c r="BR546" s="42">
        <f t="shared" si="172"/>
        <v>19881.5995</v>
      </c>
      <c r="BS546" s="43"/>
      <c r="BT546" s="27">
        <v>2147.12</v>
      </c>
      <c r="BU546" s="36"/>
      <c r="BV546" s="36"/>
      <c r="BW546" s="36"/>
      <c r="BX546" s="36"/>
      <c r="BY546" s="36"/>
      <c r="BZ546" s="36"/>
      <c r="CA546" s="36"/>
      <c r="CB546" s="36"/>
      <c r="CC546" s="36"/>
      <c r="CD546" s="36"/>
      <c r="CE546" s="36"/>
      <c r="CF546" s="36"/>
      <c r="CG546" s="36"/>
      <c r="CH546" s="36"/>
      <c r="CI546" s="36"/>
      <c r="CJ546" s="36"/>
      <c r="CK546" s="36"/>
      <c r="CL546" s="36"/>
      <c r="CM546" s="36"/>
      <c r="CN546" s="36"/>
      <c r="CO546" s="36"/>
      <c r="CP546" s="36"/>
      <c r="CQ546" s="36"/>
      <c r="CR546" s="36"/>
      <c r="CS546" s="36"/>
      <c r="CT546" s="36"/>
      <c r="CU546" s="36"/>
      <c r="CV546" s="36"/>
      <c r="CW546" s="36"/>
      <c r="CX546" s="36"/>
      <c r="CY546" s="36"/>
      <c r="CZ546" s="36"/>
      <c r="DA546" s="36"/>
      <c r="DB546" s="36"/>
      <c r="DC546" s="36"/>
      <c r="DD546" s="36"/>
      <c r="DE546" s="36"/>
      <c r="DF546" s="36"/>
      <c r="DG546" s="36"/>
      <c r="DH546" s="36"/>
      <c r="DI546" s="36"/>
      <c r="DJ546" s="36"/>
      <c r="DK546" s="36"/>
      <c r="DL546" s="36"/>
      <c r="DM546" s="36"/>
      <c r="DN546" s="36"/>
      <c r="DO546" s="36"/>
      <c r="DP546" s="36"/>
      <c r="DQ546" s="36"/>
      <c r="DR546" s="36"/>
      <c r="DS546" s="36"/>
      <c r="DT546" s="36"/>
      <c r="DU546" s="36"/>
      <c r="DV546" s="36"/>
      <c r="DW546" s="36"/>
      <c r="DX546" s="36"/>
      <c r="DY546" s="36"/>
      <c r="DZ546" s="36"/>
      <c r="EA546" s="36"/>
      <c r="EB546" s="36"/>
      <c r="EC546" s="36"/>
      <c r="ED546" s="36"/>
      <c r="EE546" s="36"/>
      <c r="EF546" s="36"/>
      <c r="EG546" s="36"/>
      <c r="EH546" s="36"/>
      <c r="EI546" s="36"/>
      <c r="EJ546" s="36"/>
      <c r="EK546" s="36"/>
      <c r="EL546" s="36"/>
      <c r="EM546" s="36"/>
      <c r="EN546" s="36"/>
      <c r="EO546" s="36"/>
      <c r="EP546" s="36"/>
      <c r="EQ546" s="36"/>
      <c r="ER546" s="36"/>
      <c r="ES546" s="36"/>
      <c r="ET546" s="36"/>
      <c r="EU546" s="36"/>
      <c r="EV546" s="36"/>
      <c r="EW546" s="36"/>
      <c r="EX546" s="36"/>
      <c r="EY546" s="36"/>
      <c r="EZ546" s="36"/>
      <c r="FA546" s="36"/>
      <c r="FB546" s="36"/>
      <c r="FC546" s="36"/>
      <c r="FD546" s="36"/>
      <c r="FE546" s="36"/>
      <c r="FF546" s="36"/>
      <c r="FG546" s="36"/>
      <c r="FH546" s="36"/>
      <c r="FI546" s="36"/>
      <c r="FJ546" s="36"/>
      <c r="FK546" s="36"/>
      <c r="FL546" s="36"/>
      <c r="FM546" s="36"/>
      <c r="FN546" s="36"/>
      <c r="FO546" s="36"/>
      <c r="FP546" s="36"/>
      <c r="FQ546" s="36"/>
      <c r="FR546" s="36"/>
      <c r="FS546" s="36"/>
      <c r="FT546" s="36"/>
      <c r="FU546" s="36"/>
      <c r="FV546" s="36"/>
      <c r="FW546" s="36"/>
      <c r="FX546" s="36"/>
      <c r="FY546" s="36"/>
      <c r="FZ546" s="36"/>
      <c r="GA546" s="36"/>
      <c r="GB546" s="36"/>
      <c r="GC546" s="36"/>
      <c r="GD546" s="36"/>
      <c r="GE546" s="36"/>
      <c r="GF546" s="36"/>
      <c r="GG546" s="36"/>
      <c r="GH546" s="36"/>
      <c r="GI546" s="36"/>
      <c r="GJ546" s="36"/>
      <c r="GK546" s="36"/>
      <c r="GL546" s="36"/>
      <c r="GM546" s="36"/>
      <c r="GN546" s="36"/>
      <c r="GO546" s="36"/>
      <c r="GP546" s="36"/>
      <c r="GQ546" s="36"/>
      <c r="GR546" s="36"/>
      <c r="GS546" s="36"/>
      <c r="GT546" s="36"/>
      <c r="GU546" s="36"/>
      <c r="GV546" s="36"/>
      <c r="GW546" s="36"/>
      <c r="GX546" s="36"/>
      <c r="GY546" s="36"/>
      <c r="GZ546" s="36"/>
      <c r="HA546" s="36"/>
      <c r="HB546" s="36"/>
      <c r="HC546" s="36"/>
      <c r="HD546" s="36"/>
      <c r="HE546" s="36"/>
      <c r="HF546" s="36"/>
      <c r="HG546" s="36"/>
      <c r="HH546" s="36"/>
      <c r="HI546" s="36"/>
      <c r="HJ546" s="36"/>
      <c r="HK546" s="36"/>
      <c r="HL546" s="36"/>
      <c r="HM546" s="36"/>
      <c r="HN546" s="36"/>
      <c r="HO546" s="36"/>
      <c r="HP546" s="36"/>
      <c r="HQ546" s="36"/>
      <c r="HR546" s="36"/>
      <c r="HS546" s="36"/>
      <c r="HT546" s="36"/>
      <c r="HU546" s="36"/>
      <c r="HV546" s="36"/>
      <c r="HW546" s="36"/>
      <c r="HX546" s="36"/>
      <c r="HY546" s="36"/>
      <c r="HZ546" s="36"/>
      <c r="IA546" s="36"/>
      <c r="IB546" s="36"/>
      <c r="IC546" s="36"/>
      <c r="ID546" s="36"/>
      <c r="IE546" s="36"/>
      <c r="IF546" s="36"/>
      <c r="IG546" s="36"/>
      <c r="IH546" s="36"/>
      <c r="II546" s="36"/>
      <c r="IJ546" s="36"/>
      <c r="IK546" s="36"/>
      <c r="IL546" s="36"/>
      <c r="IM546" s="36"/>
      <c r="IN546" s="36"/>
      <c r="IO546" s="36"/>
      <c r="IP546" s="36"/>
      <c r="IQ546" s="36"/>
      <c r="IR546" s="36"/>
      <c r="IS546" s="36"/>
      <c r="IT546" s="36"/>
      <c r="IU546" s="36"/>
      <c r="IV546" s="36"/>
      <c r="IW546" s="36"/>
      <c r="IX546" s="36"/>
      <c r="IY546" s="36"/>
      <c r="IZ546" s="36"/>
      <c r="JA546" s="36"/>
      <c r="JB546" s="36"/>
      <c r="JC546" s="36"/>
      <c r="JD546" s="36"/>
      <c r="JE546" s="36"/>
      <c r="JF546" s="36"/>
      <c r="JG546" s="36"/>
      <c r="JH546" s="36"/>
      <c r="JI546" s="36"/>
      <c r="JJ546" s="36"/>
      <c r="JK546" s="36"/>
      <c r="JL546" s="36"/>
      <c r="JM546" s="36"/>
      <c r="JN546" s="36"/>
      <c r="JO546" s="36"/>
      <c r="JP546" s="36"/>
      <c r="JQ546" s="36"/>
      <c r="JR546" s="36"/>
      <c r="JS546" s="36"/>
      <c r="JT546" s="36"/>
      <c r="JU546" s="36"/>
      <c r="JV546" s="36"/>
      <c r="JW546" s="36"/>
      <c r="JX546" s="36"/>
      <c r="JY546" s="36"/>
      <c r="JZ546" s="36"/>
      <c r="KA546" s="36"/>
      <c r="KB546" s="36"/>
      <c r="KC546" s="36"/>
      <c r="KD546" s="36"/>
      <c r="KE546" s="36"/>
      <c r="KF546" s="36"/>
      <c r="KG546" s="36"/>
      <c r="KH546" s="36"/>
      <c r="KI546" s="36"/>
      <c r="KJ546" s="36"/>
      <c r="KK546" s="36"/>
      <c r="KL546" s="36"/>
      <c r="KM546" s="36"/>
      <c r="KN546" s="36"/>
      <c r="KO546" s="36"/>
      <c r="KP546" s="36"/>
      <c r="KQ546" s="36"/>
      <c r="KR546" s="36"/>
      <c r="KS546" s="36"/>
      <c r="KT546" s="36"/>
      <c r="KU546" s="36"/>
      <c r="KV546" s="36"/>
      <c r="KW546" s="36"/>
      <c r="KX546" s="36"/>
      <c r="KY546" s="36"/>
      <c r="KZ546" s="36"/>
      <c r="LA546" s="36"/>
      <c r="LB546" s="36"/>
      <c r="LC546" s="36"/>
      <c r="LD546" s="36"/>
      <c r="LE546" s="36"/>
      <c r="LF546" s="36"/>
      <c r="LG546" s="36"/>
      <c r="LH546" s="36"/>
      <c r="LI546" s="36"/>
      <c r="LJ546" s="36"/>
      <c r="LK546" s="36"/>
      <c r="LL546" s="36"/>
      <c r="LM546" s="36"/>
      <c r="LN546" s="36"/>
      <c r="LO546" s="36"/>
      <c r="LP546" s="36"/>
      <c r="LQ546" s="36"/>
      <c r="LR546" s="36"/>
      <c r="LS546" s="36"/>
      <c r="LT546" s="36"/>
      <c r="LU546" s="36"/>
      <c r="LV546" s="36"/>
      <c r="LW546" s="36"/>
      <c r="LX546" s="36"/>
      <c r="LY546" s="36"/>
      <c r="LZ546" s="36"/>
      <c r="MA546" s="36"/>
      <c r="MB546" s="36"/>
      <c r="MC546" s="36"/>
      <c r="MD546" s="36"/>
      <c r="ME546" s="36"/>
      <c r="MF546" s="36"/>
      <c r="MG546" s="36"/>
      <c r="MH546" s="36"/>
      <c r="MI546" s="36"/>
      <c r="MJ546" s="36"/>
      <c r="MK546" s="36"/>
      <c r="ML546" s="36"/>
      <c r="MM546" s="36"/>
      <c r="MN546" s="36"/>
      <c r="MO546" s="36"/>
      <c r="MP546" s="36"/>
      <c r="MQ546" s="36"/>
      <c r="MR546" s="36"/>
      <c r="MS546" s="36"/>
      <c r="MT546" s="36"/>
      <c r="MU546" s="36"/>
      <c r="MV546" s="36"/>
      <c r="MW546" s="36"/>
      <c r="MX546" s="36"/>
      <c r="MY546" s="36"/>
      <c r="MZ546" s="36"/>
      <c r="NA546" s="36"/>
      <c r="NB546" s="36"/>
      <c r="NC546" s="36"/>
      <c r="ND546" s="36"/>
      <c r="NE546" s="36"/>
      <c r="NF546" s="36"/>
      <c r="NG546" s="36"/>
      <c r="NH546" s="36"/>
      <c r="NI546" s="36"/>
      <c r="NJ546" s="36"/>
      <c r="NK546" s="36"/>
      <c r="NL546" s="36"/>
      <c r="NM546" s="36"/>
      <c r="NN546" s="36"/>
      <c r="NO546" s="36"/>
      <c r="NP546" s="36"/>
      <c r="NQ546" s="36"/>
      <c r="NR546" s="36"/>
      <c r="NS546" s="36"/>
      <c r="NT546" s="36"/>
      <c r="NU546" s="36"/>
      <c r="NV546" s="36"/>
      <c r="NW546" s="36"/>
      <c r="NX546" s="36"/>
      <c r="NY546" s="36"/>
      <c r="NZ546" s="36"/>
      <c r="OA546" s="36"/>
      <c r="OB546" s="36"/>
      <c r="OC546" s="36"/>
      <c r="OD546" s="36"/>
      <c r="OE546" s="36"/>
      <c r="OF546" s="36"/>
      <c r="OG546" s="36"/>
      <c r="OH546" s="36"/>
      <c r="OI546" s="36"/>
      <c r="OJ546" s="36"/>
      <c r="OK546" s="36"/>
      <c r="OL546" s="36"/>
      <c r="OM546" s="36"/>
      <c r="ON546" s="36"/>
      <c r="OO546" s="36"/>
      <c r="OP546" s="36"/>
      <c r="OQ546" s="36"/>
      <c r="OR546" s="36"/>
      <c r="OS546" s="36"/>
      <c r="OT546" s="36"/>
      <c r="OU546" s="36"/>
      <c r="OV546" s="36"/>
      <c r="OW546" s="36"/>
      <c r="OX546" s="36"/>
    </row>
    <row r="547" spans="2:414" s="27" customFormat="1" ht="15.6">
      <c r="B547" s="51" t="s">
        <v>1064</v>
      </c>
      <c r="C547" s="27" t="s">
        <v>684</v>
      </c>
      <c r="D547" s="29" t="s">
        <v>201</v>
      </c>
      <c r="G547" s="49">
        <v>80</v>
      </c>
      <c r="H547" s="89">
        <v>26.109000000000002</v>
      </c>
      <c r="I547" s="38">
        <f t="shared" si="165"/>
        <v>2088.7200000000003</v>
      </c>
      <c r="K547" s="49">
        <v>80</v>
      </c>
      <c r="L547" s="90">
        <v>26.849599999999999</v>
      </c>
      <c r="M547" s="38">
        <f t="shared" si="166"/>
        <v>2147.9679999999998</v>
      </c>
      <c r="O547" s="49">
        <v>505</v>
      </c>
      <c r="P547" s="38">
        <v>26.728300000000001</v>
      </c>
      <c r="Q547" s="38">
        <f t="shared" si="167"/>
        <v>13497.791500000001</v>
      </c>
      <c r="R547" s="43">
        <f t="shared" si="164"/>
        <v>665</v>
      </c>
      <c r="S547" s="38">
        <f t="shared" si="168"/>
        <v>17734.479500000001</v>
      </c>
      <c r="T547" s="27">
        <v>240</v>
      </c>
      <c r="U547" s="52">
        <v>26.728300000000001</v>
      </c>
      <c r="V547" s="38">
        <f t="shared" si="176"/>
        <v>6414.7920000000004</v>
      </c>
      <c r="W547" s="52">
        <v>505</v>
      </c>
      <c r="X547" s="52">
        <v>26.626300000000001</v>
      </c>
      <c r="Y547" s="35">
        <f t="shared" si="174"/>
        <v>13446.281500000001</v>
      </c>
      <c r="Z547" s="78"/>
      <c r="AB547" s="32">
        <f t="shared" si="175"/>
        <v>0</v>
      </c>
      <c r="AF547" s="42">
        <f t="shared" si="162"/>
        <v>0</v>
      </c>
      <c r="AU547" s="100"/>
      <c r="AV547" s="35"/>
      <c r="AW547" s="78"/>
      <c r="AZ547" s="42">
        <f t="shared" si="163"/>
        <v>0</v>
      </c>
      <c r="BD547" s="38">
        <f t="shared" si="169"/>
        <v>0</v>
      </c>
      <c r="BH547" s="38">
        <f t="shared" si="170"/>
        <v>0</v>
      </c>
      <c r="BL547" s="38">
        <f t="shared" si="171"/>
        <v>0</v>
      </c>
      <c r="BR547" s="42">
        <f t="shared" si="172"/>
        <v>19861.073500000002</v>
      </c>
      <c r="BS547" s="43"/>
      <c r="BT547" s="27">
        <v>2126.59</v>
      </c>
      <c r="BU547" s="36"/>
      <c r="BV547" s="36"/>
      <c r="BW547" s="36"/>
      <c r="BX547" s="36"/>
      <c r="BY547" s="36"/>
      <c r="BZ547" s="36"/>
      <c r="CA547" s="36"/>
      <c r="CB547" s="36"/>
      <c r="CC547" s="36"/>
      <c r="CD547" s="36"/>
      <c r="CE547" s="36"/>
      <c r="CF547" s="36"/>
      <c r="CG547" s="36"/>
      <c r="CH547" s="36"/>
      <c r="CI547" s="36"/>
      <c r="CJ547" s="36"/>
      <c r="CK547" s="36"/>
      <c r="CL547" s="36"/>
      <c r="CM547" s="36"/>
      <c r="CN547" s="36"/>
      <c r="CO547" s="36"/>
      <c r="CP547" s="36"/>
      <c r="CQ547" s="36"/>
      <c r="CR547" s="36"/>
      <c r="CS547" s="36"/>
      <c r="CT547" s="36"/>
      <c r="CU547" s="36"/>
      <c r="CV547" s="36"/>
      <c r="CW547" s="36"/>
      <c r="CX547" s="36"/>
      <c r="CY547" s="36"/>
      <c r="CZ547" s="36"/>
      <c r="DA547" s="36"/>
      <c r="DB547" s="36"/>
      <c r="DC547" s="36"/>
      <c r="DD547" s="36"/>
      <c r="DE547" s="36"/>
      <c r="DF547" s="36"/>
      <c r="DG547" s="36"/>
      <c r="DH547" s="36"/>
      <c r="DI547" s="36"/>
      <c r="DJ547" s="36"/>
      <c r="DK547" s="36"/>
      <c r="DL547" s="36"/>
      <c r="DM547" s="36"/>
      <c r="DN547" s="36"/>
      <c r="DO547" s="36"/>
      <c r="DP547" s="36"/>
      <c r="DQ547" s="36"/>
      <c r="DR547" s="36"/>
      <c r="DS547" s="36"/>
      <c r="DT547" s="36"/>
      <c r="DU547" s="36"/>
      <c r="DV547" s="36"/>
      <c r="DW547" s="36"/>
      <c r="DX547" s="36"/>
      <c r="DY547" s="36"/>
      <c r="DZ547" s="36"/>
      <c r="EA547" s="36"/>
      <c r="EB547" s="36"/>
      <c r="EC547" s="36"/>
      <c r="ED547" s="36"/>
      <c r="EE547" s="36"/>
      <c r="EF547" s="36"/>
      <c r="EG547" s="36"/>
      <c r="EH547" s="36"/>
      <c r="EI547" s="36"/>
      <c r="EJ547" s="36"/>
      <c r="EK547" s="36"/>
      <c r="EL547" s="36"/>
      <c r="EM547" s="36"/>
      <c r="EN547" s="36"/>
      <c r="EO547" s="36"/>
      <c r="EP547" s="36"/>
      <c r="EQ547" s="36"/>
      <c r="ER547" s="36"/>
      <c r="ES547" s="36"/>
      <c r="ET547" s="36"/>
      <c r="EU547" s="36"/>
      <c r="EV547" s="36"/>
      <c r="EW547" s="36"/>
      <c r="EX547" s="36"/>
      <c r="EY547" s="36"/>
      <c r="EZ547" s="36"/>
      <c r="FA547" s="36"/>
      <c r="FB547" s="36"/>
      <c r="FC547" s="36"/>
      <c r="FD547" s="36"/>
      <c r="FE547" s="36"/>
      <c r="FF547" s="36"/>
      <c r="FG547" s="36"/>
      <c r="FH547" s="36"/>
      <c r="FI547" s="36"/>
      <c r="FJ547" s="36"/>
      <c r="FK547" s="36"/>
      <c r="FL547" s="36"/>
      <c r="FM547" s="36"/>
      <c r="FN547" s="36"/>
      <c r="FO547" s="36"/>
      <c r="FP547" s="36"/>
      <c r="FQ547" s="36"/>
      <c r="FR547" s="36"/>
      <c r="FS547" s="36"/>
      <c r="FT547" s="36"/>
      <c r="FU547" s="36"/>
      <c r="FV547" s="36"/>
      <c r="FW547" s="36"/>
      <c r="FX547" s="36"/>
      <c r="FY547" s="36"/>
      <c r="FZ547" s="36"/>
      <c r="GA547" s="36"/>
      <c r="GB547" s="36"/>
      <c r="GC547" s="36"/>
      <c r="GD547" s="36"/>
      <c r="GE547" s="36"/>
      <c r="GF547" s="36"/>
      <c r="GG547" s="36"/>
      <c r="GH547" s="36"/>
      <c r="GI547" s="36"/>
      <c r="GJ547" s="36"/>
      <c r="GK547" s="36"/>
      <c r="GL547" s="36"/>
      <c r="GM547" s="36"/>
      <c r="GN547" s="36"/>
      <c r="GO547" s="36"/>
      <c r="GP547" s="36"/>
      <c r="GQ547" s="36"/>
      <c r="GR547" s="36"/>
      <c r="GS547" s="36"/>
      <c r="GT547" s="36"/>
      <c r="GU547" s="36"/>
      <c r="GV547" s="36"/>
      <c r="GW547" s="36"/>
      <c r="GX547" s="36"/>
      <c r="GY547" s="36"/>
      <c r="GZ547" s="36"/>
      <c r="HA547" s="36"/>
      <c r="HB547" s="36"/>
      <c r="HC547" s="36"/>
      <c r="HD547" s="36"/>
      <c r="HE547" s="36"/>
      <c r="HF547" s="36"/>
      <c r="HG547" s="36"/>
      <c r="HH547" s="36"/>
      <c r="HI547" s="36"/>
      <c r="HJ547" s="36"/>
      <c r="HK547" s="36"/>
      <c r="HL547" s="36"/>
      <c r="HM547" s="36"/>
      <c r="HN547" s="36"/>
      <c r="HO547" s="36"/>
      <c r="HP547" s="36"/>
      <c r="HQ547" s="36"/>
      <c r="HR547" s="36"/>
      <c r="HS547" s="36"/>
      <c r="HT547" s="36"/>
      <c r="HU547" s="36"/>
      <c r="HV547" s="36"/>
      <c r="HW547" s="36"/>
      <c r="HX547" s="36"/>
      <c r="HY547" s="36"/>
      <c r="HZ547" s="36"/>
      <c r="IA547" s="36"/>
      <c r="IB547" s="36"/>
      <c r="IC547" s="36"/>
      <c r="ID547" s="36"/>
      <c r="IE547" s="36"/>
      <c r="IF547" s="36"/>
      <c r="IG547" s="36"/>
      <c r="IH547" s="36"/>
      <c r="II547" s="36"/>
      <c r="IJ547" s="36"/>
      <c r="IK547" s="36"/>
      <c r="IL547" s="36"/>
      <c r="IM547" s="36"/>
      <c r="IN547" s="36"/>
      <c r="IO547" s="36"/>
      <c r="IP547" s="36"/>
      <c r="IQ547" s="36"/>
      <c r="IR547" s="36"/>
      <c r="IS547" s="36"/>
      <c r="IT547" s="36"/>
      <c r="IU547" s="36"/>
      <c r="IV547" s="36"/>
      <c r="IW547" s="36"/>
      <c r="IX547" s="36"/>
      <c r="IY547" s="36"/>
      <c r="IZ547" s="36"/>
      <c r="JA547" s="36"/>
      <c r="JB547" s="36"/>
      <c r="JC547" s="36"/>
      <c r="JD547" s="36"/>
      <c r="JE547" s="36"/>
      <c r="JF547" s="36"/>
      <c r="JG547" s="36"/>
      <c r="JH547" s="36"/>
      <c r="JI547" s="36"/>
      <c r="JJ547" s="36"/>
      <c r="JK547" s="36"/>
      <c r="JL547" s="36"/>
      <c r="JM547" s="36"/>
      <c r="JN547" s="36"/>
      <c r="JO547" s="36"/>
      <c r="JP547" s="36"/>
      <c r="JQ547" s="36"/>
      <c r="JR547" s="36"/>
      <c r="JS547" s="36"/>
      <c r="JT547" s="36"/>
      <c r="JU547" s="36"/>
      <c r="JV547" s="36"/>
      <c r="JW547" s="36"/>
      <c r="JX547" s="36"/>
      <c r="JY547" s="36"/>
      <c r="JZ547" s="36"/>
      <c r="KA547" s="36"/>
      <c r="KB547" s="36"/>
      <c r="KC547" s="36"/>
      <c r="KD547" s="36"/>
      <c r="KE547" s="36"/>
      <c r="KF547" s="36"/>
      <c r="KG547" s="36"/>
      <c r="KH547" s="36"/>
      <c r="KI547" s="36"/>
      <c r="KJ547" s="36"/>
      <c r="KK547" s="36"/>
      <c r="KL547" s="36"/>
      <c r="KM547" s="36"/>
      <c r="KN547" s="36"/>
      <c r="KO547" s="36"/>
      <c r="KP547" s="36"/>
      <c r="KQ547" s="36"/>
      <c r="KR547" s="36"/>
      <c r="KS547" s="36"/>
      <c r="KT547" s="36"/>
      <c r="KU547" s="36"/>
      <c r="KV547" s="36"/>
      <c r="KW547" s="36"/>
      <c r="KX547" s="36"/>
      <c r="KY547" s="36"/>
      <c r="KZ547" s="36"/>
      <c r="LA547" s="36"/>
      <c r="LB547" s="36"/>
      <c r="LC547" s="36"/>
      <c r="LD547" s="36"/>
      <c r="LE547" s="36"/>
      <c r="LF547" s="36"/>
      <c r="LG547" s="36"/>
      <c r="LH547" s="36"/>
      <c r="LI547" s="36"/>
      <c r="LJ547" s="36"/>
      <c r="LK547" s="36"/>
      <c r="LL547" s="36"/>
      <c r="LM547" s="36"/>
      <c r="LN547" s="36"/>
      <c r="LO547" s="36"/>
      <c r="LP547" s="36"/>
      <c r="LQ547" s="36"/>
      <c r="LR547" s="36"/>
      <c r="LS547" s="36"/>
      <c r="LT547" s="36"/>
      <c r="LU547" s="36"/>
      <c r="LV547" s="36"/>
      <c r="LW547" s="36"/>
      <c r="LX547" s="36"/>
      <c r="LY547" s="36"/>
      <c r="LZ547" s="36"/>
      <c r="MA547" s="36"/>
      <c r="MB547" s="36"/>
      <c r="MC547" s="36"/>
      <c r="MD547" s="36"/>
      <c r="ME547" s="36"/>
      <c r="MF547" s="36"/>
      <c r="MG547" s="36"/>
      <c r="MH547" s="36"/>
      <c r="MI547" s="36"/>
      <c r="MJ547" s="36"/>
      <c r="MK547" s="36"/>
      <c r="ML547" s="36"/>
      <c r="MM547" s="36"/>
      <c r="MN547" s="36"/>
      <c r="MO547" s="36"/>
      <c r="MP547" s="36"/>
      <c r="MQ547" s="36"/>
      <c r="MR547" s="36"/>
      <c r="MS547" s="36"/>
      <c r="MT547" s="36"/>
      <c r="MU547" s="36"/>
      <c r="MV547" s="36"/>
      <c r="MW547" s="36"/>
      <c r="MX547" s="36"/>
      <c r="MY547" s="36"/>
      <c r="MZ547" s="36"/>
      <c r="NA547" s="36"/>
      <c r="NB547" s="36"/>
      <c r="NC547" s="36"/>
      <c r="ND547" s="36"/>
      <c r="NE547" s="36"/>
      <c r="NF547" s="36"/>
      <c r="NG547" s="36"/>
      <c r="NH547" s="36"/>
      <c r="NI547" s="36"/>
      <c r="NJ547" s="36"/>
      <c r="NK547" s="36"/>
      <c r="NL547" s="36"/>
      <c r="NM547" s="36"/>
      <c r="NN547" s="36"/>
      <c r="NO547" s="36"/>
      <c r="NP547" s="36"/>
      <c r="NQ547" s="36"/>
      <c r="NR547" s="36"/>
      <c r="NS547" s="36"/>
      <c r="NT547" s="36"/>
      <c r="NU547" s="36"/>
      <c r="NV547" s="36"/>
      <c r="NW547" s="36"/>
      <c r="NX547" s="36"/>
      <c r="NY547" s="36"/>
      <c r="NZ547" s="36"/>
      <c r="OA547" s="36"/>
      <c r="OB547" s="36"/>
      <c r="OC547" s="36"/>
      <c r="OD547" s="36"/>
      <c r="OE547" s="36"/>
      <c r="OF547" s="36"/>
      <c r="OG547" s="36"/>
      <c r="OH547" s="36"/>
      <c r="OI547" s="36"/>
      <c r="OJ547" s="36"/>
      <c r="OK547" s="36"/>
      <c r="OL547" s="36"/>
      <c r="OM547" s="36"/>
      <c r="ON547" s="36"/>
      <c r="OO547" s="36"/>
      <c r="OP547" s="36"/>
      <c r="OQ547" s="36"/>
      <c r="OR547" s="36"/>
      <c r="OS547" s="36"/>
      <c r="OT547" s="36"/>
      <c r="OU547" s="36"/>
      <c r="OV547" s="36"/>
      <c r="OW547" s="36"/>
      <c r="OX547" s="36"/>
    </row>
    <row r="548" spans="2:414" s="27" customFormat="1" ht="15.6">
      <c r="B548" s="51" t="s">
        <v>204</v>
      </c>
      <c r="C548" s="27" t="s">
        <v>575</v>
      </c>
      <c r="D548" s="29" t="s">
        <v>201</v>
      </c>
      <c r="G548" s="49">
        <v>80</v>
      </c>
      <c r="H548" s="89">
        <v>26.109000000000002</v>
      </c>
      <c r="I548" s="38">
        <f t="shared" si="165"/>
        <v>2088.7200000000003</v>
      </c>
      <c r="K548" s="49">
        <v>80</v>
      </c>
      <c r="L548" s="90">
        <v>26.849599999999999</v>
      </c>
      <c r="M548" s="38">
        <f t="shared" si="166"/>
        <v>2147.9679999999998</v>
      </c>
      <c r="O548" s="49">
        <v>505</v>
      </c>
      <c r="P548" s="38">
        <v>26.728300000000001</v>
      </c>
      <c r="Q548" s="38">
        <f t="shared" si="167"/>
        <v>13497.791500000001</v>
      </c>
      <c r="R548" s="43">
        <f t="shared" si="164"/>
        <v>665</v>
      </c>
      <c r="S548" s="38">
        <f t="shared" si="168"/>
        <v>17734.479500000001</v>
      </c>
      <c r="T548" s="52">
        <v>240</v>
      </c>
      <c r="U548" s="52">
        <v>26.801500000000001</v>
      </c>
      <c r="V548" s="38">
        <f t="shared" si="176"/>
        <v>6432.3600000000006</v>
      </c>
      <c r="W548" s="52">
        <v>505</v>
      </c>
      <c r="X548" s="52">
        <v>26.728999999999999</v>
      </c>
      <c r="Y548" s="35">
        <f t="shared" si="174"/>
        <v>13498.145</v>
      </c>
      <c r="Z548" s="78"/>
      <c r="AB548" s="32">
        <f t="shared" si="175"/>
        <v>0</v>
      </c>
      <c r="AF548" s="42">
        <f t="shared" si="162"/>
        <v>0</v>
      </c>
      <c r="AU548" s="100"/>
      <c r="AV548" s="35"/>
      <c r="AW548" s="78"/>
      <c r="AZ548" s="42">
        <f t="shared" si="163"/>
        <v>0</v>
      </c>
      <c r="BD548" s="38">
        <f t="shared" si="169"/>
        <v>0</v>
      </c>
      <c r="BH548" s="38">
        <f t="shared" si="170"/>
        <v>0</v>
      </c>
      <c r="BL548" s="38">
        <f t="shared" si="171"/>
        <v>0</v>
      </c>
      <c r="BR548" s="42">
        <f t="shared" si="172"/>
        <v>19930.505000000001</v>
      </c>
      <c r="BS548" s="43"/>
      <c r="BT548" s="27">
        <v>2196.0300000000002</v>
      </c>
      <c r="BU548" s="36"/>
      <c r="BV548" s="36"/>
      <c r="BW548" s="36"/>
      <c r="BX548" s="36"/>
      <c r="BY548" s="36"/>
      <c r="BZ548" s="36"/>
      <c r="CA548" s="36"/>
      <c r="CB548" s="36"/>
      <c r="CC548" s="36"/>
      <c r="CD548" s="36"/>
      <c r="CE548" s="36"/>
      <c r="CF548" s="36"/>
      <c r="CG548" s="36"/>
      <c r="CH548" s="36"/>
      <c r="CI548" s="36"/>
      <c r="CJ548" s="36"/>
      <c r="CK548" s="36"/>
      <c r="CL548" s="36"/>
      <c r="CM548" s="36"/>
      <c r="CN548" s="36"/>
      <c r="CO548" s="36"/>
      <c r="CP548" s="36"/>
      <c r="CQ548" s="36"/>
      <c r="CR548" s="36"/>
      <c r="CS548" s="36"/>
      <c r="CT548" s="36"/>
      <c r="CU548" s="36"/>
      <c r="CV548" s="36"/>
      <c r="CW548" s="36"/>
      <c r="CX548" s="36"/>
      <c r="CY548" s="36"/>
      <c r="CZ548" s="36"/>
      <c r="DA548" s="36"/>
      <c r="DB548" s="36"/>
      <c r="DC548" s="36"/>
      <c r="DD548" s="36"/>
      <c r="DE548" s="36"/>
      <c r="DF548" s="36"/>
      <c r="DG548" s="36"/>
      <c r="DH548" s="36"/>
      <c r="DI548" s="36"/>
      <c r="DJ548" s="36"/>
      <c r="DK548" s="36"/>
      <c r="DL548" s="36"/>
      <c r="DM548" s="36"/>
      <c r="DN548" s="36"/>
      <c r="DO548" s="36"/>
      <c r="DP548" s="36"/>
      <c r="DQ548" s="36"/>
      <c r="DR548" s="36"/>
      <c r="DS548" s="36"/>
      <c r="DT548" s="36"/>
      <c r="DU548" s="36"/>
      <c r="DV548" s="36"/>
      <c r="DW548" s="36"/>
      <c r="DX548" s="36"/>
      <c r="DY548" s="36"/>
      <c r="DZ548" s="36"/>
      <c r="EA548" s="36"/>
      <c r="EB548" s="36"/>
      <c r="EC548" s="36"/>
      <c r="ED548" s="36"/>
      <c r="EE548" s="36"/>
      <c r="EF548" s="36"/>
      <c r="EG548" s="36"/>
      <c r="EH548" s="36"/>
      <c r="EI548" s="36"/>
      <c r="EJ548" s="36"/>
      <c r="EK548" s="36"/>
      <c r="EL548" s="36"/>
      <c r="EM548" s="36"/>
      <c r="EN548" s="36"/>
      <c r="EO548" s="36"/>
      <c r="EP548" s="36"/>
      <c r="EQ548" s="36"/>
      <c r="ER548" s="36"/>
      <c r="ES548" s="36"/>
      <c r="ET548" s="36"/>
      <c r="EU548" s="36"/>
      <c r="EV548" s="36"/>
      <c r="EW548" s="36"/>
      <c r="EX548" s="36"/>
      <c r="EY548" s="36"/>
      <c r="EZ548" s="36"/>
      <c r="FA548" s="36"/>
      <c r="FB548" s="36"/>
      <c r="FC548" s="36"/>
      <c r="FD548" s="36"/>
      <c r="FE548" s="36"/>
      <c r="FF548" s="36"/>
      <c r="FG548" s="36"/>
      <c r="FH548" s="36"/>
      <c r="FI548" s="36"/>
      <c r="FJ548" s="36"/>
      <c r="FK548" s="36"/>
      <c r="FL548" s="36"/>
      <c r="FM548" s="36"/>
      <c r="FN548" s="36"/>
      <c r="FO548" s="36"/>
      <c r="FP548" s="36"/>
      <c r="FQ548" s="36"/>
      <c r="FR548" s="36"/>
      <c r="FS548" s="36"/>
      <c r="FT548" s="36"/>
      <c r="FU548" s="36"/>
      <c r="FV548" s="36"/>
      <c r="FW548" s="36"/>
      <c r="FX548" s="36"/>
      <c r="FY548" s="36"/>
      <c r="FZ548" s="36"/>
      <c r="GA548" s="36"/>
      <c r="GB548" s="36"/>
      <c r="GC548" s="36"/>
      <c r="GD548" s="36"/>
      <c r="GE548" s="36"/>
      <c r="GF548" s="36"/>
      <c r="GG548" s="36"/>
      <c r="GH548" s="36"/>
      <c r="GI548" s="36"/>
      <c r="GJ548" s="36"/>
      <c r="GK548" s="36"/>
      <c r="GL548" s="36"/>
      <c r="GM548" s="36"/>
      <c r="GN548" s="36"/>
      <c r="GO548" s="36"/>
      <c r="GP548" s="36"/>
      <c r="GQ548" s="36"/>
      <c r="GR548" s="36"/>
      <c r="GS548" s="36"/>
      <c r="GT548" s="36"/>
      <c r="GU548" s="36"/>
      <c r="GV548" s="36"/>
      <c r="GW548" s="36"/>
      <c r="GX548" s="36"/>
      <c r="GY548" s="36"/>
      <c r="GZ548" s="36"/>
      <c r="HA548" s="36"/>
      <c r="HB548" s="36"/>
      <c r="HC548" s="36"/>
      <c r="HD548" s="36"/>
      <c r="HE548" s="36"/>
      <c r="HF548" s="36"/>
      <c r="HG548" s="36"/>
      <c r="HH548" s="36"/>
      <c r="HI548" s="36"/>
      <c r="HJ548" s="36"/>
      <c r="HK548" s="36"/>
      <c r="HL548" s="36"/>
      <c r="HM548" s="36"/>
      <c r="HN548" s="36"/>
      <c r="HO548" s="36"/>
      <c r="HP548" s="36"/>
      <c r="HQ548" s="36"/>
      <c r="HR548" s="36"/>
      <c r="HS548" s="36"/>
      <c r="HT548" s="36"/>
      <c r="HU548" s="36"/>
      <c r="HV548" s="36"/>
      <c r="HW548" s="36"/>
      <c r="HX548" s="36"/>
      <c r="HY548" s="36"/>
      <c r="HZ548" s="36"/>
      <c r="IA548" s="36"/>
      <c r="IB548" s="36"/>
      <c r="IC548" s="36"/>
      <c r="ID548" s="36"/>
      <c r="IE548" s="36"/>
      <c r="IF548" s="36"/>
      <c r="IG548" s="36"/>
      <c r="IH548" s="36"/>
      <c r="II548" s="36"/>
      <c r="IJ548" s="36"/>
      <c r="IK548" s="36"/>
      <c r="IL548" s="36"/>
      <c r="IM548" s="36"/>
      <c r="IN548" s="36"/>
      <c r="IO548" s="36"/>
      <c r="IP548" s="36"/>
      <c r="IQ548" s="36"/>
      <c r="IR548" s="36"/>
      <c r="IS548" s="36"/>
      <c r="IT548" s="36"/>
      <c r="IU548" s="36"/>
      <c r="IV548" s="36"/>
      <c r="IW548" s="36"/>
      <c r="IX548" s="36"/>
      <c r="IY548" s="36"/>
      <c r="IZ548" s="36"/>
      <c r="JA548" s="36"/>
      <c r="JB548" s="36"/>
      <c r="JC548" s="36"/>
      <c r="JD548" s="36"/>
      <c r="JE548" s="36"/>
      <c r="JF548" s="36"/>
      <c r="JG548" s="36"/>
      <c r="JH548" s="36"/>
      <c r="JI548" s="36"/>
      <c r="JJ548" s="36"/>
      <c r="JK548" s="36"/>
      <c r="JL548" s="36"/>
      <c r="JM548" s="36"/>
      <c r="JN548" s="36"/>
      <c r="JO548" s="36"/>
      <c r="JP548" s="36"/>
      <c r="JQ548" s="36"/>
      <c r="JR548" s="36"/>
      <c r="JS548" s="36"/>
      <c r="JT548" s="36"/>
      <c r="JU548" s="36"/>
      <c r="JV548" s="36"/>
      <c r="JW548" s="36"/>
      <c r="JX548" s="36"/>
      <c r="JY548" s="36"/>
      <c r="JZ548" s="36"/>
      <c r="KA548" s="36"/>
      <c r="KB548" s="36"/>
      <c r="KC548" s="36"/>
      <c r="KD548" s="36"/>
      <c r="KE548" s="36"/>
      <c r="KF548" s="36"/>
      <c r="KG548" s="36"/>
      <c r="KH548" s="36"/>
      <c r="KI548" s="36"/>
      <c r="KJ548" s="36"/>
      <c r="KK548" s="36"/>
      <c r="KL548" s="36"/>
      <c r="KM548" s="36"/>
      <c r="KN548" s="36"/>
      <c r="KO548" s="36"/>
      <c r="KP548" s="36"/>
      <c r="KQ548" s="36"/>
      <c r="KR548" s="36"/>
      <c r="KS548" s="36"/>
      <c r="KT548" s="36"/>
      <c r="KU548" s="36"/>
      <c r="KV548" s="36"/>
      <c r="KW548" s="36"/>
      <c r="KX548" s="36"/>
      <c r="KY548" s="36"/>
      <c r="KZ548" s="36"/>
      <c r="LA548" s="36"/>
      <c r="LB548" s="36"/>
      <c r="LC548" s="36"/>
      <c r="LD548" s="36"/>
      <c r="LE548" s="36"/>
      <c r="LF548" s="36"/>
      <c r="LG548" s="36"/>
      <c r="LH548" s="36"/>
      <c r="LI548" s="36"/>
      <c r="LJ548" s="36"/>
      <c r="LK548" s="36"/>
      <c r="LL548" s="36"/>
      <c r="LM548" s="36"/>
      <c r="LN548" s="36"/>
      <c r="LO548" s="36"/>
      <c r="LP548" s="36"/>
      <c r="LQ548" s="36"/>
      <c r="LR548" s="36"/>
      <c r="LS548" s="36"/>
      <c r="LT548" s="36"/>
      <c r="LU548" s="36"/>
      <c r="LV548" s="36"/>
      <c r="LW548" s="36"/>
      <c r="LX548" s="36"/>
      <c r="LY548" s="36"/>
      <c r="LZ548" s="36"/>
      <c r="MA548" s="36"/>
      <c r="MB548" s="36"/>
      <c r="MC548" s="36"/>
      <c r="MD548" s="36"/>
      <c r="ME548" s="36"/>
      <c r="MF548" s="36"/>
      <c r="MG548" s="36"/>
      <c r="MH548" s="36"/>
      <c r="MI548" s="36"/>
      <c r="MJ548" s="36"/>
      <c r="MK548" s="36"/>
      <c r="ML548" s="36"/>
      <c r="MM548" s="36"/>
      <c r="MN548" s="36"/>
      <c r="MO548" s="36"/>
      <c r="MP548" s="36"/>
      <c r="MQ548" s="36"/>
      <c r="MR548" s="36"/>
      <c r="MS548" s="36"/>
      <c r="MT548" s="36"/>
      <c r="MU548" s="36"/>
      <c r="MV548" s="36"/>
      <c r="MW548" s="36"/>
      <c r="MX548" s="36"/>
      <c r="MY548" s="36"/>
      <c r="MZ548" s="36"/>
      <c r="NA548" s="36"/>
      <c r="NB548" s="36"/>
      <c r="NC548" s="36"/>
      <c r="ND548" s="36"/>
      <c r="NE548" s="36"/>
      <c r="NF548" s="36"/>
      <c r="NG548" s="36"/>
      <c r="NH548" s="36"/>
      <c r="NI548" s="36"/>
      <c r="NJ548" s="36"/>
      <c r="NK548" s="36"/>
      <c r="NL548" s="36"/>
      <c r="NM548" s="36"/>
      <c r="NN548" s="36"/>
      <c r="NO548" s="36"/>
      <c r="NP548" s="36"/>
      <c r="NQ548" s="36"/>
      <c r="NR548" s="36"/>
      <c r="NS548" s="36"/>
      <c r="NT548" s="36"/>
      <c r="NU548" s="36"/>
      <c r="NV548" s="36"/>
      <c r="NW548" s="36"/>
      <c r="NX548" s="36"/>
      <c r="NY548" s="36"/>
      <c r="NZ548" s="36"/>
      <c r="OA548" s="36"/>
      <c r="OB548" s="36"/>
      <c r="OC548" s="36"/>
      <c r="OD548" s="36"/>
      <c r="OE548" s="36"/>
      <c r="OF548" s="36"/>
      <c r="OG548" s="36"/>
      <c r="OH548" s="36"/>
      <c r="OI548" s="36"/>
      <c r="OJ548" s="36"/>
      <c r="OK548" s="36"/>
      <c r="OL548" s="36"/>
      <c r="OM548" s="36"/>
      <c r="ON548" s="36"/>
      <c r="OO548" s="36"/>
      <c r="OP548" s="36"/>
      <c r="OQ548" s="36"/>
      <c r="OR548" s="36"/>
      <c r="OS548" s="36"/>
      <c r="OT548" s="36"/>
      <c r="OU548" s="36"/>
      <c r="OV548" s="36"/>
      <c r="OW548" s="36"/>
      <c r="OX548" s="36"/>
    </row>
    <row r="549" spans="2:414" s="27" customFormat="1" ht="15.6">
      <c r="B549" s="51" t="s">
        <v>823</v>
      </c>
      <c r="C549" s="27" t="s">
        <v>138</v>
      </c>
      <c r="D549" s="29" t="s">
        <v>201</v>
      </c>
      <c r="G549" s="49">
        <v>80</v>
      </c>
      <c r="H549" s="89">
        <v>26.109000000000002</v>
      </c>
      <c r="I549" s="38">
        <f t="shared" si="165"/>
        <v>2088.7200000000003</v>
      </c>
      <c r="K549" s="49">
        <v>80</v>
      </c>
      <c r="L549" s="90">
        <v>26.849599999999999</v>
      </c>
      <c r="M549" s="38">
        <f t="shared" si="166"/>
        <v>2147.9679999999998</v>
      </c>
      <c r="O549" s="49">
        <v>505</v>
      </c>
      <c r="P549" s="38">
        <v>26.728300000000001</v>
      </c>
      <c r="Q549" s="38">
        <f t="shared" si="167"/>
        <v>13497.791500000001</v>
      </c>
      <c r="R549" s="43">
        <f t="shared" si="164"/>
        <v>665</v>
      </c>
      <c r="S549" s="38">
        <f t="shared" si="168"/>
        <v>17734.479500000001</v>
      </c>
      <c r="T549" s="27">
        <v>240</v>
      </c>
      <c r="U549" s="52">
        <v>26.8</v>
      </c>
      <c r="V549" s="38">
        <f t="shared" si="176"/>
        <v>6432</v>
      </c>
      <c r="W549" s="52">
        <v>390</v>
      </c>
      <c r="X549" s="52">
        <v>26.73</v>
      </c>
      <c r="Y549" s="35">
        <f t="shared" si="174"/>
        <v>10424.700000000001</v>
      </c>
      <c r="Z549" s="78"/>
      <c r="AB549" s="32">
        <f t="shared" si="175"/>
        <v>0</v>
      </c>
      <c r="AF549" s="42">
        <f t="shared" ref="AF549:AF612" si="177">AD549*AE549</f>
        <v>0</v>
      </c>
      <c r="AU549" s="100"/>
      <c r="AV549" s="35"/>
      <c r="AW549" s="78"/>
      <c r="AZ549" s="42">
        <f t="shared" si="163"/>
        <v>0</v>
      </c>
      <c r="BD549" s="38">
        <f t="shared" si="169"/>
        <v>0</v>
      </c>
      <c r="BH549" s="38">
        <f t="shared" si="170"/>
        <v>0</v>
      </c>
      <c r="BL549" s="38">
        <f t="shared" si="171"/>
        <v>0</v>
      </c>
      <c r="BR549" s="42">
        <f t="shared" si="172"/>
        <v>16856.7</v>
      </c>
      <c r="BS549" s="43">
        <f t="shared" si="173"/>
        <v>877.77950000000055</v>
      </c>
      <c r="BU549" s="36"/>
      <c r="BV549" s="36"/>
      <c r="BW549" s="36"/>
      <c r="BX549" s="36"/>
      <c r="BY549" s="36"/>
      <c r="BZ549" s="36"/>
      <c r="CA549" s="36"/>
      <c r="CB549" s="36"/>
      <c r="CC549" s="36"/>
      <c r="CD549" s="36"/>
      <c r="CE549" s="36"/>
      <c r="CF549" s="36"/>
      <c r="CG549" s="36"/>
      <c r="CH549" s="36"/>
      <c r="CI549" s="36"/>
      <c r="CJ549" s="36"/>
      <c r="CK549" s="36"/>
      <c r="CL549" s="36"/>
      <c r="CM549" s="36"/>
      <c r="CN549" s="36"/>
      <c r="CO549" s="36"/>
      <c r="CP549" s="36"/>
      <c r="CQ549" s="36"/>
      <c r="CR549" s="36"/>
      <c r="CS549" s="36"/>
      <c r="CT549" s="36"/>
      <c r="CU549" s="36"/>
      <c r="CV549" s="36"/>
      <c r="CW549" s="36"/>
      <c r="CX549" s="36"/>
      <c r="CY549" s="36"/>
      <c r="CZ549" s="36"/>
      <c r="DA549" s="36"/>
      <c r="DB549" s="36"/>
      <c r="DC549" s="36"/>
      <c r="DD549" s="36"/>
      <c r="DE549" s="36"/>
      <c r="DF549" s="36"/>
      <c r="DG549" s="36"/>
      <c r="DH549" s="36"/>
      <c r="DI549" s="36"/>
      <c r="DJ549" s="36"/>
      <c r="DK549" s="36"/>
      <c r="DL549" s="36"/>
      <c r="DM549" s="36"/>
      <c r="DN549" s="36"/>
      <c r="DO549" s="36"/>
      <c r="DP549" s="36"/>
      <c r="DQ549" s="36"/>
      <c r="DR549" s="36"/>
      <c r="DS549" s="36"/>
      <c r="DT549" s="36"/>
      <c r="DU549" s="36"/>
      <c r="DV549" s="36"/>
      <c r="DW549" s="36"/>
      <c r="DX549" s="36"/>
      <c r="DY549" s="36"/>
      <c r="DZ549" s="36"/>
      <c r="EA549" s="36"/>
      <c r="EB549" s="36"/>
      <c r="EC549" s="36"/>
      <c r="ED549" s="36"/>
      <c r="EE549" s="36"/>
      <c r="EF549" s="36"/>
      <c r="EG549" s="36"/>
      <c r="EH549" s="36"/>
      <c r="EI549" s="36"/>
      <c r="EJ549" s="36"/>
      <c r="EK549" s="36"/>
      <c r="EL549" s="36"/>
      <c r="EM549" s="36"/>
      <c r="EN549" s="36"/>
      <c r="EO549" s="36"/>
      <c r="EP549" s="36"/>
      <c r="EQ549" s="36"/>
      <c r="ER549" s="36"/>
      <c r="ES549" s="36"/>
      <c r="ET549" s="36"/>
      <c r="EU549" s="36"/>
      <c r="EV549" s="36"/>
      <c r="EW549" s="36"/>
      <c r="EX549" s="36"/>
      <c r="EY549" s="36"/>
      <c r="EZ549" s="36"/>
      <c r="FA549" s="36"/>
      <c r="FB549" s="36"/>
      <c r="FC549" s="36"/>
      <c r="FD549" s="36"/>
      <c r="FE549" s="36"/>
      <c r="FF549" s="36"/>
      <c r="FG549" s="36"/>
      <c r="FH549" s="36"/>
      <c r="FI549" s="36"/>
      <c r="FJ549" s="36"/>
      <c r="FK549" s="36"/>
      <c r="FL549" s="36"/>
      <c r="FM549" s="36"/>
      <c r="FN549" s="36"/>
      <c r="FO549" s="36"/>
      <c r="FP549" s="36"/>
      <c r="FQ549" s="36"/>
      <c r="FR549" s="36"/>
      <c r="FS549" s="36"/>
      <c r="FT549" s="36"/>
      <c r="FU549" s="36"/>
      <c r="FV549" s="36"/>
      <c r="FW549" s="36"/>
      <c r="FX549" s="36"/>
      <c r="FY549" s="36"/>
      <c r="FZ549" s="36"/>
      <c r="GA549" s="36"/>
      <c r="GB549" s="36"/>
      <c r="GC549" s="36"/>
      <c r="GD549" s="36"/>
      <c r="GE549" s="36"/>
      <c r="GF549" s="36"/>
      <c r="GG549" s="36"/>
      <c r="GH549" s="36"/>
      <c r="GI549" s="36"/>
      <c r="GJ549" s="36"/>
      <c r="GK549" s="36"/>
      <c r="GL549" s="36"/>
      <c r="GM549" s="36"/>
      <c r="GN549" s="36"/>
      <c r="GO549" s="36"/>
      <c r="GP549" s="36"/>
      <c r="GQ549" s="36"/>
      <c r="GR549" s="36"/>
      <c r="GS549" s="36"/>
      <c r="GT549" s="36"/>
      <c r="GU549" s="36"/>
      <c r="GV549" s="36"/>
      <c r="GW549" s="36"/>
      <c r="GX549" s="36"/>
      <c r="GY549" s="36"/>
      <c r="GZ549" s="36"/>
      <c r="HA549" s="36"/>
      <c r="HB549" s="36"/>
      <c r="HC549" s="36"/>
      <c r="HD549" s="36"/>
      <c r="HE549" s="36"/>
      <c r="HF549" s="36"/>
      <c r="HG549" s="36"/>
      <c r="HH549" s="36"/>
      <c r="HI549" s="36"/>
      <c r="HJ549" s="36"/>
      <c r="HK549" s="36"/>
      <c r="HL549" s="36"/>
      <c r="HM549" s="36"/>
      <c r="HN549" s="36"/>
      <c r="HO549" s="36"/>
      <c r="HP549" s="36"/>
      <c r="HQ549" s="36"/>
      <c r="HR549" s="36"/>
      <c r="HS549" s="36"/>
      <c r="HT549" s="36"/>
      <c r="HU549" s="36"/>
      <c r="HV549" s="36"/>
      <c r="HW549" s="36"/>
      <c r="HX549" s="36"/>
      <c r="HY549" s="36"/>
      <c r="HZ549" s="36"/>
      <c r="IA549" s="36"/>
      <c r="IB549" s="36"/>
      <c r="IC549" s="36"/>
      <c r="ID549" s="36"/>
      <c r="IE549" s="36"/>
      <c r="IF549" s="36"/>
      <c r="IG549" s="36"/>
      <c r="IH549" s="36"/>
      <c r="II549" s="36"/>
      <c r="IJ549" s="36"/>
      <c r="IK549" s="36"/>
      <c r="IL549" s="36"/>
      <c r="IM549" s="36"/>
      <c r="IN549" s="36"/>
      <c r="IO549" s="36"/>
      <c r="IP549" s="36"/>
      <c r="IQ549" s="36"/>
      <c r="IR549" s="36"/>
      <c r="IS549" s="36"/>
      <c r="IT549" s="36"/>
      <c r="IU549" s="36"/>
      <c r="IV549" s="36"/>
      <c r="IW549" s="36"/>
      <c r="IX549" s="36"/>
      <c r="IY549" s="36"/>
      <c r="IZ549" s="36"/>
      <c r="JA549" s="36"/>
      <c r="JB549" s="36"/>
      <c r="JC549" s="36"/>
      <c r="JD549" s="36"/>
      <c r="JE549" s="36"/>
      <c r="JF549" s="36"/>
      <c r="JG549" s="36"/>
      <c r="JH549" s="36"/>
      <c r="JI549" s="36"/>
      <c r="JJ549" s="36"/>
      <c r="JK549" s="36"/>
      <c r="JL549" s="36"/>
      <c r="JM549" s="36"/>
      <c r="JN549" s="36"/>
      <c r="JO549" s="36"/>
      <c r="JP549" s="36"/>
      <c r="JQ549" s="36"/>
      <c r="JR549" s="36"/>
      <c r="JS549" s="36"/>
      <c r="JT549" s="36"/>
      <c r="JU549" s="36"/>
      <c r="JV549" s="36"/>
      <c r="JW549" s="36"/>
      <c r="JX549" s="36"/>
      <c r="JY549" s="36"/>
      <c r="JZ549" s="36"/>
      <c r="KA549" s="36"/>
      <c r="KB549" s="36"/>
      <c r="KC549" s="36"/>
      <c r="KD549" s="36"/>
      <c r="KE549" s="36"/>
      <c r="KF549" s="36"/>
      <c r="KG549" s="36"/>
      <c r="KH549" s="36"/>
      <c r="KI549" s="36"/>
      <c r="KJ549" s="36"/>
      <c r="KK549" s="36"/>
      <c r="KL549" s="36"/>
      <c r="KM549" s="36"/>
      <c r="KN549" s="36"/>
      <c r="KO549" s="36"/>
      <c r="KP549" s="36"/>
      <c r="KQ549" s="36"/>
      <c r="KR549" s="36"/>
      <c r="KS549" s="36"/>
      <c r="KT549" s="36"/>
      <c r="KU549" s="36"/>
      <c r="KV549" s="36"/>
      <c r="KW549" s="36"/>
      <c r="KX549" s="36"/>
      <c r="KY549" s="36"/>
      <c r="KZ549" s="36"/>
      <c r="LA549" s="36"/>
      <c r="LB549" s="36"/>
      <c r="LC549" s="36"/>
      <c r="LD549" s="36"/>
      <c r="LE549" s="36"/>
      <c r="LF549" s="36"/>
      <c r="LG549" s="36"/>
      <c r="LH549" s="36"/>
      <c r="LI549" s="36"/>
      <c r="LJ549" s="36"/>
      <c r="LK549" s="36"/>
      <c r="LL549" s="36"/>
      <c r="LM549" s="36"/>
      <c r="LN549" s="36"/>
      <c r="LO549" s="36"/>
      <c r="LP549" s="36"/>
      <c r="LQ549" s="36"/>
      <c r="LR549" s="36"/>
      <c r="LS549" s="36"/>
      <c r="LT549" s="36"/>
      <c r="LU549" s="36"/>
      <c r="LV549" s="36"/>
      <c r="LW549" s="36"/>
      <c r="LX549" s="36"/>
      <c r="LY549" s="36"/>
      <c r="LZ549" s="36"/>
      <c r="MA549" s="36"/>
      <c r="MB549" s="36"/>
      <c r="MC549" s="36"/>
      <c r="MD549" s="36"/>
      <c r="ME549" s="36"/>
      <c r="MF549" s="36"/>
      <c r="MG549" s="36"/>
      <c r="MH549" s="36"/>
      <c r="MI549" s="36"/>
      <c r="MJ549" s="36"/>
      <c r="MK549" s="36"/>
      <c r="ML549" s="36"/>
      <c r="MM549" s="36"/>
      <c r="MN549" s="36"/>
      <c r="MO549" s="36"/>
      <c r="MP549" s="36"/>
      <c r="MQ549" s="36"/>
      <c r="MR549" s="36"/>
      <c r="MS549" s="36"/>
      <c r="MT549" s="36"/>
      <c r="MU549" s="36"/>
      <c r="MV549" s="36"/>
      <c r="MW549" s="36"/>
      <c r="MX549" s="36"/>
      <c r="MY549" s="36"/>
      <c r="MZ549" s="36"/>
      <c r="NA549" s="36"/>
      <c r="NB549" s="36"/>
      <c r="NC549" s="36"/>
      <c r="ND549" s="36"/>
      <c r="NE549" s="36"/>
      <c r="NF549" s="36"/>
      <c r="NG549" s="36"/>
      <c r="NH549" s="36"/>
      <c r="NI549" s="36"/>
      <c r="NJ549" s="36"/>
      <c r="NK549" s="36"/>
      <c r="NL549" s="36"/>
      <c r="NM549" s="36"/>
      <c r="NN549" s="36"/>
      <c r="NO549" s="36"/>
      <c r="NP549" s="36"/>
      <c r="NQ549" s="36"/>
      <c r="NR549" s="36"/>
      <c r="NS549" s="36"/>
      <c r="NT549" s="36"/>
      <c r="NU549" s="36"/>
      <c r="NV549" s="36"/>
      <c r="NW549" s="36"/>
      <c r="NX549" s="36"/>
      <c r="NY549" s="36"/>
      <c r="NZ549" s="36"/>
      <c r="OA549" s="36"/>
      <c r="OB549" s="36"/>
      <c r="OC549" s="36"/>
      <c r="OD549" s="36"/>
      <c r="OE549" s="36"/>
      <c r="OF549" s="36"/>
      <c r="OG549" s="36"/>
      <c r="OH549" s="36"/>
      <c r="OI549" s="36"/>
      <c r="OJ549" s="36"/>
      <c r="OK549" s="36"/>
      <c r="OL549" s="36"/>
      <c r="OM549" s="36"/>
      <c r="ON549" s="36"/>
      <c r="OO549" s="36"/>
      <c r="OP549" s="36"/>
      <c r="OQ549" s="36"/>
      <c r="OR549" s="36"/>
      <c r="OS549" s="36"/>
      <c r="OT549" s="36"/>
      <c r="OU549" s="36"/>
      <c r="OV549" s="36"/>
      <c r="OW549" s="36"/>
      <c r="OX549" s="36"/>
    </row>
    <row r="550" spans="2:414" s="27" customFormat="1" ht="15.6">
      <c r="B550" s="51" t="s">
        <v>715</v>
      </c>
      <c r="C550" s="27" t="s">
        <v>1065</v>
      </c>
      <c r="D550" s="29" t="s">
        <v>201</v>
      </c>
      <c r="G550" s="49">
        <v>80</v>
      </c>
      <c r="H550" s="89">
        <v>26.109000000000002</v>
      </c>
      <c r="I550" s="38">
        <f t="shared" si="165"/>
        <v>2088.7200000000003</v>
      </c>
      <c r="K550" s="49">
        <v>80</v>
      </c>
      <c r="L550" s="90">
        <v>26.849599999999999</v>
      </c>
      <c r="M550" s="38">
        <f t="shared" si="166"/>
        <v>2147.9679999999998</v>
      </c>
      <c r="O550" s="49">
        <v>505</v>
      </c>
      <c r="P550" s="38">
        <v>26.728300000000001</v>
      </c>
      <c r="Q550" s="38">
        <f t="shared" si="167"/>
        <v>13497.791500000001</v>
      </c>
      <c r="R550" s="43">
        <f t="shared" si="164"/>
        <v>665</v>
      </c>
      <c r="S550" s="38">
        <f t="shared" si="168"/>
        <v>17734.479500000001</v>
      </c>
      <c r="T550" s="52">
        <v>80</v>
      </c>
      <c r="U550" s="52">
        <v>26.570799999999998</v>
      </c>
      <c r="V550" s="38">
        <f t="shared" si="176"/>
        <v>2125.6639999999998</v>
      </c>
      <c r="W550" s="52">
        <v>505</v>
      </c>
      <c r="X550" s="52">
        <v>26.76774</v>
      </c>
      <c r="Y550" s="35">
        <f t="shared" si="174"/>
        <v>13517.708699999999</v>
      </c>
      <c r="Z550" s="78"/>
      <c r="AB550" s="32">
        <f t="shared" si="175"/>
        <v>0</v>
      </c>
      <c r="AF550" s="42">
        <f t="shared" si="177"/>
        <v>0</v>
      </c>
      <c r="AU550" s="100"/>
      <c r="AV550" s="35"/>
      <c r="AW550" s="78"/>
      <c r="AZ550" s="42">
        <f t="shared" si="163"/>
        <v>0</v>
      </c>
      <c r="BD550" s="38">
        <f t="shared" si="169"/>
        <v>0</v>
      </c>
      <c r="BH550" s="38">
        <f t="shared" si="170"/>
        <v>0</v>
      </c>
      <c r="BL550" s="38">
        <f t="shared" si="171"/>
        <v>0</v>
      </c>
      <c r="BR550" s="42">
        <f t="shared" si="172"/>
        <v>15643.3727</v>
      </c>
      <c r="BS550" s="43">
        <f t="shared" si="173"/>
        <v>2091.1068000000014</v>
      </c>
      <c r="BU550" s="36"/>
      <c r="BV550" s="36"/>
      <c r="BW550" s="36"/>
      <c r="BX550" s="36"/>
      <c r="BY550" s="36"/>
      <c r="BZ550" s="36"/>
      <c r="CA550" s="36"/>
      <c r="CB550" s="36"/>
      <c r="CC550" s="36"/>
      <c r="CD550" s="36"/>
      <c r="CE550" s="36"/>
      <c r="CF550" s="36"/>
      <c r="CG550" s="36"/>
      <c r="CH550" s="36"/>
      <c r="CI550" s="36"/>
      <c r="CJ550" s="36"/>
      <c r="CK550" s="36"/>
      <c r="CL550" s="36"/>
      <c r="CM550" s="36"/>
      <c r="CN550" s="36"/>
      <c r="CO550" s="36"/>
      <c r="CP550" s="36"/>
      <c r="CQ550" s="36"/>
      <c r="CR550" s="36"/>
      <c r="CS550" s="36"/>
      <c r="CT550" s="36"/>
      <c r="CU550" s="36"/>
      <c r="CV550" s="36"/>
      <c r="CW550" s="36"/>
      <c r="CX550" s="36"/>
      <c r="CY550" s="36"/>
      <c r="CZ550" s="36"/>
      <c r="DA550" s="36"/>
      <c r="DB550" s="36"/>
      <c r="DC550" s="36"/>
      <c r="DD550" s="36"/>
      <c r="DE550" s="36"/>
      <c r="DF550" s="36"/>
      <c r="DG550" s="36"/>
      <c r="DH550" s="36"/>
      <c r="DI550" s="36"/>
      <c r="DJ550" s="36"/>
      <c r="DK550" s="36"/>
      <c r="DL550" s="36"/>
      <c r="DM550" s="36"/>
      <c r="DN550" s="36"/>
      <c r="DO550" s="36"/>
      <c r="DP550" s="36"/>
      <c r="DQ550" s="36"/>
      <c r="DR550" s="36"/>
      <c r="DS550" s="36"/>
      <c r="DT550" s="36"/>
      <c r="DU550" s="36"/>
      <c r="DV550" s="36"/>
      <c r="DW550" s="36"/>
      <c r="DX550" s="36"/>
      <c r="DY550" s="36"/>
      <c r="DZ550" s="36"/>
      <c r="EA550" s="36"/>
      <c r="EB550" s="36"/>
      <c r="EC550" s="36"/>
      <c r="ED550" s="36"/>
      <c r="EE550" s="36"/>
      <c r="EF550" s="36"/>
      <c r="EG550" s="36"/>
      <c r="EH550" s="36"/>
      <c r="EI550" s="36"/>
      <c r="EJ550" s="36"/>
      <c r="EK550" s="36"/>
      <c r="EL550" s="36"/>
      <c r="EM550" s="36"/>
      <c r="EN550" s="36"/>
      <c r="EO550" s="36"/>
      <c r="EP550" s="36"/>
      <c r="EQ550" s="36"/>
      <c r="ER550" s="36"/>
      <c r="ES550" s="36"/>
      <c r="ET550" s="36"/>
      <c r="EU550" s="36"/>
      <c r="EV550" s="36"/>
      <c r="EW550" s="36"/>
      <c r="EX550" s="36"/>
      <c r="EY550" s="36"/>
      <c r="EZ550" s="36"/>
      <c r="FA550" s="36"/>
      <c r="FB550" s="36"/>
      <c r="FC550" s="36"/>
      <c r="FD550" s="36"/>
      <c r="FE550" s="36"/>
      <c r="FF550" s="36"/>
      <c r="FG550" s="36"/>
      <c r="FH550" s="36"/>
      <c r="FI550" s="36"/>
      <c r="FJ550" s="36"/>
      <c r="FK550" s="36"/>
      <c r="FL550" s="36"/>
      <c r="FM550" s="36"/>
      <c r="FN550" s="36"/>
      <c r="FO550" s="36"/>
      <c r="FP550" s="36"/>
      <c r="FQ550" s="36"/>
      <c r="FR550" s="36"/>
      <c r="FS550" s="36"/>
      <c r="FT550" s="36"/>
      <c r="FU550" s="36"/>
      <c r="FV550" s="36"/>
      <c r="FW550" s="36"/>
      <c r="FX550" s="36"/>
      <c r="FY550" s="36"/>
      <c r="FZ550" s="36"/>
      <c r="GA550" s="36"/>
      <c r="GB550" s="36"/>
      <c r="GC550" s="36"/>
      <c r="GD550" s="36"/>
      <c r="GE550" s="36"/>
      <c r="GF550" s="36"/>
      <c r="GG550" s="36"/>
      <c r="GH550" s="36"/>
      <c r="GI550" s="36"/>
      <c r="GJ550" s="36"/>
      <c r="GK550" s="36"/>
      <c r="GL550" s="36"/>
      <c r="GM550" s="36"/>
      <c r="GN550" s="36"/>
      <c r="GO550" s="36"/>
      <c r="GP550" s="36"/>
      <c r="GQ550" s="36"/>
      <c r="GR550" s="36"/>
      <c r="GS550" s="36"/>
      <c r="GT550" s="36"/>
      <c r="GU550" s="36"/>
      <c r="GV550" s="36"/>
      <c r="GW550" s="36"/>
      <c r="GX550" s="36"/>
      <c r="GY550" s="36"/>
      <c r="GZ550" s="36"/>
      <c r="HA550" s="36"/>
      <c r="HB550" s="36"/>
      <c r="HC550" s="36"/>
      <c r="HD550" s="36"/>
      <c r="HE550" s="36"/>
      <c r="HF550" s="36"/>
      <c r="HG550" s="36"/>
      <c r="HH550" s="36"/>
      <c r="HI550" s="36"/>
      <c r="HJ550" s="36"/>
      <c r="HK550" s="36"/>
      <c r="HL550" s="36"/>
      <c r="HM550" s="36"/>
      <c r="HN550" s="36"/>
      <c r="HO550" s="36"/>
      <c r="HP550" s="36"/>
      <c r="HQ550" s="36"/>
      <c r="HR550" s="36"/>
      <c r="HS550" s="36"/>
      <c r="HT550" s="36"/>
      <c r="HU550" s="36"/>
      <c r="HV550" s="36"/>
      <c r="HW550" s="36"/>
      <c r="HX550" s="36"/>
      <c r="HY550" s="36"/>
      <c r="HZ550" s="36"/>
      <c r="IA550" s="36"/>
      <c r="IB550" s="36"/>
      <c r="IC550" s="36"/>
      <c r="ID550" s="36"/>
      <c r="IE550" s="36"/>
      <c r="IF550" s="36"/>
      <c r="IG550" s="36"/>
      <c r="IH550" s="36"/>
      <c r="II550" s="36"/>
      <c r="IJ550" s="36"/>
      <c r="IK550" s="36"/>
      <c r="IL550" s="36"/>
      <c r="IM550" s="36"/>
      <c r="IN550" s="36"/>
      <c r="IO550" s="36"/>
      <c r="IP550" s="36"/>
      <c r="IQ550" s="36"/>
      <c r="IR550" s="36"/>
      <c r="IS550" s="36"/>
      <c r="IT550" s="36"/>
      <c r="IU550" s="36"/>
      <c r="IV550" s="36"/>
      <c r="IW550" s="36"/>
      <c r="IX550" s="36"/>
      <c r="IY550" s="36"/>
      <c r="IZ550" s="36"/>
      <c r="JA550" s="36"/>
      <c r="JB550" s="36"/>
      <c r="JC550" s="36"/>
      <c r="JD550" s="36"/>
      <c r="JE550" s="36"/>
      <c r="JF550" s="36"/>
      <c r="JG550" s="36"/>
      <c r="JH550" s="36"/>
      <c r="JI550" s="36"/>
      <c r="JJ550" s="36"/>
      <c r="JK550" s="36"/>
      <c r="JL550" s="36"/>
      <c r="JM550" s="36"/>
      <c r="JN550" s="36"/>
      <c r="JO550" s="36"/>
      <c r="JP550" s="36"/>
      <c r="JQ550" s="36"/>
      <c r="JR550" s="36"/>
      <c r="JS550" s="36"/>
      <c r="JT550" s="36"/>
      <c r="JU550" s="36"/>
      <c r="JV550" s="36"/>
      <c r="JW550" s="36"/>
      <c r="JX550" s="36"/>
      <c r="JY550" s="36"/>
      <c r="JZ550" s="36"/>
      <c r="KA550" s="36"/>
      <c r="KB550" s="36"/>
      <c r="KC550" s="36"/>
      <c r="KD550" s="36"/>
      <c r="KE550" s="36"/>
      <c r="KF550" s="36"/>
      <c r="KG550" s="36"/>
      <c r="KH550" s="36"/>
      <c r="KI550" s="36"/>
      <c r="KJ550" s="36"/>
      <c r="KK550" s="36"/>
      <c r="KL550" s="36"/>
      <c r="KM550" s="36"/>
      <c r="KN550" s="36"/>
      <c r="KO550" s="36"/>
      <c r="KP550" s="36"/>
      <c r="KQ550" s="36"/>
      <c r="KR550" s="36"/>
      <c r="KS550" s="36"/>
      <c r="KT550" s="36"/>
      <c r="KU550" s="36"/>
      <c r="KV550" s="36"/>
      <c r="KW550" s="36"/>
      <c r="KX550" s="36"/>
      <c r="KY550" s="36"/>
      <c r="KZ550" s="36"/>
      <c r="LA550" s="36"/>
      <c r="LB550" s="36"/>
      <c r="LC550" s="36"/>
      <c r="LD550" s="36"/>
      <c r="LE550" s="36"/>
      <c r="LF550" s="36"/>
      <c r="LG550" s="36"/>
      <c r="LH550" s="36"/>
      <c r="LI550" s="36"/>
      <c r="LJ550" s="36"/>
      <c r="LK550" s="36"/>
      <c r="LL550" s="36"/>
      <c r="LM550" s="36"/>
      <c r="LN550" s="36"/>
      <c r="LO550" s="36"/>
      <c r="LP550" s="36"/>
      <c r="LQ550" s="36"/>
      <c r="LR550" s="36"/>
      <c r="LS550" s="36"/>
      <c r="LT550" s="36"/>
      <c r="LU550" s="36"/>
      <c r="LV550" s="36"/>
      <c r="LW550" s="36"/>
      <c r="LX550" s="36"/>
      <c r="LY550" s="36"/>
      <c r="LZ550" s="36"/>
      <c r="MA550" s="36"/>
      <c r="MB550" s="36"/>
      <c r="MC550" s="36"/>
      <c r="MD550" s="36"/>
      <c r="ME550" s="36"/>
      <c r="MF550" s="36"/>
      <c r="MG550" s="36"/>
      <c r="MH550" s="36"/>
      <c r="MI550" s="36"/>
      <c r="MJ550" s="36"/>
      <c r="MK550" s="36"/>
      <c r="ML550" s="36"/>
      <c r="MM550" s="36"/>
      <c r="MN550" s="36"/>
      <c r="MO550" s="36"/>
      <c r="MP550" s="36"/>
      <c r="MQ550" s="36"/>
      <c r="MR550" s="36"/>
      <c r="MS550" s="36"/>
      <c r="MT550" s="36"/>
      <c r="MU550" s="36"/>
      <c r="MV550" s="36"/>
      <c r="MW550" s="36"/>
      <c r="MX550" s="36"/>
      <c r="MY550" s="36"/>
      <c r="MZ550" s="36"/>
      <c r="NA550" s="36"/>
      <c r="NB550" s="36"/>
      <c r="NC550" s="36"/>
      <c r="ND550" s="36"/>
      <c r="NE550" s="36"/>
      <c r="NF550" s="36"/>
      <c r="NG550" s="36"/>
      <c r="NH550" s="36"/>
      <c r="NI550" s="36"/>
      <c r="NJ550" s="36"/>
      <c r="NK550" s="36"/>
      <c r="NL550" s="36"/>
      <c r="NM550" s="36"/>
      <c r="NN550" s="36"/>
      <c r="NO550" s="36"/>
      <c r="NP550" s="36"/>
      <c r="NQ550" s="36"/>
      <c r="NR550" s="36"/>
      <c r="NS550" s="36"/>
      <c r="NT550" s="36"/>
      <c r="NU550" s="36"/>
      <c r="NV550" s="36"/>
      <c r="NW550" s="36"/>
      <c r="NX550" s="36"/>
      <c r="NY550" s="36"/>
      <c r="NZ550" s="36"/>
      <c r="OA550" s="36"/>
      <c r="OB550" s="36"/>
      <c r="OC550" s="36"/>
      <c r="OD550" s="36"/>
      <c r="OE550" s="36"/>
      <c r="OF550" s="36"/>
      <c r="OG550" s="36"/>
      <c r="OH550" s="36"/>
      <c r="OI550" s="36"/>
      <c r="OJ550" s="36"/>
      <c r="OK550" s="36"/>
      <c r="OL550" s="36"/>
      <c r="OM550" s="36"/>
      <c r="ON550" s="36"/>
      <c r="OO550" s="36"/>
      <c r="OP550" s="36"/>
      <c r="OQ550" s="36"/>
      <c r="OR550" s="36"/>
      <c r="OS550" s="36"/>
      <c r="OT550" s="36"/>
      <c r="OU550" s="36"/>
      <c r="OV550" s="36"/>
      <c r="OW550" s="36"/>
      <c r="OX550" s="36"/>
    </row>
    <row r="551" spans="2:414" s="27" customFormat="1" ht="15.6">
      <c r="B551" s="51" t="s">
        <v>1066</v>
      </c>
      <c r="C551" s="27" t="s">
        <v>1067</v>
      </c>
      <c r="D551" s="29" t="s">
        <v>201</v>
      </c>
      <c r="G551" s="49">
        <v>80</v>
      </c>
      <c r="H551" s="89">
        <v>26.109000000000002</v>
      </c>
      <c r="I551" s="38">
        <f t="shared" si="165"/>
        <v>2088.7200000000003</v>
      </c>
      <c r="K551" s="49">
        <v>80</v>
      </c>
      <c r="L551" s="90">
        <v>26.849599999999999</v>
      </c>
      <c r="M551" s="38">
        <f t="shared" si="166"/>
        <v>2147.9679999999998</v>
      </c>
      <c r="O551" s="49">
        <v>505</v>
      </c>
      <c r="P551" s="38">
        <v>26.728300000000001</v>
      </c>
      <c r="Q551" s="38">
        <f t="shared" si="167"/>
        <v>13497.791500000001</v>
      </c>
      <c r="R551" s="43">
        <f t="shared" si="164"/>
        <v>665</v>
      </c>
      <c r="S551" s="38">
        <f t="shared" si="168"/>
        <v>17734.479500000001</v>
      </c>
      <c r="T551" s="27">
        <v>240</v>
      </c>
      <c r="U551" s="52">
        <v>26.828900000000001</v>
      </c>
      <c r="V551" s="38">
        <f t="shared" si="176"/>
        <v>6438.9360000000006</v>
      </c>
      <c r="W551" s="52">
        <v>505</v>
      </c>
      <c r="X551" s="52">
        <v>26.704000000000001</v>
      </c>
      <c r="Y551" s="35">
        <f t="shared" si="174"/>
        <v>13485.52</v>
      </c>
      <c r="Z551" s="78"/>
      <c r="AB551" s="32">
        <f t="shared" si="175"/>
        <v>0</v>
      </c>
      <c r="AF551" s="42">
        <f t="shared" si="177"/>
        <v>0</v>
      </c>
      <c r="AU551" s="100"/>
      <c r="AV551" s="35"/>
      <c r="AW551" s="78"/>
      <c r="AZ551" s="42">
        <f t="shared" si="163"/>
        <v>0</v>
      </c>
      <c r="BD551" s="38">
        <f t="shared" si="169"/>
        <v>0</v>
      </c>
      <c r="BH551" s="38">
        <f t="shared" si="170"/>
        <v>0</v>
      </c>
      <c r="BL551" s="38">
        <f t="shared" si="171"/>
        <v>0</v>
      </c>
      <c r="BR551" s="42">
        <f t="shared" si="172"/>
        <v>19924.456000000002</v>
      </c>
      <c r="BS551" s="43"/>
      <c r="BT551" s="27">
        <v>2189.98</v>
      </c>
      <c r="BU551" s="36"/>
      <c r="BV551" s="36"/>
      <c r="BW551" s="36"/>
      <c r="BX551" s="36"/>
      <c r="BY551" s="36"/>
      <c r="BZ551" s="36"/>
      <c r="CA551" s="36"/>
      <c r="CB551" s="36"/>
      <c r="CC551" s="36"/>
      <c r="CD551" s="36"/>
      <c r="CE551" s="36"/>
      <c r="CF551" s="36"/>
      <c r="CG551" s="36"/>
      <c r="CH551" s="36"/>
      <c r="CI551" s="36"/>
      <c r="CJ551" s="36"/>
      <c r="CK551" s="36"/>
      <c r="CL551" s="36"/>
      <c r="CM551" s="36"/>
      <c r="CN551" s="36"/>
      <c r="CO551" s="36"/>
      <c r="CP551" s="36"/>
      <c r="CQ551" s="36"/>
      <c r="CR551" s="36"/>
      <c r="CS551" s="36"/>
      <c r="CT551" s="36"/>
      <c r="CU551" s="36"/>
      <c r="CV551" s="36"/>
      <c r="CW551" s="36"/>
      <c r="CX551" s="36"/>
      <c r="CY551" s="36"/>
      <c r="CZ551" s="36"/>
      <c r="DA551" s="36"/>
      <c r="DB551" s="36"/>
      <c r="DC551" s="36"/>
      <c r="DD551" s="36"/>
      <c r="DE551" s="36"/>
      <c r="DF551" s="36"/>
      <c r="DG551" s="36"/>
      <c r="DH551" s="36"/>
      <c r="DI551" s="36"/>
      <c r="DJ551" s="36"/>
      <c r="DK551" s="36"/>
      <c r="DL551" s="36"/>
      <c r="DM551" s="36"/>
      <c r="DN551" s="36"/>
      <c r="DO551" s="36"/>
      <c r="DP551" s="36"/>
      <c r="DQ551" s="36"/>
      <c r="DR551" s="36"/>
      <c r="DS551" s="36"/>
      <c r="DT551" s="36"/>
      <c r="DU551" s="36"/>
      <c r="DV551" s="36"/>
      <c r="DW551" s="36"/>
      <c r="DX551" s="36"/>
      <c r="DY551" s="36"/>
      <c r="DZ551" s="36"/>
      <c r="EA551" s="36"/>
      <c r="EB551" s="36"/>
      <c r="EC551" s="36"/>
      <c r="ED551" s="36"/>
      <c r="EE551" s="36"/>
      <c r="EF551" s="36"/>
      <c r="EG551" s="36"/>
      <c r="EH551" s="36"/>
      <c r="EI551" s="36"/>
      <c r="EJ551" s="36"/>
      <c r="EK551" s="36"/>
      <c r="EL551" s="36"/>
      <c r="EM551" s="36"/>
      <c r="EN551" s="36"/>
      <c r="EO551" s="36"/>
      <c r="EP551" s="36"/>
      <c r="EQ551" s="36"/>
      <c r="ER551" s="36"/>
      <c r="ES551" s="36"/>
      <c r="ET551" s="36"/>
      <c r="EU551" s="36"/>
      <c r="EV551" s="36"/>
      <c r="EW551" s="36"/>
      <c r="EX551" s="36"/>
      <c r="EY551" s="36"/>
      <c r="EZ551" s="36"/>
      <c r="FA551" s="36"/>
      <c r="FB551" s="36"/>
      <c r="FC551" s="36"/>
      <c r="FD551" s="36"/>
      <c r="FE551" s="36"/>
      <c r="FF551" s="36"/>
      <c r="FG551" s="36"/>
      <c r="FH551" s="36"/>
      <c r="FI551" s="36"/>
      <c r="FJ551" s="36"/>
      <c r="FK551" s="36"/>
      <c r="FL551" s="36"/>
      <c r="FM551" s="36"/>
      <c r="FN551" s="36"/>
      <c r="FO551" s="36"/>
      <c r="FP551" s="36"/>
      <c r="FQ551" s="36"/>
      <c r="FR551" s="36"/>
      <c r="FS551" s="36"/>
      <c r="FT551" s="36"/>
      <c r="FU551" s="36"/>
      <c r="FV551" s="36"/>
      <c r="FW551" s="36"/>
      <c r="FX551" s="36"/>
      <c r="FY551" s="36"/>
      <c r="FZ551" s="36"/>
      <c r="GA551" s="36"/>
      <c r="GB551" s="36"/>
      <c r="GC551" s="36"/>
      <c r="GD551" s="36"/>
      <c r="GE551" s="36"/>
      <c r="GF551" s="36"/>
      <c r="GG551" s="36"/>
      <c r="GH551" s="36"/>
      <c r="GI551" s="36"/>
      <c r="GJ551" s="36"/>
      <c r="GK551" s="36"/>
      <c r="GL551" s="36"/>
      <c r="GM551" s="36"/>
      <c r="GN551" s="36"/>
      <c r="GO551" s="36"/>
      <c r="GP551" s="36"/>
      <c r="GQ551" s="36"/>
      <c r="GR551" s="36"/>
      <c r="GS551" s="36"/>
      <c r="GT551" s="36"/>
      <c r="GU551" s="36"/>
      <c r="GV551" s="36"/>
      <c r="GW551" s="36"/>
      <c r="GX551" s="36"/>
      <c r="GY551" s="36"/>
      <c r="GZ551" s="36"/>
      <c r="HA551" s="36"/>
      <c r="HB551" s="36"/>
      <c r="HC551" s="36"/>
      <c r="HD551" s="36"/>
      <c r="HE551" s="36"/>
      <c r="HF551" s="36"/>
      <c r="HG551" s="36"/>
      <c r="HH551" s="36"/>
      <c r="HI551" s="36"/>
      <c r="HJ551" s="36"/>
      <c r="HK551" s="36"/>
      <c r="HL551" s="36"/>
      <c r="HM551" s="36"/>
      <c r="HN551" s="36"/>
      <c r="HO551" s="36"/>
      <c r="HP551" s="36"/>
      <c r="HQ551" s="36"/>
      <c r="HR551" s="36"/>
      <c r="HS551" s="36"/>
      <c r="HT551" s="36"/>
      <c r="HU551" s="36"/>
      <c r="HV551" s="36"/>
      <c r="HW551" s="36"/>
      <c r="HX551" s="36"/>
      <c r="HY551" s="36"/>
      <c r="HZ551" s="36"/>
      <c r="IA551" s="36"/>
      <c r="IB551" s="36"/>
      <c r="IC551" s="36"/>
      <c r="ID551" s="36"/>
      <c r="IE551" s="36"/>
      <c r="IF551" s="36"/>
      <c r="IG551" s="36"/>
      <c r="IH551" s="36"/>
      <c r="II551" s="36"/>
      <c r="IJ551" s="36"/>
      <c r="IK551" s="36"/>
      <c r="IL551" s="36"/>
      <c r="IM551" s="36"/>
      <c r="IN551" s="36"/>
      <c r="IO551" s="36"/>
      <c r="IP551" s="36"/>
      <c r="IQ551" s="36"/>
      <c r="IR551" s="36"/>
      <c r="IS551" s="36"/>
      <c r="IT551" s="36"/>
      <c r="IU551" s="36"/>
      <c r="IV551" s="36"/>
      <c r="IW551" s="36"/>
      <c r="IX551" s="36"/>
      <c r="IY551" s="36"/>
      <c r="IZ551" s="36"/>
      <c r="JA551" s="36"/>
      <c r="JB551" s="36"/>
      <c r="JC551" s="36"/>
      <c r="JD551" s="36"/>
      <c r="JE551" s="36"/>
      <c r="JF551" s="36"/>
      <c r="JG551" s="36"/>
      <c r="JH551" s="36"/>
      <c r="JI551" s="36"/>
      <c r="JJ551" s="36"/>
      <c r="JK551" s="36"/>
      <c r="JL551" s="36"/>
      <c r="JM551" s="36"/>
      <c r="JN551" s="36"/>
      <c r="JO551" s="36"/>
      <c r="JP551" s="36"/>
      <c r="JQ551" s="36"/>
      <c r="JR551" s="36"/>
      <c r="JS551" s="36"/>
      <c r="JT551" s="36"/>
      <c r="JU551" s="36"/>
      <c r="JV551" s="36"/>
      <c r="JW551" s="36"/>
      <c r="JX551" s="36"/>
      <c r="JY551" s="36"/>
      <c r="JZ551" s="36"/>
      <c r="KA551" s="36"/>
      <c r="KB551" s="36"/>
      <c r="KC551" s="36"/>
      <c r="KD551" s="36"/>
      <c r="KE551" s="36"/>
      <c r="KF551" s="36"/>
      <c r="KG551" s="36"/>
      <c r="KH551" s="36"/>
      <c r="KI551" s="36"/>
      <c r="KJ551" s="36"/>
      <c r="KK551" s="36"/>
      <c r="KL551" s="36"/>
      <c r="KM551" s="36"/>
      <c r="KN551" s="36"/>
      <c r="KO551" s="36"/>
      <c r="KP551" s="36"/>
      <c r="KQ551" s="36"/>
      <c r="KR551" s="36"/>
      <c r="KS551" s="36"/>
      <c r="KT551" s="36"/>
      <c r="KU551" s="36"/>
      <c r="KV551" s="36"/>
      <c r="KW551" s="36"/>
      <c r="KX551" s="36"/>
      <c r="KY551" s="36"/>
      <c r="KZ551" s="36"/>
      <c r="LA551" s="36"/>
      <c r="LB551" s="36"/>
      <c r="LC551" s="36"/>
      <c r="LD551" s="36"/>
      <c r="LE551" s="36"/>
      <c r="LF551" s="36"/>
      <c r="LG551" s="36"/>
      <c r="LH551" s="36"/>
      <c r="LI551" s="36"/>
      <c r="LJ551" s="36"/>
      <c r="LK551" s="36"/>
      <c r="LL551" s="36"/>
      <c r="LM551" s="36"/>
      <c r="LN551" s="36"/>
      <c r="LO551" s="36"/>
      <c r="LP551" s="36"/>
      <c r="LQ551" s="36"/>
      <c r="LR551" s="36"/>
      <c r="LS551" s="36"/>
      <c r="LT551" s="36"/>
      <c r="LU551" s="36"/>
      <c r="LV551" s="36"/>
      <c r="LW551" s="36"/>
      <c r="LX551" s="36"/>
      <c r="LY551" s="36"/>
      <c r="LZ551" s="36"/>
      <c r="MA551" s="36"/>
      <c r="MB551" s="36"/>
      <c r="MC551" s="36"/>
      <c r="MD551" s="36"/>
      <c r="ME551" s="36"/>
      <c r="MF551" s="36"/>
      <c r="MG551" s="36"/>
      <c r="MH551" s="36"/>
      <c r="MI551" s="36"/>
      <c r="MJ551" s="36"/>
      <c r="MK551" s="36"/>
      <c r="ML551" s="36"/>
      <c r="MM551" s="36"/>
      <c r="MN551" s="36"/>
      <c r="MO551" s="36"/>
      <c r="MP551" s="36"/>
      <c r="MQ551" s="36"/>
      <c r="MR551" s="36"/>
      <c r="MS551" s="36"/>
      <c r="MT551" s="36"/>
      <c r="MU551" s="36"/>
      <c r="MV551" s="36"/>
      <c r="MW551" s="36"/>
      <c r="MX551" s="36"/>
      <c r="MY551" s="36"/>
      <c r="MZ551" s="36"/>
      <c r="NA551" s="36"/>
      <c r="NB551" s="36"/>
      <c r="NC551" s="36"/>
      <c r="ND551" s="36"/>
      <c r="NE551" s="36"/>
      <c r="NF551" s="36"/>
      <c r="NG551" s="36"/>
      <c r="NH551" s="36"/>
      <c r="NI551" s="36"/>
      <c r="NJ551" s="36"/>
      <c r="NK551" s="36"/>
      <c r="NL551" s="36"/>
      <c r="NM551" s="36"/>
      <c r="NN551" s="36"/>
      <c r="NO551" s="36"/>
      <c r="NP551" s="36"/>
      <c r="NQ551" s="36"/>
      <c r="NR551" s="36"/>
      <c r="NS551" s="36"/>
      <c r="NT551" s="36"/>
      <c r="NU551" s="36"/>
      <c r="NV551" s="36"/>
      <c r="NW551" s="36"/>
      <c r="NX551" s="36"/>
      <c r="NY551" s="36"/>
      <c r="NZ551" s="36"/>
      <c r="OA551" s="36"/>
      <c r="OB551" s="36"/>
      <c r="OC551" s="36"/>
      <c r="OD551" s="36"/>
      <c r="OE551" s="36"/>
      <c r="OF551" s="36"/>
      <c r="OG551" s="36"/>
      <c r="OH551" s="36"/>
      <c r="OI551" s="36"/>
      <c r="OJ551" s="36"/>
      <c r="OK551" s="36"/>
      <c r="OL551" s="36"/>
      <c r="OM551" s="36"/>
      <c r="ON551" s="36"/>
      <c r="OO551" s="36"/>
      <c r="OP551" s="36"/>
      <c r="OQ551" s="36"/>
      <c r="OR551" s="36"/>
      <c r="OS551" s="36"/>
      <c r="OT551" s="36"/>
      <c r="OU551" s="36"/>
      <c r="OV551" s="36"/>
      <c r="OW551" s="36"/>
      <c r="OX551" s="36"/>
    </row>
    <row r="552" spans="2:414" s="27" customFormat="1" ht="15.6">
      <c r="B552" s="51" t="s">
        <v>1068</v>
      </c>
      <c r="C552" s="27" t="s">
        <v>1069</v>
      </c>
      <c r="D552" s="29" t="s">
        <v>201</v>
      </c>
      <c r="G552" s="49">
        <v>80</v>
      </c>
      <c r="H552" s="89">
        <v>26.109000000000002</v>
      </c>
      <c r="I552" s="38">
        <f t="shared" si="165"/>
        <v>2088.7200000000003</v>
      </c>
      <c r="K552" s="49">
        <v>80</v>
      </c>
      <c r="L552" s="90">
        <v>26.849599999999999</v>
      </c>
      <c r="M552" s="38">
        <f t="shared" si="166"/>
        <v>2147.9679999999998</v>
      </c>
      <c r="O552" s="49">
        <v>505</v>
      </c>
      <c r="P552" s="38">
        <v>26.728300000000001</v>
      </c>
      <c r="Q552" s="38">
        <f t="shared" si="167"/>
        <v>13497.791500000001</v>
      </c>
      <c r="R552" s="43">
        <f t="shared" si="164"/>
        <v>665</v>
      </c>
      <c r="S552" s="38">
        <f t="shared" si="168"/>
        <v>17734.479500000001</v>
      </c>
      <c r="T552" s="52">
        <v>240</v>
      </c>
      <c r="U552" s="52">
        <v>26.73</v>
      </c>
      <c r="V552" s="38">
        <f t="shared" si="176"/>
        <v>6415.2</v>
      </c>
      <c r="W552" s="52">
        <v>505</v>
      </c>
      <c r="X552" s="52">
        <v>26.7</v>
      </c>
      <c r="Y552" s="35">
        <f t="shared" si="174"/>
        <v>13483.5</v>
      </c>
      <c r="Z552" s="78"/>
      <c r="AB552" s="32">
        <f t="shared" si="175"/>
        <v>0</v>
      </c>
      <c r="AF552" s="42">
        <f t="shared" si="177"/>
        <v>0</v>
      </c>
      <c r="AU552" s="100"/>
      <c r="AV552" s="35"/>
      <c r="AW552" s="78"/>
      <c r="AZ552" s="42">
        <f t="shared" si="163"/>
        <v>0</v>
      </c>
      <c r="BD552" s="38">
        <f t="shared" si="169"/>
        <v>0</v>
      </c>
      <c r="BH552" s="38">
        <f t="shared" si="170"/>
        <v>0</v>
      </c>
      <c r="BL552" s="38">
        <f t="shared" si="171"/>
        <v>0</v>
      </c>
      <c r="BR552" s="42">
        <f t="shared" si="172"/>
        <v>19898.7</v>
      </c>
      <c r="BS552" s="43"/>
      <c r="BT552" s="27">
        <v>2164.2199999999998</v>
      </c>
      <c r="BU552" s="36"/>
      <c r="BV552" s="36"/>
      <c r="BW552" s="36"/>
      <c r="BX552" s="36"/>
      <c r="BY552" s="36"/>
      <c r="BZ552" s="36"/>
      <c r="CA552" s="36"/>
      <c r="CB552" s="36"/>
      <c r="CC552" s="36"/>
      <c r="CD552" s="36"/>
      <c r="CE552" s="36"/>
      <c r="CF552" s="36"/>
      <c r="CG552" s="36"/>
      <c r="CH552" s="36"/>
      <c r="CI552" s="36"/>
      <c r="CJ552" s="36"/>
      <c r="CK552" s="36"/>
      <c r="CL552" s="36"/>
      <c r="CM552" s="36"/>
      <c r="CN552" s="36"/>
      <c r="CO552" s="36"/>
      <c r="CP552" s="36"/>
      <c r="CQ552" s="36"/>
      <c r="CR552" s="36"/>
      <c r="CS552" s="36"/>
      <c r="CT552" s="36"/>
      <c r="CU552" s="36"/>
      <c r="CV552" s="36"/>
      <c r="CW552" s="36"/>
      <c r="CX552" s="36"/>
      <c r="CY552" s="36"/>
      <c r="CZ552" s="36"/>
      <c r="DA552" s="36"/>
      <c r="DB552" s="36"/>
      <c r="DC552" s="36"/>
      <c r="DD552" s="36"/>
      <c r="DE552" s="36"/>
      <c r="DF552" s="36"/>
      <c r="DG552" s="36"/>
      <c r="DH552" s="36"/>
      <c r="DI552" s="36"/>
      <c r="DJ552" s="36"/>
      <c r="DK552" s="36"/>
      <c r="DL552" s="36"/>
      <c r="DM552" s="36"/>
      <c r="DN552" s="36"/>
      <c r="DO552" s="36"/>
      <c r="DP552" s="36"/>
      <c r="DQ552" s="36"/>
      <c r="DR552" s="36"/>
      <c r="DS552" s="36"/>
      <c r="DT552" s="36"/>
      <c r="DU552" s="36"/>
      <c r="DV552" s="36"/>
      <c r="DW552" s="36"/>
      <c r="DX552" s="36"/>
      <c r="DY552" s="36"/>
      <c r="DZ552" s="36"/>
      <c r="EA552" s="36"/>
      <c r="EB552" s="36"/>
      <c r="EC552" s="36"/>
      <c r="ED552" s="36"/>
      <c r="EE552" s="36"/>
      <c r="EF552" s="36"/>
      <c r="EG552" s="36"/>
      <c r="EH552" s="36"/>
      <c r="EI552" s="36"/>
      <c r="EJ552" s="36"/>
      <c r="EK552" s="36"/>
      <c r="EL552" s="36"/>
      <c r="EM552" s="36"/>
      <c r="EN552" s="36"/>
      <c r="EO552" s="36"/>
      <c r="EP552" s="36"/>
      <c r="EQ552" s="36"/>
      <c r="ER552" s="36"/>
      <c r="ES552" s="36"/>
      <c r="ET552" s="36"/>
      <c r="EU552" s="36"/>
      <c r="EV552" s="36"/>
      <c r="EW552" s="36"/>
      <c r="EX552" s="36"/>
      <c r="EY552" s="36"/>
      <c r="EZ552" s="36"/>
      <c r="FA552" s="36"/>
      <c r="FB552" s="36"/>
      <c r="FC552" s="36"/>
      <c r="FD552" s="36"/>
      <c r="FE552" s="36"/>
      <c r="FF552" s="36"/>
      <c r="FG552" s="36"/>
      <c r="FH552" s="36"/>
      <c r="FI552" s="36"/>
      <c r="FJ552" s="36"/>
      <c r="FK552" s="36"/>
      <c r="FL552" s="36"/>
      <c r="FM552" s="36"/>
      <c r="FN552" s="36"/>
      <c r="FO552" s="36"/>
      <c r="FP552" s="36"/>
      <c r="FQ552" s="36"/>
      <c r="FR552" s="36"/>
      <c r="FS552" s="36"/>
      <c r="FT552" s="36"/>
      <c r="FU552" s="36"/>
      <c r="FV552" s="36"/>
      <c r="FW552" s="36"/>
      <c r="FX552" s="36"/>
      <c r="FY552" s="36"/>
      <c r="FZ552" s="36"/>
      <c r="GA552" s="36"/>
      <c r="GB552" s="36"/>
      <c r="GC552" s="36"/>
      <c r="GD552" s="36"/>
      <c r="GE552" s="36"/>
      <c r="GF552" s="36"/>
      <c r="GG552" s="36"/>
      <c r="GH552" s="36"/>
      <c r="GI552" s="36"/>
      <c r="GJ552" s="36"/>
      <c r="GK552" s="36"/>
      <c r="GL552" s="36"/>
      <c r="GM552" s="36"/>
      <c r="GN552" s="36"/>
      <c r="GO552" s="36"/>
      <c r="GP552" s="36"/>
      <c r="GQ552" s="36"/>
      <c r="GR552" s="36"/>
      <c r="GS552" s="36"/>
      <c r="GT552" s="36"/>
      <c r="GU552" s="36"/>
      <c r="GV552" s="36"/>
      <c r="GW552" s="36"/>
      <c r="GX552" s="36"/>
      <c r="GY552" s="36"/>
      <c r="GZ552" s="36"/>
      <c r="HA552" s="36"/>
      <c r="HB552" s="36"/>
      <c r="HC552" s="36"/>
      <c r="HD552" s="36"/>
      <c r="HE552" s="36"/>
      <c r="HF552" s="36"/>
      <c r="HG552" s="36"/>
      <c r="HH552" s="36"/>
      <c r="HI552" s="36"/>
      <c r="HJ552" s="36"/>
      <c r="HK552" s="36"/>
      <c r="HL552" s="36"/>
      <c r="HM552" s="36"/>
      <c r="HN552" s="36"/>
      <c r="HO552" s="36"/>
      <c r="HP552" s="36"/>
      <c r="HQ552" s="36"/>
      <c r="HR552" s="36"/>
      <c r="HS552" s="36"/>
      <c r="HT552" s="36"/>
      <c r="HU552" s="36"/>
      <c r="HV552" s="36"/>
      <c r="HW552" s="36"/>
      <c r="HX552" s="36"/>
      <c r="HY552" s="36"/>
      <c r="HZ552" s="36"/>
      <c r="IA552" s="36"/>
      <c r="IB552" s="36"/>
      <c r="IC552" s="36"/>
      <c r="ID552" s="36"/>
      <c r="IE552" s="36"/>
      <c r="IF552" s="36"/>
      <c r="IG552" s="36"/>
      <c r="IH552" s="36"/>
      <c r="II552" s="36"/>
      <c r="IJ552" s="36"/>
      <c r="IK552" s="36"/>
      <c r="IL552" s="36"/>
      <c r="IM552" s="36"/>
      <c r="IN552" s="36"/>
      <c r="IO552" s="36"/>
      <c r="IP552" s="36"/>
      <c r="IQ552" s="36"/>
      <c r="IR552" s="36"/>
      <c r="IS552" s="36"/>
      <c r="IT552" s="36"/>
      <c r="IU552" s="36"/>
      <c r="IV552" s="36"/>
      <c r="IW552" s="36"/>
      <c r="IX552" s="36"/>
      <c r="IY552" s="36"/>
      <c r="IZ552" s="36"/>
      <c r="JA552" s="36"/>
      <c r="JB552" s="36"/>
      <c r="JC552" s="36"/>
      <c r="JD552" s="36"/>
      <c r="JE552" s="36"/>
      <c r="JF552" s="36"/>
      <c r="JG552" s="36"/>
      <c r="JH552" s="36"/>
      <c r="JI552" s="36"/>
      <c r="JJ552" s="36"/>
      <c r="JK552" s="36"/>
      <c r="JL552" s="36"/>
      <c r="JM552" s="36"/>
      <c r="JN552" s="36"/>
      <c r="JO552" s="36"/>
      <c r="JP552" s="36"/>
      <c r="JQ552" s="36"/>
      <c r="JR552" s="36"/>
      <c r="JS552" s="36"/>
      <c r="JT552" s="36"/>
      <c r="JU552" s="36"/>
      <c r="JV552" s="36"/>
      <c r="JW552" s="36"/>
      <c r="JX552" s="36"/>
      <c r="JY552" s="36"/>
      <c r="JZ552" s="36"/>
      <c r="KA552" s="36"/>
      <c r="KB552" s="36"/>
      <c r="KC552" s="36"/>
      <c r="KD552" s="36"/>
      <c r="KE552" s="36"/>
      <c r="KF552" s="36"/>
      <c r="KG552" s="36"/>
      <c r="KH552" s="36"/>
      <c r="KI552" s="36"/>
      <c r="KJ552" s="36"/>
      <c r="KK552" s="36"/>
      <c r="KL552" s="36"/>
      <c r="KM552" s="36"/>
      <c r="KN552" s="36"/>
      <c r="KO552" s="36"/>
      <c r="KP552" s="36"/>
      <c r="KQ552" s="36"/>
      <c r="KR552" s="36"/>
      <c r="KS552" s="36"/>
      <c r="KT552" s="36"/>
      <c r="KU552" s="36"/>
      <c r="KV552" s="36"/>
      <c r="KW552" s="36"/>
      <c r="KX552" s="36"/>
      <c r="KY552" s="36"/>
      <c r="KZ552" s="36"/>
      <c r="LA552" s="36"/>
      <c r="LB552" s="36"/>
      <c r="LC552" s="36"/>
      <c r="LD552" s="36"/>
      <c r="LE552" s="36"/>
      <c r="LF552" s="36"/>
      <c r="LG552" s="36"/>
      <c r="LH552" s="36"/>
      <c r="LI552" s="36"/>
      <c r="LJ552" s="36"/>
      <c r="LK552" s="36"/>
      <c r="LL552" s="36"/>
      <c r="LM552" s="36"/>
      <c r="LN552" s="36"/>
      <c r="LO552" s="36"/>
      <c r="LP552" s="36"/>
      <c r="LQ552" s="36"/>
      <c r="LR552" s="36"/>
      <c r="LS552" s="36"/>
      <c r="LT552" s="36"/>
      <c r="LU552" s="36"/>
      <c r="LV552" s="36"/>
      <c r="LW552" s="36"/>
      <c r="LX552" s="36"/>
      <c r="LY552" s="36"/>
      <c r="LZ552" s="36"/>
      <c r="MA552" s="36"/>
      <c r="MB552" s="36"/>
      <c r="MC552" s="36"/>
      <c r="MD552" s="36"/>
      <c r="ME552" s="36"/>
      <c r="MF552" s="36"/>
      <c r="MG552" s="36"/>
      <c r="MH552" s="36"/>
      <c r="MI552" s="36"/>
      <c r="MJ552" s="36"/>
      <c r="MK552" s="36"/>
      <c r="ML552" s="36"/>
      <c r="MM552" s="36"/>
      <c r="MN552" s="36"/>
      <c r="MO552" s="36"/>
      <c r="MP552" s="36"/>
      <c r="MQ552" s="36"/>
      <c r="MR552" s="36"/>
      <c r="MS552" s="36"/>
      <c r="MT552" s="36"/>
      <c r="MU552" s="36"/>
      <c r="MV552" s="36"/>
      <c r="MW552" s="36"/>
      <c r="MX552" s="36"/>
      <c r="MY552" s="36"/>
      <c r="MZ552" s="36"/>
      <c r="NA552" s="36"/>
      <c r="NB552" s="36"/>
      <c r="NC552" s="36"/>
      <c r="ND552" s="36"/>
      <c r="NE552" s="36"/>
      <c r="NF552" s="36"/>
      <c r="NG552" s="36"/>
      <c r="NH552" s="36"/>
      <c r="NI552" s="36"/>
      <c r="NJ552" s="36"/>
      <c r="NK552" s="36"/>
      <c r="NL552" s="36"/>
      <c r="NM552" s="36"/>
      <c r="NN552" s="36"/>
      <c r="NO552" s="36"/>
      <c r="NP552" s="36"/>
      <c r="NQ552" s="36"/>
      <c r="NR552" s="36"/>
      <c r="NS552" s="36"/>
      <c r="NT552" s="36"/>
      <c r="NU552" s="36"/>
      <c r="NV552" s="36"/>
      <c r="NW552" s="36"/>
      <c r="NX552" s="36"/>
      <c r="NY552" s="36"/>
      <c r="NZ552" s="36"/>
      <c r="OA552" s="36"/>
      <c r="OB552" s="36"/>
      <c r="OC552" s="36"/>
      <c r="OD552" s="36"/>
      <c r="OE552" s="36"/>
      <c r="OF552" s="36"/>
      <c r="OG552" s="36"/>
      <c r="OH552" s="36"/>
      <c r="OI552" s="36"/>
      <c r="OJ552" s="36"/>
      <c r="OK552" s="36"/>
      <c r="OL552" s="36"/>
      <c r="OM552" s="36"/>
      <c r="ON552" s="36"/>
      <c r="OO552" s="36"/>
      <c r="OP552" s="36"/>
      <c r="OQ552" s="36"/>
      <c r="OR552" s="36"/>
      <c r="OS552" s="36"/>
      <c r="OT552" s="36"/>
      <c r="OU552" s="36"/>
      <c r="OV552" s="36"/>
      <c r="OW552" s="36"/>
      <c r="OX552" s="36"/>
    </row>
    <row r="553" spans="2:414" s="27" customFormat="1" ht="15.6">
      <c r="B553" s="51" t="s">
        <v>693</v>
      </c>
      <c r="C553" s="27" t="s">
        <v>146</v>
      </c>
      <c r="D553" s="29" t="s">
        <v>201</v>
      </c>
      <c r="G553" s="49">
        <v>80</v>
      </c>
      <c r="H553" s="89">
        <v>26.109000000000002</v>
      </c>
      <c r="I553" s="38">
        <f t="shared" si="165"/>
        <v>2088.7200000000003</v>
      </c>
      <c r="K553" s="49">
        <v>80</v>
      </c>
      <c r="L553" s="90">
        <v>26.849599999999999</v>
      </c>
      <c r="M553" s="38">
        <f t="shared" si="166"/>
        <v>2147.9679999999998</v>
      </c>
      <c r="O553" s="49">
        <v>505</v>
      </c>
      <c r="P553" s="38">
        <v>26.728300000000001</v>
      </c>
      <c r="Q553" s="38">
        <f t="shared" si="167"/>
        <v>13497.791500000001</v>
      </c>
      <c r="R553" s="43">
        <f t="shared" si="164"/>
        <v>665</v>
      </c>
      <c r="S553" s="38">
        <f t="shared" si="168"/>
        <v>17734.479500000001</v>
      </c>
      <c r="T553" s="27">
        <v>240</v>
      </c>
      <c r="U553" s="52">
        <v>26.819299999999998</v>
      </c>
      <c r="V553" s="38">
        <f t="shared" si="176"/>
        <v>6436.6319999999996</v>
      </c>
      <c r="W553" s="52">
        <v>505</v>
      </c>
      <c r="X553" s="52">
        <v>26.728300000000001</v>
      </c>
      <c r="Y553" s="35">
        <f t="shared" si="174"/>
        <v>13497.791500000001</v>
      </c>
      <c r="Z553" s="78"/>
      <c r="AB553" s="32">
        <f t="shared" si="175"/>
        <v>0</v>
      </c>
      <c r="AF553" s="42">
        <f t="shared" si="177"/>
        <v>0</v>
      </c>
      <c r="AU553" s="100"/>
      <c r="AV553" s="35"/>
      <c r="AW553" s="78"/>
      <c r="AZ553" s="42">
        <f t="shared" si="163"/>
        <v>0</v>
      </c>
      <c r="BD553" s="38">
        <f t="shared" si="169"/>
        <v>0</v>
      </c>
      <c r="BH553" s="38">
        <f t="shared" si="170"/>
        <v>0</v>
      </c>
      <c r="BL553" s="38">
        <f t="shared" si="171"/>
        <v>0</v>
      </c>
      <c r="BR553" s="42">
        <f t="shared" si="172"/>
        <v>19934.423500000001</v>
      </c>
      <c r="BS553" s="43"/>
      <c r="BT553" s="27">
        <v>2199.94</v>
      </c>
      <c r="BU553" s="36"/>
      <c r="BV553" s="36"/>
      <c r="BW553" s="36"/>
      <c r="BX553" s="36"/>
      <c r="BY553" s="36"/>
      <c r="BZ553" s="36"/>
      <c r="CA553" s="36"/>
      <c r="CB553" s="36"/>
      <c r="CC553" s="36"/>
      <c r="CD553" s="36"/>
      <c r="CE553" s="36"/>
      <c r="CF553" s="36"/>
      <c r="CG553" s="36"/>
      <c r="CH553" s="36"/>
      <c r="CI553" s="36"/>
      <c r="CJ553" s="36"/>
      <c r="CK553" s="36"/>
      <c r="CL553" s="36"/>
      <c r="CM553" s="36"/>
      <c r="CN553" s="36"/>
      <c r="CO553" s="36"/>
      <c r="CP553" s="36"/>
      <c r="CQ553" s="36"/>
      <c r="CR553" s="36"/>
      <c r="CS553" s="36"/>
      <c r="CT553" s="36"/>
      <c r="CU553" s="36"/>
      <c r="CV553" s="36"/>
      <c r="CW553" s="36"/>
      <c r="CX553" s="36"/>
      <c r="CY553" s="36"/>
      <c r="CZ553" s="36"/>
      <c r="DA553" s="36"/>
      <c r="DB553" s="36"/>
      <c r="DC553" s="36"/>
      <c r="DD553" s="36"/>
      <c r="DE553" s="36"/>
      <c r="DF553" s="36"/>
      <c r="DG553" s="36"/>
      <c r="DH553" s="36"/>
      <c r="DI553" s="36"/>
      <c r="DJ553" s="36"/>
      <c r="DK553" s="36"/>
      <c r="DL553" s="36"/>
      <c r="DM553" s="36"/>
      <c r="DN553" s="36"/>
      <c r="DO553" s="36"/>
      <c r="DP553" s="36"/>
      <c r="DQ553" s="36"/>
      <c r="DR553" s="36"/>
      <c r="DS553" s="36"/>
      <c r="DT553" s="36"/>
      <c r="DU553" s="36"/>
      <c r="DV553" s="36"/>
      <c r="DW553" s="36"/>
      <c r="DX553" s="36"/>
      <c r="DY553" s="36"/>
      <c r="DZ553" s="36"/>
      <c r="EA553" s="36"/>
      <c r="EB553" s="36"/>
      <c r="EC553" s="36"/>
      <c r="ED553" s="36"/>
      <c r="EE553" s="36"/>
      <c r="EF553" s="36"/>
      <c r="EG553" s="36"/>
      <c r="EH553" s="36"/>
      <c r="EI553" s="36"/>
      <c r="EJ553" s="36"/>
      <c r="EK553" s="36"/>
      <c r="EL553" s="36"/>
      <c r="EM553" s="36"/>
      <c r="EN553" s="36"/>
      <c r="EO553" s="36"/>
      <c r="EP553" s="36"/>
      <c r="EQ553" s="36"/>
      <c r="ER553" s="36"/>
      <c r="ES553" s="36"/>
      <c r="ET553" s="36"/>
      <c r="EU553" s="36"/>
      <c r="EV553" s="36"/>
      <c r="EW553" s="36"/>
      <c r="EX553" s="36"/>
      <c r="EY553" s="36"/>
      <c r="EZ553" s="36"/>
      <c r="FA553" s="36"/>
      <c r="FB553" s="36"/>
      <c r="FC553" s="36"/>
      <c r="FD553" s="36"/>
      <c r="FE553" s="36"/>
      <c r="FF553" s="36"/>
      <c r="FG553" s="36"/>
      <c r="FH553" s="36"/>
      <c r="FI553" s="36"/>
      <c r="FJ553" s="36"/>
      <c r="FK553" s="36"/>
      <c r="FL553" s="36"/>
      <c r="FM553" s="36"/>
      <c r="FN553" s="36"/>
      <c r="FO553" s="36"/>
      <c r="FP553" s="36"/>
      <c r="FQ553" s="36"/>
      <c r="FR553" s="36"/>
      <c r="FS553" s="36"/>
      <c r="FT553" s="36"/>
      <c r="FU553" s="36"/>
      <c r="FV553" s="36"/>
      <c r="FW553" s="36"/>
      <c r="FX553" s="36"/>
      <c r="FY553" s="36"/>
      <c r="FZ553" s="36"/>
      <c r="GA553" s="36"/>
      <c r="GB553" s="36"/>
      <c r="GC553" s="36"/>
      <c r="GD553" s="36"/>
      <c r="GE553" s="36"/>
      <c r="GF553" s="36"/>
      <c r="GG553" s="36"/>
      <c r="GH553" s="36"/>
      <c r="GI553" s="36"/>
      <c r="GJ553" s="36"/>
      <c r="GK553" s="36"/>
      <c r="GL553" s="36"/>
      <c r="GM553" s="36"/>
      <c r="GN553" s="36"/>
      <c r="GO553" s="36"/>
      <c r="GP553" s="36"/>
      <c r="GQ553" s="36"/>
      <c r="GR553" s="36"/>
      <c r="GS553" s="36"/>
      <c r="GT553" s="36"/>
      <c r="GU553" s="36"/>
      <c r="GV553" s="36"/>
      <c r="GW553" s="36"/>
      <c r="GX553" s="36"/>
      <c r="GY553" s="36"/>
      <c r="GZ553" s="36"/>
      <c r="HA553" s="36"/>
      <c r="HB553" s="36"/>
      <c r="HC553" s="36"/>
      <c r="HD553" s="36"/>
      <c r="HE553" s="36"/>
      <c r="HF553" s="36"/>
      <c r="HG553" s="36"/>
      <c r="HH553" s="36"/>
      <c r="HI553" s="36"/>
      <c r="HJ553" s="36"/>
      <c r="HK553" s="36"/>
      <c r="HL553" s="36"/>
      <c r="HM553" s="36"/>
      <c r="HN553" s="36"/>
      <c r="HO553" s="36"/>
      <c r="HP553" s="36"/>
      <c r="HQ553" s="36"/>
      <c r="HR553" s="36"/>
      <c r="HS553" s="36"/>
      <c r="HT553" s="36"/>
      <c r="HU553" s="36"/>
      <c r="HV553" s="36"/>
      <c r="HW553" s="36"/>
      <c r="HX553" s="36"/>
      <c r="HY553" s="36"/>
      <c r="HZ553" s="36"/>
      <c r="IA553" s="36"/>
      <c r="IB553" s="36"/>
      <c r="IC553" s="36"/>
      <c r="ID553" s="36"/>
      <c r="IE553" s="36"/>
      <c r="IF553" s="36"/>
      <c r="IG553" s="36"/>
      <c r="IH553" s="36"/>
      <c r="II553" s="36"/>
      <c r="IJ553" s="36"/>
      <c r="IK553" s="36"/>
      <c r="IL553" s="36"/>
      <c r="IM553" s="36"/>
      <c r="IN553" s="36"/>
      <c r="IO553" s="36"/>
      <c r="IP553" s="36"/>
      <c r="IQ553" s="36"/>
      <c r="IR553" s="36"/>
      <c r="IS553" s="36"/>
      <c r="IT553" s="36"/>
      <c r="IU553" s="36"/>
      <c r="IV553" s="36"/>
      <c r="IW553" s="36"/>
      <c r="IX553" s="36"/>
      <c r="IY553" s="36"/>
      <c r="IZ553" s="36"/>
      <c r="JA553" s="36"/>
      <c r="JB553" s="36"/>
      <c r="JC553" s="36"/>
      <c r="JD553" s="36"/>
      <c r="JE553" s="36"/>
      <c r="JF553" s="36"/>
      <c r="JG553" s="36"/>
      <c r="JH553" s="36"/>
      <c r="JI553" s="36"/>
      <c r="JJ553" s="36"/>
      <c r="JK553" s="36"/>
      <c r="JL553" s="36"/>
      <c r="JM553" s="36"/>
      <c r="JN553" s="36"/>
      <c r="JO553" s="36"/>
      <c r="JP553" s="36"/>
      <c r="JQ553" s="36"/>
      <c r="JR553" s="36"/>
      <c r="JS553" s="36"/>
      <c r="JT553" s="36"/>
      <c r="JU553" s="36"/>
      <c r="JV553" s="36"/>
      <c r="JW553" s="36"/>
      <c r="JX553" s="36"/>
      <c r="JY553" s="36"/>
      <c r="JZ553" s="36"/>
      <c r="KA553" s="36"/>
      <c r="KB553" s="36"/>
      <c r="KC553" s="36"/>
      <c r="KD553" s="36"/>
      <c r="KE553" s="36"/>
      <c r="KF553" s="36"/>
      <c r="KG553" s="36"/>
      <c r="KH553" s="36"/>
      <c r="KI553" s="36"/>
      <c r="KJ553" s="36"/>
      <c r="KK553" s="36"/>
      <c r="KL553" s="36"/>
      <c r="KM553" s="36"/>
      <c r="KN553" s="36"/>
      <c r="KO553" s="36"/>
      <c r="KP553" s="36"/>
      <c r="KQ553" s="36"/>
      <c r="KR553" s="36"/>
      <c r="KS553" s="36"/>
      <c r="KT553" s="36"/>
      <c r="KU553" s="36"/>
      <c r="KV553" s="36"/>
      <c r="KW553" s="36"/>
      <c r="KX553" s="36"/>
      <c r="KY553" s="36"/>
      <c r="KZ553" s="36"/>
      <c r="LA553" s="36"/>
      <c r="LB553" s="36"/>
      <c r="LC553" s="36"/>
      <c r="LD553" s="36"/>
      <c r="LE553" s="36"/>
      <c r="LF553" s="36"/>
      <c r="LG553" s="36"/>
      <c r="LH553" s="36"/>
      <c r="LI553" s="36"/>
      <c r="LJ553" s="36"/>
      <c r="LK553" s="36"/>
      <c r="LL553" s="36"/>
      <c r="LM553" s="36"/>
      <c r="LN553" s="36"/>
      <c r="LO553" s="36"/>
      <c r="LP553" s="36"/>
      <c r="LQ553" s="36"/>
      <c r="LR553" s="36"/>
      <c r="LS553" s="36"/>
      <c r="LT553" s="36"/>
      <c r="LU553" s="36"/>
      <c r="LV553" s="36"/>
      <c r="LW553" s="36"/>
      <c r="LX553" s="36"/>
      <c r="LY553" s="36"/>
      <c r="LZ553" s="36"/>
      <c r="MA553" s="36"/>
      <c r="MB553" s="36"/>
      <c r="MC553" s="36"/>
      <c r="MD553" s="36"/>
      <c r="ME553" s="36"/>
      <c r="MF553" s="36"/>
      <c r="MG553" s="36"/>
      <c r="MH553" s="36"/>
      <c r="MI553" s="36"/>
      <c r="MJ553" s="36"/>
      <c r="MK553" s="36"/>
      <c r="ML553" s="36"/>
      <c r="MM553" s="36"/>
      <c r="MN553" s="36"/>
      <c r="MO553" s="36"/>
      <c r="MP553" s="36"/>
      <c r="MQ553" s="36"/>
      <c r="MR553" s="36"/>
      <c r="MS553" s="36"/>
      <c r="MT553" s="36"/>
      <c r="MU553" s="36"/>
      <c r="MV553" s="36"/>
      <c r="MW553" s="36"/>
      <c r="MX553" s="36"/>
      <c r="MY553" s="36"/>
      <c r="MZ553" s="36"/>
      <c r="NA553" s="36"/>
      <c r="NB553" s="36"/>
      <c r="NC553" s="36"/>
      <c r="ND553" s="36"/>
      <c r="NE553" s="36"/>
      <c r="NF553" s="36"/>
      <c r="NG553" s="36"/>
      <c r="NH553" s="36"/>
      <c r="NI553" s="36"/>
      <c r="NJ553" s="36"/>
      <c r="NK553" s="36"/>
      <c r="NL553" s="36"/>
      <c r="NM553" s="36"/>
      <c r="NN553" s="36"/>
      <c r="NO553" s="36"/>
      <c r="NP553" s="36"/>
      <c r="NQ553" s="36"/>
      <c r="NR553" s="36"/>
      <c r="NS553" s="36"/>
      <c r="NT553" s="36"/>
      <c r="NU553" s="36"/>
      <c r="NV553" s="36"/>
      <c r="NW553" s="36"/>
      <c r="NX553" s="36"/>
      <c r="NY553" s="36"/>
      <c r="NZ553" s="36"/>
      <c r="OA553" s="36"/>
      <c r="OB553" s="36"/>
      <c r="OC553" s="36"/>
      <c r="OD553" s="36"/>
      <c r="OE553" s="36"/>
      <c r="OF553" s="36"/>
      <c r="OG553" s="36"/>
      <c r="OH553" s="36"/>
      <c r="OI553" s="36"/>
      <c r="OJ553" s="36"/>
      <c r="OK553" s="36"/>
      <c r="OL553" s="36"/>
      <c r="OM553" s="36"/>
      <c r="ON553" s="36"/>
      <c r="OO553" s="36"/>
      <c r="OP553" s="36"/>
      <c r="OQ553" s="36"/>
      <c r="OR553" s="36"/>
      <c r="OS553" s="36"/>
      <c r="OT553" s="36"/>
      <c r="OU553" s="36"/>
      <c r="OV553" s="36"/>
      <c r="OW553" s="36"/>
      <c r="OX553" s="36"/>
    </row>
    <row r="554" spans="2:414" s="27" customFormat="1" ht="15.6">
      <c r="B554" s="51" t="s">
        <v>718</v>
      </c>
      <c r="C554" s="27" t="s">
        <v>717</v>
      </c>
      <c r="D554" s="29" t="s">
        <v>201</v>
      </c>
      <c r="G554" s="49">
        <v>80</v>
      </c>
      <c r="H554" s="89">
        <v>26.109000000000002</v>
      </c>
      <c r="I554" s="38">
        <f t="shared" si="165"/>
        <v>2088.7200000000003</v>
      </c>
      <c r="K554" s="49">
        <v>80</v>
      </c>
      <c r="L554" s="90">
        <v>26.849599999999999</v>
      </c>
      <c r="M554" s="38">
        <f t="shared" si="166"/>
        <v>2147.9679999999998</v>
      </c>
      <c r="O554" s="49">
        <v>505</v>
      </c>
      <c r="P554" s="38">
        <v>26.728300000000001</v>
      </c>
      <c r="Q554" s="38">
        <f t="shared" si="167"/>
        <v>13497.791500000001</v>
      </c>
      <c r="R554" s="43">
        <f t="shared" si="164"/>
        <v>665</v>
      </c>
      <c r="S554" s="38">
        <f t="shared" si="168"/>
        <v>17734.479500000001</v>
      </c>
      <c r="T554" s="52">
        <v>80</v>
      </c>
      <c r="U554" s="52">
        <v>26.950700000000001</v>
      </c>
      <c r="V554" s="38">
        <f t="shared" si="176"/>
        <v>2156.056</v>
      </c>
      <c r="W554" s="52">
        <v>505</v>
      </c>
      <c r="X554" s="52">
        <v>26.766200000000001</v>
      </c>
      <c r="Y554" s="35">
        <f t="shared" si="174"/>
        <v>13516.931</v>
      </c>
      <c r="Z554" s="78"/>
      <c r="AB554" s="32">
        <f t="shared" si="175"/>
        <v>0</v>
      </c>
      <c r="AF554" s="42">
        <f t="shared" si="177"/>
        <v>0</v>
      </c>
      <c r="AU554" s="100"/>
      <c r="AV554" s="35"/>
      <c r="AW554" s="78"/>
      <c r="AZ554" s="42">
        <f t="shared" si="163"/>
        <v>0</v>
      </c>
      <c r="BD554" s="38">
        <f t="shared" si="169"/>
        <v>0</v>
      </c>
      <c r="BH554" s="38">
        <f t="shared" si="170"/>
        <v>0</v>
      </c>
      <c r="BL554" s="38">
        <f t="shared" si="171"/>
        <v>0</v>
      </c>
      <c r="BR554" s="42">
        <f t="shared" si="172"/>
        <v>15672.987000000001</v>
      </c>
      <c r="BS554" s="43">
        <f t="shared" si="173"/>
        <v>2061.4925000000003</v>
      </c>
      <c r="BU554" s="36"/>
      <c r="BV554" s="36"/>
      <c r="BW554" s="36"/>
      <c r="BX554" s="36"/>
      <c r="BY554" s="36"/>
      <c r="BZ554" s="36"/>
      <c r="CA554" s="36"/>
      <c r="CB554" s="36"/>
      <c r="CC554" s="36"/>
      <c r="CD554" s="36"/>
      <c r="CE554" s="36"/>
      <c r="CF554" s="36"/>
      <c r="CG554" s="36"/>
      <c r="CH554" s="36"/>
      <c r="CI554" s="36"/>
      <c r="CJ554" s="36"/>
      <c r="CK554" s="36"/>
      <c r="CL554" s="36"/>
      <c r="CM554" s="36"/>
      <c r="CN554" s="36"/>
      <c r="CO554" s="36"/>
      <c r="CP554" s="36"/>
      <c r="CQ554" s="36"/>
      <c r="CR554" s="36"/>
      <c r="CS554" s="36"/>
      <c r="CT554" s="36"/>
      <c r="CU554" s="36"/>
      <c r="CV554" s="36"/>
      <c r="CW554" s="36"/>
      <c r="CX554" s="36"/>
      <c r="CY554" s="36"/>
      <c r="CZ554" s="36"/>
      <c r="DA554" s="36"/>
      <c r="DB554" s="36"/>
      <c r="DC554" s="36"/>
      <c r="DD554" s="36"/>
      <c r="DE554" s="36"/>
      <c r="DF554" s="36"/>
      <c r="DG554" s="36"/>
      <c r="DH554" s="36"/>
      <c r="DI554" s="36"/>
      <c r="DJ554" s="36"/>
      <c r="DK554" s="36"/>
      <c r="DL554" s="36"/>
      <c r="DM554" s="36"/>
      <c r="DN554" s="36"/>
      <c r="DO554" s="36"/>
      <c r="DP554" s="36"/>
      <c r="DQ554" s="36"/>
      <c r="DR554" s="36"/>
      <c r="DS554" s="36"/>
      <c r="DT554" s="36"/>
      <c r="DU554" s="36"/>
      <c r="DV554" s="36"/>
      <c r="DW554" s="36"/>
      <c r="DX554" s="36"/>
      <c r="DY554" s="36"/>
      <c r="DZ554" s="36"/>
      <c r="EA554" s="36"/>
      <c r="EB554" s="36"/>
      <c r="EC554" s="36"/>
      <c r="ED554" s="36"/>
      <c r="EE554" s="36"/>
      <c r="EF554" s="36"/>
      <c r="EG554" s="36"/>
      <c r="EH554" s="36"/>
      <c r="EI554" s="36"/>
      <c r="EJ554" s="36"/>
      <c r="EK554" s="36"/>
      <c r="EL554" s="36"/>
      <c r="EM554" s="36"/>
      <c r="EN554" s="36"/>
      <c r="EO554" s="36"/>
      <c r="EP554" s="36"/>
      <c r="EQ554" s="36"/>
      <c r="ER554" s="36"/>
      <c r="ES554" s="36"/>
      <c r="ET554" s="36"/>
      <c r="EU554" s="36"/>
      <c r="EV554" s="36"/>
      <c r="EW554" s="36"/>
      <c r="EX554" s="36"/>
      <c r="EY554" s="36"/>
      <c r="EZ554" s="36"/>
      <c r="FA554" s="36"/>
      <c r="FB554" s="36"/>
      <c r="FC554" s="36"/>
      <c r="FD554" s="36"/>
      <c r="FE554" s="36"/>
      <c r="FF554" s="36"/>
      <c r="FG554" s="36"/>
      <c r="FH554" s="36"/>
      <c r="FI554" s="36"/>
      <c r="FJ554" s="36"/>
      <c r="FK554" s="36"/>
      <c r="FL554" s="36"/>
      <c r="FM554" s="36"/>
      <c r="FN554" s="36"/>
      <c r="FO554" s="36"/>
      <c r="FP554" s="36"/>
      <c r="FQ554" s="36"/>
      <c r="FR554" s="36"/>
      <c r="FS554" s="36"/>
      <c r="FT554" s="36"/>
      <c r="FU554" s="36"/>
      <c r="FV554" s="36"/>
      <c r="FW554" s="36"/>
      <c r="FX554" s="36"/>
      <c r="FY554" s="36"/>
      <c r="FZ554" s="36"/>
      <c r="GA554" s="36"/>
      <c r="GB554" s="36"/>
      <c r="GC554" s="36"/>
      <c r="GD554" s="36"/>
      <c r="GE554" s="36"/>
      <c r="GF554" s="36"/>
      <c r="GG554" s="36"/>
      <c r="GH554" s="36"/>
      <c r="GI554" s="36"/>
      <c r="GJ554" s="36"/>
      <c r="GK554" s="36"/>
      <c r="GL554" s="36"/>
      <c r="GM554" s="36"/>
      <c r="GN554" s="36"/>
      <c r="GO554" s="36"/>
      <c r="GP554" s="36"/>
      <c r="GQ554" s="36"/>
      <c r="GR554" s="36"/>
      <c r="GS554" s="36"/>
      <c r="GT554" s="36"/>
      <c r="GU554" s="36"/>
      <c r="GV554" s="36"/>
      <c r="GW554" s="36"/>
      <c r="GX554" s="36"/>
      <c r="GY554" s="36"/>
      <c r="GZ554" s="36"/>
      <c r="HA554" s="36"/>
      <c r="HB554" s="36"/>
      <c r="HC554" s="36"/>
      <c r="HD554" s="36"/>
      <c r="HE554" s="36"/>
      <c r="HF554" s="36"/>
      <c r="HG554" s="36"/>
      <c r="HH554" s="36"/>
      <c r="HI554" s="36"/>
      <c r="HJ554" s="36"/>
      <c r="HK554" s="36"/>
      <c r="HL554" s="36"/>
      <c r="HM554" s="36"/>
      <c r="HN554" s="36"/>
      <c r="HO554" s="36"/>
      <c r="HP554" s="36"/>
      <c r="HQ554" s="36"/>
      <c r="HR554" s="36"/>
      <c r="HS554" s="36"/>
      <c r="HT554" s="36"/>
      <c r="HU554" s="36"/>
      <c r="HV554" s="36"/>
      <c r="HW554" s="36"/>
      <c r="HX554" s="36"/>
      <c r="HY554" s="36"/>
      <c r="HZ554" s="36"/>
      <c r="IA554" s="36"/>
      <c r="IB554" s="36"/>
      <c r="IC554" s="36"/>
      <c r="ID554" s="36"/>
      <c r="IE554" s="36"/>
      <c r="IF554" s="36"/>
      <c r="IG554" s="36"/>
      <c r="IH554" s="36"/>
      <c r="II554" s="36"/>
      <c r="IJ554" s="36"/>
      <c r="IK554" s="36"/>
      <c r="IL554" s="36"/>
      <c r="IM554" s="36"/>
      <c r="IN554" s="36"/>
      <c r="IO554" s="36"/>
      <c r="IP554" s="36"/>
      <c r="IQ554" s="36"/>
      <c r="IR554" s="36"/>
      <c r="IS554" s="36"/>
      <c r="IT554" s="36"/>
      <c r="IU554" s="36"/>
      <c r="IV554" s="36"/>
      <c r="IW554" s="36"/>
      <c r="IX554" s="36"/>
      <c r="IY554" s="36"/>
      <c r="IZ554" s="36"/>
      <c r="JA554" s="36"/>
      <c r="JB554" s="36"/>
      <c r="JC554" s="36"/>
      <c r="JD554" s="36"/>
      <c r="JE554" s="36"/>
      <c r="JF554" s="36"/>
      <c r="JG554" s="36"/>
      <c r="JH554" s="36"/>
      <c r="JI554" s="36"/>
      <c r="JJ554" s="36"/>
      <c r="JK554" s="36"/>
      <c r="JL554" s="36"/>
      <c r="JM554" s="36"/>
      <c r="JN554" s="36"/>
      <c r="JO554" s="36"/>
      <c r="JP554" s="36"/>
      <c r="JQ554" s="36"/>
      <c r="JR554" s="36"/>
      <c r="JS554" s="36"/>
      <c r="JT554" s="36"/>
      <c r="JU554" s="36"/>
      <c r="JV554" s="36"/>
      <c r="JW554" s="36"/>
      <c r="JX554" s="36"/>
      <c r="JY554" s="36"/>
      <c r="JZ554" s="36"/>
      <c r="KA554" s="36"/>
      <c r="KB554" s="36"/>
      <c r="KC554" s="36"/>
      <c r="KD554" s="36"/>
      <c r="KE554" s="36"/>
      <c r="KF554" s="36"/>
      <c r="KG554" s="36"/>
      <c r="KH554" s="36"/>
      <c r="KI554" s="36"/>
      <c r="KJ554" s="36"/>
      <c r="KK554" s="36"/>
      <c r="KL554" s="36"/>
      <c r="KM554" s="36"/>
      <c r="KN554" s="36"/>
      <c r="KO554" s="36"/>
      <c r="KP554" s="36"/>
      <c r="KQ554" s="36"/>
      <c r="KR554" s="36"/>
      <c r="KS554" s="36"/>
      <c r="KT554" s="36"/>
      <c r="KU554" s="36"/>
      <c r="KV554" s="36"/>
      <c r="KW554" s="36"/>
      <c r="KX554" s="36"/>
      <c r="KY554" s="36"/>
      <c r="KZ554" s="36"/>
      <c r="LA554" s="36"/>
      <c r="LB554" s="36"/>
      <c r="LC554" s="36"/>
      <c r="LD554" s="36"/>
      <c r="LE554" s="36"/>
      <c r="LF554" s="36"/>
      <c r="LG554" s="36"/>
      <c r="LH554" s="36"/>
      <c r="LI554" s="36"/>
      <c r="LJ554" s="36"/>
      <c r="LK554" s="36"/>
      <c r="LL554" s="36"/>
      <c r="LM554" s="36"/>
      <c r="LN554" s="36"/>
      <c r="LO554" s="36"/>
      <c r="LP554" s="36"/>
      <c r="LQ554" s="36"/>
      <c r="LR554" s="36"/>
      <c r="LS554" s="36"/>
      <c r="LT554" s="36"/>
      <c r="LU554" s="36"/>
      <c r="LV554" s="36"/>
      <c r="LW554" s="36"/>
      <c r="LX554" s="36"/>
      <c r="LY554" s="36"/>
      <c r="LZ554" s="36"/>
      <c r="MA554" s="36"/>
      <c r="MB554" s="36"/>
      <c r="MC554" s="36"/>
      <c r="MD554" s="36"/>
      <c r="ME554" s="36"/>
      <c r="MF554" s="36"/>
      <c r="MG554" s="36"/>
      <c r="MH554" s="36"/>
      <c r="MI554" s="36"/>
      <c r="MJ554" s="36"/>
      <c r="MK554" s="36"/>
      <c r="ML554" s="36"/>
      <c r="MM554" s="36"/>
      <c r="MN554" s="36"/>
      <c r="MO554" s="36"/>
      <c r="MP554" s="36"/>
      <c r="MQ554" s="36"/>
      <c r="MR554" s="36"/>
      <c r="MS554" s="36"/>
      <c r="MT554" s="36"/>
      <c r="MU554" s="36"/>
      <c r="MV554" s="36"/>
      <c r="MW554" s="36"/>
      <c r="MX554" s="36"/>
      <c r="MY554" s="36"/>
      <c r="MZ554" s="36"/>
      <c r="NA554" s="36"/>
      <c r="NB554" s="36"/>
      <c r="NC554" s="36"/>
      <c r="ND554" s="36"/>
      <c r="NE554" s="36"/>
      <c r="NF554" s="36"/>
      <c r="NG554" s="36"/>
      <c r="NH554" s="36"/>
      <c r="NI554" s="36"/>
      <c r="NJ554" s="36"/>
      <c r="NK554" s="36"/>
      <c r="NL554" s="36"/>
      <c r="NM554" s="36"/>
      <c r="NN554" s="36"/>
      <c r="NO554" s="36"/>
      <c r="NP554" s="36"/>
      <c r="NQ554" s="36"/>
      <c r="NR554" s="36"/>
      <c r="NS554" s="36"/>
      <c r="NT554" s="36"/>
      <c r="NU554" s="36"/>
      <c r="NV554" s="36"/>
      <c r="NW554" s="36"/>
      <c r="NX554" s="36"/>
      <c r="NY554" s="36"/>
      <c r="NZ554" s="36"/>
      <c r="OA554" s="36"/>
      <c r="OB554" s="36"/>
      <c r="OC554" s="36"/>
      <c r="OD554" s="36"/>
      <c r="OE554" s="36"/>
      <c r="OF554" s="36"/>
      <c r="OG554" s="36"/>
      <c r="OH554" s="36"/>
      <c r="OI554" s="36"/>
      <c r="OJ554" s="36"/>
      <c r="OK554" s="36"/>
      <c r="OL554" s="36"/>
      <c r="OM554" s="36"/>
      <c r="ON554" s="36"/>
      <c r="OO554" s="36"/>
      <c r="OP554" s="36"/>
      <c r="OQ554" s="36"/>
      <c r="OR554" s="36"/>
      <c r="OS554" s="36"/>
      <c r="OT554" s="36"/>
      <c r="OU554" s="36"/>
      <c r="OV554" s="36"/>
      <c r="OW554" s="36"/>
      <c r="OX554" s="36"/>
    </row>
    <row r="555" spans="2:414" s="27" customFormat="1" ht="15.6">
      <c r="B555" s="51" t="s">
        <v>1070</v>
      </c>
      <c r="C555" s="27" t="s">
        <v>751</v>
      </c>
      <c r="D555" s="29" t="s">
        <v>201</v>
      </c>
      <c r="G555" s="49">
        <v>80</v>
      </c>
      <c r="H555" s="89">
        <v>26.109000000000002</v>
      </c>
      <c r="I555" s="38">
        <f t="shared" si="165"/>
        <v>2088.7200000000003</v>
      </c>
      <c r="K555" s="49">
        <v>80</v>
      </c>
      <c r="L555" s="90">
        <v>26.849599999999999</v>
      </c>
      <c r="M555" s="38">
        <f t="shared" si="166"/>
        <v>2147.9679999999998</v>
      </c>
      <c r="O555" s="49">
        <v>505</v>
      </c>
      <c r="P555" s="38">
        <v>26.728300000000001</v>
      </c>
      <c r="Q555" s="38">
        <f t="shared" si="167"/>
        <v>13497.791500000001</v>
      </c>
      <c r="R555" s="43">
        <f t="shared" si="164"/>
        <v>665</v>
      </c>
      <c r="S555" s="38">
        <f t="shared" si="168"/>
        <v>17734.479500000001</v>
      </c>
      <c r="T555" s="27">
        <v>240</v>
      </c>
      <c r="U555" s="52">
        <v>26.789400000000001</v>
      </c>
      <c r="V555" s="38">
        <f t="shared" si="176"/>
        <v>6429.4560000000001</v>
      </c>
      <c r="W555" s="52">
        <v>505</v>
      </c>
      <c r="X555" s="52">
        <v>26.677399999999999</v>
      </c>
      <c r="Y555" s="35">
        <f t="shared" si="174"/>
        <v>13472.087</v>
      </c>
      <c r="Z555" s="78"/>
      <c r="AB555" s="32">
        <f t="shared" si="175"/>
        <v>0</v>
      </c>
      <c r="AF555" s="42">
        <f t="shared" si="177"/>
        <v>0</v>
      </c>
      <c r="AU555" s="100"/>
      <c r="AV555" s="35"/>
      <c r="AW555" s="78"/>
      <c r="AZ555" s="42">
        <f t="shared" si="163"/>
        <v>0</v>
      </c>
      <c r="BD555" s="38">
        <f t="shared" si="169"/>
        <v>0</v>
      </c>
      <c r="BH555" s="38">
        <f t="shared" si="170"/>
        <v>0</v>
      </c>
      <c r="BL555" s="38">
        <f t="shared" si="171"/>
        <v>0</v>
      </c>
      <c r="BR555" s="42">
        <f t="shared" si="172"/>
        <v>19901.542999999998</v>
      </c>
      <c r="BS555" s="43"/>
      <c r="BT555" s="27">
        <v>2167.06</v>
      </c>
      <c r="BU555" s="36"/>
      <c r="BV555" s="36"/>
      <c r="BW555" s="36"/>
      <c r="BX555" s="36"/>
      <c r="BY555" s="36"/>
      <c r="BZ555" s="36"/>
      <c r="CA555" s="36"/>
      <c r="CB555" s="36"/>
      <c r="CC555" s="36"/>
      <c r="CD555" s="36"/>
      <c r="CE555" s="36"/>
      <c r="CF555" s="36"/>
      <c r="CG555" s="36"/>
      <c r="CH555" s="36"/>
      <c r="CI555" s="36"/>
      <c r="CJ555" s="36"/>
      <c r="CK555" s="36"/>
      <c r="CL555" s="36"/>
      <c r="CM555" s="36"/>
      <c r="CN555" s="36"/>
      <c r="CO555" s="36"/>
      <c r="CP555" s="36"/>
      <c r="CQ555" s="36"/>
      <c r="CR555" s="36"/>
      <c r="CS555" s="36"/>
      <c r="CT555" s="36"/>
      <c r="CU555" s="36"/>
      <c r="CV555" s="36"/>
      <c r="CW555" s="36"/>
      <c r="CX555" s="36"/>
      <c r="CY555" s="36"/>
      <c r="CZ555" s="36"/>
      <c r="DA555" s="36"/>
      <c r="DB555" s="36"/>
      <c r="DC555" s="36"/>
      <c r="DD555" s="36"/>
      <c r="DE555" s="36"/>
      <c r="DF555" s="36"/>
      <c r="DG555" s="36"/>
      <c r="DH555" s="36"/>
      <c r="DI555" s="36"/>
      <c r="DJ555" s="36"/>
      <c r="DK555" s="36"/>
      <c r="DL555" s="36"/>
      <c r="DM555" s="36"/>
      <c r="DN555" s="36"/>
      <c r="DO555" s="36"/>
      <c r="DP555" s="36"/>
      <c r="DQ555" s="36"/>
      <c r="DR555" s="36"/>
      <c r="DS555" s="36"/>
      <c r="DT555" s="36"/>
      <c r="DU555" s="36"/>
      <c r="DV555" s="36"/>
      <c r="DW555" s="36"/>
      <c r="DX555" s="36"/>
      <c r="DY555" s="36"/>
      <c r="DZ555" s="36"/>
      <c r="EA555" s="36"/>
      <c r="EB555" s="36"/>
      <c r="EC555" s="36"/>
      <c r="ED555" s="36"/>
      <c r="EE555" s="36"/>
      <c r="EF555" s="36"/>
      <c r="EG555" s="36"/>
      <c r="EH555" s="36"/>
      <c r="EI555" s="36"/>
      <c r="EJ555" s="36"/>
      <c r="EK555" s="36"/>
      <c r="EL555" s="36"/>
      <c r="EM555" s="36"/>
      <c r="EN555" s="36"/>
      <c r="EO555" s="36"/>
      <c r="EP555" s="36"/>
      <c r="EQ555" s="36"/>
      <c r="ER555" s="36"/>
      <c r="ES555" s="36"/>
      <c r="ET555" s="36"/>
      <c r="EU555" s="36"/>
      <c r="EV555" s="36"/>
      <c r="EW555" s="36"/>
      <c r="EX555" s="36"/>
      <c r="EY555" s="36"/>
      <c r="EZ555" s="36"/>
      <c r="FA555" s="36"/>
      <c r="FB555" s="36"/>
      <c r="FC555" s="36"/>
      <c r="FD555" s="36"/>
      <c r="FE555" s="36"/>
      <c r="FF555" s="36"/>
      <c r="FG555" s="36"/>
      <c r="FH555" s="36"/>
      <c r="FI555" s="36"/>
      <c r="FJ555" s="36"/>
      <c r="FK555" s="36"/>
      <c r="FL555" s="36"/>
      <c r="FM555" s="36"/>
      <c r="FN555" s="36"/>
      <c r="FO555" s="36"/>
      <c r="FP555" s="36"/>
      <c r="FQ555" s="36"/>
      <c r="FR555" s="36"/>
      <c r="FS555" s="36"/>
      <c r="FT555" s="36"/>
      <c r="FU555" s="36"/>
      <c r="FV555" s="36"/>
      <c r="FW555" s="36"/>
      <c r="FX555" s="36"/>
      <c r="FY555" s="36"/>
      <c r="FZ555" s="36"/>
      <c r="GA555" s="36"/>
      <c r="GB555" s="36"/>
      <c r="GC555" s="36"/>
      <c r="GD555" s="36"/>
      <c r="GE555" s="36"/>
      <c r="GF555" s="36"/>
      <c r="GG555" s="36"/>
      <c r="GH555" s="36"/>
      <c r="GI555" s="36"/>
      <c r="GJ555" s="36"/>
      <c r="GK555" s="36"/>
      <c r="GL555" s="36"/>
      <c r="GM555" s="36"/>
      <c r="GN555" s="36"/>
      <c r="GO555" s="36"/>
      <c r="GP555" s="36"/>
      <c r="GQ555" s="36"/>
      <c r="GR555" s="36"/>
      <c r="GS555" s="36"/>
      <c r="GT555" s="36"/>
      <c r="GU555" s="36"/>
      <c r="GV555" s="36"/>
      <c r="GW555" s="36"/>
      <c r="GX555" s="36"/>
      <c r="GY555" s="36"/>
      <c r="GZ555" s="36"/>
      <c r="HA555" s="36"/>
      <c r="HB555" s="36"/>
      <c r="HC555" s="36"/>
      <c r="HD555" s="36"/>
      <c r="HE555" s="36"/>
      <c r="HF555" s="36"/>
      <c r="HG555" s="36"/>
      <c r="HH555" s="36"/>
      <c r="HI555" s="36"/>
      <c r="HJ555" s="36"/>
      <c r="HK555" s="36"/>
      <c r="HL555" s="36"/>
      <c r="HM555" s="36"/>
      <c r="HN555" s="36"/>
      <c r="HO555" s="36"/>
      <c r="HP555" s="36"/>
      <c r="HQ555" s="36"/>
      <c r="HR555" s="36"/>
      <c r="HS555" s="36"/>
      <c r="HT555" s="36"/>
      <c r="HU555" s="36"/>
      <c r="HV555" s="36"/>
      <c r="HW555" s="36"/>
      <c r="HX555" s="36"/>
      <c r="HY555" s="36"/>
      <c r="HZ555" s="36"/>
      <c r="IA555" s="36"/>
      <c r="IB555" s="36"/>
      <c r="IC555" s="36"/>
      <c r="ID555" s="36"/>
      <c r="IE555" s="36"/>
      <c r="IF555" s="36"/>
      <c r="IG555" s="36"/>
      <c r="IH555" s="36"/>
      <c r="II555" s="36"/>
      <c r="IJ555" s="36"/>
      <c r="IK555" s="36"/>
      <c r="IL555" s="36"/>
      <c r="IM555" s="36"/>
      <c r="IN555" s="36"/>
      <c r="IO555" s="36"/>
      <c r="IP555" s="36"/>
      <c r="IQ555" s="36"/>
      <c r="IR555" s="36"/>
      <c r="IS555" s="36"/>
      <c r="IT555" s="36"/>
      <c r="IU555" s="36"/>
      <c r="IV555" s="36"/>
      <c r="IW555" s="36"/>
      <c r="IX555" s="36"/>
      <c r="IY555" s="36"/>
      <c r="IZ555" s="36"/>
      <c r="JA555" s="36"/>
      <c r="JB555" s="36"/>
      <c r="JC555" s="36"/>
      <c r="JD555" s="36"/>
      <c r="JE555" s="36"/>
      <c r="JF555" s="36"/>
      <c r="JG555" s="36"/>
      <c r="JH555" s="36"/>
      <c r="JI555" s="36"/>
      <c r="JJ555" s="36"/>
      <c r="JK555" s="36"/>
      <c r="JL555" s="36"/>
      <c r="JM555" s="36"/>
      <c r="JN555" s="36"/>
      <c r="JO555" s="36"/>
      <c r="JP555" s="36"/>
      <c r="JQ555" s="36"/>
      <c r="JR555" s="36"/>
      <c r="JS555" s="36"/>
      <c r="JT555" s="36"/>
      <c r="JU555" s="36"/>
      <c r="JV555" s="36"/>
      <c r="JW555" s="36"/>
      <c r="JX555" s="36"/>
      <c r="JY555" s="36"/>
      <c r="JZ555" s="36"/>
      <c r="KA555" s="36"/>
      <c r="KB555" s="36"/>
      <c r="KC555" s="36"/>
      <c r="KD555" s="36"/>
      <c r="KE555" s="36"/>
      <c r="KF555" s="36"/>
      <c r="KG555" s="36"/>
      <c r="KH555" s="36"/>
      <c r="KI555" s="36"/>
      <c r="KJ555" s="36"/>
      <c r="KK555" s="36"/>
      <c r="KL555" s="36"/>
      <c r="KM555" s="36"/>
      <c r="KN555" s="36"/>
      <c r="KO555" s="36"/>
      <c r="KP555" s="36"/>
      <c r="KQ555" s="36"/>
      <c r="KR555" s="36"/>
      <c r="KS555" s="36"/>
      <c r="KT555" s="36"/>
      <c r="KU555" s="36"/>
      <c r="KV555" s="36"/>
      <c r="KW555" s="36"/>
      <c r="KX555" s="36"/>
      <c r="KY555" s="36"/>
      <c r="KZ555" s="36"/>
      <c r="LA555" s="36"/>
      <c r="LB555" s="36"/>
      <c r="LC555" s="36"/>
      <c r="LD555" s="36"/>
      <c r="LE555" s="36"/>
      <c r="LF555" s="36"/>
      <c r="LG555" s="36"/>
      <c r="LH555" s="36"/>
      <c r="LI555" s="36"/>
      <c r="LJ555" s="36"/>
      <c r="LK555" s="36"/>
      <c r="LL555" s="36"/>
      <c r="LM555" s="36"/>
      <c r="LN555" s="36"/>
      <c r="LO555" s="36"/>
      <c r="LP555" s="36"/>
      <c r="LQ555" s="36"/>
      <c r="LR555" s="36"/>
      <c r="LS555" s="36"/>
      <c r="LT555" s="36"/>
      <c r="LU555" s="36"/>
      <c r="LV555" s="36"/>
      <c r="LW555" s="36"/>
      <c r="LX555" s="36"/>
      <c r="LY555" s="36"/>
      <c r="LZ555" s="36"/>
      <c r="MA555" s="36"/>
      <c r="MB555" s="36"/>
      <c r="MC555" s="36"/>
      <c r="MD555" s="36"/>
      <c r="ME555" s="36"/>
      <c r="MF555" s="36"/>
      <c r="MG555" s="36"/>
      <c r="MH555" s="36"/>
      <c r="MI555" s="36"/>
      <c r="MJ555" s="36"/>
      <c r="MK555" s="36"/>
      <c r="ML555" s="36"/>
      <c r="MM555" s="36"/>
      <c r="MN555" s="36"/>
      <c r="MO555" s="36"/>
      <c r="MP555" s="36"/>
      <c r="MQ555" s="36"/>
      <c r="MR555" s="36"/>
      <c r="MS555" s="36"/>
      <c r="MT555" s="36"/>
      <c r="MU555" s="36"/>
      <c r="MV555" s="36"/>
      <c r="MW555" s="36"/>
      <c r="MX555" s="36"/>
      <c r="MY555" s="36"/>
      <c r="MZ555" s="36"/>
      <c r="NA555" s="36"/>
      <c r="NB555" s="36"/>
      <c r="NC555" s="36"/>
      <c r="ND555" s="36"/>
      <c r="NE555" s="36"/>
      <c r="NF555" s="36"/>
      <c r="NG555" s="36"/>
      <c r="NH555" s="36"/>
      <c r="NI555" s="36"/>
      <c r="NJ555" s="36"/>
      <c r="NK555" s="36"/>
      <c r="NL555" s="36"/>
      <c r="NM555" s="36"/>
      <c r="NN555" s="36"/>
      <c r="NO555" s="36"/>
      <c r="NP555" s="36"/>
      <c r="NQ555" s="36"/>
      <c r="NR555" s="36"/>
      <c r="NS555" s="36"/>
      <c r="NT555" s="36"/>
      <c r="NU555" s="36"/>
      <c r="NV555" s="36"/>
      <c r="NW555" s="36"/>
      <c r="NX555" s="36"/>
      <c r="NY555" s="36"/>
      <c r="NZ555" s="36"/>
      <c r="OA555" s="36"/>
      <c r="OB555" s="36"/>
      <c r="OC555" s="36"/>
      <c r="OD555" s="36"/>
      <c r="OE555" s="36"/>
      <c r="OF555" s="36"/>
      <c r="OG555" s="36"/>
      <c r="OH555" s="36"/>
      <c r="OI555" s="36"/>
      <c r="OJ555" s="36"/>
      <c r="OK555" s="36"/>
      <c r="OL555" s="36"/>
      <c r="OM555" s="36"/>
      <c r="ON555" s="36"/>
      <c r="OO555" s="36"/>
      <c r="OP555" s="36"/>
      <c r="OQ555" s="36"/>
      <c r="OR555" s="36"/>
      <c r="OS555" s="36"/>
      <c r="OT555" s="36"/>
      <c r="OU555" s="36"/>
      <c r="OV555" s="36"/>
      <c r="OW555" s="36"/>
      <c r="OX555" s="36"/>
    </row>
    <row r="556" spans="2:414" s="27" customFormat="1" ht="15.6">
      <c r="B556" s="51" t="s">
        <v>1071</v>
      </c>
      <c r="C556" s="27" t="s">
        <v>737</v>
      </c>
      <c r="D556" s="29" t="s">
        <v>201</v>
      </c>
      <c r="G556" s="49">
        <v>80</v>
      </c>
      <c r="H556" s="89">
        <v>26.109000000000002</v>
      </c>
      <c r="I556" s="38">
        <f t="shared" si="165"/>
        <v>2088.7200000000003</v>
      </c>
      <c r="K556" s="49">
        <v>80</v>
      </c>
      <c r="L556" s="90">
        <v>26.849599999999999</v>
      </c>
      <c r="M556" s="38">
        <f t="shared" si="166"/>
        <v>2147.9679999999998</v>
      </c>
      <c r="O556" s="49">
        <v>505</v>
      </c>
      <c r="P556" s="38">
        <v>26.728300000000001</v>
      </c>
      <c r="Q556" s="38">
        <f t="shared" si="167"/>
        <v>13497.791500000001</v>
      </c>
      <c r="R556" s="43">
        <f t="shared" si="164"/>
        <v>665</v>
      </c>
      <c r="S556" s="38">
        <f t="shared" si="168"/>
        <v>17734.479500000001</v>
      </c>
      <c r="T556" s="52">
        <v>240</v>
      </c>
      <c r="U556" s="52">
        <v>26.73</v>
      </c>
      <c r="V556" s="38">
        <f t="shared" si="176"/>
        <v>6415.2</v>
      </c>
      <c r="W556" s="52">
        <v>505</v>
      </c>
      <c r="X556" s="52">
        <v>26.732500000000002</v>
      </c>
      <c r="Y556" s="35">
        <f t="shared" si="174"/>
        <v>13499.9125</v>
      </c>
      <c r="Z556" s="78"/>
      <c r="AB556" s="32">
        <f t="shared" si="175"/>
        <v>0</v>
      </c>
      <c r="AF556" s="42">
        <f t="shared" si="177"/>
        <v>0</v>
      </c>
      <c r="AU556" s="100"/>
      <c r="AV556" s="35"/>
      <c r="AW556" s="78"/>
      <c r="AZ556" s="42">
        <f t="shared" si="163"/>
        <v>0</v>
      </c>
      <c r="BD556" s="38">
        <f t="shared" si="169"/>
        <v>0</v>
      </c>
      <c r="BH556" s="38">
        <f t="shared" si="170"/>
        <v>0</v>
      </c>
      <c r="BL556" s="38">
        <f t="shared" si="171"/>
        <v>0</v>
      </c>
      <c r="BR556" s="42">
        <f t="shared" si="172"/>
        <v>19915.112499999999</v>
      </c>
      <c r="BS556" s="43"/>
      <c r="BT556" s="27">
        <v>2180.63</v>
      </c>
      <c r="BU556" s="36"/>
      <c r="BV556" s="36"/>
      <c r="BW556" s="36"/>
      <c r="BX556" s="36"/>
      <c r="BY556" s="36"/>
      <c r="BZ556" s="36"/>
      <c r="CA556" s="36"/>
      <c r="CB556" s="36"/>
      <c r="CC556" s="36"/>
      <c r="CD556" s="36"/>
      <c r="CE556" s="36"/>
      <c r="CF556" s="36"/>
      <c r="CG556" s="36"/>
      <c r="CH556" s="36"/>
      <c r="CI556" s="36"/>
      <c r="CJ556" s="36"/>
      <c r="CK556" s="36"/>
      <c r="CL556" s="36"/>
      <c r="CM556" s="36"/>
      <c r="CN556" s="36"/>
      <c r="CO556" s="36"/>
      <c r="CP556" s="36"/>
      <c r="CQ556" s="36"/>
      <c r="CR556" s="36"/>
      <c r="CS556" s="36"/>
      <c r="CT556" s="36"/>
      <c r="CU556" s="36"/>
      <c r="CV556" s="36"/>
      <c r="CW556" s="36"/>
      <c r="CX556" s="36"/>
      <c r="CY556" s="36"/>
      <c r="CZ556" s="36"/>
      <c r="DA556" s="36"/>
      <c r="DB556" s="36"/>
      <c r="DC556" s="36"/>
      <c r="DD556" s="36"/>
      <c r="DE556" s="36"/>
      <c r="DF556" s="36"/>
      <c r="DG556" s="36"/>
      <c r="DH556" s="36"/>
      <c r="DI556" s="36"/>
      <c r="DJ556" s="36"/>
      <c r="DK556" s="36"/>
      <c r="DL556" s="36"/>
      <c r="DM556" s="36"/>
      <c r="DN556" s="36"/>
      <c r="DO556" s="36"/>
      <c r="DP556" s="36"/>
      <c r="DQ556" s="36"/>
      <c r="DR556" s="36"/>
      <c r="DS556" s="36"/>
      <c r="DT556" s="36"/>
      <c r="DU556" s="36"/>
      <c r="DV556" s="36"/>
      <c r="DW556" s="36"/>
      <c r="DX556" s="36"/>
      <c r="DY556" s="36"/>
      <c r="DZ556" s="36"/>
      <c r="EA556" s="36"/>
      <c r="EB556" s="36"/>
      <c r="EC556" s="36"/>
      <c r="ED556" s="36"/>
      <c r="EE556" s="36"/>
      <c r="EF556" s="36"/>
      <c r="EG556" s="36"/>
      <c r="EH556" s="36"/>
      <c r="EI556" s="36"/>
      <c r="EJ556" s="36"/>
      <c r="EK556" s="36"/>
      <c r="EL556" s="36"/>
      <c r="EM556" s="36"/>
      <c r="EN556" s="36"/>
      <c r="EO556" s="36"/>
      <c r="EP556" s="36"/>
      <c r="EQ556" s="36"/>
      <c r="ER556" s="36"/>
      <c r="ES556" s="36"/>
      <c r="ET556" s="36"/>
      <c r="EU556" s="36"/>
      <c r="EV556" s="36"/>
      <c r="EW556" s="36"/>
      <c r="EX556" s="36"/>
      <c r="EY556" s="36"/>
      <c r="EZ556" s="36"/>
      <c r="FA556" s="36"/>
      <c r="FB556" s="36"/>
      <c r="FC556" s="36"/>
      <c r="FD556" s="36"/>
      <c r="FE556" s="36"/>
      <c r="FF556" s="36"/>
      <c r="FG556" s="36"/>
      <c r="FH556" s="36"/>
      <c r="FI556" s="36"/>
      <c r="FJ556" s="36"/>
      <c r="FK556" s="36"/>
      <c r="FL556" s="36"/>
      <c r="FM556" s="36"/>
      <c r="FN556" s="36"/>
      <c r="FO556" s="36"/>
      <c r="FP556" s="36"/>
      <c r="FQ556" s="36"/>
      <c r="FR556" s="36"/>
      <c r="FS556" s="36"/>
      <c r="FT556" s="36"/>
      <c r="FU556" s="36"/>
      <c r="FV556" s="36"/>
      <c r="FW556" s="36"/>
      <c r="FX556" s="36"/>
      <c r="FY556" s="36"/>
      <c r="FZ556" s="36"/>
      <c r="GA556" s="36"/>
      <c r="GB556" s="36"/>
      <c r="GC556" s="36"/>
      <c r="GD556" s="36"/>
      <c r="GE556" s="36"/>
      <c r="GF556" s="36"/>
      <c r="GG556" s="36"/>
      <c r="GH556" s="36"/>
      <c r="GI556" s="36"/>
      <c r="GJ556" s="36"/>
      <c r="GK556" s="36"/>
      <c r="GL556" s="36"/>
      <c r="GM556" s="36"/>
      <c r="GN556" s="36"/>
      <c r="GO556" s="36"/>
      <c r="GP556" s="36"/>
      <c r="GQ556" s="36"/>
      <c r="GR556" s="36"/>
      <c r="GS556" s="36"/>
      <c r="GT556" s="36"/>
      <c r="GU556" s="36"/>
      <c r="GV556" s="36"/>
      <c r="GW556" s="36"/>
      <c r="GX556" s="36"/>
      <c r="GY556" s="36"/>
      <c r="GZ556" s="36"/>
      <c r="HA556" s="36"/>
      <c r="HB556" s="36"/>
      <c r="HC556" s="36"/>
      <c r="HD556" s="36"/>
      <c r="HE556" s="36"/>
      <c r="HF556" s="36"/>
      <c r="HG556" s="36"/>
      <c r="HH556" s="36"/>
      <c r="HI556" s="36"/>
      <c r="HJ556" s="36"/>
      <c r="HK556" s="36"/>
      <c r="HL556" s="36"/>
      <c r="HM556" s="36"/>
      <c r="HN556" s="36"/>
      <c r="HO556" s="36"/>
      <c r="HP556" s="36"/>
      <c r="HQ556" s="36"/>
      <c r="HR556" s="36"/>
      <c r="HS556" s="36"/>
      <c r="HT556" s="36"/>
      <c r="HU556" s="36"/>
      <c r="HV556" s="36"/>
      <c r="HW556" s="36"/>
      <c r="HX556" s="36"/>
      <c r="HY556" s="36"/>
      <c r="HZ556" s="36"/>
      <c r="IA556" s="36"/>
      <c r="IB556" s="36"/>
      <c r="IC556" s="36"/>
      <c r="ID556" s="36"/>
      <c r="IE556" s="36"/>
      <c r="IF556" s="36"/>
      <c r="IG556" s="36"/>
      <c r="IH556" s="36"/>
      <c r="II556" s="36"/>
      <c r="IJ556" s="36"/>
      <c r="IK556" s="36"/>
      <c r="IL556" s="36"/>
      <c r="IM556" s="36"/>
      <c r="IN556" s="36"/>
      <c r="IO556" s="36"/>
      <c r="IP556" s="36"/>
      <c r="IQ556" s="36"/>
      <c r="IR556" s="36"/>
      <c r="IS556" s="36"/>
      <c r="IT556" s="36"/>
      <c r="IU556" s="36"/>
      <c r="IV556" s="36"/>
      <c r="IW556" s="36"/>
      <c r="IX556" s="36"/>
      <c r="IY556" s="36"/>
      <c r="IZ556" s="36"/>
      <c r="JA556" s="36"/>
      <c r="JB556" s="36"/>
      <c r="JC556" s="36"/>
      <c r="JD556" s="36"/>
      <c r="JE556" s="36"/>
      <c r="JF556" s="36"/>
      <c r="JG556" s="36"/>
      <c r="JH556" s="36"/>
      <c r="JI556" s="36"/>
      <c r="JJ556" s="36"/>
      <c r="JK556" s="36"/>
      <c r="JL556" s="36"/>
      <c r="JM556" s="36"/>
      <c r="JN556" s="36"/>
      <c r="JO556" s="36"/>
      <c r="JP556" s="36"/>
      <c r="JQ556" s="36"/>
      <c r="JR556" s="36"/>
      <c r="JS556" s="36"/>
      <c r="JT556" s="36"/>
      <c r="JU556" s="36"/>
      <c r="JV556" s="36"/>
      <c r="JW556" s="36"/>
      <c r="JX556" s="36"/>
      <c r="JY556" s="36"/>
      <c r="JZ556" s="36"/>
      <c r="KA556" s="36"/>
      <c r="KB556" s="36"/>
      <c r="KC556" s="36"/>
      <c r="KD556" s="36"/>
      <c r="KE556" s="36"/>
      <c r="KF556" s="36"/>
      <c r="KG556" s="36"/>
      <c r="KH556" s="36"/>
      <c r="KI556" s="36"/>
      <c r="KJ556" s="36"/>
      <c r="KK556" s="36"/>
      <c r="KL556" s="36"/>
      <c r="KM556" s="36"/>
      <c r="KN556" s="36"/>
      <c r="KO556" s="36"/>
      <c r="KP556" s="36"/>
      <c r="KQ556" s="36"/>
      <c r="KR556" s="36"/>
      <c r="KS556" s="36"/>
      <c r="KT556" s="36"/>
      <c r="KU556" s="36"/>
      <c r="KV556" s="36"/>
      <c r="KW556" s="36"/>
      <c r="KX556" s="36"/>
      <c r="KY556" s="36"/>
      <c r="KZ556" s="36"/>
      <c r="LA556" s="36"/>
      <c r="LB556" s="36"/>
      <c r="LC556" s="36"/>
      <c r="LD556" s="36"/>
      <c r="LE556" s="36"/>
      <c r="LF556" s="36"/>
      <c r="LG556" s="36"/>
      <c r="LH556" s="36"/>
      <c r="LI556" s="36"/>
      <c r="LJ556" s="36"/>
      <c r="LK556" s="36"/>
      <c r="LL556" s="36"/>
      <c r="LM556" s="36"/>
      <c r="LN556" s="36"/>
      <c r="LO556" s="36"/>
      <c r="LP556" s="36"/>
      <c r="LQ556" s="36"/>
      <c r="LR556" s="36"/>
      <c r="LS556" s="36"/>
      <c r="LT556" s="36"/>
      <c r="LU556" s="36"/>
      <c r="LV556" s="36"/>
      <c r="LW556" s="36"/>
      <c r="LX556" s="36"/>
      <c r="LY556" s="36"/>
      <c r="LZ556" s="36"/>
      <c r="MA556" s="36"/>
      <c r="MB556" s="36"/>
      <c r="MC556" s="36"/>
      <c r="MD556" s="36"/>
      <c r="ME556" s="36"/>
      <c r="MF556" s="36"/>
      <c r="MG556" s="36"/>
      <c r="MH556" s="36"/>
      <c r="MI556" s="36"/>
      <c r="MJ556" s="36"/>
      <c r="MK556" s="36"/>
      <c r="ML556" s="36"/>
      <c r="MM556" s="36"/>
      <c r="MN556" s="36"/>
      <c r="MO556" s="36"/>
      <c r="MP556" s="36"/>
      <c r="MQ556" s="36"/>
      <c r="MR556" s="36"/>
      <c r="MS556" s="36"/>
      <c r="MT556" s="36"/>
      <c r="MU556" s="36"/>
      <c r="MV556" s="36"/>
      <c r="MW556" s="36"/>
      <c r="MX556" s="36"/>
      <c r="MY556" s="36"/>
      <c r="MZ556" s="36"/>
      <c r="NA556" s="36"/>
      <c r="NB556" s="36"/>
      <c r="NC556" s="36"/>
      <c r="ND556" s="36"/>
      <c r="NE556" s="36"/>
      <c r="NF556" s="36"/>
      <c r="NG556" s="36"/>
      <c r="NH556" s="36"/>
      <c r="NI556" s="36"/>
      <c r="NJ556" s="36"/>
      <c r="NK556" s="36"/>
      <c r="NL556" s="36"/>
      <c r="NM556" s="36"/>
      <c r="NN556" s="36"/>
      <c r="NO556" s="36"/>
      <c r="NP556" s="36"/>
      <c r="NQ556" s="36"/>
      <c r="NR556" s="36"/>
      <c r="NS556" s="36"/>
      <c r="NT556" s="36"/>
      <c r="NU556" s="36"/>
      <c r="NV556" s="36"/>
      <c r="NW556" s="36"/>
      <c r="NX556" s="36"/>
      <c r="NY556" s="36"/>
      <c r="NZ556" s="36"/>
      <c r="OA556" s="36"/>
      <c r="OB556" s="36"/>
      <c r="OC556" s="36"/>
      <c r="OD556" s="36"/>
      <c r="OE556" s="36"/>
      <c r="OF556" s="36"/>
      <c r="OG556" s="36"/>
      <c r="OH556" s="36"/>
      <c r="OI556" s="36"/>
      <c r="OJ556" s="36"/>
      <c r="OK556" s="36"/>
      <c r="OL556" s="36"/>
      <c r="OM556" s="36"/>
      <c r="ON556" s="36"/>
      <c r="OO556" s="36"/>
      <c r="OP556" s="36"/>
      <c r="OQ556" s="36"/>
      <c r="OR556" s="36"/>
      <c r="OS556" s="36"/>
      <c r="OT556" s="36"/>
      <c r="OU556" s="36"/>
      <c r="OV556" s="36"/>
      <c r="OW556" s="36"/>
      <c r="OX556" s="36"/>
    </row>
    <row r="557" spans="2:414" s="27" customFormat="1" ht="15.6">
      <c r="B557" s="51" t="s">
        <v>758</v>
      </c>
      <c r="C557" s="27" t="s">
        <v>182</v>
      </c>
      <c r="D557" s="29" t="s">
        <v>201</v>
      </c>
      <c r="G557" s="49">
        <v>80</v>
      </c>
      <c r="H557" s="89">
        <v>26.109000000000002</v>
      </c>
      <c r="I557" s="38">
        <f t="shared" si="165"/>
        <v>2088.7200000000003</v>
      </c>
      <c r="K557" s="49">
        <v>80</v>
      </c>
      <c r="L557" s="90">
        <v>26.849599999999999</v>
      </c>
      <c r="M557" s="38">
        <f t="shared" si="166"/>
        <v>2147.9679999999998</v>
      </c>
      <c r="O557" s="49">
        <v>505</v>
      </c>
      <c r="P557" s="38">
        <v>26.728300000000001</v>
      </c>
      <c r="Q557" s="38">
        <f t="shared" si="167"/>
        <v>13497.791500000001</v>
      </c>
      <c r="R557" s="43">
        <f t="shared" si="164"/>
        <v>665</v>
      </c>
      <c r="S557" s="38">
        <f t="shared" si="168"/>
        <v>17734.479500000001</v>
      </c>
      <c r="T557" s="27">
        <v>300</v>
      </c>
      <c r="U557" s="52">
        <v>26.732500000000002</v>
      </c>
      <c r="V557" s="38">
        <f t="shared" si="176"/>
        <v>8019.7500000000009</v>
      </c>
      <c r="W557" s="52">
        <v>505</v>
      </c>
      <c r="X557" s="52">
        <v>26.73</v>
      </c>
      <c r="Y557" s="35">
        <f t="shared" si="174"/>
        <v>13498.65</v>
      </c>
      <c r="Z557" s="78"/>
      <c r="AB557" s="32">
        <f t="shared" si="175"/>
        <v>0</v>
      </c>
      <c r="AF557" s="42">
        <f t="shared" si="177"/>
        <v>0</v>
      </c>
      <c r="AU557" s="100"/>
      <c r="AV557" s="35"/>
      <c r="AW557" s="78"/>
      <c r="AZ557" s="42">
        <f t="shared" si="163"/>
        <v>0</v>
      </c>
      <c r="BD557" s="38">
        <f t="shared" si="169"/>
        <v>0</v>
      </c>
      <c r="BH557" s="38">
        <f t="shared" si="170"/>
        <v>0</v>
      </c>
      <c r="BL557" s="38">
        <f t="shared" si="171"/>
        <v>0</v>
      </c>
      <c r="BR557" s="42">
        <f t="shared" si="172"/>
        <v>21518.400000000001</v>
      </c>
      <c r="BS557" s="43"/>
      <c r="BT557" s="27">
        <v>3783.92</v>
      </c>
      <c r="BU557" s="36"/>
      <c r="BV557" s="36"/>
      <c r="BW557" s="36"/>
      <c r="BX557" s="36"/>
      <c r="BY557" s="36"/>
      <c r="BZ557" s="36"/>
      <c r="CA557" s="36"/>
      <c r="CB557" s="36"/>
      <c r="CC557" s="36"/>
      <c r="CD557" s="36"/>
      <c r="CE557" s="36"/>
      <c r="CF557" s="36"/>
      <c r="CG557" s="36"/>
      <c r="CH557" s="36"/>
      <c r="CI557" s="36"/>
      <c r="CJ557" s="36"/>
      <c r="CK557" s="36"/>
      <c r="CL557" s="36"/>
      <c r="CM557" s="36"/>
      <c r="CN557" s="36"/>
      <c r="CO557" s="36"/>
      <c r="CP557" s="36"/>
      <c r="CQ557" s="36"/>
      <c r="CR557" s="36"/>
      <c r="CS557" s="36"/>
      <c r="CT557" s="36"/>
      <c r="CU557" s="36"/>
      <c r="CV557" s="36"/>
      <c r="CW557" s="36"/>
      <c r="CX557" s="36"/>
      <c r="CY557" s="36"/>
      <c r="CZ557" s="36"/>
      <c r="DA557" s="36"/>
      <c r="DB557" s="36"/>
      <c r="DC557" s="36"/>
      <c r="DD557" s="36"/>
      <c r="DE557" s="36"/>
      <c r="DF557" s="36"/>
      <c r="DG557" s="36"/>
      <c r="DH557" s="36"/>
      <c r="DI557" s="36"/>
      <c r="DJ557" s="36"/>
      <c r="DK557" s="36"/>
      <c r="DL557" s="36"/>
      <c r="DM557" s="36"/>
      <c r="DN557" s="36"/>
      <c r="DO557" s="36"/>
      <c r="DP557" s="36"/>
      <c r="DQ557" s="36"/>
      <c r="DR557" s="36"/>
      <c r="DS557" s="36"/>
      <c r="DT557" s="36"/>
      <c r="DU557" s="36"/>
      <c r="DV557" s="36"/>
      <c r="DW557" s="36"/>
      <c r="DX557" s="36"/>
      <c r="DY557" s="36"/>
      <c r="DZ557" s="36"/>
      <c r="EA557" s="36"/>
      <c r="EB557" s="36"/>
      <c r="EC557" s="36"/>
      <c r="ED557" s="36"/>
      <c r="EE557" s="36"/>
      <c r="EF557" s="36"/>
      <c r="EG557" s="36"/>
      <c r="EH557" s="36"/>
      <c r="EI557" s="36"/>
      <c r="EJ557" s="36"/>
      <c r="EK557" s="36"/>
      <c r="EL557" s="36"/>
      <c r="EM557" s="36"/>
      <c r="EN557" s="36"/>
      <c r="EO557" s="36"/>
      <c r="EP557" s="36"/>
      <c r="EQ557" s="36"/>
      <c r="ER557" s="36"/>
      <c r="ES557" s="36"/>
      <c r="ET557" s="36"/>
      <c r="EU557" s="36"/>
      <c r="EV557" s="36"/>
      <c r="EW557" s="36"/>
      <c r="EX557" s="36"/>
      <c r="EY557" s="36"/>
      <c r="EZ557" s="36"/>
      <c r="FA557" s="36"/>
      <c r="FB557" s="36"/>
      <c r="FC557" s="36"/>
      <c r="FD557" s="36"/>
      <c r="FE557" s="36"/>
      <c r="FF557" s="36"/>
      <c r="FG557" s="36"/>
      <c r="FH557" s="36"/>
      <c r="FI557" s="36"/>
      <c r="FJ557" s="36"/>
      <c r="FK557" s="36"/>
      <c r="FL557" s="36"/>
      <c r="FM557" s="36"/>
      <c r="FN557" s="36"/>
      <c r="FO557" s="36"/>
      <c r="FP557" s="36"/>
      <c r="FQ557" s="36"/>
      <c r="FR557" s="36"/>
      <c r="FS557" s="36"/>
      <c r="FT557" s="36"/>
      <c r="FU557" s="36"/>
      <c r="FV557" s="36"/>
      <c r="FW557" s="36"/>
      <c r="FX557" s="36"/>
      <c r="FY557" s="36"/>
      <c r="FZ557" s="36"/>
      <c r="GA557" s="36"/>
      <c r="GB557" s="36"/>
      <c r="GC557" s="36"/>
      <c r="GD557" s="36"/>
      <c r="GE557" s="36"/>
      <c r="GF557" s="36"/>
      <c r="GG557" s="36"/>
      <c r="GH557" s="36"/>
      <c r="GI557" s="36"/>
      <c r="GJ557" s="36"/>
      <c r="GK557" s="36"/>
      <c r="GL557" s="36"/>
      <c r="GM557" s="36"/>
      <c r="GN557" s="36"/>
      <c r="GO557" s="36"/>
      <c r="GP557" s="36"/>
      <c r="GQ557" s="36"/>
      <c r="GR557" s="36"/>
      <c r="GS557" s="36"/>
      <c r="GT557" s="36"/>
      <c r="GU557" s="36"/>
      <c r="GV557" s="36"/>
      <c r="GW557" s="36"/>
      <c r="GX557" s="36"/>
      <c r="GY557" s="36"/>
      <c r="GZ557" s="36"/>
      <c r="HA557" s="36"/>
      <c r="HB557" s="36"/>
      <c r="HC557" s="36"/>
      <c r="HD557" s="36"/>
      <c r="HE557" s="36"/>
      <c r="HF557" s="36"/>
      <c r="HG557" s="36"/>
      <c r="HH557" s="36"/>
      <c r="HI557" s="36"/>
      <c r="HJ557" s="36"/>
      <c r="HK557" s="36"/>
      <c r="HL557" s="36"/>
      <c r="HM557" s="36"/>
      <c r="HN557" s="36"/>
      <c r="HO557" s="36"/>
      <c r="HP557" s="36"/>
      <c r="HQ557" s="36"/>
      <c r="HR557" s="36"/>
      <c r="HS557" s="36"/>
      <c r="HT557" s="36"/>
      <c r="HU557" s="36"/>
      <c r="HV557" s="36"/>
      <c r="HW557" s="36"/>
      <c r="HX557" s="36"/>
      <c r="HY557" s="36"/>
      <c r="HZ557" s="36"/>
      <c r="IA557" s="36"/>
      <c r="IB557" s="36"/>
      <c r="IC557" s="36"/>
      <c r="ID557" s="36"/>
      <c r="IE557" s="36"/>
      <c r="IF557" s="36"/>
      <c r="IG557" s="36"/>
      <c r="IH557" s="36"/>
      <c r="II557" s="36"/>
      <c r="IJ557" s="36"/>
      <c r="IK557" s="36"/>
      <c r="IL557" s="36"/>
      <c r="IM557" s="36"/>
      <c r="IN557" s="36"/>
      <c r="IO557" s="36"/>
      <c r="IP557" s="36"/>
      <c r="IQ557" s="36"/>
      <c r="IR557" s="36"/>
      <c r="IS557" s="36"/>
      <c r="IT557" s="36"/>
      <c r="IU557" s="36"/>
      <c r="IV557" s="36"/>
      <c r="IW557" s="36"/>
      <c r="IX557" s="36"/>
      <c r="IY557" s="36"/>
      <c r="IZ557" s="36"/>
      <c r="JA557" s="36"/>
      <c r="JB557" s="36"/>
      <c r="JC557" s="36"/>
      <c r="JD557" s="36"/>
      <c r="JE557" s="36"/>
      <c r="JF557" s="36"/>
      <c r="JG557" s="36"/>
      <c r="JH557" s="36"/>
      <c r="JI557" s="36"/>
      <c r="JJ557" s="36"/>
      <c r="JK557" s="36"/>
      <c r="JL557" s="36"/>
      <c r="JM557" s="36"/>
      <c r="JN557" s="36"/>
      <c r="JO557" s="36"/>
      <c r="JP557" s="36"/>
      <c r="JQ557" s="36"/>
      <c r="JR557" s="36"/>
      <c r="JS557" s="36"/>
      <c r="JT557" s="36"/>
      <c r="JU557" s="36"/>
      <c r="JV557" s="36"/>
      <c r="JW557" s="36"/>
      <c r="JX557" s="36"/>
      <c r="JY557" s="36"/>
      <c r="JZ557" s="36"/>
      <c r="KA557" s="36"/>
      <c r="KB557" s="36"/>
      <c r="KC557" s="36"/>
      <c r="KD557" s="36"/>
      <c r="KE557" s="36"/>
      <c r="KF557" s="36"/>
      <c r="KG557" s="36"/>
      <c r="KH557" s="36"/>
      <c r="KI557" s="36"/>
      <c r="KJ557" s="36"/>
      <c r="KK557" s="36"/>
      <c r="KL557" s="36"/>
      <c r="KM557" s="36"/>
      <c r="KN557" s="36"/>
      <c r="KO557" s="36"/>
      <c r="KP557" s="36"/>
      <c r="KQ557" s="36"/>
      <c r="KR557" s="36"/>
      <c r="KS557" s="36"/>
      <c r="KT557" s="36"/>
      <c r="KU557" s="36"/>
      <c r="KV557" s="36"/>
      <c r="KW557" s="36"/>
      <c r="KX557" s="36"/>
      <c r="KY557" s="36"/>
      <c r="KZ557" s="36"/>
      <c r="LA557" s="36"/>
      <c r="LB557" s="36"/>
      <c r="LC557" s="36"/>
      <c r="LD557" s="36"/>
      <c r="LE557" s="36"/>
      <c r="LF557" s="36"/>
      <c r="LG557" s="36"/>
      <c r="LH557" s="36"/>
      <c r="LI557" s="36"/>
      <c r="LJ557" s="36"/>
      <c r="LK557" s="36"/>
      <c r="LL557" s="36"/>
      <c r="LM557" s="36"/>
      <c r="LN557" s="36"/>
      <c r="LO557" s="36"/>
      <c r="LP557" s="36"/>
      <c r="LQ557" s="36"/>
      <c r="LR557" s="36"/>
      <c r="LS557" s="36"/>
      <c r="LT557" s="36"/>
      <c r="LU557" s="36"/>
      <c r="LV557" s="36"/>
      <c r="LW557" s="36"/>
      <c r="LX557" s="36"/>
      <c r="LY557" s="36"/>
      <c r="LZ557" s="36"/>
      <c r="MA557" s="36"/>
      <c r="MB557" s="36"/>
      <c r="MC557" s="36"/>
      <c r="MD557" s="36"/>
      <c r="ME557" s="36"/>
      <c r="MF557" s="36"/>
      <c r="MG557" s="36"/>
      <c r="MH557" s="36"/>
      <c r="MI557" s="36"/>
      <c r="MJ557" s="36"/>
      <c r="MK557" s="36"/>
      <c r="ML557" s="36"/>
      <c r="MM557" s="36"/>
      <c r="MN557" s="36"/>
      <c r="MO557" s="36"/>
      <c r="MP557" s="36"/>
      <c r="MQ557" s="36"/>
      <c r="MR557" s="36"/>
      <c r="MS557" s="36"/>
      <c r="MT557" s="36"/>
      <c r="MU557" s="36"/>
      <c r="MV557" s="36"/>
      <c r="MW557" s="36"/>
      <c r="MX557" s="36"/>
      <c r="MY557" s="36"/>
      <c r="MZ557" s="36"/>
      <c r="NA557" s="36"/>
      <c r="NB557" s="36"/>
      <c r="NC557" s="36"/>
      <c r="ND557" s="36"/>
      <c r="NE557" s="36"/>
      <c r="NF557" s="36"/>
      <c r="NG557" s="36"/>
      <c r="NH557" s="36"/>
      <c r="NI557" s="36"/>
      <c r="NJ557" s="36"/>
      <c r="NK557" s="36"/>
      <c r="NL557" s="36"/>
      <c r="NM557" s="36"/>
      <c r="NN557" s="36"/>
      <c r="NO557" s="36"/>
      <c r="NP557" s="36"/>
      <c r="NQ557" s="36"/>
      <c r="NR557" s="36"/>
      <c r="NS557" s="36"/>
      <c r="NT557" s="36"/>
      <c r="NU557" s="36"/>
      <c r="NV557" s="36"/>
      <c r="NW557" s="36"/>
      <c r="NX557" s="36"/>
      <c r="NY557" s="36"/>
      <c r="NZ557" s="36"/>
      <c r="OA557" s="36"/>
      <c r="OB557" s="36"/>
      <c r="OC557" s="36"/>
      <c r="OD557" s="36"/>
      <c r="OE557" s="36"/>
      <c r="OF557" s="36"/>
      <c r="OG557" s="36"/>
      <c r="OH557" s="36"/>
      <c r="OI557" s="36"/>
      <c r="OJ557" s="36"/>
      <c r="OK557" s="36"/>
      <c r="OL557" s="36"/>
      <c r="OM557" s="36"/>
      <c r="ON557" s="36"/>
      <c r="OO557" s="36"/>
      <c r="OP557" s="36"/>
      <c r="OQ557" s="36"/>
      <c r="OR557" s="36"/>
      <c r="OS557" s="36"/>
      <c r="OT557" s="36"/>
      <c r="OU557" s="36"/>
      <c r="OV557" s="36"/>
      <c r="OW557" s="36"/>
      <c r="OX557" s="36"/>
    </row>
    <row r="558" spans="2:414" s="27" customFormat="1" ht="15.6">
      <c r="B558" s="51" t="s">
        <v>1072</v>
      </c>
      <c r="C558" s="27" t="s">
        <v>1073</v>
      </c>
      <c r="D558" s="29" t="s">
        <v>201</v>
      </c>
      <c r="G558" s="49">
        <v>80</v>
      </c>
      <c r="H558" s="89">
        <v>26.109000000000002</v>
      </c>
      <c r="I558" s="38">
        <f t="shared" si="165"/>
        <v>2088.7200000000003</v>
      </c>
      <c r="K558" s="49">
        <v>80</v>
      </c>
      <c r="L558" s="90">
        <v>26.849599999999999</v>
      </c>
      <c r="M558" s="38">
        <f t="shared" si="166"/>
        <v>2147.9679999999998</v>
      </c>
      <c r="O558" s="49">
        <v>505</v>
      </c>
      <c r="P558" s="38">
        <v>26.728300000000001</v>
      </c>
      <c r="Q558" s="38">
        <f t="shared" si="167"/>
        <v>13497.791500000001</v>
      </c>
      <c r="R558" s="43">
        <f t="shared" si="164"/>
        <v>665</v>
      </c>
      <c r="S558" s="38">
        <f t="shared" si="168"/>
        <v>17734.479500000001</v>
      </c>
      <c r="T558" s="52">
        <v>240</v>
      </c>
      <c r="U558" s="52">
        <v>25.826699999999999</v>
      </c>
      <c r="V558" s="38">
        <f t="shared" si="176"/>
        <v>6198.4079999999994</v>
      </c>
      <c r="W558" s="52">
        <v>505</v>
      </c>
      <c r="X558" s="52">
        <v>26.735700000000001</v>
      </c>
      <c r="Y558" s="35">
        <f t="shared" si="174"/>
        <v>13501.5285</v>
      </c>
      <c r="Z558" s="78"/>
      <c r="AB558" s="32">
        <f t="shared" si="175"/>
        <v>0</v>
      </c>
      <c r="AF558" s="42">
        <f t="shared" si="177"/>
        <v>0</v>
      </c>
      <c r="AU558" s="100"/>
      <c r="AV558" s="35"/>
      <c r="AW558" s="78"/>
      <c r="AZ558" s="42">
        <f t="shared" si="163"/>
        <v>0</v>
      </c>
      <c r="BD558" s="38">
        <f t="shared" si="169"/>
        <v>0</v>
      </c>
      <c r="BH558" s="38">
        <f t="shared" si="170"/>
        <v>0</v>
      </c>
      <c r="BL558" s="38">
        <f t="shared" si="171"/>
        <v>0</v>
      </c>
      <c r="BR558" s="42">
        <f t="shared" si="172"/>
        <v>19699.9365</v>
      </c>
      <c r="BS558" s="43"/>
      <c r="BT558" s="27">
        <v>1965.46</v>
      </c>
      <c r="BU558" s="36"/>
      <c r="BV558" s="36"/>
      <c r="BW558" s="36"/>
      <c r="BX558" s="36"/>
      <c r="BY558" s="36"/>
      <c r="BZ558" s="36"/>
      <c r="CA558" s="36"/>
      <c r="CB558" s="36"/>
      <c r="CC558" s="36"/>
      <c r="CD558" s="36"/>
      <c r="CE558" s="36"/>
      <c r="CF558" s="36"/>
      <c r="CG558" s="36"/>
      <c r="CH558" s="36"/>
      <c r="CI558" s="36"/>
      <c r="CJ558" s="36"/>
      <c r="CK558" s="36"/>
      <c r="CL558" s="36"/>
      <c r="CM558" s="36"/>
      <c r="CN558" s="36"/>
      <c r="CO558" s="36"/>
      <c r="CP558" s="36"/>
      <c r="CQ558" s="36"/>
      <c r="CR558" s="36"/>
      <c r="CS558" s="36"/>
      <c r="CT558" s="36"/>
      <c r="CU558" s="36"/>
      <c r="CV558" s="36"/>
      <c r="CW558" s="36"/>
      <c r="CX558" s="36"/>
      <c r="CY558" s="36"/>
      <c r="CZ558" s="36"/>
      <c r="DA558" s="36"/>
      <c r="DB558" s="36"/>
      <c r="DC558" s="36"/>
      <c r="DD558" s="36"/>
      <c r="DE558" s="36"/>
      <c r="DF558" s="36"/>
      <c r="DG558" s="36"/>
      <c r="DH558" s="36"/>
      <c r="DI558" s="36"/>
      <c r="DJ558" s="36"/>
      <c r="DK558" s="36"/>
      <c r="DL558" s="36"/>
      <c r="DM558" s="36"/>
      <c r="DN558" s="36"/>
      <c r="DO558" s="36"/>
      <c r="DP558" s="36"/>
      <c r="DQ558" s="36"/>
      <c r="DR558" s="36"/>
      <c r="DS558" s="36"/>
      <c r="DT558" s="36"/>
      <c r="DU558" s="36"/>
      <c r="DV558" s="36"/>
      <c r="DW558" s="36"/>
      <c r="DX558" s="36"/>
      <c r="DY558" s="36"/>
      <c r="DZ558" s="36"/>
      <c r="EA558" s="36"/>
      <c r="EB558" s="36"/>
      <c r="EC558" s="36"/>
      <c r="ED558" s="36"/>
      <c r="EE558" s="36"/>
      <c r="EF558" s="36"/>
      <c r="EG558" s="36"/>
      <c r="EH558" s="36"/>
      <c r="EI558" s="36"/>
      <c r="EJ558" s="36"/>
      <c r="EK558" s="36"/>
      <c r="EL558" s="36"/>
      <c r="EM558" s="36"/>
      <c r="EN558" s="36"/>
      <c r="EO558" s="36"/>
      <c r="EP558" s="36"/>
      <c r="EQ558" s="36"/>
      <c r="ER558" s="36"/>
      <c r="ES558" s="36"/>
      <c r="ET558" s="36"/>
      <c r="EU558" s="36"/>
      <c r="EV558" s="36"/>
      <c r="EW558" s="36"/>
      <c r="EX558" s="36"/>
      <c r="EY558" s="36"/>
      <c r="EZ558" s="36"/>
      <c r="FA558" s="36"/>
      <c r="FB558" s="36"/>
      <c r="FC558" s="36"/>
      <c r="FD558" s="36"/>
      <c r="FE558" s="36"/>
      <c r="FF558" s="36"/>
      <c r="FG558" s="36"/>
      <c r="FH558" s="36"/>
      <c r="FI558" s="36"/>
      <c r="FJ558" s="36"/>
      <c r="FK558" s="36"/>
      <c r="FL558" s="36"/>
      <c r="FM558" s="36"/>
      <c r="FN558" s="36"/>
      <c r="FO558" s="36"/>
      <c r="FP558" s="36"/>
      <c r="FQ558" s="36"/>
      <c r="FR558" s="36"/>
      <c r="FS558" s="36"/>
      <c r="FT558" s="36"/>
      <c r="FU558" s="36"/>
      <c r="FV558" s="36"/>
      <c r="FW558" s="36"/>
      <c r="FX558" s="36"/>
      <c r="FY558" s="36"/>
      <c r="FZ558" s="36"/>
      <c r="GA558" s="36"/>
      <c r="GB558" s="36"/>
      <c r="GC558" s="36"/>
      <c r="GD558" s="36"/>
      <c r="GE558" s="36"/>
      <c r="GF558" s="36"/>
      <c r="GG558" s="36"/>
      <c r="GH558" s="36"/>
      <c r="GI558" s="36"/>
      <c r="GJ558" s="36"/>
      <c r="GK558" s="36"/>
      <c r="GL558" s="36"/>
      <c r="GM558" s="36"/>
      <c r="GN558" s="36"/>
      <c r="GO558" s="36"/>
      <c r="GP558" s="36"/>
      <c r="GQ558" s="36"/>
      <c r="GR558" s="36"/>
      <c r="GS558" s="36"/>
      <c r="GT558" s="36"/>
      <c r="GU558" s="36"/>
      <c r="GV558" s="36"/>
      <c r="GW558" s="36"/>
      <c r="GX558" s="36"/>
      <c r="GY558" s="36"/>
      <c r="GZ558" s="36"/>
      <c r="HA558" s="36"/>
      <c r="HB558" s="36"/>
      <c r="HC558" s="36"/>
      <c r="HD558" s="36"/>
      <c r="HE558" s="36"/>
      <c r="HF558" s="36"/>
      <c r="HG558" s="36"/>
      <c r="HH558" s="36"/>
      <c r="HI558" s="36"/>
      <c r="HJ558" s="36"/>
      <c r="HK558" s="36"/>
      <c r="HL558" s="36"/>
      <c r="HM558" s="36"/>
      <c r="HN558" s="36"/>
      <c r="HO558" s="36"/>
      <c r="HP558" s="36"/>
      <c r="HQ558" s="36"/>
      <c r="HR558" s="36"/>
      <c r="HS558" s="36"/>
      <c r="HT558" s="36"/>
      <c r="HU558" s="36"/>
      <c r="HV558" s="36"/>
      <c r="HW558" s="36"/>
      <c r="HX558" s="36"/>
      <c r="HY558" s="36"/>
      <c r="HZ558" s="36"/>
      <c r="IA558" s="36"/>
      <c r="IB558" s="36"/>
      <c r="IC558" s="36"/>
      <c r="ID558" s="36"/>
      <c r="IE558" s="36"/>
      <c r="IF558" s="36"/>
      <c r="IG558" s="36"/>
      <c r="IH558" s="36"/>
      <c r="II558" s="36"/>
      <c r="IJ558" s="36"/>
      <c r="IK558" s="36"/>
      <c r="IL558" s="36"/>
      <c r="IM558" s="36"/>
      <c r="IN558" s="36"/>
      <c r="IO558" s="36"/>
      <c r="IP558" s="36"/>
      <c r="IQ558" s="36"/>
      <c r="IR558" s="36"/>
      <c r="IS558" s="36"/>
      <c r="IT558" s="36"/>
      <c r="IU558" s="36"/>
      <c r="IV558" s="36"/>
      <c r="IW558" s="36"/>
      <c r="IX558" s="36"/>
      <c r="IY558" s="36"/>
      <c r="IZ558" s="36"/>
      <c r="JA558" s="36"/>
      <c r="JB558" s="36"/>
      <c r="JC558" s="36"/>
      <c r="JD558" s="36"/>
      <c r="JE558" s="36"/>
      <c r="JF558" s="36"/>
      <c r="JG558" s="36"/>
      <c r="JH558" s="36"/>
      <c r="JI558" s="36"/>
      <c r="JJ558" s="36"/>
      <c r="JK558" s="36"/>
      <c r="JL558" s="36"/>
      <c r="JM558" s="36"/>
      <c r="JN558" s="36"/>
      <c r="JO558" s="36"/>
      <c r="JP558" s="36"/>
      <c r="JQ558" s="36"/>
      <c r="JR558" s="36"/>
      <c r="JS558" s="36"/>
      <c r="JT558" s="36"/>
      <c r="JU558" s="36"/>
      <c r="JV558" s="36"/>
      <c r="JW558" s="36"/>
      <c r="JX558" s="36"/>
      <c r="JY558" s="36"/>
      <c r="JZ558" s="36"/>
      <c r="KA558" s="36"/>
      <c r="KB558" s="36"/>
      <c r="KC558" s="36"/>
      <c r="KD558" s="36"/>
      <c r="KE558" s="36"/>
      <c r="KF558" s="36"/>
      <c r="KG558" s="36"/>
      <c r="KH558" s="36"/>
      <c r="KI558" s="36"/>
      <c r="KJ558" s="36"/>
      <c r="KK558" s="36"/>
      <c r="KL558" s="36"/>
      <c r="KM558" s="36"/>
      <c r="KN558" s="36"/>
      <c r="KO558" s="36"/>
      <c r="KP558" s="36"/>
      <c r="KQ558" s="36"/>
      <c r="KR558" s="36"/>
      <c r="KS558" s="36"/>
      <c r="KT558" s="36"/>
      <c r="KU558" s="36"/>
      <c r="KV558" s="36"/>
      <c r="KW558" s="36"/>
      <c r="KX558" s="36"/>
      <c r="KY558" s="36"/>
      <c r="KZ558" s="36"/>
      <c r="LA558" s="36"/>
      <c r="LB558" s="36"/>
      <c r="LC558" s="36"/>
      <c r="LD558" s="36"/>
      <c r="LE558" s="36"/>
      <c r="LF558" s="36"/>
      <c r="LG558" s="36"/>
      <c r="LH558" s="36"/>
      <c r="LI558" s="36"/>
      <c r="LJ558" s="36"/>
      <c r="LK558" s="36"/>
      <c r="LL558" s="36"/>
      <c r="LM558" s="36"/>
      <c r="LN558" s="36"/>
      <c r="LO558" s="36"/>
      <c r="LP558" s="36"/>
      <c r="LQ558" s="36"/>
      <c r="LR558" s="36"/>
      <c r="LS558" s="36"/>
      <c r="LT558" s="36"/>
      <c r="LU558" s="36"/>
      <c r="LV558" s="36"/>
      <c r="LW558" s="36"/>
      <c r="LX558" s="36"/>
      <c r="LY558" s="36"/>
      <c r="LZ558" s="36"/>
      <c r="MA558" s="36"/>
      <c r="MB558" s="36"/>
      <c r="MC558" s="36"/>
      <c r="MD558" s="36"/>
      <c r="ME558" s="36"/>
      <c r="MF558" s="36"/>
      <c r="MG558" s="36"/>
      <c r="MH558" s="36"/>
      <c r="MI558" s="36"/>
      <c r="MJ558" s="36"/>
      <c r="MK558" s="36"/>
      <c r="ML558" s="36"/>
      <c r="MM558" s="36"/>
      <c r="MN558" s="36"/>
      <c r="MO558" s="36"/>
      <c r="MP558" s="36"/>
      <c r="MQ558" s="36"/>
      <c r="MR558" s="36"/>
      <c r="MS558" s="36"/>
      <c r="MT558" s="36"/>
      <c r="MU558" s="36"/>
      <c r="MV558" s="36"/>
      <c r="MW558" s="36"/>
      <c r="MX558" s="36"/>
      <c r="MY558" s="36"/>
      <c r="MZ558" s="36"/>
      <c r="NA558" s="36"/>
      <c r="NB558" s="36"/>
      <c r="NC558" s="36"/>
      <c r="ND558" s="36"/>
      <c r="NE558" s="36"/>
      <c r="NF558" s="36"/>
      <c r="NG558" s="36"/>
      <c r="NH558" s="36"/>
      <c r="NI558" s="36"/>
      <c r="NJ558" s="36"/>
      <c r="NK558" s="36"/>
      <c r="NL558" s="36"/>
      <c r="NM558" s="36"/>
      <c r="NN558" s="36"/>
      <c r="NO558" s="36"/>
      <c r="NP558" s="36"/>
      <c r="NQ558" s="36"/>
      <c r="NR558" s="36"/>
      <c r="NS558" s="36"/>
      <c r="NT558" s="36"/>
      <c r="NU558" s="36"/>
      <c r="NV558" s="36"/>
      <c r="NW558" s="36"/>
      <c r="NX558" s="36"/>
      <c r="NY558" s="36"/>
      <c r="NZ558" s="36"/>
      <c r="OA558" s="36"/>
      <c r="OB558" s="36"/>
      <c r="OC558" s="36"/>
      <c r="OD558" s="36"/>
      <c r="OE558" s="36"/>
      <c r="OF558" s="36"/>
      <c r="OG558" s="36"/>
      <c r="OH558" s="36"/>
      <c r="OI558" s="36"/>
      <c r="OJ558" s="36"/>
      <c r="OK558" s="36"/>
      <c r="OL558" s="36"/>
      <c r="OM558" s="36"/>
      <c r="ON558" s="36"/>
      <c r="OO558" s="36"/>
      <c r="OP558" s="36"/>
      <c r="OQ558" s="36"/>
      <c r="OR558" s="36"/>
      <c r="OS558" s="36"/>
      <c r="OT558" s="36"/>
      <c r="OU558" s="36"/>
      <c r="OV558" s="36"/>
      <c r="OW558" s="36"/>
      <c r="OX558" s="36"/>
    </row>
    <row r="559" spans="2:414" s="27" customFormat="1" ht="15.6">
      <c r="B559" s="51" t="s">
        <v>586</v>
      </c>
      <c r="C559" s="27" t="s">
        <v>455</v>
      </c>
      <c r="D559" s="29" t="s">
        <v>201</v>
      </c>
      <c r="G559" s="49">
        <v>80</v>
      </c>
      <c r="H559" s="89">
        <v>26.109000000000002</v>
      </c>
      <c r="I559" s="38">
        <f t="shared" si="165"/>
        <v>2088.7200000000003</v>
      </c>
      <c r="K559" s="49">
        <v>80</v>
      </c>
      <c r="L559" s="90">
        <v>26.849599999999999</v>
      </c>
      <c r="M559" s="38">
        <f t="shared" si="166"/>
        <v>2147.9679999999998</v>
      </c>
      <c r="O559" s="49">
        <v>505</v>
      </c>
      <c r="P559" s="38">
        <v>26.728300000000001</v>
      </c>
      <c r="Q559" s="38">
        <f t="shared" si="167"/>
        <v>13497.791500000001</v>
      </c>
      <c r="R559" s="43">
        <f t="shared" si="164"/>
        <v>665</v>
      </c>
      <c r="S559" s="38">
        <f t="shared" si="168"/>
        <v>17734.479500000001</v>
      </c>
      <c r="T559" s="27">
        <v>240</v>
      </c>
      <c r="U559" s="52">
        <v>26.755099999999999</v>
      </c>
      <c r="V559" s="38">
        <f t="shared" si="176"/>
        <v>6421.2240000000002</v>
      </c>
      <c r="W559" s="52">
        <v>505</v>
      </c>
      <c r="X559" s="52">
        <v>26.555099999999999</v>
      </c>
      <c r="Y559" s="35">
        <f t="shared" si="174"/>
        <v>13410.325499999999</v>
      </c>
      <c r="Z559" s="78"/>
      <c r="AB559" s="32">
        <f t="shared" si="175"/>
        <v>0</v>
      </c>
      <c r="AF559" s="42">
        <f t="shared" si="177"/>
        <v>0</v>
      </c>
      <c r="AU559" s="100"/>
      <c r="AV559" s="35"/>
      <c r="AW559" s="78"/>
      <c r="AZ559" s="42">
        <f t="shared" si="163"/>
        <v>0</v>
      </c>
      <c r="BD559" s="38">
        <f t="shared" si="169"/>
        <v>0</v>
      </c>
      <c r="BH559" s="38">
        <f t="shared" si="170"/>
        <v>0</v>
      </c>
      <c r="BL559" s="38">
        <f t="shared" si="171"/>
        <v>0</v>
      </c>
      <c r="BR559" s="42">
        <f t="shared" si="172"/>
        <v>19831.549500000001</v>
      </c>
      <c r="BS559" s="43"/>
      <c r="BT559" s="27">
        <v>2097.0700000000002</v>
      </c>
      <c r="BU559" s="36"/>
      <c r="BV559" s="36"/>
      <c r="BW559" s="36"/>
      <c r="BX559" s="36"/>
      <c r="BY559" s="36"/>
      <c r="BZ559" s="36"/>
      <c r="CA559" s="36"/>
      <c r="CB559" s="36"/>
      <c r="CC559" s="36"/>
      <c r="CD559" s="36"/>
      <c r="CE559" s="36"/>
      <c r="CF559" s="36"/>
      <c r="CG559" s="36"/>
      <c r="CH559" s="36"/>
      <c r="CI559" s="36"/>
      <c r="CJ559" s="36"/>
      <c r="CK559" s="36"/>
      <c r="CL559" s="36"/>
      <c r="CM559" s="36"/>
      <c r="CN559" s="36"/>
      <c r="CO559" s="36"/>
      <c r="CP559" s="36"/>
      <c r="CQ559" s="36"/>
      <c r="CR559" s="36"/>
      <c r="CS559" s="36"/>
      <c r="CT559" s="36"/>
      <c r="CU559" s="36"/>
      <c r="CV559" s="36"/>
      <c r="CW559" s="36"/>
      <c r="CX559" s="36"/>
      <c r="CY559" s="36"/>
      <c r="CZ559" s="36"/>
      <c r="DA559" s="36"/>
      <c r="DB559" s="36"/>
      <c r="DC559" s="36"/>
      <c r="DD559" s="36"/>
      <c r="DE559" s="36"/>
      <c r="DF559" s="36"/>
      <c r="DG559" s="36"/>
      <c r="DH559" s="36"/>
      <c r="DI559" s="36"/>
      <c r="DJ559" s="36"/>
      <c r="DK559" s="36"/>
      <c r="DL559" s="36"/>
      <c r="DM559" s="36"/>
      <c r="DN559" s="36"/>
      <c r="DO559" s="36"/>
      <c r="DP559" s="36"/>
      <c r="DQ559" s="36"/>
      <c r="DR559" s="36"/>
      <c r="DS559" s="36"/>
      <c r="DT559" s="36"/>
      <c r="DU559" s="36"/>
      <c r="DV559" s="36"/>
      <c r="DW559" s="36"/>
      <c r="DX559" s="36"/>
      <c r="DY559" s="36"/>
      <c r="DZ559" s="36"/>
      <c r="EA559" s="36"/>
      <c r="EB559" s="36"/>
      <c r="EC559" s="36"/>
      <c r="ED559" s="36"/>
      <c r="EE559" s="36"/>
      <c r="EF559" s="36"/>
      <c r="EG559" s="36"/>
      <c r="EH559" s="36"/>
      <c r="EI559" s="36"/>
      <c r="EJ559" s="36"/>
      <c r="EK559" s="36"/>
      <c r="EL559" s="36"/>
      <c r="EM559" s="36"/>
      <c r="EN559" s="36"/>
      <c r="EO559" s="36"/>
      <c r="EP559" s="36"/>
      <c r="EQ559" s="36"/>
      <c r="ER559" s="36"/>
      <c r="ES559" s="36"/>
      <c r="ET559" s="36"/>
      <c r="EU559" s="36"/>
      <c r="EV559" s="36"/>
      <c r="EW559" s="36"/>
      <c r="EX559" s="36"/>
      <c r="EY559" s="36"/>
      <c r="EZ559" s="36"/>
      <c r="FA559" s="36"/>
      <c r="FB559" s="36"/>
      <c r="FC559" s="36"/>
      <c r="FD559" s="36"/>
      <c r="FE559" s="36"/>
      <c r="FF559" s="36"/>
      <c r="FG559" s="36"/>
      <c r="FH559" s="36"/>
      <c r="FI559" s="36"/>
      <c r="FJ559" s="36"/>
      <c r="FK559" s="36"/>
      <c r="FL559" s="36"/>
      <c r="FM559" s="36"/>
      <c r="FN559" s="36"/>
      <c r="FO559" s="36"/>
      <c r="FP559" s="36"/>
      <c r="FQ559" s="36"/>
      <c r="FR559" s="36"/>
      <c r="FS559" s="36"/>
      <c r="FT559" s="36"/>
      <c r="FU559" s="36"/>
      <c r="FV559" s="36"/>
      <c r="FW559" s="36"/>
      <c r="FX559" s="36"/>
      <c r="FY559" s="36"/>
      <c r="FZ559" s="36"/>
      <c r="GA559" s="36"/>
      <c r="GB559" s="36"/>
      <c r="GC559" s="36"/>
      <c r="GD559" s="36"/>
      <c r="GE559" s="36"/>
      <c r="GF559" s="36"/>
      <c r="GG559" s="36"/>
      <c r="GH559" s="36"/>
      <c r="GI559" s="36"/>
      <c r="GJ559" s="36"/>
      <c r="GK559" s="36"/>
      <c r="GL559" s="36"/>
      <c r="GM559" s="36"/>
      <c r="GN559" s="36"/>
      <c r="GO559" s="36"/>
      <c r="GP559" s="36"/>
      <c r="GQ559" s="36"/>
      <c r="GR559" s="36"/>
      <c r="GS559" s="36"/>
      <c r="GT559" s="36"/>
      <c r="GU559" s="36"/>
      <c r="GV559" s="36"/>
      <c r="GW559" s="36"/>
      <c r="GX559" s="36"/>
      <c r="GY559" s="36"/>
      <c r="GZ559" s="36"/>
      <c r="HA559" s="36"/>
      <c r="HB559" s="36"/>
      <c r="HC559" s="36"/>
      <c r="HD559" s="36"/>
      <c r="HE559" s="36"/>
      <c r="HF559" s="36"/>
      <c r="HG559" s="36"/>
      <c r="HH559" s="36"/>
      <c r="HI559" s="36"/>
      <c r="HJ559" s="36"/>
      <c r="HK559" s="36"/>
      <c r="HL559" s="36"/>
      <c r="HM559" s="36"/>
      <c r="HN559" s="36"/>
      <c r="HO559" s="36"/>
      <c r="HP559" s="36"/>
      <c r="HQ559" s="36"/>
      <c r="HR559" s="36"/>
      <c r="HS559" s="36"/>
      <c r="HT559" s="36"/>
      <c r="HU559" s="36"/>
      <c r="HV559" s="36"/>
      <c r="HW559" s="36"/>
      <c r="HX559" s="36"/>
      <c r="HY559" s="36"/>
      <c r="HZ559" s="36"/>
      <c r="IA559" s="36"/>
      <c r="IB559" s="36"/>
      <c r="IC559" s="36"/>
      <c r="ID559" s="36"/>
      <c r="IE559" s="36"/>
      <c r="IF559" s="36"/>
      <c r="IG559" s="36"/>
      <c r="IH559" s="36"/>
      <c r="II559" s="36"/>
      <c r="IJ559" s="36"/>
      <c r="IK559" s="36"/>
      <c r="IL559" s="36"/>
      <c r="IM559" s="36"/>
      <c r="IN559" s="36"/>
      <c r="IO559" s="36"/>
      <c r="IP559" s="36"/>
      <c r="IQ559" s="36"/>
      <c r="IR559" s="36"/>
      <c r="IS559" s="36"/>
      <c r="IT559" s="36"/>
      <c r="IU559" s="36"/>
      <c r="IV559" s="36"/>
      <c r="IW559" s="36"/>
      <c r="IX559" s="36"/>
      <c r="IY559" s="36"/>
      <c r="IZ559" s="36"/>
      <c r="JA559" s="36"/>
      <c r="JB559" s="36"/>
      <c r="JC559" s="36"/>
      <c r="JD559" s="36"/>
      <c r="JE559" s="36"/>
      <c r="JF559" s="36"/>
      <c r="JG559" s="36"/>
      <c r="JH559" s="36"/>
      <c r="JI559" s="36"/>
      <c r="JJ559" s="36"/>
      <c r="JK559" s="36"/>
      <c r="JL559" s="36"/>
      <c r="JM559" s="36"/>
      <c r="JN559" s="36"/>
      <c r="JO559" s="36"/>
      <c r="JP559" s="36"/>
      <c r="JQ559" s="36"/>
      <c r="JR559" s="36"/>
      <c r="JS559" s="36"/>
      <c r="JT559" s="36"/>
      <c r="JU559" s="36"/>
      <c r="JV559" s="36"/>
      <c r="JW559" s="36"/>
      <c r="JX559" s="36"/>
      <c r="JY559" s="36"/>
      <c r="JZ559" s="36"/>
      <c r="KA559" s="36"/>
      <c r="KB559" s="36"/>
      <c r="KC559" s="36"/>
      <c r="KD559" s="36"/>
      <c r="KE559" s="36"/>
      <c r="KF559" s="36"/>
      <c r="KG559" s="36"/>
      <c r="KH559" s="36"/>
      <c r="KI559" s="36"/>
      <c r="KJ559" s="36"/>
      <c r="KK559" s="36"/>
      <c r="KL559" s="36"/>
      <c r="KM559" s="36"/>
      <c r="KN559" s="36"/>
      <c r="KO559" s="36"/>
      <c r="KP559" s="36"/>
      <c r="KQ559" s="36"/>
      <c r="KR559" s="36"/>
      <c r="KS559" s="36"/>
      <c r="KT559" s="36"/>
      <c r="KU559" s="36"/>
      <c r="KV559" s="36"/>
      <c r="KW559" s="36"/>
      <c r="KX559" s="36"/>
      <c r="KY559" s="36"/>
      <c r="KZ559" s="36"/>
      <c r="LA559" s="36"/>
      <c r="LB559" s="36"/>
      <c r="LC559" s="36"/>
      <c r="LD559" s="36"/>
      <c r="LE559" s="36"/>
      <c r="LF559" s="36"/>
      <c r="LG559" s="36"/>
      <c r="LH559" s="36"/>
      <c r="LI559" s="36"/>
      <c r="LJ559" s="36"/>
      <c r="LK559" s="36"/>
      <c r="LL559" s="36"/>
      <c r="LM559" s="36"/>
      <c r="LN559" s="36"/>
      <c r="LO559" s="36"/>
      <c r="LP559" s="36"/>
      <c r="LQ559" s="36"/>
      <c r="LR559" s="36"/>
      <c r="LS559" s="36"/>
      <c r="LT559" s="36"/>
      <c r="LU559" s="36"/>
      <c r="LV559" s="36"/>
      <c r="LW559" s="36"/>
      <c r="LX559" s="36"/>
      <c r="LY559" s="36"/>
      <c r="LZ559" s="36"/>
      <c r="MA559" s="36"/>
      <c r="MB559" s="36"/>
      <c r="MC559" s="36"/>
      <c r="MD559" s="36"/>
      <c r="ME559" s="36"/>
      <c r="MF559" s="36"/>
      <c r="MG559" s="36"/>
      <c r="MH559" s="36"/>
      <c r="MI559" s="36"/>
      <c r="MJ559" s="36"/>
      <c r="MK559" s="36"/>
      <c r="ML559" s="36"/>
      <c r="MM559" s="36"/>
      <c r="MN559" s="36"/>
      <c r="MO559" s="36"/>
      <c r="MP559" s="36"/>
      <c r="MQ559" s="36"/>
      <c r="MR559" s="36"/>
      <c r="MS559" s="36"/>
      <c r="MT559" s="36"/>
      <c r="MU559" s="36"/>
      <c r="MV559" s="36"/>
      <c r="MW559" s="36"/>
      <c r="MX559" s="36"/>
      <c r="MY559" s="36"/>
      <c r="MZ559" s="36"/>
      <c r="NA559" s="36"/>
      <c r="NB559" s="36"/>
      <c r="NC559" s="36"/>
      <c r="ND559" s="36"/>
      <c r="NE559" s="36"/>
      <c r="NF559" s="36"/>
      <c r="NG559" s="36"/>
      <c r="NH559" s="36"/>
      <c r="NI559" s="36"/>
      <c r="NJ559" s="36"/>
      <c r="NK559" s="36"/>
      <c r="NL559" s="36"/>
      <c r="NM559" s="36"/>
      <c r="NN559" s="36"/>
      <c r="NO559" s="36"/>
      <c r="NP559" s="36"/>
      <c r="NQ559" s="36"/>
      <c r="NR559" s="36"/>
      <c r="NS559" s="36"/>
      <c r="NT559" s="36"/>
      <c r="NU559" s="36"/>
      <c r="NV559" s="36"/>
      <c r="NW559" s="36"/>
      <c r="NX559" s="36"/>
      <c r="NY559" s="36"/>
      <c r="NZ559" s="36"/>
      <c r="OA559" s="36"/>
      <c r="OB559" s="36"/>
      <c r="OC559" s="36"/>
      <c r="OD559" s="36"/>
      <c r="OE559" s="36"/>
      <c r="OF559" s="36"/>
      <c r="OG559" s="36"/>
      <c r="OH559" s="36"/>
      <c r="OI559" s="36"/>
      <c r="OJ559" s="36"/>
      <c r="OK559" s="36"/>
      <c r="OL559" s="36"/>
      <c r="OM559" s="36"/>
      <c r="ON559" s="36"/>
      <c r="OO559" s="36"/>
      <c r="OP559" s="36"/>
      <c r="OQ559" s="36"/>
      <c r="OR559" s="36"/>
      <c r="OS559" s="36"/>
      <c r="OT559" s="36"/>
      <c r="OU559" s="36"/>
      <c r="OV559" s="36"/>
      <c r="OW559" s="36"/>
      <c r="OX559" s="36"/>
    </row>
    <row r="560" spans="2:414" s="27" customFormat="1" ht="15.6">
      <c r="B560" s="51" t="s">
        <v>732</v>
      </c>
      <c r="C560" s="27" t="s">
        <v>731</v>
      </c>
      <c r="D560" s="29" t="s">
        <v>201</v>
      </c>
      <c r="G560" s="49">
        <v>80</v>
      </c>
      <c r="H560" s="89">
        <v>26.109000000000002</v>
      </c>
      <c r="I560" s="38">
        <f t="shared" si="165"/>
        <v>2088.7200000000003</v>
      </c>
      <c r="K560" s="49">
        <v>80</v>
      </c>
      <c r="L560" s="90">
        <v>26.849599999999999</v>
      </c>
      <c r="M560" s="38">
        <f t="shared" si="166"/>
        <v>2147.9679999999998</v>
      </c>
      <c r="O560" s="49">
        <v>505</v>
      </c>
      <c r="P560" s="38">
        <v>26.728300000000001</v>
      </c>
      <c r="Q560" s="38">
        <f t="shared" si="167"/>
        <v>13497.791500000001</v>
      </c>
      <c r="R560" s="43">
        <f t="shared" si="164"/>
        <v>665</v>
      </c>
      <c r="S560" s="38">
        <f t="shared" si="168"/>
        <v>17734.479500000001</v>
      </c>
      <c r="T560" s="52">
        <v>240</v>
      </c>
      <c r="U560" s="52">
        <v>26.804099999999998</v>
      </c>
      <c r="V560" s="38">
        <f t="shared" si="176"/>
        <v>6432.9839999999995</v>
      </c>
      <c r="W560" s="52">
        <v>505</v>
      </c>
      <c r="X560" s="52">
        <v>26.677399999999999</v>
      </c>
      <c r="Y560" s="35">
        <f t="shared" si="174"/>
        <v>13472.087</v>
      </c>
      <c r="Z560" s="78"/>
      <c r="AB560" s="32">
        <f t="shared" si="175"/>
        <v>0</v>
      </c>
      <c r="AF560" s="42">
        <f t="shared" si="177"/>
        <v>0</v>
      </c>
      <c r="AU560" s="100"/>
      <c r="AV560" s="35"/>
      <c r="AW560" s="78"/>
      <c r="AZ560" s="42">
        <f t="shared" si="163"/>
        <v>0</v>
      </c>
      <c r="BD560" s="38">
        <f t="shared" si="169"/>
        <v>0</v>
      </c>
      <c r="BH560" s="38">
        <f t="shared" si="170"/>
        <v>0</v>
      </c>
      <c r="BL560" s="38">
        <f t="shared" si="171"/>
        <v>0</v>
      </c>
      <c r="BR560" s="42">
        <f t="shared" si="172"/>
        <v>19905.071</v>
      </c>
      <c r="BS560" s="43"/>
      <c r="BT560" s="27">
        <v>2170.59</v>
      </c>
      <c r="BU560" s="36"/>
      <c r="BV560" s="36"/>
      <c r="BW560" s="36"/>
      <c r="BX560" s="36"/>
      <c r="BY560" s="36"/>
      <c r="BZ560" s="36"/>
      <c r="CA560" s="36"/>
      <c r="CB560" s="36"/>
      <c r="CC560" s="36"/>
      <c r="CD560" s="36"/>
      <c r="CE560" s="36"/>
      <c r="CF560" s="36"/>
      <c r="CG560" s="36"/>
      <c r="CH560" s="36"/>
      <c r="CI560" s="36"/>
      <c r="CJ560" s="36"/>
      <c r="CK560" s="36"/>
      <c r="CL560" s="36"/>
      <c r="CM560" s="36"/>
      <c r="CN560" s="36"/>
      <c r="CO560" s="36"/>
      <c r="CP560" s="36"/>
      <c r="CQ560" s="36"/>
      <c r="CR560" s="36"/>
      <c r="CS560" s="36"/>
      <c r="CT560" s="36"/>
      <c r="CU560" s="36"/>
      <c r="CV560" s="36"/>
      <c r="CW560" s="36"/>
      <c r="CX560" s="36"/>
      <c r="CY560" s="36"/>
      <c r="CZ560" s="36"/>
      <c r="DA560" s="36"/>
      <c r="DB560" s="36"/>
      <c r="DC560" s="36"/>
      <c r="DD560" s="36"/>
      <c r="DE560" s="36"/>
      <c r="DF560" s="36"/>
      <c r="DG560" s="36"/>
      <c r="DH560" s="36"/>
      <c r="DI560" s="36"/>
      <c r="DJ560" s="36"/>
      <c r="DK560" s="36"/>
      <c r="DL560" s="36"/>
      <c r="DM560" s="36"/>
      <c r="DN560" s="36"/>
      <c r="DO560" s="36"/>
      <c r="DP560" s="36"/>
      <c r="DQ560" s="36"/>
      <c r="DR560" s="36"/>
      <c r="DS560" s="36"/>
      <c r="DT560" s="36"/>
      <c r="DU560" s="36"/>
      <c r="DV560" s="36"/>
      <c r="DW560" s="36"/>
      <c r="DX560" s="36"/>
      <c r="DY560" s="36"/>
      <c r="DZ560" s="36"/>
      <c r="EA560" s="36"/>
      <c r="EB560" s="36"/>
      <c r="EC560" s="36"/>
      <c r="ED560" s="36"/>
      <c r="EE560" s="36"/>
      <c r="EF560" s="36"/>
      <c r="EG560" s="36"/>
      <c r="EH560" s="36"/>
      <c r="EI560" s="36"/>
      <c r="EJ560" s="36"/>
      <c r="EK560" s="36"/>
      <c r="EL560" s="36"/>
      <c r="EM560" s="36"/>
      <c r="EN560" s="36"/>
      <c r="EO560" s="36"/>
      <c r="EP560" s="36"/>
      <c r="EQ560" s="36"/>
      <c r="ER560" s="36"/>
      <c r="ES560" s="36"/>
      <c r="ET560" s="36"/>
      <c r="EU560" s="36"/>
      <c r="EV560" s="36"/>
      <c r="EW560" s="36"/>
      <c r="EX560" s="36"/>
      <c r="EY560" s="36"/>
      <c r="EZ560" s="36"/>
      <c r="FA560" s="36"/>
      <c r="FB560" s="36"/>
      <c r="FC560" s="36"/>
      <c r="FD560" s="36"/>
      <c r="FE560" s="36"/>
      <c r="FF560" s="36"/>
      <c r="FG560" s="36"/>
      <c r="FH560" s="36"/>
      <c r="FI560" s="36"/>
      <c r="FJ560" s="36"/>
      <c r="FK560" s="36"/>
      <c r="FL560" s="36"/>
      <c r="FM560" s="36"/>
      <c r="FN560" s="36"/>
      <c r="FO560" s="36"/>
      <c r="FP560" s="36"/>
      <c r="FQ560" s="36"/>
      <c r="FR560" s="36"/>
      <c r="FS560" s="36"/>
      <c r="FT560" s="36"/>
      <c r="FU560" s="36"/>
      <c r="FV560" s="36"/>
      <c r="FW560" s="36"/>
      <c r="FX560" s="36"/>
      <c r="FY560" s="36"/>
      <c r="FZ560" s="36"/>
      <c r="GA560" s="36"/>
      <c r="GB560" s="36"/>
      <c r="GC560" s="36"/>
      <c r="GD560" s="36"/>
      <c r="GE560" s="36"/>
      <c r="GF560" s="36"/>
      <c r="GG560" s="36"/>
      <c r="GH560" s="36"/>
      <c r="GI560" s="36"/>
      <c r="GJ560" s="36"/>
      <c r="GK560" s="36"/>
      <c r="GL560" s="36"/>
      <c r="GM560" s="36"/>
      <c r="GN560" s="36"/>
      <c r="GO560" s="36"/>
      <c r="GP560" s="36"/>
      <c r="GQ560" s="36"/>
      <c r="GR560" s="36"/>
      <c r="GS560" s="36"/>
      <c r="GT560" s="36"/>
      <c r="GU560" s="36"/>
      <c r="GV560" s="36"/>
      <c r="GW560" s="36"/>
      <c r="GX560" s="36"/>
      <c r="GY560" s="36"/>
      <c r="GZ560" s="36"/>
      <c r="HA560" s="36"/>
      <c r="HB560" s="36"/>
      <c r="HC560" s="36"/>
      <c r="HD560" s="36"/>
      <c r="HE560" s="36"/>
      <c r="HF560" s="36"/>
      <c r="HG560" s="36"/>
      <c r="HH560" s="36"/>
      <c r="HI560" s="36"/>
      <c r="HJ560" s="36"/>
      <c r="HK560" s="36"/>
      <c r="HL560" s="36"/>
      <c r="HM560" s="36"/>
      <c r="HN560" s="36"/>
      <c r="HO560" s="36"/>
      <c r="HP560" s="36"/>
      <c r="HQ560" s="36"/>
      <c r="HR560" s="36"/>
      <c r="HS560" s="36"/>
      <c r="HT560" s="36"/>
      <c r="HU560" s="36"/>
      <c r="HV560" s="36"/>
      <c r="HW560" s="36"/>
      <c r="HX560" s="36"/>
      <c r="HY560" s="36"/>
      <c r="HZ560" s="36"/>
      <c r="IA560" s="36"/>
      <c r="IB560" s="36"/>
      <c r="IC560" s="36"/>
      <c r="ID560" s="36"/>
      <c r="IE560" s="36"/>
      <c r="IF560" s="36"/>
      <c r="IG560" s="36"/>
      <c r="IH560" s="36"/>
      <c r="II560" s="36"/>
      <c r="IJ560" s="36"/>
      <c r="IK560" s="36"/>
      <c r="IL560" s="36"/>
      <c r="IM560" s="36"/>
      <c r="IN560" s="36"/>
      <c r="IO560" s="36"/>
      <c r="IP560" s="36"/>
      <c r="IQ560" s="36"/>
      <c r="IR560" s="36"/>
      <c r="IS560" s="36"/>
      <c r="IT560" s="36"/>
      <c r="IU560" s="36"/>
      <c r="IV560" s="36"/>
      <c r="IW560" s="36"/>
      <c r="IX560" s="36"/>
      <c r="IY560" s="36"/>
      <c r="IZ560" s="36"/>
      <c r="JA560" s="36"/>
      <c r="JB560" s="36"/>
      <c r="JC560" s="36"/>
      <c r="JD560" s="36"/>
      <c r="JE560" s="36"/>
      <c r="JF560" s="36"/>
      <c r="JG560" s="36"/>
      <c r="JH560" s="36"/>
      <c r="JI560" s="36"/>
      <c r="JJ560" s="36"/>
      <c r="JK560" s="36"/>
      <c r="JL560" s="36"/>
      <c r="JM560" s="36"/>
      <c r="JN560" s="36"/>
      <c r="JO560" s="36"/>
      <c r="JP560" s="36"/>
      <c r="JQ560" s="36"/>
      <c r="JR560" s="36"/>
      <c r="JS560" s="36"/>
      <c r="JT560" s="36"/>
      <c r="JU560" s="36"/>
      <c r="JV560" s="36"/>
      <c r="JW560" s="36"/>
      <c r="JX560" s="36"/>
      <c r="JY560" s="36"/>
      <c r="JZ560" s="36"/>
      <c r="KA560" s="36"/>
      <c r="KB560" s="36"/>
      <c r="KC560" s="36"/>
      <c r="KD560" s="36"/>
      <c r="KE560" s="36"/>
      <c r="KF560" s="36"/>
      <c r="KG560" s="36"/>
      <c r="KH560" s="36"/>
      <c r="KI560" s="36"/>
      <c r="KJ560" s="36"/>
      <c r="KK560" s="36"/>
      <c r="KL560" s="36"/>
      <c r="KM560" s="36"/>
      <c r="KN560" s="36"/>
      <c r="KO560" s="36"/>
      <c r="KP560" s="36"/>
      <c r="KQ560" s="36"/>
      <c r="KR560" s="36"/>
      <c r="KS560" s="36"/>
      <c r="KT560" s="36"/>
      <c r="KU560" s="36"/>
      <c r="KV560" s="36"/>
      <c r="KW560" s="36"/>
      <c r="KX560" s="36"/>
      <c r="KY560" s="36"/>
      <c r="KZ560" s="36"/>
      <c r="LA560" s="36"/>
      <c r="LB560" s="36"/>
      <c r="LC560" s="36"/>
      <c r="LD560" s="36"/>
      <c r="LE560" s="36"/>
      <c r="LF560" s="36"/>
      <c r="LG560" s="36"/>
      <c r="LH560" s="36"/>
      <c r="LI560" s="36"/>
      <c r="LJ560" s="36"/>
      <c r="LK560" s="36"/>
      <c r="LL560" s="36"/>
      <c r="LM560" s="36"/>
      <c r="LN560" s="36"/>
      <c r="LO560" s="36"/>
      <c r="LP560" s="36"/>
      <c r="LQ560" s="36"/>
      <c r="LR560" s="36"/>
      <c r="LS560" s="36"/>
      <c r="LT560" s="36"/>
      <c r="LU560" s="36"/>
      <c r="LV560" s="36"/>
      <c r="LW560" s="36"/>
      <c r="LX560" s="36"/>
      <c r="LY560" s="36"/>
      <c r="LZ560" s="36"/>
      <c r="MA560" s="36"/>
      <c r="MB560" s="36"/>
      <c r="MC560" s="36"/>
      <c r="MD560" s="36"/>
      <c r="ME560" s="36"/>
      <c r="MF560" s="36"/>
      <c r="MG560" s="36"/>
      <c r="MH560" s="36"/>
      <c r="MI560" s="36"/>
      <c r="MJ560" s="36"/>
      <c r="MK560" s="36"/>
      <c r="ML560" s="36"/>
      <c r="MM560" s="36"/>
      <c r="MN560" s="36"/>
      <c r="MO560" s="36"/>
      <c r="MP560" s="36"/>
      <c r="MQ560" s="36"/>
      <c r="MR560" s="36"/>
      <c r="MS560" s="36"/>
      <c r="MT560" s="36"/>
      <c r="MU560" s="36"/>
      <c r="MV560" s="36"/>
      <c r="MW560" s="36"/>
      <c r="MX560" s="36"/>
      <c r="MY560" s="36"/>
      <c r="MZ560" s="36"/>
      <c r="NA560" s="36"/>
      <c r="NB560" s="36"/>
      <c r="NC560" s="36"/>
      <c r="ND560" s="36"/>
      <c r="NE560" s="36"/>
      <c r="NF560" s="36"/>
      <c r="NG560" s="36"/>
      <c r="NH560" s="36"/>
      <c r="NI560" s="36"/>
      <c r="NJ560" s="36"/>
      <c r="NK560" s="36"/>
      <c r="NL560" s="36"/>
      <c r="NM560" s="36"/>
      <c r="NN560" s="36"/>
      <c r="NO560" s="36"/>
      <c r="NP560" s="36"/>
      <c r="NQ560" s="36"/>
      <c r="NR560" s="36"/>
      <c r="NS560" s="36"/>
      <c r="NT560" s="36"/>
      <c r="NU560" s="36"/>
      <c r="NV560" s="36"/>
      <c r="NW560" s="36"/>
      <c r="NX560" s="36"/>
      <c r="NY560" s="36"/>
      <c r="NZ560" s="36"/>
      <c r="OA560" s="36"/>
      <c r="OB560" s="36"/>
      <c r="OC560" s="36"/>
      <c r="OD560" s="36"/>
      <c r="OE560" s="36"/>
      <c r="OF560" s="36"/>
      <c r="OG560" s="36"/>
      <c r="OH560" s="36"/>
      <c r="OI560" s="36"/>
      <c r="OJ560" s="36"/>
      <c r="OK560" s="36"/>
      <c r="OL560" s="36"/>
      <c r="OM560" s="36"/>
      <c r="ON560" s="36"/>
      <c r="OO560" s="36"/>
      <c r="OP560" s="36"/>
      <c r="OQ560" s="36"/>
      <c r="OR560" s="36"/>
      <c r="OS560" s="36"/>
      <c r="OT560" s="36"/>
      <c r="OU560" s="36"/>
      <c r="OV560" s="36"/>
      <c r="OW560" s="36"/>
      <c r="OX560" s="36"/>
    </row>
    <row r="561" spans="2:414" s="27" customFormat="1" ht="15.6">
      <c r="B561" s="51" t="s">
        <v>73</v>
      </c>
      <c r="C561" s="27" t="s">
        <v>1074</v>
      </c>
      <c r="D561" s="29" t="s">
        <v>201</v>
      </c>
      <c r="G561" s="49">
        <v>80</v>
      </c>
      <c r="H561" s="89">
        <v>26.109000000000002</v>
      </c>
      <c r="I561" s="38">
        <f t="shared" si="165"/>
        <v>2088.7200000000003</v>
      </c>
      <c r="K561" s="49">
        <v>80</v>
      </c>
      <c r="L561" s="90">
        <v>26.849599999999999</v>
      </c>
      <c r="M561" s="38">
        <f t="shared" si="166"/>
        <v>2147.9679999999998</v>
      </c>
      <c r="O561" s="49">
        <v>505</v>
      </c>
      <c r="P561" s="38">
        <v>26.728300000000001</v>
      </c>
      <c r="Q561" s="38">
        <f t="shared" si="167"/>
        <v>13497.791500000001</v>
      </c>
      <c r="R561" s="43">
        <f t="shared" si="164"/>
        <v>665</v>
      </c>
      <c r="S561" s="38">
        <f t="shared" si="168"/>
        <v>17734.479500000001</v>
      </c>
      <c r="T561" s="27">
        <v>120</v>
      </c>
      <c r="U561" s="52">
        <v>26.82</v>
      </c>
      <c r="V561" s="38">
        <f t="shared" si="176"/>
        <v>3218.4</v>
      </c>
      <c r="W561" s="52">
        <v>505</v>
      </c>
      <c r="X561" s="52">
        <v>26.56</v>
      </c>
      <c r="Y561" s="35">
        <f t="shared" si="174"/>
        <v>13412.8</v>
      </c>
      <c r="Z561" s="78"/>
      <c r="AB561" s="32">
        <f t="shared" si="175"/>
        <v>0</v>
      </c>
      <c r="AF561" s="42">
        <f t="shared" si="177"/>
        <v>0</v>
      </c>
      <c r="AU561" s="100"/>
      <c r="AV561" s="35"/>
      <c r="AW561" s="78"/>
      <c r="AZ561" s="42">
        <f t="shared" si="163"/>
        <v>0</v>
      </c>
      <c r="BD561" s="38">
        <f t="shared" si="169"/>
        <v>0</v>
      </c>
      <c r="BH561" s="38">
        <f t="shared" si="170"/>
        <v>0</v>
      </c>
      <c r="BL561" s="38">
        <f t="shared" si="171"/>
        <v>0</v>
      </c>
      <c r="BR561" s="42">
        <f t="shared" si="172"/>
        <v>16631.2</v>
      </c>
      <c r="BS561" s="43">
        <f t="shared" si="173"/>
        <v>1103.2795000000006</v>
      </c>
      <c r="BU561" s="36"/>
      <c r="BV561" s="36"/>
      <c r="BW561" s="36"/>
      <c r="BX561" s="36"/>
      <c r="BY561" s="36"/>
      <c r="BZ561" s="36"/>
      <c r="CA561" s="36"/>
      <c r="CB561" s="36"/>
      <c r="CC561" s="36"/>
      <c r="CD561" s="36"/>
      <c r="CE561" s="36"/>
      <c r="CF561" s="36"/>
      <c r="CG561" s="36"/>
      <c r="CH561" s="36"/>
      <c r="CI561" s="36"/>
      <c r="CJ561" s="36"/>
      <c r="CK561" s="36"/>
      <c r="CL561" s="36"/>
      <c r="CM561" s="36"/>
      <c r="CN561" s="36"/>
      <c r="CO561" s="36"/>
      <c r="CP561" s="36"/>
      <c r="CQ561" s="36"/>
      <c r="CR561" s="36"/>
      <c r="CS561" s="36"/>
      <c r="CT561" s="36"/>
      <c r="CU561" s="36"/>
      <c r="CV561" s="36"/>
      <c r="CW561" s="36"/>
      <c r="CX561" s="36"/>
      <c r="CY561" s="36"/>
      <c r="CZ561" s="36"/>
      <c r="DA561" s="36"/>
      <c r="DB561" s="36"/>
      <c r="DC561" s="36"/>
      <c r="DD561" s="36"/>
      <c r="DE561" s="36"/>
      <c r="DF561" s="36"/>
      <c r="DG561" s="36"/>
      <c r="DH561" s="36"/>
      <c r="DI561" s="36"/>
      <c r="DJ561" s="36"/>
      <c r="DK561" s="36"/>
      <c r="DL561" s="36"/>
      <c r="DM561" s="36"/>
      <c r="DN561" s="36"/>
      <c r="DO561" s="36"/>
      <c r="DP561" s="36"/>
      <c r="DQ561" s="36"/>
      <c r="DR561" s="36"/>
      <c r="DS561" s="36"/>
      <c r="DT561" s="36"/>
      <c r="DU561" s="36"/>
      <c r="DV561" s="36"/>
      <c r="DW561" s="36"/>
      <c r="DX561" s="36"/>
      <c r="DY561" s="36"/>
      <c r="DZ561" s="36"/>
      <c r="EA561" s="36"/>
      <c r="EB561" s="36"/>
      <c r="EC561" s="36"/>
      <c r="ED561" s="36"/>
      <c r="EE561" s="36"/>
      <c r="EF561" s="36"/>
      <c r="EG561" s="36"/>
      <c r="EH561" s="36"/>
      <c r="EI561" s="36"/>
      <c r="EJ561" s="36"/>
      <c r="EK561" s="36"/>
      <c r="EL561" s="36"/>
      <c r="EM561" s="36"/>
      <c r="EN561" s="36"/>
      <c r="EO561" s="36"/>
      <c r="EP561" s="36"/>
      <c r="EQ561" s="36"/>
      <c r="ER561" s="36"/>
      <c r="ES561" s="36"/>
      <c r="ET561" s="36"/>
      <c r="EU561" s="36"/>
      <c r="EV561" s="36"/>
      <c r="EW561" s="36"/>
      <c r="EX561" s="36"/>
      <c r="EY561" s="36"/>
      <c r="EZ561" s="36"/>
      <c r="FA561" s="36"/>
      <c r="FB561" s="36"/>
      <c r="FC561" s="36"/>
      <c r="FD561" s="36"/>
      <c r="FE561" s="36"/>
      <c r="FF561" s="36"/>
      <c r="FG561" s="36"/>
      <c r="FH561" s="36"/>
      <c r="FI561" s="36"/>
      <c r="FJ561" s="36"/>
      <c r="FK561" s="36"/>
      <c r="FL561" s="36"/>
      <c r="FM561" s="36"/>
      <c r="FN561" s="36"/>
      <c r="FO561" s="36"/>
      <c r="FP561" s="36"/>
      <c r="FQ561" s="36"/>
      <c r="FR561" s="36"/>
      <c r="FS561" s="36"/>
      <c r="FT561" s="36"/>
      <c r="FU561" s="36"/>
      <c r="FV561" s="36"/>
      <c r="FW561" s="36"/>
      <c r="FX561" s="36"/>
      <c r="FY561" s="36"/>
      <c r="FZ561" s="36"/>
      <c r="GA561" s="36"/>
      <c r="GB561" s="36"/>
      <c r="GC561" s="36"/>
      <c r="GD561" s="36"/>
      <c r="GE561" s="36"/>
      <c r="GF561" s="36"/>
      <c r="GG561" s="36"/>
      <c r="GH561" s="36"/>
      <c r="GI561" s="36"/>
      <c r="GJ561" s="36"/>
      <c r="GK561" s="36"/>
      <c r="GL561" s="36"/>
      <c r="GM561" s="36"/>
      <c r="GN561" s="36"/>
      <c r="GO561" s="36"/>
      <c r="GP561" s="36"/>
      <c r="GQ561" s="36"/>
      <c r="GR561" s="36"/>
      <c r="GS561" s="36"/>
      <c r="GT561" s="36"/>
      <c r="GU561" s="36"/>
      <c r="GV561" s="36"/>
      <c r="GW561" s="36"/>
      <c r="GX561" s="36"/>
      <c r="GY561" s="36"/>
      <c r="GZ561" s="36"/>
      <c r="HA561" s="36"/>
      <c r="HB561" s="36"/>
      <c r="HC561" s="36"/>
      <c r="HD561" s="36"/>
      <c r="HE561" s="36"/>
      <c r="HF561" s="36"/>
      <c r="HG561" s="36"/>
      <c r="HH561" s="36"/>
      <c r="HI561" s="36"/>
      <c r="HJ561" s="36"/>
      <c r="HK561" s="36"/>
      <c r="HL561" s="36"/>
      <c r="HM561" s="36"/>
      <c r="HN561" s="36"/>
      <c r="HO561" s="36"/>
      <c r="HP561" s="36"/>
      <c r="HQ561" s="36"/>
      <c r="HR561" s="36"/>
      <c r="HS561" s="36"/>
      <c r="HT561" s="36"/>
      <c r="HU561" s="36"/>
      <c r="HV561" s="36"/>
      <c r="HW561" s="36"/>
      <c r="HX561" s="36"/>
      <c r="HY561" s="36"/>
      <c r="HZ561" s="36"/>
      <c r="IA561" s="36"/>
      <c r="IB561" s="36"/>
      <c r="IC561" s="36"/>
      <c r="ID561" s="36"/>
      <c r="IE561" s="36"/>
      <c r="IF561" s="36"/>
      <c r="IG561" s="36"/>
      <c r="IH561" s="36"/>
      <c r="II561" s="36"/>
      <c r="IJ561" s="36"/>
      <c r="IK561" s="36"/>
      <c r="IL561" s="36"/>
      <c r="IM561" s="36"/>
      <c r="IN561" s="36"/>
      <c r="IO561" s="36"/>
      <c r="IP561" s="36"/>
      <c r="IQ561" s="36"/>
      <c r="IR561" s="36"/>
      <c r="IS561" s="36"/>
      <c r="IT561" s="36"/>
      <c r="IU561" s="36"/>
      <c r="IV561" s="36"/>
      <c r="IW561" s="36"/>
      <c r="IX561" s="36"/>
      <c r="IY561" s="36"/>
      <c r="IZ561" s="36"/>
      <c r="JA561" s="36"/>
      <c r="JB561" s="36"/>
      <c r="JC561" s="36"/>
      <c r="JD561" s="36"/>
      <c r="JE561" s="36"/>
      <c r="JF561" s="36"/>
      <c r="JG561" s="36"/>
      <c r="JH561" s="36"/>
      <c r="JI561" s="36"/>
      <c r="JJ561" s="36"/>
      <c r="JK561" s="36"/>
      <c r="JL561" s="36"/>
      <c r="JM561" s="36"/>
      <c r="JN561" s="36"/>
      <c r="JO561" s="36"/>
      <c r="JP561" s="36"/>
      <c r="JQ561" s="36"/>
      <c r="JR561" s="36"/>
      <c r="JS561" s="36"/>
      <c r="JT561" s="36"/>
      <c r="JU561" s="36"/>
      <c r="JV561" s="36"/>
      <c r="JW561" s="36"/>
      <c r="JX561" s="36"/>
      <c r="JY561" s="36"/>
      <c r="JZ561" s="36"/>
      <c r="KA561" s="36"/>
      <c r="KB561" s="36"/>
      <c r="KC561" s="36"/>
      <c r="KD561" s="36"/>
      <c r="KE561" s="36"/>
      <c r="KF561" s="36"/>
      <c r="KG561" s="36"/>
      <c r="KH561" s="36"/>
      <c r="KI561" s="36"/>
      <c r="KJ561" s="36"/>
      <c r="KK561" s="36"/>
      <c r="KL561" s="36"/>
      <c r="KM561" s="36"/>
      <c r="KN561" s="36"/>
      <c r="KO561" s="36"/>
      <c r="KP561" s="36"/>
      <c r="KQ561" s="36"/>
      <c r="KR561" s="36"/>
      <c r="KS561" s="36"/>
      <c r="KT561" s="36"/>
      <c r="KU561" s="36"/>
      <c r="KV561" s="36"/>
      <c r="KW561" s="36"/>
      <c r="KX561" s="36"/>
      <c r="KY561" s="36"/>
      <c r="KZ561" s="36"/>
      <c r="LA561" s="36"/>
      <c r="LB561" s="36"/>
      <c r="LC561" s="36"/>
      <c r="LD561" s="36"/>
      <c r="LE561" s="36"/>
      <c r="LF561" s="36"/>
      <c r="LG561" s="36"/>
      <c r="LH561" s="36"/>
      <c r="LI561" s="36"/>
      <c r="LJ561" s="36"/>
      <c r="LK561" s="36"/>
      <c r="LL561" s="36"/>
      <c r="LM561" s="36"/>
      <c r="LN561" s="36"/>
      <c r="LO561" s="36"/>
      <c r="LP561" s="36"/>
      <c r="LQ561" s="36"/>
      <c r="LR561" s="36"/>
      <c r="LS561" s="36"/>
      <c r="LT561" s="36"/>
      <c r="LU561" s="36"/>
      <c r="LV561" s="36"/>
      <c r="LW561" s="36"/>
      <c r="LX561" s="36"/>
      <c r="LY561" s="36"/>
      <c r="LZ561" s="36"/>
      <c r="MA561" s="36"/>
      <c r="MB561" s="36"/>
      <c r="MC561" s="36"/>
      <c r="MD561" s="36"/>
      <c r="ME561" s="36"/>
      <c r="MF561" s="36"/>
      <c r="MG561" s="36"/>
      <c r="MH561" s="36"/>
      <c r="MI561" s="36"/>
      <c r="MJ561" s="36"/>
      <c r="MK561" s="36"/>
      <c r="ML561" s="36"/>
      <c r="MM561" s="36"/>
      <c r="MN561" s="36"/>
      <c r="MO561" s="36"/>
      <c r="MP561" s="36"/>
      <c r="MQ561" s="36"/>
      <c r="MR561" s="36"/>
      <c r="MS561" s="36"/>
      <c r="MT561" s="36"/>
      <c r="MU561" s="36"/>
      <c r="MV561" s="36"/>
      <c r="MW561" s="36"/>
      <c r="MX561" s="36"/>
      <c r="MY561" s="36"/>
      <c r="MZ561" s="36"/>
      <c r="NA561" s="36"/>
      <c r="NB561" s="36"/>
      <c r="NC561" s="36"/>
      <c r="ND561" s="36"/>
      <c r="NE561" s="36"/>
      <c r="NF561" s="36"/>
      <c r="NG561" s="36"/>
      <c r="NH561" s="36"/>
      <c r="NI561" s="36"/>
      <c r="NJ561" s="36"/>
      <c r="NK561" s="36"/>
      <c r="NL561" s="36"/>
      <c r="NM561" s="36"/>
      <c r="NN561" s="36"/>
      <c r="NO561" s="36"/>
      <c r="NP561" s="36"/>
      <c r="NQ561" s="36"/>
      <c r="NR561" s="36"/>
      <c r="NS561" s="36"/>
      <c r="NT561" s="36"/>
      <c r="NU561" s="36"/>
      <c r="NV561" s="36"/>
      <c r="NW561" s="36"/>
      <c r="NX561" s="36"/>
      <c r="NY561" s="36"/>
      <c r="NZ561" s="36"/>
      <c r="OA561" s="36"/>
      <c r="OB561" s="36"/>
      <c r="OC561" s="36"/>
      <c r="OD561" s="36"/>
      <c r="OE561" s="36"/>
      <c r="OF561" s="36"/>
      <c r="OG561" s="36"/>
      <c r="OH561" s="36"/>
      <c r="OI561" s="36"/>
      <c r="OJ561" s="36"/>
      <c r="OK561" s="36"/>
      <c r="OL561" s="36"/>
      <c r="OM561" s="36"/>
      <c r="ON561" s="36"/>
      <c r="OO561" s="36"/>
      <c r="OP561" s="36"/>
      <c r="OQ561" s="36"/>
      <c r="OR561" s="36"/>
      <c r="OS561" s="36"/>
      <c r="OT561" s="36"/>
      <c r="OU561" s="36"/>
      <c r="OV561" s="36"/>
      <c r="OW561" s="36"/>
      <c r="OX561" s="36"/>
    </row>
    <row r="562" spans="2:414" s="27" customFormat="1" ht="15.6">
      <c r="B562" s="51" t="s">
        <v>1075</v>
      </c>
      <c r="C562" s="27" t="s">
        <v>568</v>
      </c>
      <c r="D562" s="29" t="s">
        <v>201</v>
      </c>
      <c r="G562" s="49">
        <v>80</v>
      </c>
      <c r="H562" s="89">
        <v>26.109000000000002</v>
      </c>
      <c r="I562" s="38">
        <f t="shared" si="165"/>
        <v>2088.7200000000003</v>
      </c>
      <c r="K562" s="49">
        <v>80</v>
      </c>
      <c r="L562" s="90">
        <v>26.849599999999999</v>
      </c>
      <c r="M562" s="38">
        <f t="shared" si="166"/>
        <v>2147.9679999999998</v>
      </c>
      <c r="O562" s="49">
        <v>505</v>
      </c>
      <c r="P562" s="38">
        <v>26.728300000000001</v>
      </c>
      <c r="Q562" s="38">
        <f t="shared" si="167"/>
        <v>13497.791500000001</v>
      </c>
      <c r="R562" s="43">
        <f t="shared" si="164"/>
        <v>665</v>
      </c>
      <c r="S562" s="38">
        <f t="shared" si="168"/>
        <v>17734.479500000001</v>
      </c>
      <c r="T562" s="52">
        <v>240</v>
      </c>
      <c r="U562" s="52">
        <v>26.76</v>
      </c>
      <c r="V562" s="38">
        <f t="shared" si="176"/>
        <v>6422.4000000000005</v>
      </c>
      <c r="W562" s="52">
        <v>505</v>
      </c>
      <c r="X562" s="52">
        <v>26.643899999999999</v>
      </c>
      <c r="Y562" s="35">
        <f t="shared" si="174"/>
        <v>13455.1695</v>
      </c>
      <c r="Z562" s="78"/>
      <c r="AB562" s="32">
        <f t="shared" si="175"/>
        <v>0</v>
      </c>
      <c r="AF562" s="42">
        <f t="shared" si="177"/>
        <v>0</v>
      </c>
      <c r="AU562" s="100"/>
      <c r="AV562" s="35"/>
      <c r="AW562" s="78"/>
      <c r="AZ562" s="42">
        <f t="shared" si="163"/>
        <v>0</v>
      </c>
      <c r="BD562" s="38">
        <f t="shared" si="169"/>
        <v>0</v>
      </c>
      <c r="BH562" s="38">
        <f t="shared" si="170"/>
        <v>0</v>
      </c>
      <c r="BL562" s="38">
        <f t="shared" si="171"/>
        <v>0</v>
      </c>
      <c r="BR562" s="42">
        <f t="shared" si="172"/>
        <v>19877.569500000001</v>
      </c>
      <c r="BS562" s="43"/>
      <c r="BT562" s="27">
        <v>2143.09</v>
      </c>
      <c r="BU562" s="36"/>
      <c r="BV562" s="36"/>
      <c r="BW562" s="36"/>
      <c r="BX562" s="36"/>
      <c r="BY562" s="36"/>
      <c r="BZ562" s="36"/>
      <c r="CA562" s="36"/>
      <c r="CB562" s="36"/>
      <c r="CC562" s="36"/>
      <c r="CD562" s="36"/>
      <c r="CE562" s="36"/>
      <c r="CF562" s="36"/>
      <c r="CG562" s="36"/>
      <c r="CH562" s="36"/>
      <c r="CI562" s="36"/>
      <c r="CJ562" s="36"/>
      <c r="CK562" s="36"/>
      <c r="CL562" s="36"/>
      <c r="CM562" s="36"/>
      <c r="CN562" s="36"/>
      <c r="CO562" s="36"/>
      <c r="CP562" s="36"/>
      <c r="CQ562" s="36"/>
      <c r="CR562" s="36"/>
      <c r="CS562" s="36"/>
      <c r="CT562" s="36"/>
      <c r="CU562" s="36"/>
      <c r="CV562" s="36"/>
      <c r="CW562" s="36"/>
      <c r="CX562" s="36"/>
      <c r="CY562" s="36"/>
      <c r="CZ562" s="36"/>
      <c r="DA562" s="36"/>
      <c r="DB562" s="36"/>
      <c r="DC562" s="36"/>
      <c r="DD562" s="36"/>
      <c r="DE562" s="36"/>
      <c r="DF562" s="36"/>
      <c r="DG562" s="36"/>
      <c r="DH562" s="36"/>
      <c r="DI562" s="36"/>
      <c r="DJ562" s="36"/>
      <c r="DK562" s="36"/>
      <c r="DL562" s="36"/>
      <c r="DM562" s="36"/>
      <c r="DN562" s="36"/>
      <c r="DO562" s="36"/>
      <c r="DP562" s="36"/>
      <c r="DQ562" s="36"/>
      <c r="DR562" s="36"/>
      <c r="DS562" s="36"/>
      <c r="DT562" s="36"/>
      <c r="DU562" s="36"/>
      <c r="DV562" s="36"/>
      <c r="DW562" s="36"/>
      <c r="DX562" s="36"/>
      <c r="DY562" s="36"/>
      <c r="DZ562" s="36"/>
      <c r="EA562" s="36"/>
      <c r="EB562" s="36"/>
      <c r="EC562" s="36"/>
      <c r="ED562" s="36"/>
      <c r="EE562" s="36"/>
      <c r="EF562" s="36"/>
      <c r="EG562" s="36"/>
      <c r="EH562" s="36"/>
      <c r="EI562" s="36"/>
      <c r="EJ562" s="36"/>
      <c r="EK562" s="36"/>
      <c r="EL562" s="36"/>
      <c r="EM562" s="36"/>
      <c r="EN562" s="36"/>
      <c r="EO562" s="36"/>
      <c r="EP562" s="36"/>
      <c r="EQ562" s="36"/>
      <c r="ER562" s="36"/>
      <c r="ES562" s="36"/>
      <c r="ET562" s="36"/>
      <c r="EU562" s="36"/>
      <c r="EV562" s="36"/>
      <c r="EW562" s="36"/>
      <c r="EX562" s="36"/>
      <c r="EY562" s="36"/>
      <c r="EZ562" s="36"/>
      <c r="FA562" s="36"/>
      <c r="FB562" s="36"/>
      <c r="FC562" s="36"/>
      <c r="FD562" s="36"/>
      <c r="FE562" s="36"/>
      <c r="FF562" s="36"/>
      <c r="FG562" s="36"/>
      <c r="FH562" s="36"/>
      <c r="FI562" s="36"/>
      <c r="FJ562" s="36"/>
      <c r="FK562" s="36"/>
      <c r="FL562" s="36"/>
      <c r="FM562" s="36"/>
      <c r="FN562" s="36"/>
      <c r="FO562" s="36"/>
      <c r="FP562" s="36"/>
      <c r="FQ562" s="36"/>
      <c r="FR562" s="36"/>
      <c r="FS562" s="36"/>
      <c r="FT562" s="36"/>
      <c r="FU562" s="36"/>
      <c r="FV562" s="36"/>
      <c r="FW562" s="36"/>
      <c r="FX562" s="36"/>
      <c r="FY562" s="36"/>
      <c r="FZ562" s="36"/>
      <c r="GA562" s="36"/>
      <c r="GB562" s="36"/>
      <c r="GC562" s="36"/>
      <c r="GD562" s="36"/>
      <c r="GE562" s="36"/>
      <c r="GF562" s="36"/>
      <c r="GG562" s="36"/>
      <c r="GH562" s="36"/>
      <c r="GI562" s="36"/>
      <c r="GJ562" s="36"/>
      <c r="GK562" s="36"/>
      <c r="GL562" s="36"/>
      <c r="GM562" s="36"/>
      <c r="GN562" s="36"/>
      <c r="GO562" s="36"/>
      <c r="GP562" s="36"/>
      <c r="GQ562" s="36"/>
      <c r="GR562" s="36"/>
      <c r="GS562" s="36"/>
      <c r="GT562" s="36"/>
      <c r="GU562" s="36"/>
      <c r="GV562" s="36"/>
      <c r="GW562" s="36"/>
      <c r="GX562" s="36"/>
      <c r="GY562" s="36"/>
      <c r="GZ562" s="36"/>
      <c r="HA562" s="36"/>
      <c r="HB562" s="36"/>
      <c r="HC562" s="36"/>
      <c r="HD562" s="36"/>
      <c r="HE562" s="36"/>
      <c r="HF562" s="36"/>
      <c r="HG562" s="36"/>
      <c r="HH562" s="36"/>
      <c r="HI562" s="36"/>
      <c r="HJ562" s="36"/>
      <c r="HK562" s="36"/>
      <c r="HL562" s="36"/>
      <c r="HM562" s="36"/>
      <c r="HN562" s="36"/>
      <c r="HO562" s="36"/>
      <c r="HP562" s="36"/>
      <c r="HQ562" s="36"/>
      <c r="HR562" s="36"/>
      <c r="HS562" s="36"/>
      <c r="HT562" s="36"/>
      <c r="HU562" s="36"/>
      <c r="HV562" s="36"/>
      <c r="HW562" s="36"/>
      <c r="HX562" s="36"/>
      <c r="HY562" s="36"/>
      <c r="HZ562" s="36"/>
      <c r="IA562" s="36"/>
      <c r="IB562" s="36"/>
      <c r="IC562" s="36"/>
      <c r="ID562" s="36"/>
      <c r="IE562" s="36"/>
      <c r="IF562" s="36"/>
      <c r="IG562" s="36"/>
      <c r="IH562" s="36"/>
      <c r="II562" s="36"/>
      <c r="IJ562" s="36"/>
      <c r="IK562" s="36"/>
      <c r="IL562" s="36"/>
      <c r="IM562" s="36"/>
      <c r="IN562" s="36"/>
      <c r="IO562" s="36"/>
      <c r="IP562" s="36"/>
      <c r="IQ562" s="36"/>
      <c r="IR562" s="36"/>
      <c r="IS562" s="36"/>
      <c r="IT562" s="36"/>
      <c r="IU562" s="36"/>
      <c r="IV562" s="36"/>
      <c r="IW562" s="36"/>
      <c r="IX562" s="36"/>
      <c r="IY562" s="36"/>
      <c r="IZ562" s="36"/>
      <c r="JA562" s="36"/>
      <c r="JB562" s="36"/>
      <c r="JC562" s="36"/>
      <c r="JD562" s="36"/>
      <c r="JE562" s="36"/>
      <c r="JF562" s="36"/>
      <c r="JG562" s="36"/>
      <c r="JH562" s="36"/>
      <c r="JI562" s="36"/>
      <c r="JJ562" s="36"/>
      <c r="JK562" s="36"/>
      <c r="JL562" s="36"/>
      <c r="JM562" s="36"/>
      <c r="JN562" s="36"/>
      <c r="JO562" s="36"/>
      <c r="JP562" s="36"/>
      <c r="JQ562" s="36"/>
      <c r="JR562" s="36"/>
      <c r="JS562" s="36"/>
      <c r="JT562" s="36"/>
      <c r="JU562" s="36"/>
      <c r="JV562" s="36"/>
      <c r="JW562" s="36"/>
      <c r="JX562" s="36"/>
      <c r="JY562" s="36"/>
      <c r="JZ562" s="36"/>
      <c r="KA562" s="36"/>
      <c r="KB562" s="36"/>
      <c r="KC562" s="36"/>
      <c r="KD562" s="36"/>
      <c r="KE562" s="36"/>
      <c r="KF562" s="36"/>
      <c r="KG562" s="36"/>
      <c r="KH562" s="36"/>
      <c r="KI562" s="36"/>
      <c r="KJ562" s="36"/>
      <c r="KK562" s="36"/>
      <c r="KL562" s="36"/>
      <c r="KM562" s="36"/>
      <c r="KN562" s="36"/>
      <c r="KO562" s="36"/>
      <c r="KP562" s="36"/>
      <c r="KQ562" s="36"/>
      <c r="KR562" s="36"/>
      <c r="KS562" s="36"/>
      <c r="KT562" s="36"/>
      <c r="KU562" s="36"/>
      <c r="KV562" s="36"/>
      <c r="KW562" s="36"/>
      <c r="KX562" s="36"/>
      <c r="KY562" s="36"/>
      <c r="KZ562" s="36"/>
      <c r="LA562" s="36"/>
      <c r="LB562" s="36"/>
      <c r="LC562" s="36"/>
      <c r="LD562" s="36"/>
      <c r="LE562" s="36"/>
      <c r="LF562" s="36"/>
      <c r="LG562" s="36"/>
      <c r="LH562" s="36"/>
      <c r="LI562" s="36"/>
      <c r="LJ562" s="36"/>
      <c r="LK562" s="36"/>
      <c r="LL562" s="36"/>
      <c r="LM562" s="36"/>
      <c r="LN562" s="36"/>
      <c r="LO562" s="36"/>
      <c r="LP562" s="36"/>
      <c r="LQ562" s="36"/>
      <c r="LR562" s="36"/>
      <c r="LS562" s="36"/>
      <c r="LT562" s="36"/>
      <c r="LU562" s="36"/>
      <c r="LV562" s="36"/>
      <c r="LW562" s="36"/>
      <c r="LX562" s="36"/>
      <c r="LY562" s="36"/>
      <c r="LZ562" s="36"/>
      <c r="MA562" s="36"/>
      <c r="MB562" s="36"/>
      <c r="MC562" s="36"/>
      <c r="MD562" s="36"/>
      <c r="ME562" s="36"/>
      <c r="MF562" s="36"/>
      <c r="MG562" s="36"/>
      <c r="MH562" s="36"/>
      <c r="MI562" s="36"/>
      <c r="MJ562" s="36"/>
      <c r="MK562" s="36"/>
      <c r="ML562" s="36"/>
      <c r="MM562" s="36"/>
      <c r="MN562" s="36"/>
      <c r="MO562" s="36"/>
      <c r="MP562" s="36"/>
      <c r="MQ562" s="36"/>
      <c r="MR562" s="36"/>
      <c r="MS562" s="36"/>
      <c r="MT562" s="36"/>
      <c r="MU562" s="36"/>
      <c r="MV562" s="36"/>
      <c r="MW562" s="36"/>
      <c r="MX562" s="36"/>
      <c r="MY562" s="36"/>
      <c r="MZ562" s="36"/>
      <c r="NA562" s="36"/>
      <c r="NB562" s="36"/>
      <c r="NC562" s="36"/>
      <c r="ND562" s="36"/>
      <c r="NE562" s="36"/>
      <c r="NF562" s="36"/>
      <c r="NG562" s="36"/>
      <c r="NH562" s="36"/>
      <c r="NI562" s="36"/>
      <c r="NJ562" s="36"/>
      <c r="NK562" s="36"/>
      <c r="NL562" s="36"/>
      <c r="NM562" s="36"/>
      <c r="NN562" s="36"/>
      <c r="NO562" s="36"/>
      <c r="NP562" s="36"/>
      <c r="NQ562" s="36"/>
      <c r="NR562" s="36"/>
      <c r="NS562" s="36"/>
      <c r="NT562" s="36"/>
      <c r="NU562" s="36"/>
      <c r="NV562" s="36"/>
      <c r="NW562" s="36"/>
      <c r="NX562" s="36"/>
      <c r="NY562" s="36"/>
      <c r="NZ562" s="36"/>
      <c r="OA562" s="36"/>
      <c r="OB562" s="36"/>
      <c r="OC562" s="36"/>
      <c r="OD562" s="36"/>
      <c r="OE562" s="36"/>
      <c r="OF562" s="36"/>
      <c r="OG562" s="36"/>
      <c r="OH562" s="36"/>
      <c r="OI562" s="36"/>
      <c r="OJ562" s="36"/>
      <c r="OK562" s="36"/>
      <c r="OL562" s="36"/>
      <c r="OM562" s="36"/>
      <c r="ON562" s="36"/>
      <c r="OO562" s="36"/>
      <c r="OP562" s="36"/>
      <c r="OQ562" s="36"/>
      <c r="OR562" s="36"/>
      <c r="OS562" s="36"/>
      <c r="OT562" s="36"/>
      <c r="OU562" s="36"/>
      <c r="OV562" s="36"/>
      <c r="OW562" s="36"/>
      <c r="OX562" s="36"/>
    </row>
    <row r="563" spans="2:414" s="27" customFormat="1" ht="15.6">
      <c r="B563" s="51" t="s">
        <v>635</v>
      </c>
      <c r="C563" s="27" t="s">
        <v>1076</v>
      </c>
      <c r="D563" s="29" t="s">
        <v>201</v>
      </c>
      <c r="G563" s="49">
        <v>80</v>
      </c>
      <c r="H563" s="89">
        <v>26.109000000000002</v>
      </c>
      <c r="I563" s="38">
        <f t="shared" si="165"/>
        <v>2088.7200000000003</v>
      </c>
      <c r="K563" s="49">
        <v>80</v>
      </c>
      <c r="L563" s="90">
        <v>26.849599999999999</v>
      </c>
      <c r="M563" s="38">
        <f t="shared" si="166"/>
        <v>2147.9679999999998</v>
      </c>
      <c r="O563" s="49">
        <v>505</v>
      </c>
      <c r="P563" s="38">
        <v>26.728300000000001</v>
      </c>
      <c r="Q563" s="38">
        <f t="shared" si="167"/>
        <v>13497.791500000001</v>
      </c>
      <c r="R563" s="43">
        <f t="shared" si="164"/>
        <v>665</v>
      </c>
      <c r="S563" s="38">
        <f t="shared" si="168"/>
        <v>17734.479500000001</v>
      </c>
      <c r="T563" s="27">
        <v>240</v>
      </c>
      <c r="U563" s="52">
        <v>26.26</v>
      </c>
      <c r="V563" s="38">
        <f t="shared" si="176"/>
        <v>6302.4000000000005</v>
      </c>
      <c r="W563" s="52">
        <v>505</v>
      </c>
      <c r="X563" s="52">
        <v>26.74</v>
      </c>
      <c r="Y563" s="35">
        <f t="shared" si="174"/>
        <v>13503.699999999999</v>
      </c>
      <c r="Z563" s="78"/>
      <c r="AB563" s="32">
        <f t="shared" si="175"/>
        <v>0</v>
      </c>
      <c r="AF563" s="42">
        <f t="shared" si="177"/>
        <v>0</v>
      </c>
      <c r="AU563" s="100"/>
      <c r="AV563" s="35"/>
      <c r="AW563" s="78"/>
      <c r="AZ563" s="42">
        <f t="shared" si="163"/>
        <v>0</v>
      </c>
      <c r="BD563" s="38">
        <f t="shared" si="169"/>
        <v>0</v>
      </c>
      <c r="BH563" s="38">
        <f t="shared" si="170"/>
        <v>0</v>
      </c>
      <c r="BL563" s="38">
        <f t="shared" si="171"/>
        <v>0</v>
      </c>
      <c r="BR563" s="42">
        <f t="shared" si="172"/>
        <v>19806.099999999999</v>
      </c>
      <c r="BS563" s="43"/>
      <c r="BT563" s="27">
        <v>2071.62</v>
      </c>
      <c r="BU563" s="36"/>
      <c r="BV563" s="36"/>
      <c r="BW563" s="36"/>
      <c r="BX563" s="36"/>
      <c r="BY563" s="36"/>
      <c r="BZ563" s="36"/>
      <c r="CA563" s="36"/>
      <c r="CB563" s="36"/>
      <c r="CC563" s="36"/>
      <c r="CD563" s="36"/>
      <c r="CE563" s="36"/>
      <c r="CF563" s="36"/>
      <c r="CG563" s="36"/>
      <c r="CH563" s="36"/>
      <c r="CI563" s="36"/>
      <c r="CJ563" s="36"/>
      <c r="CK563" s="36"/>
      <c r="CL563" s="36"/>
      <c r="CM563" s="36"/>
      <c r="CN563" s="36"/>
      <c r="CO563" s="36"/>
      <c r="CP563" s="36"/>
      <c r="CQ563" s="36"/>
      <c r="CR563" s="36"/>
      <c r="CS563" s="36"/>
      <c r="CT563" s="36"/>
      <c r="CU563" s="36"/>
      <c r="CV563" s="36"/>
      <c r="CW563" s="36"/>
      <c r="CX563" s="36"/>
      <c r="CY563" s="36"/>
      <c r="CZ563" s="36"/>
      <c r="DA563" s="36"/>
      <c r="DB563" s="36"/>
      <c r="DC563" s="36"/>
      <c r="DD563" s="36"/>
      <c r="DE563" s="36"/>
      <c r="DF563" s="36"/>
      <c r="DG563" s="36"/>
      <c r="DH563" s="36"/>
      <c r="DI563" s="36"/>
      <c r="DJ563" s="36"/>
      <c r="DK563" s="36"/>
      <c r="DL563" s="36"/>
      <c r="DM563" s="36"/>
      <c r="DN563" s="36"/>
      <c r="DO563" s="36"/>
      <c r="DP563" s="36"/>
      <c r="DQ563" s="36"/>
      <c r="DR563" s="36"/>
      <c r="DS563" s="36"/>
      <c r="DT563" s="36"/>
      <c r="DU563" s="36"/>
      <c r="DV563" s="36"/>
      <c r="DW563" s="36"/>
      <c r="DX563" s="36"/>
      <c r="DY563" s="36"/>
      <c r="DZ563" s="36"/>
      <c r="EA563" s="36"/>
      <c r="EB563" s="36"/>
      <c r="EC563" s="36"/>
      <c r="ED563" s="36"/>
      <c r="EE563" s="36"/>
      <c r="EF563" s="36"/>
      <c r="EG563" s="36"/>
      <c r="EH563" s="36"/>
      <c r="EI563" s="36"/>
      <c r="EJ563" s="36"/>
      <c r="EK563" s="36"/>
      <c r="EL563" s="36"/>
      <c r="EM563" s="36"/>
      <c r="EN563" s="36"/>
      <c r="EO563" s="36"/>
      <c r="EP563" s="36"/>
      <c r="EQ563" s="36"/>
      <c r="ER563" s="36"/>
      <c r="ES563" s="36"/>
      <c r="ET563" s="36"/>
      <c r="EU563" s="36"/>
      <c r="EV563" s="36"/>
      <c r="EW563" s="36"/>
      <c r="EX563" s="36"/>
      <c r="EY563" s="36"/>
      <c r="EZ563" s="36"/>
      <c r="FA563" s="36"/>
      <c r="FB563" s="36"/>
      <c r="FC563" s="36"/>
      <c r="FD563" s="36"/>
      <c r="FE563" s="36"/>
      <c r="FF563" s="36"/>
      <c r="FG563" s="36"/>
      <c r="FH563" s="36"/>
      <c r="FI563" s="36"/>
      <c r="FJ563" s="36"/>
      <c r="FK563" s="36"/>
      <c r="FL563" s="36"/>
      <c r="FM563" s="36"/>
      <c r="FN563" s="36"/>
      <c r="FO563" s="36"/>
      <c r="FP563" s="36"/>
      <c r="FQ563" s="36"/>
      <c r="FR563" s="36"/>
      <c r="FS563" s="36"/>
      <c r="FT563" s="36"/>
      <c r="FU563" s="36"/>
      <c r="FV563" s="36"/>
      <c r="FW563" s="36"/>
      <c r="FX563" s="36"/>
      <c r="FY563" s="36"/>
      <c r="FZ563" s="36"/>
      <c r="GA563" s="36"/>
      <c r="GB563" s="36"/>
      <c r="GC563" s="36"/>
      <c r="GD563" s="36"/>
      <c r="GE563" s="36"/>
      <c r="GF563" s="36"/>
      <c r="GG563" s="36"/>
      <c r="GH563" s="36"/>
      <c r="GI563" s="36"/>
      <c r="GJ563" s="36"/>
      <c r="GK563" s="36"/>
      <c r="GL563" s="36"/>
      <c r="GM563" s="36"/>
      <c r="GN563" s="36"/>
      <c r="GO563" s="36"/>
      <c r="GP563" s="36"/>
      <c r="GQ563" s="36"/>
      <c r="GR563" s="36"/>
      <c r="GS563" s="36"/>
      <c r="GT563" s="36"/>
      <c r="GU563" s="36"/>
      <c r="GV563" s="36"/>
      <c r="GW563" s="36"/>
      <c r="GX563" s="36"/>
      <c r="GY563" s="36"/>
      <c r="GZ563" s="36"/>
      <c r="HA563" s="36"/>
      <c r="HB563" s="36"/>
      <c r="HC563" s="36"/>
      <c r="HD563" s="36"/>
      <c r="HE563" s="36"/>
      <c r="HF563" s="36"/>
      <c r="HG563" s="36"/>
      <c r="HH563" s="36"/>
      <c r="HI563" s="36"/>
      <c r="HJ563" s="36"/>
      <c r="HK563" s="36"/>
      <c r="HL563" s="36"/>
      <c r="HM563" s="36"/>
      <c r="HN563" s="36"/>
      <c r="HO563" s="36"/>
      <c r="HP563" s="36"/>
      <c r="HQ563" s="36"/>
      <c r="HR563" s="36"/>
      <c r="HS563" s="36"/>
      <c r="HT563" s="36"/>
      <c r="HU563" s="36"/>
      <c r="HV563" s="36"/>
      <c r="HW563" s="36"/>
      <c r="HX563" s="36"/>
      <c r="HY563" s="36"/>
      <c r="HZ563" s="36"/>
      <c r="IA563" s="36"/>
      <c r="IB563" s="36"/>
      <c r="IC563" s="36"/>
      <c r="ID563" s="36"/>
      <c r="IE563" s="36"/>
      <c r="IF563" s="36"/>
      <c r="IG563" s="36"/>
      <c r="IH563" s="36"/>
      <c r="II563" s="36"/>
      <c r="IJ563" s="36"/>
      <c r="IK563" s="36"/>
      <c r="IL563" s="36"/>
      <c r="IM563" s="36"/>
      <c r="IN563" s="36"/>
      <c r="IO563" s="36"/>
      <c r="IP563" s="36"/>
      <c r="IQ563" s="36"/>
      <c r="IR563" s="36"/>
      <c r="IS563" s="36"/>
      <c r="IT563" s="36"/>
      <c r="IU563" s="36"/>
      <c r="IV563" s="36"/>
      <c r="IW563" s="36"/>
      <c r="IX563" s="36"/>
      <c r="IY563" s="36"/>
      <c r="IZ563" s="36"/>
      <c r="JA563" s="36"/>
      <c r="JB563" s="36"/>
      <c r="JC563" s="36"/>
      <c r="JD563" s="36"/>
      <c r="JE563" s="36"/>
      <c r="JF563" s="36"/>
      <c r="JG563" s="36"/>
      <c r="JH563" s="36"/>
      <c r="JI563" s="36"/>
      <c r="JJ563" s="36"/>
      <c r="JK563" s="36"/>
      <c r="JL563" s="36"/>
      <c r="JM563" s="36"/>
      <c r="JN563" s="36"/>
      <c r="JO563" s="36"/>
      <c r="JP563" s="36"/>
      <c r="JQ563" s="36"/>
      <c r="JR563" s="36"/>
      <c r="JS563" s="36"/>
      <c r="JT563" s="36"/>
      <c r="JU563" s="36"/>
      <c r="JV563" s="36"/>
      <c r="JW563" s="36"/>
      <c r="JX563" s="36"/>
      <c r="JY563" s="36"/>
      <c r="JZ563" s="36"/>
      <c r="KA563" s="36"/>
      <c r="KB563" s="36"/>
      <c r="KC563" s="36"/>
      <c r="KD563" s="36"/>
      <c r="KE563" s="36"/>
      <c r="KF563" s="36"/>
      <c r="KG563" s="36"/>
      <c r="KH563" s="36"/>
      <c r="KI563" s="36"/>
      <c r="KJ563" s="36"/>
      <c r="KK563" s="36"/>
      <c r="KL563" s="36"/>
      <c r="KM563" s="36"/>
      <c r="KN563" s="36"/>
      <c r="KO563" s="36"/>
      <c r="KP563" s="36"/>
      <c r="KQ563" s="36"/>
      <c r="KR563" s="36"/>
      <c r="KS563" s="36"/>
      <c r="KT563" s="36"/>
      <c r="KU563" s="36"/>
      <c r="KV563" s="36"/>
      <c r="KW563" s="36"/>
      <c r="KX563" s="36"/>
      <c r="KY563" s="36"/>
      <c r="KZ563" s="36"/>
      <c r="LA563" s="36"/>
      <c r="LB563" s="36"/>
      <c r="LC563" s="36"/>
      <c r="LD563" s="36"/>
      <c r="LE563" s="36"/>
      <c r="LF563" s="36"/>
      <c r="LG563" s="36"/>
      <c r="LH563" s="36"/>
      <c r="LI563" s="36"/>
      <c r="LJ563" s="36"/>
      <c r="LK563" s="36"/>
      <c r="LL563" s="36"/>
      <c r="LM563" s="36"/>
      <c r="LN563" s="36"/>
      <c r="LO563" s="36"/>
      <c r="LP563" s="36"/>
      <c r="LQ563" s="36"/>
      <c r="LR563" s="36"/>
      <c r="LS563" s="36"/>
      <c r="LT563" s="36"/>
      <c r="LU563" s="36"/>
      <c r="LV563" s="36"/>
      <c r="LW563" s="36"/>
      <c r="LX563" s="36"/>
      <c r="LY563" s="36"/>
      <c r="LZ563" s="36"/>
      <c r="MA563" s="36"/>
      <c r="MB563" s="36"/>
      <c r="MC563" s="36"/>
      <c r="MD563" s="36"/>
      <c r="ME563" s="36"/>
      <c r="MF563" s="36"/>
      <c r="MG563" s="36"/>
      <c r="MH563" s="36"/>
      <c r="MI563" s="36"/>
      <c r="MJ563" s="36"/>
      <c r="MK563" s="36"/>
      <c r="ML563" s="36"/>
      <c r="MM563" s="36"/>
      <c r="MN563" s="36"/>
      <c r="MO563" s="36"/>
      <c r="MP563" s="36"/>
      <c r="MQ563" s="36"/>
      <c r="MR563" s="36"/>
      <c r="MS563" s="36"/>
      <c r="MT563" s="36"/>
      <c r="MU563" s="36"/>
      <c r="MV563" s="36"/>
      <c r="MW563" s="36"/>
      <c r="MX563" s="36"/>
      <c r="MY563" s="36"/>
      <c r="MZ563" s="36"/>
      <c r="NA563" s="36"/>
      <c r="NB563" s="36"/>
      <c r="NC563" s="36"/>
      <c r="ND563" s="36"/>
      <c r="NE563" s="36"/>
      <c r="NF563" s="36"/>
      <c r="NG563" s="36"/>
      <c r="NH563" s="36"/>
      <c r="NI563" s="36"/>
      <c r="NJ563" s="36"/>
      <c r="NK563" s="36"/>
      <c r="NL563" s="36"/>
      <c r="NM563" s="36"/>
      <c r="NN563" s="36"/>
      <c r="NO563" s="36"/>
      <c r="NP563" s="36"/>
      <c r="NQ563" s="36"/>
      <c r="NR563" s="36"/>
      <c r="NS563" s="36"/>
      <c r="NT563" s="36"/>
      <c r="NU563" s="36"/>
      <c r="NV563" s="36"/>
      <c r="NW563" s="36"/>
      <c r="NX563" s="36"/>
      <c r="NY563" s="36"/>
      <c r="NZ563" s="36"/>
      <c r="OA563" s="36"/>
      <c r="OB563" s="36"/>
      <c r="OC563" s="36"/>
      <c r="OD563" s="36"/>
      <c r="OE563" s="36"/>
      <c r="OF563" s="36"/>
      <c r="OG563" s="36"/>
      <c r="OH563" s="36"/>
      <c r="OI563" s="36"/>
      <c r="OJ563" s="36"/>
      <c r="OK563" s="36"/>
      <c r="OL563" s="36"/>
      <c r="OM563" s="36"/>
      <c r="ON563" s="36"/>
      <c r="OO563" s="36"/>
      <c r="OP563" s="36"/>
      <c r="OQ563" s="36"/>
      <c r="OR563" s="36"/>
      <c r="OS563" s="36"/>
      <c r="OT563" s="36"/>
      <c r="OU563" s="36"/>
      <c r="OV563" s="36"/>
      <c r="OW563" s="36"/>
      <c r="OX563" s="36"/>
    </row>
    <row r="564" spans="2:414" s="27" customFormat="1" ht="15.6">
      <c r="B564" s="51" t="s">
        <v>1077</v>
      </c>
      <c r="C564" s="27" t="s">
        <v>782</v>
      </c>
      <c r="D564" s="29" t="s">
        <v>201</v>
      </c>
      <c r="G564" s="49">
        <v>80</v>
      </c>
      <c r="H564" s="89">
        <v>26.109000000000002</v>
      </c>
      <c r="I564" s="38">
        <f t="shared" si="165"/>
        <v>2088.7200000000003</v>
      </c>
      <c r="K564" s="49">
        <v>80</v>
      </c>
      <c r="L564" s="90">
        <v>26.849599999999999</v>
      </c>
      <c r="M564" s="38">
        <f t="shared" si="166"/>
        <v>2147.9679999999998</v>
      </c>
      <c r="O564" s="49">
        <v>505</v>
      </c>
      <c r="P564" s="38">
        <v>26.728300000000001</v>
      </c>
      <c r="Q564" s="38">
        <f t="shared" si="167"/>
        <v>13497.791500000001</v>
      </c>
      <c r="R564" s="43">
        <f t="shared" si="164"/>
        <v>665</v>
      </c>
      <c r="S564" s="38">
        <f t="shared" si="168"/>
        <v>17734.479500000001</v>
      </c>
      <c r="T564" s="52">
        <v>240</v>
      </c>
      <c r="U564" s="52">
        <v>26.55</v>
      </c>
      <c r="V564" s="38">
        <f t="shared" si="176"/>
        <v>6372</v>
      </c>
      <c r="W564" s="52">
        <v>505</v>
      </c>
      <c r="X564" s="52">
        <v>26.550999999999998</v>
      </c>
      <c r="Y564" s="35">
        <f t="shared" si="174"/>
        <v>13408.254999999999</v>
      </c>
      <c r="Z564" s="78"/>
      <c r="AB564" s="32">
        <f t="shared" si="175"/>
        <v>0</v>
      </c>
      <c r="AF564" s="42">
        <f t="shared" si="177"/>
        <v>0</v>
      </c>
      <c r="AU564" s="100"/>
      <c r="AV564" s="35"/>
      <c r="AW564" s="78"/>
      <c r="AZ564" s="42">
        <f t="shared" si="163"/>
        <v>0</v>
      </c>
      <c r="BD564" s="38">
        <f t="shared" si="169"/>
        <v>0</v>
      </c>
      <c r="BH564" s="38">
        <f t="shared" si="170"/>
        <v>0</v>
      </c>
      <c r="BL564" s="38">
        <f t="shared" si="171"/>
        <v>0</v>
      </c>
      <c r="BR564" s="42">
        <f t="shared" si="172"/>
        <v>19780.254999999997</v>
      </c>
      <c r="BS564" s="43"/>
      <c r="BT564" s="27">
        <v>2045.78</v>
      </c>
      <c r="BU564" s="36"/>
      <c r="BV564" s="36"/>
      <c r="BW564" s="36"/>
      <c r="BX564" s="36"/>
      <c r="BY564" s="36"/>
      <c r="BZ564" s="36"/>
      <c r="CA564" s="36"/>
      <c r="CB564" s="36"/>
      <c r="CC564" s="36"/>
      <c r="CD564" s="36"/>
      <c r="CE564" s="36"/>
      <c r="CF564" s="36"/>
      <c r="CG564" s="36"/>
      <c r="CH564" s="36"/>
      <c r="CI564" s="36"/>
      <c r="CJ564" s="36"/>
      <c r="CK564" s="36"/>
      <c r="CL564" s="36"/>
      <c r="CM564" s="36"/>
      <c r="CN564" s="36"/>
      <c r="CO564" s="36"/>
      <c r="CP564" s="36"/>
      <c r="CQ564" s="36"/>
      <c r="CR564" s="36"/>
      <c r="CS564" s="36"/>
      <c r="CT564" s="36"/>
      <c r="CU564" s="36"/>
      <c r="CV564" s="36"/>
      <c r="CW564" s="36"/>
      <c r="CX564" s="36"/>
      <c r="CY564" s="36"/>
      <c r="CZ564" s="36"/>
      <c r="DA564" s="36"/>
      <c r="DB564" s="36"/>
      <c r="DC564" s="36"/>
      <c r="DD564" s="36"/>
      <c r="DE564" s="36"/>
      <c r="DF564" s="36"/>
      <c r="DG564" s="36"/>
      <c r="DH564" s="36"/>
      <c r="DI564" s="36"/>
      <c r="DJ564" s="36"/>
      <c r="DK564" s="36"/>
      <c r="DL564" s="36"/>
      <c r="DM564" s="36"/>
      <c r="DN564" s="36"/>
      <c r="DO564" s="36"/>
      <c r="DP564" s="36"/>
      <c r="DQ564" s="36"/>
      <c r="DR564" s="36"/>
      <c r="DS564" s="36"/>
      <c r="DT564" s="36"/>
      <c r="DU564" s="36"/>
      <c r="DV564" s="36"/>
      <c r="DW564" s="36"/>
      <c r="DX564" s="36"/>
      <c r="DY564" s="36"/>
      <c r="DZ564" s="36"/>
      <c r="EA564" s="36"/>
      <c r="EB564" s="36"/>
      <c r="EC564" s="36"/>
      <c r="ED564" s="36"/>
      <c r="EE564" s="36"/>
      <c r="EF564" s="36"/>
      <c r="EG564" s="36"/>
      <c r="EH564" s="36"/>
      <c r="EI564" s="36"/>
      <c r="EJ564" s="36"/>
      <c r="EK564" s="36"/>
      <c r="EL564" s="36"/>
      <c r="EM564" s="36"/>
      <c r="EN564" s="36"/>
      <c r="EO564" s="36"/>
      <c r="EP564" s="36"/>
      <c r="EQ564" s="36"/>
      <c r="ER564" s="36"/>
      <c r="ES564" s="36"/>
      <c r="ET564" s="36"/>
      <c r="EU564" s="36"/>
      <c r="EV564" s="36"/>
      <c r="EW564" s="36"/>
      <c r="EX564" s="36"/>
      <c r="EY564" s="36"/>
      <c r="EZ564" s="36"/>
      <c r="FA564" s="36"/>
      <c r="FB564" s="36"/>
      <c r="FC564" s="36"/>
      <c r="FD564" s="36"/>
      <c r="FE564" s="36"/>
      <c r="FF564" s="36"/>
      <c r="FG564" s="36"/>
      <c r="FH564" s="36"/>
      <c r="FI564" s="36"/>
      <c r="FJ564" s="36"/>
      <c r="FK564" s="36"/>
      <c r="FL564" s="36"/>
      <c r="FM564" s="36"/>
      <c r="FN564" s="36"/>
      <c r="FO564" s="36"/>
      <c r="FP564" s="36"/>
      <c r="FQ564" s="36"/>
      <c r="FR564" s="36"/>
      <c r="FS564" s="36"/>
      <c r="FT564" s="36"/>
      <c r="FU564" s="36"/>
      <c r="FV564" s="36"/>
      <c r="FW564" s="36"/>
      <c r="FX564" s="36"/>
      <c r="FY564" s="36"/>
      <c r="FZ564" s="36"/>
      <c r="GA564" s="36"/>
      <c r="GB564" s="36"/>
      <c r="GC564" s="36"/>
      <c r="GD564" s="36"/>
      <c r="GE564" s="36"/>
      <c r="GF564" s="36"/>
      <c r="GG564" s="36"/>
      <c r="GH564" s="36"/>
      <c r="GI564" s="36"/>
      <c r="GJ564" s="36"/>
      <c r="GK564" s="36"/>
      <c r="GL564" s="36"/>
      <c r="GM564" s="36"/>
      <c r="GN564" s="36"/>
      <c r="GO564" s="36"/>
      <c r="GP564" s="36"/>
      <c r="GQ564" s="36"/>
      <c r="GR564" s="36"/>
      <c r="GS564" s="36"/>
      <c r="GT564" s="36"/>
      <c r="GU564" s="36"/>
      <c r="GV564" s="36"/>
      <c r="GW564" s="36"/>
      <c r="GX564" s="36"/>
      <c r="GY564" s="36"/>
      <c r="GZ564" s="36"/>
      <c r="HA564" s="36"/>
      <c r="HB564" s="36"/>
      <c r="HC564" s="36"/>
      <c r="HD564" s="36"/>
      <c r="HE564" s="36"/>
      <c r="HF564" s="36"/>
      <c r="HG564" s="36"/>
      <c r="HH564" s="36"/>
      <c r="HI564" s="36"/>
      <c r="HJ564" s="36"/>
      <c r="HK564" s="36"/>
      <c r="HL564" s="36"/>
      <c r="HM564" s="36"/>
      <c r="HN564" s="36"/>
      <c r="HO564" s="36"/>
      <c r="HP564" s="36"/>
      <c r="HQ564" s="36"/>
      <c r="HR564" s="36"/>
      <c r="HS564" s="36"/>
      <c r="HT564" s="36"/>
      <c r="HU564" s="36"/>
      <c r="HV564" s="36"/>
      <c r="HW564" s="36"/>
      <c r="HX564" s="36"/>
      <c r="HY564" s="36"/>
      <c r="HZ564" s="36"/>
      <c r="IA564" s="36"/>
      <c r="IB564" s="36"/>
      <c r="IC564" s="36"/>
      <c r="ID564" s="36"/>
      <c r="IE564" s="36"/>
      <c r="IF564" s="36"/>
      <c r="IG564" s="36"/>
      <c r="IH564" s="36"/>
      <c r="II564" s="36"/>
      <c r="IJ564" s="36"/>
      <c r="IK564" s="36"/>
      <c r="IL564" s="36"/>
      <c r="IM564" s="36"/>
      <c r="IN564" s="36"/>
      <c r="IO564" s="36"/>
      <c r="IP564" s="36"/>
      <c r="IQ564" s="36"/>
      <c r="IR564" s="36"/>
      <c r="IS564" s="36"/>
      <c r="IT564" s="36"/>
      <c r="IU564" s="36"/>
      <c r="IV564" s="36"/>
      <c r="IW564" s="36"/>
      <c r="IX564" s="36"/>
      <c r="IY564" s="36"/>
      <c r="IZ564" s="36"/>
      <c r="JA564" s="36"/>
      <c r="JB564" s="36"/>
      <c r="JC564" s="36"/>
      <c r="JD564" s="36"/>
      <c r="JE564" s="36"/>
      <c r="JF564" s="36"/>
      <c r="JG564" s="36"/>
      <c r="JH564" s="36"/>
      <c r="JI564" s="36"/>
      <c r="JJ564" s="36"/>
      <c r="JK564" s="36"/>
      <c r="JL564" s="36"/>
      <c r="JM564" s="36"/>
      <c r="JN564" s="36"/>
      <c r="JO564" s="36"/>
      <c r="JP564" s="36"/>
      <c r="JQ564" s="36"/>
      <c r="JR564" s="36"/>
      <c r="JS564" s="36"/>
      <c r="JT564" s="36"/>
      <c r="JU564" s="36"/>
      <c r="JV564" s="36"/>
      <c r="JW564" s="36"/>
      <c r="JX564" s="36"/>
      <c r="JY564" s="36"/>
      <c r="JZ564" s="36"/>
      <c r="KA564" s="36"/>
      <c r="KB564" s="36"/>
      <c r="KC564" s="36"/>
      <c r="KD564" s="36"/>
      <c r="KE564" s="36"/>
      <c r="KF564" s="36"/>
      <c r="KG564" s="36"/>
      <c r="KH564" s="36"/>
      <c r="KI564" s="36"/>
      <c r="KJ564" s="36"/>
      <c r="KK564" s="36"/>
      <c r="KL564" s="36"/>
      <c r="KM564" s="36"/>
      <c r="KN564" s="36"/>
      <c r="KO564" s="36"/>
      <c r="KP564" s="36"/>
      <c r="KQ564" s="36"/>
      <c r="KR564" s="36"/>
      <c r="KS564" s="36"/>
      <c r="KT564" s="36"/>
      <c r="KU564" s="36"/>
      <c r="KV564" s="36"/>
      <c r="KW564" s="36"/>
      <c r="KX564" s="36"/>
      <c r="KY564" s="36"/>
      <c r="KZ564" s="36"/>
      <c r="LA564" s="36"/>
      <c r="LB564" s="36"/>
      <c r="LC564" s="36"/>
      <c r="LD564" s="36"/>
      <c r="LE564" s="36"/>
      <c r="LF564" s="36"/>
      <c r="LG564" s="36"/>
      <c r="LH564" s="36"/>
      <c r="LI564" s="36"/>
      <c r="LJ564" s="36"/>
      <c r="LK564" s="36"/>
      <c r="LL564" s="36"/>
      <c r="LM564" s="36"/>
      <c r="LN564" s="36"/>
      <c r="LO564" s="36"/>
      <c r="LP564" s="36"/>
      <c r="LQ564" s="36"/>
      <c r="LR564" s="36"/>
      <c r="LS564" s="36"/>
      <c r="LT564" s="36"/>
      <c r="LU564" s="36"/>
      <c r="LV564" s="36"/>
      <c r="LW564" s="36"/>
      <c r="LX564" s="36"/>
      <c r="LY564" s="36"/>
      <c r="LZ564" s="36"/>
      <c r="MA564" s="36"/>
      <c r="MB564" s="36"/>
      <c r="MC564" s="36"/>
      <c r="MD564" s="36"/>
      <c r="ME564" s="36"/>
      <c r="MF564" s="36"/>
      <c r="MG564" s="36"/>
      <c r="MH564" s="36"/>
      <c r="MI564" s="36"/>
      <c r="MJ564" s="36"/>
      <c r="MK564" s="36"/>
      <c r="ML564" s="36"/>
      <c r="MM564" s="36"/>
      <c r="MN564" s="36"/>
      <c r="MO564" s="36"/>
      <c r="MP564" s="36"/>
      <c r="MQ564" s="36"/>
      <c r="MR564" s="36"/>
      <c r="MS564" s="36"/>
      <c r="MT564" s="36"/>
      <c r="MU564" s="36"/>
      <c r="MV564" s="36"/>
      <c r="MW564" s="36"/>
      <c r="MX564" s="36"/>
      <c r="MY564" s="36"/>
      <c r="MZ564" s="36"/>
      <c r="NA564" s="36"/>
      <c r="NB564" s="36"/>
      <c r="NC564" s="36"/>
      <c r="ND564" s="36"/>
      <c r="NE564" s="36"/>
      <c r="NF564" s="36"/>
      <c r="NG564" s="36"/>
      <c r="NH564" s="36"/>
      <c r="NI564" s="36"/>
      <c r="NJ564" s="36"/>
      <c r="NK564" s="36"/>
      <c r="NL564" s="36"/>
      <c r="NM564" s="36"/>
      <c r="NN564" s="36"/>
      <c r="NO564" s="36"/>
      <c r="NP564" s="36"/>
      <c r="NQ564" s="36"/>
      <c r="NR564" s="36"/>
      <c r="NS564" s="36"/>
      <c r="NT564" s="36"/>
      <c r="NU564" s="36"/>
      <c r="NV564" s="36"/>
      <c r="NW564" s="36"/>
      <c r="NX564" s="36"/>
      <c r="NY564" s="36"/>
      <c r="NZ564" s="36"/>
      <c r="OA564" s="36"/>
      <c r="OB564" s="36"/>
      <c r="OC564" s="36"/>
      <c r="OD564" s="36"/>
      <c r="OE564" s="36"/>
      <c r="OF564" s="36"/>
      <c r="OG564" s="36"/>
      <c r="OH564" s="36"/>
      <c r="OI564" s="36"/>
      <c r="OJ564" s="36"/>
      <c r="OK564" s="36"/>
      <c r="OL564" s="36"/>
      <c r="OM564" s="36"/>
      <c r="ON564" s="36"/>
      <c r="OO564" s="36"/>
      <c r="OP564" s="36"/>
      <c r="OQ564" s="36"/>
      <c r="OR564" s="36"/>
      <c r="OS564" s="36"/>
      <c r="OT564" s="36"/>
      <c r="OU564" s="36"/>
      <c r="OV564" s="36"/>
      <c r="OW564" s="36"/>
      <c r="OX564" s="36"/>
    </row>
    <row r="565" spans="2:414" s="27" customFormat="1" ht="15.6">
      <c r="B565" s="51" t="s">
        <v>1078</v>
      </c>
      <c r="C565" s="27" t="s">
        <v>714</v>
      </c>
      <c r="D565" s="29" t="s">
        <v>201</v>
      </c>
      <c r="G565" s="49">
        <v>80</v>
      </c>
      <c r="H565" s="89">
        <v>26.109000000000002</v>
      </c>
      <c r="I565" s="38">
        <f t="shared" si="165"/>
        <v>2088.7200000000003</v>
      </c>
      <c r="K565" s="49">
        <v>80</v>
      </c>
      <c r="L565" s="90">
        <v>26.849599999999999</v>
      </c>
      <c r="M565" s="38">
        <f t="shared" si="166"/>
        <v>2147.9679999999998</v>
      </c>
      <c r="O565" s="49">
        <v>505</v>
      </c>
      <c r="P565" s="38">
        <v>26.728300000000001</v>
      </c>
      <c r="Q565" s="38">
        <f t="shared" si="167"/>
        <v>13497.791500000001</v>
      </c>
      <c r="R565" s="43">
        <f t="shared" si="164"/>
        <v>665</v>
      </c>
      <c r="S565" s="38">
        <f t="shared" si="168"/>
        <v>17734.479500000001</v>
      </c>
      <c r="T565" s="27">
        <v>240</v>
      </c>
      <c r="U565" s="52">
        <v>26.55</v>
      </c>
      <c r="V565" s="38">
        <f t="shared" si="176"/>
        <v>6372</v>
      </c>
      <c r="W565" s="52">
        <v>505</v>
      </c>
      <c r="X565" s="52">
        <v>26.64</v>
      </c>
      <c r="Y565" s="35">
        <f t="shared" si="174"/>
        <v>13453.2</v>
      </c>
      <c r="Z565" s="78"/>
      <c r="AB565" s="32">
        <f t="shared" si="175"/>
        <v>0</v>
      </c>
      <c r="AF565" s="42">
        <f t="shared" si="177"/>
        <v>0</v>
      </c>
      <c r="AU565" s="100"/>
      <c r="AV565" s="35"/>
      <c r="AW565" s="78"/>
      <c r="AZ565" s="42">
        <f t="shared" si="163"/>
        <v>0</v>
      </c>
      <c r="BD565" s="38">
        <f t="shared" si="169"/>
        <v>0</v>
      </c>
      <c r="BH565" s="38">
        <f t="shared" si="170"/>
        <v>0</v>
      </c>
      <c r="BL565" s="38">
        <f t="shared" si="171"/>
        <v>0</v>
      </c>
      <c r="BR565" s="42">
        <f t="shared" si="172"/>
        <v>19825.2</v>
      </c>
      <c r="BS565" s="43"/>
      <c r="BT565" s="27">
        <v>2090.7199999999998</v>
      </c>
      <c r="BU565" s="36"/>
      <c r="BV565" s="36"/>
      <c r="BW565" s="36"/>
      <c r="BX565" s="36"/>
      <c r="BY565" s="36"/>
      <c r="BZ565" s="36"/>
      <c r="CA565" s="36"/>
      <c r="CB565" s="36"/>
      <c r="CC565" s="36"/>
      <c r="CD565" s="36"/>
      <c r="CE565" s="36"/>
      <c r="CF565" s="36"/>
      <c r="CG565" s="36"/>
      <c r="CH565" s="36"/>
      <c r="CI565" s="36"/>
      <c r="CJ565" s="36"/>
      <c r="CK565" s="36"/>
      <c r="CL565" s="36"/>
      <c r="CM565" s="36"/>
      <c r="CN565" s="36"/>
      <c r="CO565" s="36"/>
      <c r="CP565" s="36"/>
      <c r="CQ565" s="36"/>
      <c r="CR565" s="36"/>
      <c r="CS565" s="36"/>
      <c r="CT565" s="36"/>
      <c r="CU565" s="36"/>
      <c r="CV565" s="36"/>
      <c r="CW565" s="36"/>
      <c r="CX565" s="36"/>
      <c r="CY565" s="36"/>
      <c r="CZ565" s="36"/>
      <c r="DA565" s="36"/>
      <c r="DB565" s="36"/>
      <c r="DC565" s="36"/>
      <c r="DD565" s="36"/>
      <c r="DE565" s="36"/>
      <c r="DF565" s="36"/>
      <c r="DG565" s="36"/>
      <c r="DH565" s="36"/>
      <c r="DI565" s="36"/>
      <c r="DJ565" s="36"/>
      <c r="DK565" s="36"/>
      <c r="DL565" s="36"/>
      <c r="DM565" s="36"/>
      <c r="DN565" s="36"/>
      <c r="DO565" s="36"/>
      <c r="DP565" s="36"/>
      <c r="DQ565" s="36"/>
      <c r="DR565" s="36"/>
      <c r="DS565" s="36"/>
      <c r="DT565" s="36"/>
      <c r="DU565" s="36"/>
      <c r="DV565" s="36"/>
      <c r="DW565" s="36"/>
      <c r="DX565" s="36"/>
      <c r="DY565" s="36"/>
      <c r="DZ565" s="36"/>
      <c r="EA565" s="36"/>
      <c r="EB565" s="36"/>
      <c r="EC565" s="36"/>
      <c r="ED565" s="36"/>
      <c r="EE565" s="36"/>
      <c r="EF565" s="36"/>
      <c r="EG565" s="36"/>
      <c r="EH565" s="36"/>
      <c r="EI565" s="36"/>
      <c r="EJ565" s="36"/>
      <c r="EK565" s="36"/>
      <c r="EL565" s="36"/>
      <c r="EM565" s="36"/>
      <c r="EN565" s="36"/>
      <c r="EO565" s="36"/>
      <c r="EP565" s="36"/>
      <c r="EQ565" s="36"/>
      <c r="ER565" s="36"/>
      <c r="ES565" s="36"/>
      <c r="ET565" s="36"/>
      <c r="EU565" s="36"/>
      <c r="EV565" s="36"/>
      <c r="EW565" s="36"/>
      <c r="EX565" s="36"/>
      <c r="EY565" s="36"/>
      <c r="EZ565" s="36"/>
      <c r="FA565" s="36"/>
      <c r="FB565" s="36"/>
      <c r="FC565" s="36"/>
      <c r="FD565" s="36"/>
      <c r="FE565" s="36"/>
      <c r="FF565" s="36"/>
      <c r="FG565" s="36"/>
      <c r="FH565" s="36"/>
      <c r="FI565" s="36"/>
      <c r="FJ565" s="36"/>
      <c r="FK565" s="36"/>
      <c r="FL565" s="36"/>
      <c r="FM565" s="36"/>
      <c r="FN565" s="36"/>
      <c r="FO565" s="36"/>
      <c r="FP565" s="36"/>
      <c r="FQ565" s="36"/>
      <c r="FR565" s="36"/>
      <c r="FS565" s="36"/>
      <c r="FT565" s="36"/>
      <c r="FU565" s="36"/>
      <c r="FV565" s="36"/>
      <c r="FW565" s="36"/>
      <c r="FX565" s="36"/>
      <c r="FY565" s="36"/>
      <c r="FZ565" s="36"/>
      <c r="GA565" s="36"/>
      <c r="GB565" s="36"/>
      <c r="GC565" s="36"/>
      <c r="GD565" s="36"/>
      <c r="GE565" s="36"/>
      <c r="GF565" s="36"/>
      <c r="GG565" s="36"/>
      <c r="GH565" s="36"/>
      <c r="GI565" s="36"/>
      <c r="GJ565" s="36"/>
      <c r="GK565" s="36"/>
      <c r="GL565" s="36"/>
      <c r="GM565" s="36"/>
      <c r="GN565" s="36"/>
      <c r="GO565" s="36"/>
      <c r="GP565" s="36"/>
      <c r="GQ565" s="36"/>
      <c r="GR565" s="36"/>
      <c r="GS565" s="36"/>
      <c r="GT565" s="36"/>
      <c r="GU565" s="36"/>
      <c r="GV565" s="36"/>
      <c r="GW565" s="36"/>
      <c r="GX565" s="36"/>
      <c r="GY565" s="36"/>
      <c r="GZ565" s="36"/>
      <c r="HA565" s="36"/>
      <c r="HB565" s="36"/>
      <c r="HC565" s="36"/>
      <c r="HD565" s="36"/>
      <c r="HE565" s="36"/>
      <c r="HF565" s="36"/>
      <c r="HG565" s="36"/>
      <c r="HH565" s="36"/>
      <c r="HI565" s="36"/>
      <c r="HJ565" s="36"/>
      <c r="HK565" s="36"/>
      <c r="HL565" s="36"/>
      <c r="HM565" s="36"/>
      <c r="HN565" s="36"/>
      <c r="HO565" s="36"/>
      <c r="HP565" s="36"/>
      <c r="HQ565" s="36"/>
      <c r="HR565" s="36"/>
      <c r="HS565" s="36"/>
      <c r="HT565" s="36"/>
      <c r="HU565" s="36"/>
      <c r="HV565" s="36"/>
      <c r="HW565" s="36"/>
      <c r="HX565" s="36"/>
      <c r="HY565" s="36"/>
      <c r="HZ565" s="36"/>
      <c r="IA565" s="36"/>
      <c r="IB565" s="36"/>
      <c r="IC565" s="36"/>
      <c r="ID565" s="36"/>
      <c r="IE565" s="36"/>
      <c r="IF565" s="36"/>
      <c r="IG565" s="36"/>
      <c r="IH565" s="36"/>
      <c r="II565" s="36"/>
      <c r="IJ565" s="36"/>
      <c r="IK565" s="36"/>
      <c r="IL565" s="36"/>
      <c r="IM565" s="36"/>
      <c r="IN565" s="36"/>
      <c r="IO565" s="36"/>
      <c r="IP565" s="36"/>
      <c r="IQ565" s="36"/>
      <c r="IR565" s="36"/>
      <c r="IS565" s="36"/>
      <c r="IT565" s="36"/>
      <c r="IU565" s="36"/>
      <c r="IV565" s="36"/>
      <c r="IW565" s="36"/>
      <c r="IX565" s="36"/>
      <c r="IY565" s="36"/>
      <c r="IZ565" s="36"/>
      <c r="JA565" s="36"/>
      <c r="JB565" s="36"/>
      <c r="JC565" s="36"/>
      <c r="JD565" s="36"/>
      <c r="JE565" s="36"/>
      <c r="JF565" s="36"/>
      <c r="JG565" s="36"/>
      <c r="JH565" s="36"/>
      <c r="JI565" s="36"/>
      <c r="JJ565" s="36"/>
      <c r="JK565" s="36"/>
      <c r="JL565" s="36"/>
      <c r="JM565" s="36"/>
      <c r="JN565" s="36"/>
      <c r="JO565" s="36"/>
      <c r="JP565" s="36"/>
      <c r="JQ565" s="36"/>
      <c r="JR565" s="36"/>
      <c r="JS565" s="36"/>
      <c r="JT565" s="36"/>
      <c r="JU565" s="36"/>
      <c r="JV565" s="36"/>
      <c r="JW565" s="36"/>
      <c r="JX565" s="36"/>
      <c r="JY565" s="36"/>
      <c r="JZ565" s="36"/>
      <c r="KA565" s="36"/>
      <c r="KB565" s="36"/>
      <c r="KC565" s="36"/>
      <c r="KD565" s="36"/>
      <c r="KE565" s="36"/>
      <c r="KF565" s="36"/>
      <c r="KG565" s="36"/>
      <c r="KH565" s="36"/>
      <c r="KI565" s="36"/>
      <c r="KJ565" s="36"/>
      <c r="KK565" s="36"/>
      <c r="KL565" s="36"/>
      <c r="KM565" s="36"/>
      <c r="KN565" s="36"/>
      <c r="KO565" s="36"/>
      <c r="KP565" s="36"/>
      <c r="KQ565" s="36"/>
      <c r="KR565" s="36"/>
      <c r="KS565" s="36"/>
      <c r="KT565" s="36"/>
      <c r="KU565" s="36"/>
      <c r="KV565" s="36"/>
      <c r="KW565" s="36"/>
      <c r="KX565" s="36"/>
      <c r="KY565" s="36"/>
      <c r="KZ565" s="36"/>
      <c r="LA565" s="36"/>
      <c r="LB565" s="36"/>
      <c r="LC565" s="36"/>
      <c r="LD565" s="36"/>
      <c r="LE565" s="36"/>
      <c r="LF565" s="36"/>
      <c r="LG565" s="36"/>
      <c r="LH565" s="36"/>
      <c r="LI565" s="36"/>
      <c r="LJ565" s="36"/>
      <c r="LK565" s="36"/>
      <c r="LL565" s="36"/>
      <c r="LM565" s="36"/>
      <c r="LN565" s="36"/>
      <c r="LO565" s="36"/>
      <c r="LP565" s="36"/>
      <c r="LQ565" s="36"/>
      <c r="LR565" s="36"/>
      <c r="LS565" s="36"/>
      <c r="LT565" s="36"/>
      <c r="LU565" s="36"/>
      <c r="LV565" s="36"/>
      <c r="LW565" s="36"/>
      <c r="LX565" s="36"/>
      <c r="LY565" s="36"/>
      <c r="LZ565" s="36"/>
      <c r="MA565" s="36"/>
      <c r="MB565" s="36"/>
      <c r="MC565" s="36"/>
      <c r="MD565" s="36"/>
      <c r="ME565" s="36"/>
      <c r="MF565" s="36"/>
      <c r="MG565" s="36"/>
      <c r="MH565" s="36"/>
      <c r="MI565" s="36"/>
      <c r="MJ565" s="36"/>
      <c r="MK565" s="36"/>
      <c r="ML565" s="36"/>
      <c r="MM565" s="36"/>
      <c r="MN565" s="36"/>
      <c r="MO565" s="36"/>
      <c r="MP565" s="36"/>
      <c r="MQ565" s="36"/>
      <c r="MR565" s="36"/>
      <c r="MS565" s="36"/>
      <c r="MT565" s="36"/>
      <c r="MU565" s="36"/>
      <c r="MV565" s="36"/>
      <c r="MW565" s="36"/>
      <c r="MX565" s="36"/>
      <c r="MY565" s="36"/>
      <c r="MZ565" s="36"/>
      <c r="NA565" s="36"/>
      <c r="NB565" s="36"/>
      <c r="NC565" s="36"/>
      <c r="ND565" s="36"/>
      <c r="NE565" s="36"/>
      <c r="NF565" s="36"/>
      <c r="NG565" s="36"/>
      <c r="NH565" s="36"/>
      <c r="NI565" s="36"/>
      <c r="NJ565" s="36"/>
      <c r="NK565" s="36"/>
      <c r="NL565" s="36"/>
      <c r="NM565" s="36"/>
      <c r="NN565" s="36"/>
      <c r="NO565" s="36"/>
      <c r="NP565" s="36"/>
      <c r="NQ565" s="36"/>
      <c r="NR565" s="36"/>
      <c r="NS565" s="36"/>
      <c r="NT565" s="36"/>
      <c r="NU565" s="36"/>
      <c r="NV565" s="36"/>
      <c r="NW565" s="36"/>
      <c r="NX565" s="36"/>
      <c r="NY565" s="36"/>
      <c r="NZ565" s="36"/>
      <c r="OA565" s="36"/>
      <c r="OB565" s="36"/>
      <c r="OC565" s="36"/>
      <c r="OD565" s="36"/>
      <c r="OE565" s="36"/>
      <c r="OF565" s="36"/>
      <c r="OG565" s="36"/>
      <c r="OH565" s="36"/>
      <c r="OI565" s="36"/>
      <c r="OJ565" s="36"/>
      <c r="OK565" s="36"/>
      <c r="OL565" s="36"/>
      <c r="OM565" s="36"/>
      <c r="ON565" s="36"/>
      <c r="OO565" s="36"/>
      <c r="OP565" s="36"/>
      <c r="OQ565" s="36"/>
      <c r="OR565" s="36"/>
      <c r="OS565" s="36"/>
      <c r="OT565" s="36"/>
      <c r="OU565" s="36"/>
      <c r="OV565" s="36"/>
      <c r="OW565" s="36"/>
      <c r="OX565" s="36"/>
    </row>
    <row r="566" spans="2:414" s="27" customFormat="1" ht="15.6">
      <c r="B566" s="51" t="s">
        <v>780</v>
      </c>
      <c r="C566" s="27" t="s">
        <v>213</v>
      </c>
      <c r="D566" s="29" t="s">
        <v>201</v>
      </c>
      <c r="G566" s="49">
        <v>80</v>
      </c>
      <c r="H566" s="89">
        <v>26.109000000000002</v>
      </c>
      <c r="I566" s="38">
        <f t="shared" si="165"/>
        <v>2088.7200000000003</v>
      </c>
      <c r="K566" s="49">
        <v>80</v>
      </c>
      <c r="L566" s="90">
        <v>26.849599999999999</v>
      </c>
      <c r="M566" s="38">
        <f t="shared" si="166"/>
        <v>2147.9679999999998</v>
      </c>
      <c r="O566" s="49">
        <v>505</v>
      </c>
      <c r="P566" s="38">
        <v>26.728300000000001</v>
      </c>
      <c r="Q566" s="38">
        <f t="shared" si="167"/>
        <v>13497.791500000001</v>
      </c>
      <c r="R566" s="43">
        <f t="shared" si="164"/>
        <v>665</v>
      </c>
      <c r="S566" s="38">
        <f t="shared" si="168"/>
        <v>17734.479500000001</v>
      </c>
      <c r="T566" s="52">
        <v>240</v>
      </c>
      <c r="U566" s="52">
        <v>26.55</v>
      </c>
      <c r="V566" s="38">
        <f t="shared" si="176"/>
        <v>6372</v>
      </c>
      <c r="W566" s="52">
        <v>505</v>
      </c>
      <c r="X566" s="52">
        <v>26.728300000000001</v>
      </c>
      <c r="Y566" s="35">
        <f t="shared" si="174"/>
        <v>13497.791500000001</v>
      </c>
      <c r="Z566" s="78"/>
      <c r="AB566" s="32">
        <f t="shared" si="175"/>
        <v>0</v>
      </c>
      <c r="AF566" s="42">
        <f t="shared" si="177"/>
        <v>0</v>
      </c>
      <c r="AU566" s="100"/>
      <c r="AV566" s="35"/>
      <c r="AW566" s="78"/>
      <c r="AZ566" s="42">
        <f t="shared" si="163"/>
        <v>0</v>
      </c>
      <c r="BD566" s="38">
        <f t="shared" si="169"/>
        <v>0</v>
      </c>
      <c r="BH566" s="38">
        <f t="shared" si="170"/>
        <v>0</v>
      </c>
      <c r="BL566" s="38">
        <f t="shared" si="171"/>
        <v>0</v>
      </c>
      <c r="BR566" s="42">
        <f t="shared" si="172"/>
        <v>19869.791499999999</v>
      </c>
      <c r="BS566" s="43"/>
      <c r="BT566" s="27">
        <v>2135.31</v>
      </c>
      <c r="BU566" s="36"/>
      <c r="BV566" s="36"/>
      <c r="BW566" s="36"/>
      <c r="BX566" s="36"/>
      <c r="BY566" s="36"/>
      <c r="BZ566" s="36"/>
      <c r="CA566" s="36"/>
      <c r="CB566" s="36"/>
      <c r="CC566" s="36"/>
      <c r="CD566" s="36"/>
      <c r="CE566" s="36"/>
      <c r="CF566" s="36"/>
      <c r="CG566" s="36"/>
      <c r="CH566" s="36"/>
      <c r="CI566" s="36"/>
      <c r="CJ566" s="36"/>
      <c r="CK566" s="36"/>
      <c r="CL566" s="36"/>
      <c r="CM566" s="36"/>
      <c r="CN566" s="36"/>
      <c r="CO566" s="36"/>
      <c r="CP566" s="36"/>
      <c r="CQ566" s="36"/>
      <c r="CR566" s="36"/>
      <c r="CS566" s="36"/>
      <c r="CT566" s="36"/>
      <c r="CU566" s="36"/>
      <c r="CV566" s="36"/>
      <c r="CW566" s="36"/>
      <c r="CX566" s="36"/>
      <c r="CY566" s="36"/>
      <c r="CZ566" s="36"/>
      <c r="DA566" s="36"/>
      <c r="DB566" s="36"/>
      <c r="DC566" s="36"/>
      <c r="DD566" s="36"/>
      <c r="DE566" s="36"/>
      <c r="DF566" s="36"/>
      <c r="DG566" s="36"/>
      <c r="DH566" s="36"/>
      <c r="DI566" s="36"/>
      <c r="DJ566" s="36"/>
      <c r="DK566" s="36"/>
      <c r="DL566" s="36"/>
      <c r="DM566" s="36"/>
      <c r="DN566" s="36"/>
      <c r="DO566" s="36"/>
      <c r="DP566" s="36"/>
      <c r="DQ566" s="36"/>
      <c r="DR566" s="36"/>
      <c r="DS566" s="36"/>
      <c r="DT566" s="36"/>
      <c r="DU566" s="36"/>
      <c r="DV566" s="36"/>
      <c r="DW566" s="36"/>
      <c r="DX566" s="36"/>
      <c r="DY566" s="36"/>
      <c r="DZ566" s="36"/>
      <c r="EA566" s="36"/>
      <c r="EB566" s="36"/>
      <c r="EC566" s="36"/>
      <c r="ED566" s="36"/>
      <c r="EE566" s="36"/>
      <c r="EF566" s="36"/>
      <c r="EG566" s="36"/>
      <c r="EH566" s="36"/>
      <c r="EI566" s="36"/>
      <c r="EJ566" s="36"/>
      <c r="EK566" s="36"/>
      <c r="EL566" s="36"/>
      <c r="EM566" s="36"/>
      <c r="EN566" s="36"/>
      <c r="EO566" s="36"/>
      <c r="EP566" s="36"/>
      <c r="EQ566" s="36"/>
      <c r="ER566" s="36"/>
      <c r="ES566" s="36"/>
      <c r="ET566" s="36"/>
      <c r="EU566" s="36"/>
      <c r="EV566" s="36"/>
      <c r="EW566" s="36"/>
      <c r="EX566" s="36"/>
      <c r="EY566" s="36"/>
      <c r="EZ566" s="36"/>
      <c r="FA566" s="36"/>
      <c r="FB566" s="36"/>
      <c r="FC566" s="36"/>
      <c r="FD566" s="36"/>
      <c r="FE566" s="36"/>
      <c r="FF566" s="36"/>
      <c r="FG566" s="36"/>
      <c r="FH566" s="36"/>
      <c r="FI566" s="36"/>
      <c r="FJ566" s="36"/>
      <c r="FK566" s="36"/>
      <c r="FL566" s="36"/>
      <c r="FM566" s="36"/>
      <c r="FN566" s="36"/>
      <c r="FO566" s="36"/>
      <c r="FP566" s="36"/>
      <c r="FQ566" s="36"/>
      <c r="FR566" s="36"/>
      <c r="FS566" s="36"/>
      <c r="FT566" s="36"/>
      <c r="FU566" s="36"/>
      <c r="FV566" s="36"/>
      <c r="FW566" s="36"/>
      <c r="FX566" s="36"/>
      <c r="FY566" s="36"/>
      <c r="FZ566" s="36"/>
      <c r="GA566" s="36"/>
      <c r="GB566" s="36"/>
      <c r="GC566" s="36"/>
      <c r="GD566" s="36"/>
      <c r="GE566" s="36"/>
      <c r="GF566" s="36"/>
      <c r="GG566" s="36"/>
      <c r="GH566" s="36"/>
      <c r="GI566" s="36"/>
      <c r="GJ566" s="36"/>
      <c r="GK566" s="36"/>
      <c r="GL566" s="36"/>
      <c r="GM566" s="36"/>
      <c r="GN566" s="36"/>
      <c r="GO566" s="36"/>
      <c r="GP566" s="36"/>
      <c r="GQ566" s="36"/>
      <c r="GR566" s="36"/>
      <c r="GS566" s="36"/>
      <c r="GT566" s="36"/>
      <c r="GU566" s="36"/>
      <c r="GV566" s="36"/>
      <c r="GW566" s="36"/>
      <c r="GX566" s="36"/>
      <c r="GY566" s="36"/>
      <c r="GZ566" s="36"/>
      <c r="HA566" s="36"/>
      <c r="HB566" s="36"/>
      <c r="HC566" s="36"/>
      <c r="HD566" s="36"/>
      <c r="HE566" s="36"/>
      <c r="HF566" s="36"/>
      <c r="HG566" s="36"/>
      <c r="HH566" s="36"/>
      <c r="HI566" s="36"/>
      <c r="HJ566" s="36"/>
      <c r="HK566" s="36"/>
      <c r="HL566" s="36"/>
      <c r="HM566" s="36"/>
      <c r="HN566" s="36"/>
      <c r="HO566" s="36"/>
      <c r="HP566" s="36"/>
      <c r="HQ566" s="36"/>
      <c r="HR566" s="36"/>
      <c r="HS566" s="36"/>
      <c r="HT566" s="36"/>
      <c r="HU566" s="36"/>
      <c r="HV566" s="36"/>
      <c r="HW566" s="36"/>
      <c r="HX566" s="36"/>
      <c r="HY566" s="36"/>
      <c r="HZ566" s="36"/>
      <c r="IA566" s="36"/>
      <c r="IB566" s="36"/>
      <c r="IC566" s="36"/>
      <c r="ID566" s="36"/>
      <c r="IE566" s="36"/>
      <c r="IF566" s="36"/>
      <c r="IG566" s="36"/>
      <c r="IH566" s="36"/>
      <c r="II566" s="36"/>
      <c r="IJ566" s="36"/>
      <c r="IK566" s="36"/>
      <c r="IL566" s="36"/>
      <c r="IM566" s="36"/>
      <c r="IN566" s="36"/>
      <c r="IO566" s="36"/>
      <c r="IP566" s="36"/>
      <c r="IQ566" s="36"/>
      <c r="IR566" s="36"/>
      <c r="IS566" s="36"/>
      <c r="IT566" s="36"/>
      <c r="IU566" s="36"/>
      <c r="IV566" s="36"/>
      <c r="IW566" s="36"/>
      <c r="IX566" s="36"/>
      <c r="IY566" s="36"/>
      <c r="IZ566" s="36"/>
      <c r="JA566" s="36"/>
      <c r="JB566" s="36"/>
      <c r="JC566" s="36"/>
      <c r="JD566" s="36"/>
      <c r="JE566" s="36"/>
      <c r="JF566" s="36"/>
      <c r="JG566" s="36"/>
      <c r="JH566" s="36"/>
      <c r="JI566" s="36"/>
      <c r="JJ566" s="36"/>
      <c r="JK566" s="36"/>
      <c r="JL566" s="36"/>
      <c r="JM566" s="36"/>
      <c r="JN566" s="36"/>
      <c r="JO566" s="36"/>
      <c r="JP566" s="36"/>
      <c r="JQ566" s="36"/>
      <c r="JR566" s="36"/>
      <c r="JS566" s="36"/>
      <c r="JT566" s="36"/>
      <c r="JU566" s="36"/>
      <c r="JV566" s="36"/>
      <c r="JW566" s="36"/>
      <c r="JX566" s="36"/>
      <c r="JY566" s="36"/>
      <c r="JZ566" s="36"/>
      <c r="KA566" s="36"/>
      <c r="KB566" s="36"/>
      <c r="KC566" s="36"/>
      <c r="KD566" s="36"/>
      <c r="KE566" s="36"/>
      <c r="KF566" s="36"/>
      <c r="KG566" s="36"/>
      <c r="KH566" s="36"/>
      <c r="KI566" s="36"/>
      <c r="KJ566" s="36"/>
      <c r="KK566" s="36"/>
      <c r="KL566" s="36"/>
      <c r="KM566" s="36"/>
      <c r="KN566" s="36"/>
      <c r="KO566" s="36"/>
      <c r="KP566" s="36"/>
      <c r="KQ566" s="36"/>
      <c r="KR566" s="36"/>
      <c r="KS566" s="36"/>
      <c r="KT566" s="36"/>
      <c r="KU566" s="36"/>
      <c r="KV566" s="36"/>
      <c r="KW566" s="36"/>
      <c r="KX566" s="36"/>
      <c r="KY566" s="36"/>
      <c r="KZ566" s="36"/>
      <c r="LA566" s="36"/>
      <c r="LB566" s="36"/>
      <c r="LC566" s="36"/>
      <c r="LD566" s="36"/>
      <c r="LE566" s="36"/>
      <c r="LF566" s="36"/>
      <c r="LG566" s="36"/>
      <c r="LH566" s="36"/>
      <c r="LI566" s="36"/>
      <c r="LJ566" s="36"/>
      <c r="LK566" s="36"/>
      <c r="LL566" s="36"/>
      <c r="LM566" s="36"/>
      <c r="LN566" s="36"/>
      <c r="LO566" s="36"/>
      <c r="LP566" s="36"/>
      <c r="LQ566" s="36"/>
      <c r="LR566" s="36"/>
      <c r="LS566" s="36"/>
      <c r="LT566" s="36"/>
      <c r="LU566" s="36"/>
      <c r="LV566" s="36"/>
      <c r="LW566" s="36"/>
      <c r="LX566" s="36"/>
      <c r="LY566" s="36"/>
      <c r="LZ566" s="36"/>
      <c r="MA566" s="36"/>
      <c r="MB566" s="36"/>
      <c r="MC566" s="36"/>
      <c r="MD566" s="36"/>
      <c r="ME566" s="36"/>
      <c r="MF566" s="36"/>
      <c r="MG566" s="36"/>
      <c r="MH566" s="36"/>
      <c r="MI566" s="36"/>
      <c r="MJ566" s="36"/>
      <c r="MK566" s="36"/>
      <c r="ML566" s="36"/>
      <c r="MM566" s="36"/>
      <c r="MN566" s="36"/>
      <c r="MO566" s="36"/>
      <c r="MP566" s="36"/>
      <c r="MQ566" s="36"/>
      <c r="MR566" s="36"/>
      <c r="MS566" s="36"/>
      <c r="MT566" s="36"/>
      <c r="MU566" s="36"/>
      <c r="MV566" s="36"/>
      <c r="MW566" s="36"/>
      <c r="MX566" s="36"/>
      <c r="MY566" s="36"/>
      <c r="MZ566" s="36"/>
      <c r="NA566" s="36"/>
      <c r="NB566" s="36"/>
      <c r="NC566" s="36"/>
      <c r="ND566" s="36"/>
      <c r="NE566" s="36"/>
      <c r="NF566" s="36"/>
      <c r="NG566" s="36"/>
      <c r="NH566" s="36"/>
      <c r="NI566" s="36"/>
      <c r="NJ566" s="36"/>
      <c r="NK566" s="36"/>
      <c r="NL566" s="36"/>
      <c r="NM566" s="36"/>
      <c r="NN566" s="36"/>
      <c r="NO566" s="36"/>
      <c r="NP566" s="36"/>
      <c r="NQ566" s="36"/>
      <c r="NR566" s="36"/>
      <c r="NS566" s="36"/>
      <c r="NT566" s="36"/>
      <c r="NU566" s="36"/>
      <c r="NV566" s="36"/>
      <c r="NW566" s="36"/>
      <c r="NX566" s="36"/>
      <c r="NY566" s="36"/>
      <c r="NZ566" s="36"/>
      <c r="OA566" s="36"/>
      <c r="OB566" s="36"/>
      <c r="OC566" s="36"/>
      <c r="OD566" s="36"/>
      <c r="OE566" s="36"/>
      <c r="OF566" s="36"/>
      <c r="OG566" s="36"/>
      <c r="OH566" s="36"/>
      <c r="OI566" s="36"/>
      <c r="OJ566" s="36"/>
      <c r="OK566" s="36"/>
      <c r="OL566" s="36"/>
      <c r="OM566" s="36"/>
      <c r="ON566" s="36"/>
      <c r="OO566" s="36"/>
      <c r="OP566" s="36"/>
      <c r="OQ566" s="36"/>
      <c r="OR566" s="36"/>
      <c r="OS566" s="36"/>
      <c r="OT566" s="36"/>
      <c r="OU566" s="36"/>
      <c r="OV566" s="36"/>
      <c r="OW566" s="36"/>
      <c r="OX566" s="36"/>
    </row>
    <row r="567" spans="2:414" s="27" customFormat="1" ht="15.6">
      <c r="B567" s="51" t="s">
        <v>1079</v>
      </c>
      <c r="C567" s="27" t="s">
        <v>1080</v>
      </c>
      <c r="D567" s="29" t="s">
        <v>201</v>
      </c>
      <c r="G567" s="49">
        <v>80</v>
      </c>
      <c r="H567" s="89">
        <v>26.109000000000002</v>
      </c>
      <c r="I567" s="38">
        <f t="shared" si="165"/>
        <v>2088.7200000000003</v>
      </c>
      <c r="K567" s="49">
        <v>80</v>
      </c>
      <c r="L567" s="90">
        <v>26.849599999999999</v>
      </c>
      <c r="M567" s="38">
        <f t="shared" si="166"/>
        <v>2147.9679999999998</v>
      </c>
      <c r="O567" s="49">
        <v>505</v>
      </c>
      <c r="P567" s="38">
        <v>26.728300000000001</v>
      </c>
      <c r="Q567" s="38">
        <f t="shared" si="167"/>
        <v>13497.791500000001</v>
      </c>
      <c r="R567" s="43">
        <f t="shared" si="164"/>
        <v>665</v>
      </c>
      <c r="S567" s="38">
        <f t="shared" si="168"/>
        <v>17734.479500000001</v>
      </c>
      <c r="T567" s="27">
        <v>85</v>
      </c>
      <c r="U567" s="52">
        <v>26.3813</v>
      </c>
      <c r="V567" s="38">
        <f t="shared" si="176"/>
        <v>2242.4105</v>
      </c>
      <c r="Y567" s="35">
        <f t="shared" si="174"/>
        <v>0</v>
      </c>
      <c r="Z567" s="78"/>
      <c r="AB567" s="32">
        <f t="shared" si="175"/>
        <v>0</v>
      </c>
      <c r="AF567" s="42">
        <f t="shared" si="177"/>
        <v>0</v>
      </c>
      <c r="AU567" s="100"/>
      <c r="AV567" s="35"/>
      <c r="AW567" s="78"/>
      <c r="AZ567" s="42">
        <f t="shared" si="163"/>
        <v>0</v>
      </c>
      <c r="BD567" s="38">
        <f t="shared" si="169"/>
        <v>0</v>
      </c>
      <c r="BH567" s="38">
        <f t="shared" si="170"/>
        <v>0</v>
      </c>
      <c r="BL567" s="38">
        <f t="shared" si="171"/>
        <v>0</v>
      </c>
      <c r="BR567" s="42">
        <f t="shared" si="172"/>
        <v>2242.4105</v>
      </c>
      <c r="BS567" s="43">
        <f t="shared" si="173"/>
        <v>15492.069000000001</v>
      </c>
      <c r="BU567" s="36"/>
      <c r="BV567" s="36"/>
      <c r="BW567" s="36"/>
      <c r="BX567" s="36"/>
      <c r="BY567" s="36"/>
      <c r="BZ567" s="36"/>
      <c r="CA567" s="36"/>
      <c r="CB567" s="36"/>
      <c r="CC567" s="36"/>
      <c r="CD567" s="36"/>
      <c r="CE567" s="36"/>
      <c r="CF567" s="36"/>
      <c r="CG567" s="36"/>
      <c r="CH567" s="36"/>
      <c r="CI567" s="36"/>
      <c r="CJ567" s="36"/>
      <c r="CK567" s="36"/>
      <c r="CL567" s="36"/>
      <c r="CM567" s="36"/>
      <c r="CN567" s="36"/>
      <c r="CO567" s="36"/>
      <c r="CP567" s="36"/>
      <c r="CQ567" s="36"/>
      <c r="CR567" s="36"/>
      <c r="CS567" s="36"/>
      <c r="CT567" s="36"/>
      <c r="CU567" s="36"/>
      <c r="CV567" s="36"/>
      <c r="CW567" s="36"/>
      <c r="CX567" s="36"/>
      <c r="CY567" s="36"/>
      <c r="CZ567" s="36"/>
      <c r="DA567" s="36"/>
      <c r="DB567" s="36"/>
      <c r="DC567" s="36"/>
      <c r="DD567" s="36"/>
      <c r="DE567" s="36"/>
      <c r="DF567" s="36"/>
      <c r="DG567" s="36"/>
      <c r="DH567" s="36"/>
      <c r="DI567" s="36"/>
      <c r="DJ567" s="36"/>
      <c r="DK567" s="36"/>
      <c r="DL567" s="36"/>
      <c r="DM567" s="36"/>
      <c r="DN567" s="36"/>
      <c r="DO567" s="36"/>
      <c r="DP567" s="36"/>
      <c r="DQ567" s="36"/>
      <c r="DR567" s="36"/>
      <c r="DS567" s="36"/>
      <c r="DT567" s="36"/>
      <c r="DU567" s="36"/>
      <c r="DV567" s="36"/>
      <c r="DW567" s="36"/>
      <c r="DX567" s="36"/>
      <c r="DY567" s="36"/>
      <c r="DZ567" s="36"/>
      <c r="EA567" s="36"/>
      <c r="EB567" s="36"/>
      <c r="EC567" s="36"/>
      <c r="ED567" s="36"/>
      <c r="EE567" s="36"/>
      <c r="EF567" s="36"/>
      <c r="EG567" s="36"/>
      <c r="EH567" s="36"/>
      <c r="EI567" s="36"/>
      <c r="EJ567" s="36"/>
      <c r="EK567" s="36"/>
      <c r="EL567" s="36"/>
      <c r="EM567" s="36"/>
      <c r="EN567" s="36"/>
      <c r="EO567" s="36"/>
      <c r="EP567" s="36"/>
      <c r="EQ567" s="36"/>
      <c r="ER567" s="36"/>
      <c r="ES567" s="36"/>
      <c r="ET567" s="36"/>
      <c r="EU567" s="36"/>
      <c r="EV567" s="36"/>
      <c r="EW567" s="36"/>
      <c r="EX567" s="36"/>
      <c r="EY567" s="36"/>
      <c r="EZ567" s="36"/>
      <c r="FA567" s="36"/>
      <c r="FB567" s="36"/>
      <c r="FC567" s="36"/>
      <c r="FD567" s="36"/>
      <c r="FE567" s="36"/>
      <c r="FF567" s="36"/>
      <c r="FG567" s="36"/>
      <c r="FH567" s="36"/>
      <c r="FI567" s="36"/>
      <c r="FJ567" s="36"/>
      <c r="FK567" s="36"/>
      <c r="FL567" s="36"/>
      <c r="FM567" s="36"/>
      <c r="FN567" s="36"/>
      <c r="FO567" s="36"/>
      <c r="FP567" s="36"/>
      <c r="FQ567" s="36"/>
      <c r="FR567" s="36"/>
      <c r="FS567" s="36"/>
      <c r="FT567" s="36"/>
      <c r="FU567" s="36"/>
      <c r="FV567" s="36"/>
      <c r="FW567" s="36"/>
      <c r="FX567" s="36"/>
      <c r="FY567" s="36"/>
      <c r="FZ567" s="36"/>
      <c r="GA567" s="36"/>
      <c r="GB567" s="36"/>
      <c r="GC567" s="36"/>
      <c r="GD567" s="36"/>
      <c r="GE567" s="36"/>
      <c r="GF567" s="36"/>
      <c r="GG567" s="36"/>
      <c r="GH567" s="36"/>
      <c r="GI567" s="36"/>
      <c r="GJ567" s="36"/>
      <c r="GK567" s="36"/>
      <c r="GL567" s="36"/>
      <c r="GM567" s="36"/>
      <c r="GN567" s="36"/>
      <c r="GO567" s="36"/>
      <c r="GP567" s="36"/>
      <c r="GQ567" s="36"/>
      <c r="GR567" s="36"/>
      <c r="GS567" s="36"/>
      <c r="GT567" s="36"/>
      <c r="GU567" s="36"/>
      <c r="GV567" s="36"/>
      <c r="GW567" s="36"/>
      <c r="GX567" s="36"/>
      <c r="GY567" s="36"/>
      <c r="GZ567" s="36"/>
      <c r="HA567" s="36"/>
      <c r="HB567" s="36"/>
      <c r="HC567" s="36"/>
      <c r="HD567" s="36"/>
      <c r="HE567" s="36"/>
      <c r="HF567" s="36"/>
      <c r="HG567" s="36"/>
      <c r="HH567" s="36"/>
      <c r="HI567" s="36"/>
      <c r="HJ567" s="36"/>
      <c r="HK567" s="36"/>
      <c r="HL567" s="36"/>
      <c r="HM567" s="36"/>
      <c r="HN567" s="36"/>
      <c r="HO567" s="36"/>
      <c r="HP567" s="36"/>
      <c r="HQ567" s="36"/>
      <c r="HR567" s="36"/>
      <c r="HS567" s="36"/>
      <c r="HT567" s="36"/>
      <c r="HU567" s="36"/>
      <c r="HV567" s="36"/>
      <c r="HW567" s="36"/>
      <c r="HX567" s="36"/>
      <c r="HY567" s="36"/>
      <c r="HZ567" s="36"/>
      <c r="IA567" s="36"/>
      <c r="IB567" s="36"/>
      <c r="IC567" s="36"/>
      <c r="ID567" s="36"/>
      <c r="IE567" s="36"/>
      <c r="IF567" s="36"/>
      <c r="IG567" s="36"/>
      <c r="IH567" s="36"/>
      <c r="II567" s="36"/>
      <c r="IJ567" s="36"/>
      <c r="IK567" s="36"/>
      <c r="IL567" s="36"/>
      <c r="IM567" s="36"/>
      <c r="IN567" s="36"/>
      <c r="IO567" s="36"/>
      <c r="IP567" s="36"/>
      <c r="IQ567" s="36"/>
      <c r="IR567" s="36"/>
      <c r="IS567" s="36"/>
      <c r="IT567" s="36"/>
      <c r="IU567" s="36"/>
      <c r="IV567" s="36"/>
      <c r="IW567" s="36"/>
      <c r="IX567" s="36"/>
      <c r="IY567" s="36"/>
      <c r="IZ567" s="36"/>
      <c r="JA567" s="36"/>
      <c r="JB567" s="36"/>
      <c r="JC567" s="36"/>
      <c r="JD567" s="36"/>
      <c r="JE567" s="36"/>
      <c r="JF567" s="36"/>
      <c r="JG567" s="36"/>
      <c r="JH567" s="36"/>
      <c r="JI567" s="36"/>
      <c r="JJ567" s="36"/>
      <c r="JK567" s="36"/>
      <c r="JL567" s="36"/>
      <c r="JM567" s="36"/>
      <c r="JN567" s="36"/>
      <c r="JO567" s="36"/>
      <c r="JP567" s="36"/>
      <c r="JQ567" s="36"/>
      <c r="JR567" s="36"/>
      <c r="JS567" s="36"/>
      <c r="JT567" s="36"/>
      <c r="JU567" s="36"/>
      <c r="JV567" s="36"/>
      <c r="JW567" s="36"/>
      <c r="JX567" s="36"/>
      <c r="JY567" s="36"/>
      <c r="JZ567" s="36"/>
      <c r="KA567" s="36"/>
      <c r="KB567" s="36"/>
      <c r="KC567" s="36"/>
      <c r="KD567" s="36"/>
      <c r="KE567" s="36"/>
      <c r="KF567" s="36"/>
      <c r="KG567" s="36"/>
      <c r="KH567" s="36"/>
      <c r="KI567" s="36"/>
      <c r="KJ567" s="36"/>
      <c r="KK567" s="36"/>
      <c r="KL567" s="36"/>
      <c r="KM567" s="36"/>
      <c r="KN567" s="36"/>
      <c r="KO567" s="36"/>
      <c r="KP567" s="36"/>
      <c r="KQ567" s="36"/>
      <c r="KR567" s="36"/>
      <c r="KS567" s="36"/>
      <c r="KT567" s="36"/>
      <c r="KU567" s="36"/>
      <c r="KV567" s="36"/>
      <c r="KW567" s="36"/>
      <c r="KX567" s="36"/>
      <c r="KY567" s="36"/>
      <c r="KZ567" s="36"/>
      <c r="LA567" s="36"/>
      <c r="LB567" s="36"/>
      <c r="LC567" s="36"/>
      <c r="LD567" s="36"/>
      <c r="LE567" s="36"/>
      <c r="LF567" s="36"/>
      <c r="LG567" s="36"/>
      <c r="LH567" s="36"/>
      <c r="LI567" s="36"/>
      <c r="LJ567" s="36"/>
      <c r="LK567" s="36"/>
      <c r="LL567" s="36"/>
      <c r="LM567" s="36"/>
      <c r="LN567" s="36"/>
      <c r="LO567" s="36"/>
      <c r="LP567" s="36"/>
      <c r="LQ567" s="36"/>
      <c r="LR567" s="36"/>
      <c r="LS567" s="36"/>
      <c r="LT567" s="36"/>
      <c r="LU567" s="36"/>
      <c r="LV567" s="36"/>
      <c r="LW567" s="36"/>
      <c r="LX567" s="36"/>
      <c r="LY567" s="36"/>
      <c r="LZ567" s="36"/>
      <c r="MA567" s="36"/>
      <c r="MB567" s="36"/>
      <c r="MC567" s="36"/>
      <c r="MD567" s="36"/>
      <c r="ME567" s="36"/>
      <c r="MF567" s="36"/>
      <c r="MG567" s="36"/>
      <c r="MH567" s="36"/>
      <c r="MI567" s="36"/>
      <c r="MJ567" s="36"/>
      <c r="MK567" s="36"/>
      <c r="ML567" s="36"/>
      <c r="MM567" s="36"/>
      <c r="MN567" s="36"/>
      <c r="MO567" s="36"/>
      <c r="MP567" s="36"/>
      <c r="MQ567" s="36"/>
      <c r="MR567" s="36"/>
      <c r="MS567" s="36"/>
      <c r="MT567" s="36"/>
      <c r="MU567" s="36"/>
      <c r="MV567" s="36"/>
      <c r="MW567" s="36"/>
      <c r="MX567" s="36"/>
      <c r="MY567" s="36"/>
      <c r="MZ567" s="36"/>
      <c r="NA567" s="36"/>
      <c r="NB567" s="36"/>
      <c r="NC567" s="36"/>
      <c r="ND567" s="36"/>
      <c r="NE567" s="36"/>
      <c r="NF567" s="36"/>
      <c r="NG567" s="36"/>
      <c r="NH567" s="36"/>
      <c r="NI567" s="36"/>
      <c r="NJ567" s="36"/>
      <c r="NK567" s="36"/>
      <c r="NL567" s="36"/>
      <c r="NM567" s="36"/>
      <c r="NN567" s="36"/>
      <c r="NO567" s="36"/>
      <c r="NP567" s="36"/>
      <c r="NQ567" s="36"/>
      <c r="NR567" s="36"/>
      <c r="NS567" s="36"/>
      <c r="NT567" s="36"/>
      <c r="NU567" s="36"/>
      <c r="NV567" s="36"/>
      <c r="NW567" s="36"/>
      <c r="NX567" s="36"/>
      <c r="NY567" s="36"/>
      <c r="NZ567" s="36"/>
      <c r="OA567" s="36"/>
      <c r="OB567" s="36"/>
      <c r="OC567" s="36"/>
      <c r="OD567" s="36"/>
      <c r="OE567" s="36"/>
      <c r="OF567" s="36"/>
      <c r="OG567" s="36"/>
      <c r="OH567" s="36"/>
      <c r="OI567" s="36"/>
      <c r="OJ567" s="36"/>
      <c r="OK567" s="36"/>
      <c r="OL567" s="36"/>
      <c r="OM567" s="36"/>
      <c r="ON567" s="36"/>
      <c r="OO567" s="36"/>
      <c r="OP567" s="36"/>
      <c r="OQ567" s="36"/>
      <c r="OR567" s="36"/>
      <c r="OS567" s="36"/>
      <c r="OT567" s="36"/>
      <c r="OU567" s="36"/>
      <c r="OV567" s="36"/>
      <c r="OW567" s="36"/>
      <c r="OX567" s="36"/>
    </row>
    <row r="568" spans="2:414" s="27" customFormat="1" ht="15.6">
      <c r="B568" s="51" t="s">
        <v>862</v>
      </c>
      <c r="C568" s="27" t="s">
        <v>17</v>
      </c>
      <c r="D568" s="29" t="s">
        <v>201</v>
      </c>
      <c r="G568" s="49">
        <v>80</v>
      </c>
      <c r="H568" s="89">
        <v>26.109000000000002</v>
      </c>
      <c r="I568" s="38">
        <f t="shared" si="165"/>
        <v>2088.7200000000003</v>
      </c>
      <c r="K568" s="49">
        <v>80</v>
      </c>
      <c r="L568" s="90">
        <v>26.849599999999999</v>
      </c>
      <c r="M568" s="38">
        <f t="shared" si="166"/>
        <v>2147.9679999999998</v>
      </c>
      <c r="O568" s="49">
        <v>505</v>
      </c>
      <c r="P568" s="38">
        <v>26.728300000000001</v>
      </c>
      <c r="Q568" s="38">
        <f t="shared" si="167"/>
        <v>13497.791500000001</v>
      </c>
      <c r="R568" s="43">
        <f t="shared" si="164"/>
        <v>665</v>
      </c>
      <c r="S568" s="38">
        <f t="shared" si="168"/>
        <v>17734.479500000001</v>
      </c>
      <c r="T568" s="52">
        <v>240</v>
      </c>
      <c r="U568" s="52">
        <v>26.26</v>
      </c>
      <c r="V568" s="38">
        <f t="shared" si="176"/>
        <v>6302.4000000000005</v>
      </c>
      <c r="W568" s="52">
        <v>505</v>
      </c>
      <c r="X568" s="52">
        <v>26.64</v>
      </c>
      <c r="Y568" s="35">
        <f t="shared" si="174"/>
        <v>13453.2</v>
      </c>
      <c r="Z568" s="78"/>
      <c r="AB568" s="32">
        <f t="shared" si="175"/>
        <v>0</v>
      </c>
      <c r="AF568" s="42">
        <f t="shared" si="177"/>
        <v>0</v>
      </c>
      <c r="AU568" s="100"/>
      <c r="AV568" s="35"/>
      <c r="AW568" s="78"/>
      <c r="AZ568" s="42">
        <f t="shared" si="163"/>
        <v>0</v>
      </c>
      <c r="BD568" s="38">
        <f t="shared" si="169"/>
        <v>0</v>
      </c>
      <c r="BH568" s="38">
        <f t="shared" si="170"/>
        <v>0</v>
      </c>
      <c r="BL568" s="38">
        <f t="shared" si="171"/>
        <v>0</v>
      </c>
      <c r="BR568" s="42">
        <f t="shared" si="172"/>
        <v>19755.600000000002</v>
      </c>
      <c r="BS568" s="43"/>
      <c r="BT568" s="27">
        <v>2021.12</v>
      </c>
      <c r="BU568" s="36"/>
      <c r="BV568" s="36"/>
      <c r="BW568" s="36"/>
      <c r="BX568" s="36"/>
      <c r="BY568" s="36"/>
      <c r="BZ568" s="36"/>
      <c r="CA568" s="36"/>
      <c r="CB568" s="36"/>
      <c r="CC568" s="36"/>
      <c r="CD568" s="36"/>
      <c r="CE568" s="36"/>
      <c r="CF568" s="36"/>
      <c r="CG568" s="36"/>
      <c r="CH568" s="36"/>
      <c r="CI568" s="36"/>
      <c r="CJ568" s="36"/>
      <c r="CK568" s="36"/>
      <c r="CL568" s="36"/>
      <c r="CM568" s="36"/>
      <c r="CN568" s="36"/>
      <c r="CO568" s="36"/>
      <c r="CP568" s="36"/>
      <c r="CQ568" s="36"/>
      <c r="CR568" s="36"/>
      <c r="CS568" s="36"/>
      <c r="CT568" s="36"/>
      <c r="CU568" s="36"/>
      <c r="CV568" s="36"/>
      <c r="CW568" s="36"/>
      <c r="CX568" s="36"/>
      <c r="CY568" s="36"/>
      <c r="CZ568" s="36"/>
      <c r="DA568" s="36"/>
      <c r="DB568" s="36"/>
      <c r="DC568" s="36"/>
      <c r="DD568" s="36"/>
      <c r="DE568" s="36"/>
      <c r="DF568" s="36"/>
      <c r="DG568" s="36"/>
      <c r="DH568" s="36"/>
      <c r="DI568" s="36"/>
      <c r="DJ568" s="36"/>
      <c r="DK568" s="36"/>
      <c r="DL568" s="36"/>
      <c r="DM568" s="36"/>
      <c r="DN568" s="36"/>
      <c r="DO568" s="36"/>
      <c r="DP568" s="36"/>
      <c r="DQ568" s="36"/>
      <c r="DR568" s="36"/>
      <c r="DS568" s="36"/>
      <c r="DT568" s="36"/>
      <c r="DU568" s="36"/>
      <c r="DV568" s="36"/>
      <c r="DW568" s="36"/>
      <c r="DX568" s="36"/>
      <c r="DY568" s="36"/>
      <c r="DZ568" s="36"/>
      <c r="EA568" s="36"/>
      <c r="EB568" s="36"/>
      <c r="EC568" s="36"/>
      <c r="ED568" s="36"/>
      <c r="EE568" s="36"/>
      <c r="EF568" s="36"/>
      <c r="EG568" s="36"/>
      <c r="EH568" s="36"/>
      <c r="EI568" s="36"/>
      <c r="EJ568" s="36"/>
      <c r="EK568" s="36"/>
      <c r="EL568" s="36"/>
      <c r="EM568" s="36"/>
      <c r="EN568" s="36"/>
      <c r="EO568" s="36"/>
      <c r="EP568" s="36"/>
      <c r="EQ568" s="36"/>
      <c r="ER568" s="36"/>
      <c r="ES568" s="36"/>
      <c r="ET568" s="36"/>
      <c r="EU568" s="36"/>
      <c r="EV568" s="36"/>
      <c r="EW568" s="36"/>
      <c r="EX568" s="36"/>
      <c r="EY568" s="36"/>
      <c r="EZ568" s="36"/>
      <c r="FA568" s="36"/>
      <c r="FB568" s="36"/>
      <c r="FC568" s="36"/>
      <c r="FD568" s="36"/>
      <c r="FE568" s="36"/>
      <c r="FF568" s="36"/>
      <c r="FG568" s="36"/>
      <c r="FH568" s="36"/>
      <c r="FI568" s="36"/>
      <c r="FJ568" s="36"/>
      <c r="FK568" s="36"/>
      <c r="FL568" s="36"/>
      <c r="FM568" s="36"/>
      <c r="FN568" s="36"/>
      <c r="FO568" s="36"/>
      <c r="FP568" s="36"/>
      <c r="FQ568" s="36"/>
      <c r="FR568" s="36"/>
      <c r="FS568" s="36"/>
      <c r="FT568" s="36"/>
      <c r="FU568" s="36"/>
      <c r="FV568" s="36"/>
      <c r="FW568" s="36"/>
      <c r="FX568" s="36"/>
      <c r="FY568" s="36"/>
      <c r="FZ568" s="36"/>
      <c r="GA568" s="36"/>
      <c r="GB568" s="36"/>
      <c r="GC568" s="36"/>
      <c r="GD568" s="36"/>
      <c r="GE568" s="36"/>
      <c r="GF568" s="36"/>
      <c r="GG568" s="36"/>
      <c r="GH568" s="36"/>
      <c r="GI568" s="36"/>
      <c r="GJ568" s="36"/>
      <c r="GK568" s="36"/>
      <c r="GL568" s="36"/>
      <c r="GM568" s="36"/>
      <c r="GN568" s="36"/>
      <c r="GO568" s="36"/>
      <c r="GP568" s="36"/>
      <c r="GQ568" s="36"/>
      <c r="GR568" s="36"/>
      <c r="GS568" s="36"/>
      <c r="GT568" s="36"/>
      <c r="GU568" s="36"/>
      <c r="GV568" s="36"/>
      <c r="GW568" s="36"/>
      <c r="GX568" s="36"/>
      <c r="GY568" s="36"/>
      <c r="GZ568" s="36"/>
      <c r="HA568" s="36"/>
      <c r="HB568" s="36"/>
      <c r="HC568" s="36"/>
      <c r="HD568" s="36"/>
      <c r="HE568" s="36"/>
      <c r="HF568" s="36"/>
      <c r="HG568" s="36"/>
      <c r="HH568" s="36"/>
      <c r="HI568" s="36"/>
      <c r="HJ568" s="36"/>
      <c r="HK568" s="36"/>
      <c r="HL568" s="36"/>
      <c r="HM568" s="36"/>
      <c r="HN568" s="36"/>
      <c r="HO568" s="36"/>
      <c r="HP568" s="36"/>
      <c r="HQ568" s="36"/>
      <c r="HR568" s="36"/>
      <c r="HS568" s="36"/>
      <c r="HT568" s="36"/>
      <c r="HU568" s="36"/>
      <c r="HV568" s="36"/>
      <c r="HW568" s="36"/>
      <c r="HX568" s="36"/>
      <c r="HY568" s="36"/>
      <c r="HZ568" s="36"/>
      <c r="IA568" s="36"/>
      <c r="IB568" s="36"/>
      <c r="IC568" s="36"/>
      <c r="ID568" s="36"/>
      <c r="IE568" s="36"/>
      <c r="IF568" s="36"/>
      <c r="IG568" s="36"/>
      <c r="IH568" s="36"/>
      <c r="II568" s="36"/>
      <c r="IJ568" s="36"/>
      <c r="IK568" s="36"/>
      <c r="IL568" s="36"/>
      <c r="IM568" s="36"/>
      <c r="IN568" s="36"/>
      <c r="IO568" s="36"/>
      <c r="IP568" s="36"/>
      <c r="IQ568" s="36"/>
      <c r="IR568" s="36"/>
      <c r="IS568" s="36"/>
      <c r="IT568" s="36"/>
      <c r="IU568" s="36"/>
      <c r="IV568" s="36"/>
      <c r="IW568" s="36"/>
      <c r="IX568" s="36"/>
      <c r="IY568" s="36"/>
      <c r="IZ568" s="36"/>
      <c r="JA568" s="36"/>
      <c r="JB568" s="36"/>
      <c r="JC568" s="36"/>
      <c r="JD568" s="36"/>
      <c r="JE568" s="36"/>
      <c r="JF568" s="36"/>
      <c r="JG568" s="36"/>
      <c r="JH568" s="36"/>
      <c r="JI568" s="36"/>
      <c r="JJ568" s="36"/>
      <c r="JK568" s="36"/>
      <c r="JL568" s="36"/>
      <c r="JM568" s="36"/>
      <c r="JN568" s="36"/>
      <c r="JO568" s="36"/>
      <c r="JP568" s="36"/>
      <c r="JQ568" s="36"/>
      <c r="JR568" s="36"/>
      <c r="JS568" s="36"/>
      <c r="JT568" s="36"/>
      <c r="JU568" s="36"/>
      <c r="JV568" s="36"/>
      <c r="JW568" s="36"/>
      <c r="JX568" s="36"/>
      <c r="JY568" s="36"/>
      <c r="JZ568" s="36"/>
      <c r="KA568" s="36"/>
      <c r="KB568" s="36"/>
      <c r="KC568" s="36"/>
      <c r="KD568" s="36"/>
      <c r="KE568" s="36"/>
      <c r="KF568" s="36"/>
      <c r="KG568" s="36"/>
      <c r="KH568" s="36"/>
      <c r="KI568" s="36"/>
      <c r="KJ568" s="36"/>
      <c r="KK568" s="36"/>
      <c r="KL568" s="36"/>
      <c r="KM568" s="36"/>
      <c r="KN568" s="36"/>
      <c r="KO568" s="36"/>
      <c r="KP568" s="36"/>
      <c r="KQ568" s="36"/>
      <c r="KR568" s="36"/>
      <c r="KS568" s="36"/>
      <c r="KT568" s="36"/>
      <c r="KU568" s="36"/>
      <c r="KV568" s="36"/>
      <c r="KW568" s="36"/>
      <c r="KX568" s="36"/>
      <c r="KY568" s="36"/>
      <c r="KZ568" s="36"/>
      <c r="LA568" s="36"/>
      <c r="LB568" s="36"/>
      <c r="LC568" s="36"/>
      <c r="LD568" s="36"/>
      <c r="LE568" s="36"/>
      <c r="LF568" s="36"/>
      <c r="LG568" s="36"/>
      <c r="LH568" s="36"/>
      <c r="LI568" s="36"/>
      <c r="LJ568" s="36"/>
      <c r="LK568" s="36"/>
      <c r="LL568" s="36"/>
      <c r="LM568" s="36"/>
      <c r="LN568" s="36"/>
      <c r="LO568" s="36"/>
      <c r="LP568" s="36"/>
      <c r="LQ568" s="36"/>
      <c r="LR568" s="36"/>
      <c r="LS568" s="36"/>
      <c r="LT568" s="36"/>
      <c r="LU568" s="36"/>
      <c r="LV568" s="36"/>
      <c r="LW568" s="36"/>
      <c r="LX568" s="36"/>
      <c r="LY568" s="36"/>
      <c r="LZ568" s="36"/>
      <c r="MA568" s="36"/>
      <c r="MB568" s="36"/>
      <c r="MC568" s="36"/>
      <c r="MD568" s="36"/>
      <c r="ME568" s="36"/>
      <c r="MF568" s="36"/>
      <c r="MG568" s="36"/>
      <c r="MH568" s="36"/>
      <c r="MI568" s="36"/>
      <c r="MJ568" s="36"/>
      <c r="MK568" s="36"/>
      <c r="ML568" s="36"/>
      <c r="MM568" s="36"/>
      <c r="MN568" s="36"/>
      <c r="MO568" s="36"/>
      <c r="MP568" s="36"/>
      <c r="MQ568" s="36"/>
      <c r="MR568" s="36"/>
      <c r="MS568" s="36"/>
      <c r="MT568" s="36"/>
      <c r="MU568" s="36"/>
      <c r="MV568" s="36"/>
      <c r="MW568" s="36"/>
      <c r="MX568" s="36"/>
      <c r="MY568" s="36"/>
      <c r="MZ568" s="36"/>
      <c r="NA568" s="36"/>
      <c r="NB568" s="36"/>
      <c r="NC568" s="36"/>
      <c r="ND568" s="36"/>
      <c r="NE568" s="36"/>
      <c r="NF568" s="36"/>
      <c r="NG568" s="36"/>
      <c r="NH568" s="36"/>
      <c r="NI568" s="36"/>
      <c r="NJ568" s="36"/>
      <c r="NK568" s="36"/>
      <c r="NL568" s="36"/>
      <c r="NM568" s="36"/>
      <c r="NN568" s="36"/>
      <c r="NO568" s="36"/>
      <c r="NP568" s="36"/>
      <c r="NQ568" s="36"/>
      <c r="NR568" s="36"/>
      <c r="NS568" s="36"/>
      <c r="NT568" s="36"/>
      <c r="NU568" s="36"/>
      <c r="NV568" s="36"/>
      <c r="NW568" s="36"/>
      <c r="NX568" s="36"/>
      <c r="NY568" s="36"/>
      <c r="NZ568" s="36"/>
      <c r="OA568" s="36"/>
      <c r="OB568" s="36"/>
      <c r="OC568" s="36"/>
      <c r="OD568" s="36"/>
      <c r="OE568" s="36"/>
      <c r="OF568" s="36"/>
      <c r="OG568" s="36"/>
      <c r="OH568" s="36"/>
      <c r="OI568" s="36"/>
      <c r="OJ568" s="36"/>
      <c r="OK568" s="36"/>
      <c r="OL568" s="36"/>
      <c r="OM568" s="36"/>
      <c r="ON568" s="36"/>
      <c r="OO568" s="36"/>
      <c r="OP568" s="36"/>
      <c r="OQ568" s="36"/>
      <c r="OR568" s="36"/>
      <c r="OS568" s="36"/>
      <c r="OT568" s="36"/>
      <c r="OU568" s="36"/>
      <c r="OV568" s="36"/>
      <c r="OW568" s="36"/>
      <c r="OX568" s="36"/>
    </row>
    <row r="569" spans="2:414" s="27" customFormat="1" ht="15.6">
      <c r="B569" s="51" t="s">
        <v>371</v>
      </c>
      <c r="C569" s="27" t="s">
        <v>1081</v>
      </c>
      <c r="D569" s="29" t="s">
        <v>201</v>
      </c>
      <c r="G569" s="49">
        <v>80</v>
      </c>
      <c r="H569" s="89">
        <v>26.109000000000002</v>
      </c>
      <c r="I569" s="38">
        <f t="shared" si="165"/>
        <v>2088.7200000000003</v>
      </c>
      <c r="K569" s="49">
        <v>80</v>
      </c>
      <c r="L569" s="90">
        <v>26.849599999999999</v>
      </c>
      <c r="M569" s="38">
        <f t="shared" si="166"/>
        <v>2147.9679999999998</v>
      </c>
      <c r="O569" s="49">
        <v>505</v>
      </c>
      <c r="P569" s="38">
        <v>26.728300000000001</v>
      </c>
      <c r="Q569" s="38">
        <f t="shared" si="167"/>
        <v>13497.791500000001</v>
      </c>
      <c r="R569" s="43">
        <f t="shared" si="164"/>
        <v>665</v>
      </c>
      <c r="S569" s="38">
        <f t="shared" si="168"/>
        <v>17734.479500000001</v>
      </c>
      <c r="T569" s="27">
        <v>240</v>
      </c>
      <c r="U569" s="52">
        <v>26.38</v>
      </c>
      <c r="V569" s="38">
        <f t="shared" si="176"/>
        <v>6331.2</v>
      </c>
      <c r="W569" s="52">
        <v>505</v>
      </c>
      <c r="X569" s="52">
        <v>26.716000000000001</v>
      </c>
      <c r="Y569" s="35">
        <f t="shared" si="174"/>
        <v>13491.58</v>
      </c>
      <c r="Z569" s="78"/>
      <c r="AB569" s="32">
        <f t="shared" si="175"/>
        <v>0</v>
      </c>
      <c r="AF569" s="42">
        <f t="shared" si="177"/>
        <v>0</v>
      </c>
      <c r="AU569" s="100"/>
      <c r="AV569" s="35"/>
      <c r="AW569" s="78"/>
      <c r="AZ569" s="42">
        <f t="shared" si="163"/>
        <v>0</v>
      </c>
      <c r="BD569" s="38">
        <f t="shared" si="169"/>
        <v>0</v>
      </c>
      <c r="BH569" s="38">
        <f t="shared" si="170"/>
        <v>0</v>
      </c>
      <c r="BL569" s="38">
        <f t="shared" si="171"/>
        <v>0</v>
      </c>
      <c r="BR569" s="42">
        <f t="shared" si="172"/>
        <v>19822.78</v>
      </c>
      <c r="BS569" s="43"/>
      <c r="BT569" s="27">
        <v>2088.3000000000002</v>
      </c>
      <c r="BU569" s="36"/>
      <c r="BV569" s="36"/>
      <c r="BW569" s="36"/>
      <c r="BX569" s="36"/>
      <c r="BY569" s="36"/>
      <c r="BZ569" s="36"/>
      <c r="CA569" s="36"/>
      <c r="CB569" s="36"/>
      <c r="CC569" s="36"/>
      <c r="CD569" s="36"/>
      <c r="CE569" s="36"/>
      <c r="CF569" s="36"/>
      <c r="CG569" s="36"/>
      <c r="CH569" s="36"/>
      <c r="CI569" s="36"/>
      <c r="CJ569" s="36"/>
      <c r="CK569" s="36"/>
      <c r="CL569" s="36"/>
      <c r="CM569" s="36"/>
      <c r="CN569" s="36"/>
      <c r="CO569" s="36"/>
      <c r="CP569" s="36"/>
      <c r="CQ569" s="36"/>
      <c r="CR569" s="36"/>
      <c r="CS569" s="36"/>
      <c r="CT569" s="36"/>
      <c r="CU569" s="36"/>
      <c r="CV569" s="36"/>
      <c r="CW569" s="36"/>
      <c r="CX569" s="36"/>
      <c r="CY569" s="36"/>
      <c r="CZ569" s="36"/>
      <c r="DA569" s="36"/>
      <c r="DB569" s="36"/>
      <c r="DC569" s="36"/>
      <c r="DD569" s="36"/>
      <c r="DE569" s="36"/>
      <c r="DF569" s="36"/>
      <c r="DG569" s="36"/>
      <c r="DH569" s="36"/>
      <c r="DI569" s="36"/>
      <c r="DJ569" s="36"/>
      <c r="DK569" s="36"/>
      <c r="DL569" s="36"/>
      <c r="DM569" s="36"/>
      <c r="DN569" s="36"/>
      <c r="DO569" s="36"/>
      <c r="DP569" s="36"/>
      <c r="DQ569" s="36"/>
      <c r="DR569" s="36"/>
      <c r="DS569" s="36"/>
      <c r="DT569" s="36"/>
      <c r="DU569" s="36"/>
      <c r="DV569" s="36"/>
      <c r="DW569" s="36"/>
      <c r="DX569" s="36"/>
      <c r="DY569" s="36"/>
      <c r="DZ569" s="36"/>
      <c r="EA569" s="36"/>
      <c r="EB569" s="36"/>
      <c r="EC569" s="36"/>
      <c r="ED569" s="36"/>
      <c r="EE569" s="36"/>
      <c r="EF569" s="36"/>
      <c r="EG569" s="36"/>
      <c r="EH569" s="36"/>
      <c r="EI569" s="36"/>
      <c r="EJ569" s="36"/>
      <c r="EK569" s="36"/>
      <c r="EL569" s="36"/>
      <c r="EM569" s="36"/>
      <c r="EN569" s="36"/>
      <c r="EO569" s="36"/>
      <c r="EP569" s="36"/>
      <c r="EQ569" s="36"/>
      <c r="ER569" s="36"/>
      <c r="ES569" s="36"/>
      <c r="ET569" s="36"/>
      <c r="EU569" s="36"/>
      <c r="EV569" s="36"/>
      <c r="EW569" s="36"/>
      <c r="EX569" s="36"/>
      <c r="EY569" s="36"/>
      <c r="EZ569" s="36"/>
      <c r="FA569" s="36"/>
      <c r="FB569" s="36"/>
      <c r="FC569" s="36"/>
      <c r="FD569" s="36"/>
      <c r="FE569" s="36"/>
      <c r="FF569" s="36"/>
      <c r="FG569" s="36"/>
      <c r="FH569" s="36"/>
      <c r="FI569" s="36"/>
      <c r="FJ569" s="36"/>
      <c r="FK569" s="36"/>
      <c r="FL569" s="36"/>
      <c r="FM569" s="36"/>
      <c r="FN569" s="36"/>
      <c r="FO569" s="36"/>
      <c r="FP569" s="36"/>
      <c r="FQ569" s="36"/>
      <c r="FR569" s="36"/>
      <c r="FS569" s="36"/>
      <c r="FT569" s="36"/>
      <c r="FU569" s="36"/>
      <c r="FV569" s="36"/>
      <c r="FW569" s="36"/>
      <c r="FX569" s="36"/>
      <c r="FY569" s="36"/>
      <c r="FZ569" s="36"/>
      <c r="GA569" s="36"/>
      <c r="GB569" s="36"/>
      <c r="GC569" s="36"/>
      <c r="GD569" s="36"/>
      <c r="GE569" s="36"/>
      <c r="GF569" s="36"/>
      <c r="GG569" s="36"/>
      <c r="GH569" s="36"/>
      <c r="GI569" s="36"/>
      <c r="GJ569" s="36"/>
      <c r="GK569" s="36"/>
      <c r="GL569" s="36"/>
      <c r="GM569" s="36"/>
      <c r="GN569" s="36"/>
      <c r="GO569" s="36"/>
      <c r="GP569" s="36"/>
      <c r="GQ569" s="36"/>
      <c r="GR569" s="36"/>
      <c r="GS569" s="36"/>
      <c r="GT569" s="36"/>
      <c r="GU569" s="36"/>
      <c r="GV569" s="36"/>
      <c r="GW569" s="36"/>
      <c r="GX569" s="36"/>
      <c r="GY569" s="36"/>
      <c r="GZ569" s="36"/>
      <c r="HA569" s="36"/>
      <c r="HB569" s="36"/>
      <c r="HC569" s="36"/>
      <c r="HD569" s="36"/>
      <c r="HE569" s="36"/>
      <c r="HF569" s="36"/>
      <c r="HG569" s="36"/>
      <c r="HH569" s="36"/>
      <c r="HI569" s="36"/>
      <c r="HJ569" s="36"/>
      <c r="HK569" s="36"/>
      <c r="HL569" s="36"/>
      <c r="HM569" s="36"/>
      <c r="HN569" s="36"/>
      <c r="HO569" s="36"/>
      <c r="HP569" s="36"/>
      <c r="HQ569" s="36"/>
      <c r="HR569" s="36"/>
      <c r="HS569" s="36"/>
      <c r="HT569" s="36"/>
      <c r="HU569" s="36"/>
      <c r="HV569" s="36"/>
      <c r="HW569" s="36"/>
      <c r="HX569" s="36"/>
      <c r="HY569" s="36"/>
      <c r="HZ569" s="36"/>
      <c r="IA569" s="36"/>
      <c r="IB569" s="36"/>
      <c r="IC569" s="36"/>
      <c r="ID569" s="36"/>
      <c r="IE569" s="36"/>
      <c r="IF569" s="36"/>
      <c r="IG569" s="36"/>
      <c r="IH569" s="36"/>
      <c r="II569" s="36"/>
      <c r="IJ569" s="36"/>
      <c r="IK569" s="36"/>
      <c r="IL569" s="36"/>
      <c r="IM569" s="36"/>
      <c r="IN569" s="36"/>
      <c r="IO569" s="36"/>
      <c r="IP569" s="36"/>
      <c r="IQ569" s="36"/>
      <c r="IR569" s="36"/>
      <c r="IS569" s="36"/>
      <c r="IT569" s="36"/>
      <c r="IU569" s="36"/>
      <c r="IV569" s="36"/>
      <c r="IW569" s="36"/>
      <c r="IX569" s="36"/>
      <c r="IY569" s="36"/>
      <c r="IZ569" s="36"/>
      <c r="JA569" s="36"/>
      <c r="JB569" s="36"/>
      <c r="JC569" s="36"/>
      <c r="JD569" s="36"/>
      <c r="JE569" s="36"/>
      <c r="JF569" s="36"/>
      <c r="JG569" s="36"/>
      <c r="JH569" s="36"/>
      <c r="JI569" s="36"/>
      <c r="JJ569" s="36"/>
      <c r="JK569" s="36"/>
      <c r="JL569" s="36"/>
      <c r="JM569" s="36"/>
      <c r="JN569" s="36"/>
      <c r="JO569" s="36"/>
      <c r="JP569" s="36"/>
      <c r="JQ569" s="36"/>
      <c r="JR569" s="36"/>
      <c r="JS569" s="36"/>
      <c r="JT569" s="36"/>
      <c r="JU569" s="36"/>
      <c r="JV569" s="36"/>
      <c r="JW569" s="36"/>
      <c r="JX569" s="36"/>
      <c r="JY569" s="36"/>
      <c r="JZ569" s="36"/>
      <c r="KA569" s="36"/>
      <c r="KB569" s="36"/>
      <c r="KC569" s="36"/>
      <c r="KD569" s="36"/>
      <c r="KE569" s="36"/>
      <c r="KF569" s="36"/>
      <c r="KG569" s="36"/>
      <c r="KH569" s="36"/>
      <c r="KI569" s="36"/>
      <c r="KJ569" s="36"/>
      <c r="KK569" s="36"/>
      <c r="KL569" s="36"/>
      <c r="KM569" s="36"/>
      <c r="KN569" s="36"/>
      <c r="KO569" s="36"/>
      <c r="KP569" s="36"/>
      <c r="KQ569" s="36"/>
      <c r="KR569" s="36"/>
      <c r="KS569" s="36"/>
      <c r="KT569" s="36"/>
      <c r="KU569" s="36"/>
      <c r="KV569" s="36"/>
      <c r="KW569" s="36"/>
      <c r="KX569" s="36"/>
      <c r="KY569" s="36"/>
      <c r="KZ569" s="36"/>
      <c r="LA569" s="36"/>
      <c r="LB569" s="36"/>
      <c r="LC569" s="36"/>
      <c r="LD569" s="36"/>
      <c r="LE569" s="36"/>
      <c r="LF569" s="36"/>
      <c r="LG569" s="36"/>
      <c r="LH569" s="36"/>
      <c r="LI569" s="36"/>
      <c r="LJ569" s="36"/>
      <c r="LK569" s="36"/>
      <c r="LL569" s="36"/>
      <c r="LM569" s="36"/>
      <c r="LN569" s="36"/>
      <c r="LO569" s="36"/>
      <c r="LP569" s="36"/>
      <c r="LQ569" s="36"/>
      <c r="LR569" s="36"/>
      <c r="LS569" s="36"/>
      <c r="LT569" s="36"/>
      <c r="LU569" s="36"/>
      <c r="LV569" s="36"/>
      <c r="LW569" s="36"/>
      <c r="LX569" s="36"/>
      <c r="LY569" s="36"/>
      <c r="LZ569" s="36"/>
      <c r="MA569" s="36"/>
      <c r="MB569" s="36"/>
      <c r="MC569" s="36"/>
      <c r="MD569" s="36"/>
      <c r="ME569" s="36"/>
      <c r="MF569" s="36"/>
      <c r="MG569" s="36"/>
      <c r="MH569" s="36"/>
      <c r="MI569" s="36"/>
      <c r="MJ569" s="36"/>
      <c r="MK569" s="36"/>
      <c r="ML569" s="36"/>
      <c r="MM569" s="36"/>
      <c r="MN569" s="36"/>
      <c r="MO569" s="36"/>
      <c r="MP569" s="36"/>
      <c r="MQ569" s="36"/>
      <c r="MR569" s="36"/>
      <c r="MS569" s="36"/>
      <c r="MT569" s="36"/>
      <c r="MU569" s="36"/>
      <c r="MV569" s="36"/>
      <c r="MW569" s="36"/>
      <c r="MX569" s="36"/>
      <c r="MY569" s="36"/>
      <c r="MZ569" s="36"/>
      <c r="NA569" s="36"/>
      <c r="NB569" s="36"/>
      <c r="NC569" s="36"/>
      <c r="ND569" s="36"/>
      <c r="NE569" s="36"/>
      <c r="NF569" s="36"/>
      <c r="NG569" s="36"/>
      <c r="NH569" s="36"/>
      <c r="NI569" s="36"/>
      <c r="NJ569" s="36"/>
      <c r="NK569" s="36"/>
      <c r="NL569" s="36"/>
      <c r="NM569" s="36"/>
      <c r="NN569" s="36"/>
      <c r="NO569" s="36"/>
      <c r="NP569" s="36"/>
      <c r="NQ569" s="36"/>
      <c r="NR569" s="36"/>
      <c r="NS569" s="36"/>
      <c r="NT569" s="36"/>
      <c r="NU569" s="36"/>
      <c r="NV569" s="36"/>
      <c r="NW569" s="36"/>
      <c r="NX569" s="36"/>
      <c r="NY569" s="36"/>
      <c r="NZ569" s="36"/>
      <c r="OA569" s="36"/>
      <c r="OB569" s="36"/>
      <c r="OC569" s="36"/>
      <c r="OD569" s="36"/>
      <c r="OE569" s="36"/>
      <c r="OF569" s="36"/>
      <c r="OG569" s="36"/>
      <c r="OH569" s="36"/>
      <c r="OI569" s="36"/>
      <c r="OJ569" s="36"/>
      <c r="OK569" s="36"/>
      <c r="OL569" s="36"/>
      <c r="OM569" s="36"/>
      <c r="ON569" s="36"/>
      <c r="OO569" s="36"/>
      <c r="OP569" s="36"/>
      <c r="OQ569" s="36"/>
      <c r="OR569" s="36"/>
      <c r="OS569" s="36"/>
      <c r="OT569" s="36"/>
      <c r="OU569" s="36"/>
      <c r="OV569" s="36"/>
      <c r="OW569" s="36"/>
      <c r="OX569" s="36"/>
    </row>
    <row r="570" spans="2:414" s="27" customFormat="1" ht="15.6">
      <c r="B570" s="51" t="s">
        <v>810</v>
      </c>
      <c r="C570" s="27" t="s">
        <v>809</v>
      </c>
      <c r="D570" s="29" t="s">
        <v>201</v>
      </c>
      <c r="G570" s="49">
        <v>80</v>
      </c>
      <c r="H570" s="89">
        <v>26.109000000000002</v>
      </c>
      <c r="I570" s="38">
        <f t="shared" si="165"/>
        <v>2088.7200000000003</v>
      </c>
      <c r="K570" s="49">
        <v>80</v>
      </c>
      <c r="L570" s="90">
        <v>26.849599999999999</v>
      </c>
      <c r="M570" s="38">
        <f t="shared" si="166"/>
        <v>2147.9679999999998</v>
      </c>
      <c r="O570" s="49">
        <v>505</v>
      </c>
      <c r="P570" s="38">
        <v>26.728300000000001</v>
      </c>
      <c r="Q570" s="38">
        <f t="shared" si="167"/>
        <v>13497.791500000001</v>
      </c>
      <c r="R570" s="43">
        <f t="shared" si="164"/>
        <v>665</v>
      </c>
      <c r="S570" s="38">
        <f t="shared" si="168"/>
        <v>17734.479500000001</v>
      </c>
      <c r="T570" s="52">
        <v>245</v>
      </c>
      <c r="U570" s="52">
        <v>26.7165</v>
      </c>
      <c r="V570" s="38">
        <f t="shared" si="176"/>
        <v>6545.5424999999996</v>
      </c>
      <c r="W570" s="52">
        <v>500</v>
      </c>
      <c r="X570" s="52">
        <v>26.7165</v>
      </c>
      <c r="Y570" s="35">
        <f t="shared" si="174"/>
        <v>13358.25</v>
      </c>
      <c r="Z570" s="78"/>
      <c r="AB570" s="32">
        <f t="shared" si="175"/>
        <v>0</v>
      </c>
      <c r="AF570" s="42">
        <f t="shared" si="177"/>
        <v>0</v>
      </c>
      <c r="AU570" s="100"/>
      <c r="AV570" s="35"/>
      <c r="AW570" s="78"/>
      <c r="AZ570" s="42">
        <f t="shared" ref="AZ570:AZ633" si="178">AX570*AY570</f>
        <v>0</v>
      </c>
      <c r="BD570" s="38">
        <f t="shared" si="169"/>
        <v>0</v>
      </c>
      <c r="BH570" s="38">
        <f t="shared" si="170"/>
        <v>0</v>
      </c>
      <c r="BL570" s="38">
        <f t="shared" si="171"/>
        <v>0</v>
      </c>
      <c r="BR570" s="42">
        <f t="shared" si="172"/>
        <v>19903.7925</v>
      </c>
      <c r="BS570" s="43"/>
      <c r="BT570" s="27">
        <v>2169.31</v>
      </c>
      <c r="BU570" s="36"/>
      <c r="BV570" s="36"/>
      <c r="BW570" s="36"/>
      <c r="BX570" s="36"/>
      <c r="BY570" s="36"/>
      <c r="BZ570" s="36"/>
      <c r="CA570" s="36"/>
      <c r="CB570" s="36"/>
      <c r="CC570" s="36"/>
      <c r="CD570" s="36"/>
      <c r="CE570" s="36"/>
      <c r="CF570" s="36"/>
      <c r="CG570" s="36"/>
      <c r="CH570" s="36"/>
      <c r="CI570" s="36"/>
      <c r="CJ570" s="36"/>
      <c r="CK570" s="36"/>
      <c r="CL570" s="36"/>
      <c r="CM570" s="36"/>
      <c r="CN570" s="36"/>
      <c r="CO570" s="36"/>
      <c r="CP570" s="36"/>
      <c r="CQ570" s="36"/>
      <c r="CR570" s="36"/>
      <c r="CS570" s="36"/>
      <c r="CT570" s="36"/>
      <c r="CU570" s="36"/>
      <c r="CV570" s="36"/>
      <c r="CW570" s="36"/>
      <c r="CX570" s="36"/>
      <c r="CY570" s="36"/>
      <c r="CZ570" s="36"/>
      <c r="DA570" s="36"/>
      <c r="DB570" s="36"/>
      <c r="DC570" s="36"/>
      <c r="DD570" s="36"/>
      <c r="DE570" s="36"/>
      <c r="DF570" s="36"/>
      <c r="DG570" s="36"/>
      <c r="DH570" s="36"/>
      <c r="DI570" s="36"/>
      <c r="DJ570" s="36"/>
      <c r="DK570" s="36"/>
      <c r="DL570" s="36"/>
      <c r="DM570" s="36"/>
      <c r="DN570" s="36"/>
      <c r="DO570" s="36"/>
      <c r="DP570" s="36"/>
      <c r="DQ570" s="36"/>
      <c r="DR570" s="36"/>
      <c r="DS570" s="36"/>
      <c r="DT570" s="36"/>
      <c r="DU570" s="36"/>
      <c r="DV570" s="36"/>
      <c r="DW570" s="36"/>
      <c r="DX570" s="36"/>
      <c r="DY570" s="36"/>
      <c r="DZ570" s="36"/>
      <c r="EA570" s="36"/>
      <c r="EB570" s="36"/>
      <c r="EC570" s="36"/>
      <c r="ED570" s="36"/>
      <c r="EE570" s="36"/>
      <c r="EF570" s="36"/>
      <c r="EG570" s="36"/>
      <c r="EH570" s="36"/>
      <c r="EI570" s="36"/>
      <c r="EJ570" s="36"/>
      <c r="EK570" s="36"/>
      <c r="EL570" s="36"/>
      <c r="EM570" s="36"/>
      <c r="EN570" s="36"/>
      <c r="EO570" s="36"/>
      <c r="EP570" s="36"/>
      <c r="EQ570" s="36"/>
      <c r="ER570" s="36"/>
      <c r="ES570" s="36"/>
      <c r="ET570" s="36"/>
      <c r="EU570" s="36"/>
      <c r="EV570" s="36"/>
      <c r="EW570" s="36"/>
      <c r="EX570" s="36"/>
      <c r="EY570" s="36"/>
      <c r="EZ570" s="36"/>
      <c r="FA570" s="36"/>
      <c r="FB570" s="36"/>
      <c r="FC570" s="36"/>
      <c r="FD570" s="36"/>
      <c r="FE570" s="36"/>
      <c r="FF570" s="36"/>
      <c r="FG570" s="36"/>
      <c r="FH570" s="36"/>
      <c r="FI570" s="36"/>
      <c r="FJ570" s="36"/>
      <c r="FK570" s="36"/>
      <c r="FL570" s="36"/>
      <c r="FM570" s="36"/>
      <c r="FN570" s="36"/>
      <c r="FO570" s="36"/>
      <c r="FP570" s="36"/>
      <c r="FQ570" s="36"/>
      <c r="FR570" s="36"/>
      <c r="FS570" s="36"/>
      <c r="FT570" s="36"/>
      <c r="FU570" s="36"/>
      <c r="FV570" s="36"/>
      <c r="FW570" s="36"/>
      <c r="FX570" s="36"/>
      <c r="FY570" s="36"/>
      <c r="FZ570" s="36"/>
      <c r="GA570" s="36"/>
      <c r="GB570" s="36"/>
      <c r="GC570" s="36"/>
      <c r="GD570" s="36"/>
      <c r="GE570" s="36"/>
      <c r="GF570" s="36"/>
      <c r="GG570" s="36"/>
      <c r="GH570" s="36"/>
      <c r="GI570" s="36"/>
      <c r="GJ570" s="36"/>
      <c r="GK570" s="36"/>
      <c r="GL570" s="36"/>
      <c r="GM570" s="36"/>
      <c r="GN570" s="36"/>
      <c r="GO570" s="36"/>
      <c r="GP570" s="36"/>
      <c r="GQ570" s="36"/>
      <c r="GR570" s="36"/>
      <c r="GS570" s="36"/>
      <c r="GT570" s="36"/>
      <c r="GU570" s="36"/>
      <c r="GV570" s="36"/>
      <c r="GW570" s="36"/>
      <c r="GX570" s="36"/>
      <c r="GY570" s="36"/>
      <c r="GZ570" s="36"/>
      <c r="HA570" s="36"/>
      <c r="HB570" s="36"/>
      <c r="HC570" s="36"/>
      <c r="HD570" s="36"/>
      <c r="HE570" s="36"/>
      <c r="HF570" s="36"/>
      <c r="HG570" s="36"/>
      <c r="HH570" s="36"/>
      <c r="HI570" s="36"/>
      <c r="HJ570" s="36"/>
      <c r="HK570" s="36"/>
      <c r="HL570" s="36"/>
      <c r="HM570" s="36"/>
      <c r="HN570" s="36"/>
      <c r="HO570" s="36"/>
      <c r="HP570" s="36"/>
      <c r="HQ570" s="36"/>
      <c r="HR570" s="36"/>
      <c r="HS570" s="36"/>
      <c r="HT570" s="36"/>
      <c r="HU570" s="36"/>
      <c r="HV570" s="36"/>
      <c r="HW570" s="36"/>
      <c r="HX570" s="36"/>
      <c r="HY570" s="36"/>
      <c r="HZ570" s="36"/>
      <c r="IA570" s="36"/>
      <c r="IB570" s="36"/>
      <c r="IC570" s="36"/>
      <c r="ID570" s="36"/>
      <c r="IE570" s="36"/>
      <c r="IF570" s="36"/>
      <c r="IG570" s="36"/>
      <c r="IH570" s="36"/>
      <c r="II570" s="36"/>
      <c r="IJ570" s="36"/>
      <c r="IK570" s="36"/>
      <c r="IL570" s="36"/>
      <c r="IM570" s="36"/>
      <c r="IN570" s="36"/>
      <c r="IO570" s="36"/>
      <c r="IP570" s="36"/>
      <c r="IQ570" s="36"/>
      <c r="IR570" s="36"/>
      <c r="IS570" s="36"/>
      <c r="IT570" s="36"/>
      <c r="IU570" s="36"/>
      <c r="IV570" s="36"/>
      <c r="IW570" s="36"/>
      <c r="IX570" s="36"/>
      <c r="IY570" s="36"/>
      <c r="IZ570" s="36"/>
      <c r="JA570" s="36"/>
      <c r="JB570" s="36"/>
      <c r="JC570" s="36"/>
      <c r="JD570" s="36"/>
      <c r="JE570" s="36"/>
      <c r="JF570" s="36"/>
      <c r="JG570" s="36"/>
      <c r="JH570" s="36"/>
      <c r="JI570" s="36"/>
      <c r="JJ570" s="36"/>
      <c r="JK570" s="36"/>
      <c r="JL570" s="36"/>
      <c r="JM570" s="36"/>
      <c r="JN570" s="36"/>
      <c r="JO570" s="36"/>
      <c r="JP570" s="36"/>
      <c r="JQ570" s="36"/>
      <c r="JR570" s="36"/>
      <c r="JS570" s="36"/>
      <c r="JT570" s="36"/>
      <c r="JU570" s="36"/>
      <c r="JV570" s="36"/>
      <c r="JW570" s="36"/>
      <c r="JX570" s="36"/>
      <c r="JY570" s="36"/>
      <c r="JZ570" s="36"/>
      <c r="KA570" s="36"/>
      <c r="KB570" s="36"/>
      <c r="KC570" s="36"/>
      <c r="KD570" s="36"/>
      <c r="KE570" s="36"/>
      <c r="KF570" s="36"/>
      <c r="KG570" s="36"/>
      <c r="KH570" s="36"/>
      <c r="KI570" s="36"/>
      <c r="KJ570" s="36"/>
      <c r="KK570" s="36"/>
      <c r="KL570" s="36"/>
      <c r="KM570" s="36"/>
      <c r="KN570" s="36"/>
      <c r="KO570" s="36"/>
      <c r="KP570" s="36"/>
      <c r="KQ570" s="36"/>
      <c r="KR570" s="36"/>
      <c r="KS570" s="36"/>
      <c r="KT570" s="36"/>
      <c r="KU570" s="36"/>
      <c r="KV570" s="36"/>
      <c r="KW570" s="36"/>
      <c r="KX570" s="36"/>
      <c r="KY570" s="36"/>
      <c r="KZ570" s="36"/>
      <c r="LA570" s="36"/>
      <c r="LB570" s="36"/>
      <c r="LC570" s="36"/>
      <c r="LD570" s="36"/>
      <c r="LE570" s="36"/>
      <c r="LF570" s="36"/>
      <c r="LG570" s="36"/>
      <c r="LH570" s="36"/>
      <c r="LI570" s="36"/>
      <c r="LJ570" s="36"/>
      <c r="LK570" s="36"/>
      <c r="LL570" s="36"/>
      <c r="LM570" s="36"/>
      <c r="LN570" s="36"/>
      <c r="LO570" s="36"/>
      <c r="LP570" s="36"/>
      <c r="LQ570" s="36"/>
      <c r="LR570" s="36"/>
      <c r="LS570" s="36"/>
      <c r="LT570" s="36"/>
      <c r="LU570" s="36"/>
      <c r="LV570" s="36"/>
      <c r="LW570" s="36"/>
      <c r="LX570" s="36"/>
      <c r="LY570" s="36"/>
      <c r="LZ570" s="36"/>
      <c r="MA570" s="36"/>
      <c r="MB570" s="36"/>
      <c r="MC570" s="36"/>
      <c r="MD570" s="36"/>
      <c r="ME570" s="36"/>
      <c r="MF570" s="36"/>
      <c r="MG570" s="36"/>
      <c r="MH570" s="36"/>
      <c r="MI570" s="36"/>
      <c r="MJ570" s="36"/>
      <c r="MK570" s="36"/>
      <c r="ML570" s="36"/>
      <c r="MM570" s="36"/>
      <c r="MN570" s="36"/>
      <c r="MO570" s="36"/>
      <c r="MP570" s="36"/>
      <c r="MQ570" s="36"/>
      <c r="MR570" s="36"/>
      <c r="MS570" s="36"/>
      <c r="MT570" s="36"/>
      <c r="MU570" s="36"/>
      <c r="MV570" s="36"/>
      <c r="MW570" s="36"/>
      <c r="MX570" s="36"/>
      <c r="MY570" s="36"/>
      <c r="MZ570" s="36"/>
      <c r="NA570" s="36"/>
      <c r="NB570" s="36"/>
      <c r="NC570" s="36"/>
      <c r="ND570" s="36"/>
      <c r="NE570" s="36"/>
      <c r="NF570" s="36"/>
      <c r="NG570" s="36"/>
      <c r="NH570" s="36"/>
      <c r="NI570" s="36"/>
      <c r="NJ570" s="36"/>
      <c r="NK570" s="36"/>
      <c r="NL570" s="36"/>
      <c r="NM570" s="36"/>
      <c r="NN570" s="36"/>
      <c r="NO570" s="36"/>
      <c r="NP570" s="36"/>
      <c r="NQ570" s="36"/>
      <c r="NR570" s="36"/>
      <c r="NS570" s="36"/>
      <c r="NT570" s="36"/>
      <c r="NU570" s="36"/>
      <c r="NV570" s="36"/>
      <c r="NW570" s="36"/>
      <c r="NX570" s="36"/>
      <c r="NY570" s="36"/>
      <c r="NZ570" s="36"/>
      <c r="OA570" s="36"/>
      <c r="OB570" s="36"/>
      <c r="OC570" s="36"/>
      <c r="OD570" s="36"/>
      <c r="OE570" s="36"/>
      <c r="OF570" s="36"/>
      <c r="OG570" s="36"/>
      <c r="OH570" s="36"/>
      <c r="OI570" s="36"/>
      <c r="OJ570" s="36"/>
      <c r="OK570" s="36"/>
      <c r="OL570" s="36"/>
      <c r="OM570" s="36"/>
      <c r="ON570" s="36"/>
      <c r="OO570" s="36"/>
      <c r="OP570" s="36"/>
      <c r="OQ570" s="36"/>
      <c r="OR570" s="36"/>
      <c r="OS570" s="36"/>
      <c r="OT570" s="36"/>
      <c r="OU570" s="36"/>
      <c r="OV570" s="36"/>
      <c r="OW570" s="36"/>
      <c r="OX570" s="36"/>
    </row>
    <row r="571" spans="2:414" s="27" customFormat="1" ht="15.6">
      <c r="B571" s="51" t="s">
        <v>1082</v>
      </c>
      <c r="C571" s="27" t="s">
        <v>138</v>
      </c>
      <c r="D571" s="29" t="s">
        <v>201</v>
      </c>
      <c r="G571" s="49">
        <v>80</v>
      </c>
      <c r="H571" s="89">
        <v>26.109000000000002</v>
      </c>
      <c r="I571" s="38">
        <f t="shared" si="165"/>
        <v>2088.7200000000003</v>
      </c>
      <c r="K571" s="49">
        <v>80</v>
      </c>
      <c r="L571" s="90">
        <v>26.849599999999999</v>
      </c>
      <c r="M571" s="38">
        <f t="shared" si="166"/>
        <v>2147.9679999999998</v>
      </c>
      <c r="O571" s="49">
        <v>505</v>
      </c>
      <c r="P571" s="38">
        <v>26.728300000000001</v>
      </c>
      <c r="Q571" s="38">
        <f t="shared" si="167"/>
        <v>13497.791500000001</v>
      </c>
      <c r="R571" s="43">
        <f t="shared" si="164"/>
        <v>665</v>
      </c>
      <c r="S571" s="38">
        <f t="shared" si="168"/>
        <v>17734.479500000001</v>
      </c>
      <c r="V571" s="38">
        <f t="shared" si="176"/>
        <v>0</v>
      </c>
      <c r="W571" s="52">
        <v>505</v>
      </c>
      <c r="X571" s="52">
        <v>26.575199999999999</v>
      </c>
      <c r="Y571" s="35">
        <f t="shared" si="174"/>
        <v>13420.475999999999</v>
      </c>
      <c r="Z571" s="78"/>
      <c r="AB571" s="32">
        <f t="shared" si="175"/>
        <v>0</v>
      </c>
      <c r="AF571" s="42">
        <f t="shared" si="177"/>
        <v>0</v>
      </c>
      <c r="AU571" s="100"/>
      <c r="AV571" s="35"/>
      <c r="AW571" s="78"/>
      <c r="AZ571" s="42">
        <f t="shared" si="178"/>
        <v>0</v>
      </c>
      <c r="BD571" s="38">
        <f t="shared" si="169"/>
        <v>0</v>
      </c>
      <c r="BH571" s="38">
        <f t="shared" si="170"/>
        <v>0</v>
      </c>
      <c r="BL571" s="38">
        <f t="shared" si="171"/>
        <v>0</v>
      </c>
      <c r="BR571" s="42">
        <f t="shared" si="172"/>
        <v>13420.475999999999</v>
      </c>
      <c r="BS571" s="43">
        <f t="shared" si="173"/>
        <v>4314.0035000000025</v>
      </c>
      <c r="BU571" s="36"/>
      <c r="BV571" s="36"/>
      <c r="BW571" s="36"/>
      <c r="BX571" s="36"/>
      <c r="BY571" s="36"/>
      <c r="BZ571" s="36"/>
      <c r="CA571" s="36"/>
      <c r="CB571" s="36"/>
      <c r="CC571" s="36"/>
      <c r="CD571" s="36"/>
      <c r="CE571" s="36"/>
      <c r="CF571" s="36"/>
      <c r="CG571" s="36"/>
      <c r="CH571" s="36"/>
      <c r="CI571" s="36"/>
      <c r="CJ571" s="36"/>
      <c r="CK571" s="36"/>
      <c r="CL571" s="36"/>
      <c r="CM571" s="36"/>
      <c r="CN571" s="36"/>
      <c r="CO571" s="36"/>
      <c r="CP571" s="36"/>
      <c r="CQ571" s="36"/>
      <c r="CR571" s="36"/>
      <c r="CS571" s="36"/>
      <c r="CT571" s="36"/>
      <c r="CU571" s="36"/>
      <c r="CV571" s="36"/>
      <c r="CW571" s="36"/>
      <c r="CX571" s="36"/>
      <c r="CY571" s="36"/>
      <c r="CZ571" s="36"/>
      <c r="DA571" s="36"/>
      <c r="DB571" s="36"/>
      <c r="DC571" s="36"/>
      <c r="DD571" s="36"/>
      <c r="DE571" s="36"/>
      <c r="DF571" s="36"/>
      <c r="DG571" s="36"/>
      <c r="DH571" s="36"/>
      <c r="DI571" s="36"/>
      <c r="DJ571" s="36"/>
      <c r="DK571" s="36"/>
      <c r="DL571" s="36"/>
      <c r="DM571" s="36"/>
      <c r="DN571" s="36"/>
      <c r="DO571" s="36"/>
      <c r="DP571" s="36"/>
      <c r="DQ571" s="36"/>
      <c r="DR571" s="36"/>
      <c r="DS571" s="36"/>
      <c r="DT571" s="36"/>
      <c r="DU571" s="36"/>
      <c r="DV571" s="36"/>
      <c r="DW571" s="36"/>
      <c r="DX571" s="36"/>
      <c r="DY571" s="36"/>
      <c r="DZ571" s="36"/>
      <c r="EA571" s="36"/>
      <c r="EB571" s="36"/>
      <c r="EC571" s="36"/>
      <c r="ED571" s="36"/>
      <c r="EE571" s="36"/>
      <c r="EF571" s="36"/>
      <c r="EG571" s="36"/>
      <c r="EH571" s="36"/>
      <c r="EI571" s="36"/>
      <c r="EJ571" s="36"/>
      <c r="EK571" s="36"/>
      <c r="EL571" s="36"/>
      <c r="EM571" s="36"/>
      <c r="EN571" s="36"/>
      <c r="EO571" s="36"/>
      <c r="EP571" s="36"/>
      <c r="EQ571" s="36"/>
      <c r="ER571" s="36"/>
      <c r="ES571" s="36"/>
      <c r="ET571" s="36"/>
      <c r="EU571" s="36"/>
      <c r="EV571" s="36"/>
      <c r="EW571" s="36"/>
      <c r="EX571" s="36"/>
      <c r="EY571" s="36"/>
      <c r="EZ571" s="36"/>
      <c r="FA571" s="36"/>
      <c r="FB571" s="36"/>
      <c r="FC571" s="36"/>
      <c r="FD571" s="36"/>
      <c r="FE571" s="36"/>
      <c r="FF571" s="36"/>
      <c r="FG571" s="36"/>
      <c r="FH571" s="36"/>
      <c r="FI571" s="36"/>
      <c r="FJ571" s="36"/>
      <c r="FK571" s="36"/>
      <c r="FL571" s="36"/>
      <c r="FM571" s="36"/>
      <c r="FN571" s="36"/>
      <c r="FO571" s="36"/>
      <c r="FP571" s="36"/>
      <c r="FQ571" s="36"/>
      <c r="FR571" s="36"/>
      <c r="FS571" s="36"/>
      <c r="FT571" s="36"/>
      <c r="FU571" s="36"/>
      <c r="FV571" s="36"/>
      <c r="FW571" s="36"/>
      <c r="FX571" s="36"/>
      <c r="FY571" s="36"/>
      <c r="FZ571" s="36"/>
      <c r="GA571" s="36"/>
      <c r="GB571" s="36"/>
      <c r="GC571" s="36"/>
      <c r="GD571" s="36"/>
      <c r="GE571" s="36"/>
      <c r="GF571" s="36"/>
      <c r="GG571" s="36"/>
      <c r="GH571" s="36"/>
      <c r="GI571" s="36"/>
      <c r="GJ571" s="36"/>
      <c r="GK571" s="36"/>
      <c r="GL571" s="36"/>
      <c r="GM571" s="36"/>
      <c r="GN571" s="36"/>
      <c r="GO571" s="36"/>
      <c r="GP571" s="36"/>
      <c r="GQ571" s="36"/>
      <c r="GR571" s="36"/>
      <c r="GS571" s="36"/>
      <c r="GT571" s="36"/>
      <c r="GU571" s="36"/>
      <c r="GV571" s="36"/>
      <c r="GW571" s="36"/>
      <c r="GX571" s="36"/>
      <c r="GY571" s="36"/>
      <c r="GZ571" s="36"/>
      <c r="HA571" s="36"/>
      <c r="HB571" s="36"/>
      <c r="HC571" s="36"/>
      <c r="HD571" s="36"/>
      <c r="HE571" s="36"/>
      <c r="HF571" s="36"/>
      <c r="HG571" s="36"/>
      <c r="HH571" s="36"/>
      <c r="HI571" s="36"/>
      <c r="HJ571" s="36"/>
      <c r="HK571" s="36"/>
      <c r="HL571" s="36"/>
      <c r="HM571" s="36"/>
      <c r="HN571" s="36"/>
      <c r="HO571" s="36"/>
      <c r="HP571" s="36"/>
      <c r="HQ571" s="36"/>
      <c r="HR571" s="36"/>
      <c r="HS571" s="36"/>
      <c r="HT571" s="36"/>
      <c r="HU571" s="36"/>
      <c r="HV571" s="36"/>
      <c r="HW571" s="36"/>
      <c r="HX571" s="36"/>
      <c r="HY571" s="36"/>
      <c r="HZ571" s="36"/>
      <c r="IA571" s="36"/>
      <c r="IB571" s="36"/>
      <c r="IC571" s="36"/>
      <c r="ID571" s="36"/>
      <c r="IE571" s="36"/>
      <c r="IF571" s="36"/>
      <c r="IG571" s="36"/>
      <c r="IH571" s="36"/>
      <c r="II571" s="36"/>
      <c r="IJ571" s="36"/>
      <c r="IK571" s="36"/>
      <c r="IL571" s="36"/>
      <c r="IM571" s="36"/>
      <c r="IN571" s="36"/>
      <c r="IO571" s="36"/>
      <c r="IP571" s="36"/>
      <c r="IQ571" s="36"/>
      <c r="IR571" s="36"/>
      <c r="IS571" s="36"/>
      <c r="IT571" s="36"/>
      <c r="IU571" s="36"/>
      <c r="IV571" s="36"/>
      <c r="IW571" s="36"/>
      <c r="IX571" s="36"/>
      <c r="IY571" s="36"/>
      <c r="IZ571" s="36"/>
      <c r="JA571" s="36"/>
      <c r="JB571" s="36"/>
      <c r="JC571" s="36"/>
      <c r="JD571" s="36"/>
      <c r="JE571" s="36"/>
      <c r="JF571" s="36"/>
      <c r="JG571" s="36"/>
      <c r="JH571" s="36"/>
      <c r="JI571" s="36"/>
      <c r="JJ571" s="36"/>
      <c r="JK571" s="36"/>
      <c r="JL571" s="36"/>
      <c r="JM571" s="36"/>
      <c r="JN571" s="36"/>
      <c r="JO571" s="36"/>
      <c r="JP571" s="36"/>
      <c r="JQ571" s="36"/>
      <c r="JR571" s="36"/>
      <c r="JS571" s="36"/>
      <c r="JT571" s="36"/>
      <c r="JU571" s="36"/>
      <c r="JV571" s="36"/>
      <c r="JW571" s="36"/>
      <c r="JX571" s="36"/>
      <c r="JY571" s="36"/>
      <c r="JZ571" s="36"/>
      <c r="KA571" s="36"/>
      <c r="KB571" s="36"/>
      <c r="KC571" s="36"/>
      <c r="KD571" s="36"/>
      <c r="KE571" s="36"/>
      <c r="KF571" s="36"/>
      <c r="KG571" s="36"/>
      <c r="KH571" s="36"/>
      <c r="KI571" s="36"/>
      <c r="KJ571" s="36"/>
      <c r="KK571" s="36"/>
      <c r="KL571" s="36"/>
      <c r="KM571" s="36"/>
      <c r="KN571" s="36"/>
      <c r="KO571" s="36"/>
      <c r="KP571" s="36"/>
      <c r="KQ571" s="36"/>
      <c r="KR571" s="36"/>
      <c r="KS571" s="36"/>
      <c r="KT571" s="36"/>
      <c r="KU571" s="36"/>
      <c r="KV571" s="36"/>
      <c r="KW571" s="36"/>
      <c r="KX571" s="36"/>
      <c r="KY571" s="36"/>
      <c r="KZ571" s="36"/>
      <c r="LA571" s="36"/>
      <c r="LB571" s="36"/>
      <c r="LC571" s="36"/>
      <c r="LD571" s="36"/>
      <c r="LE571" s="36"/>
      <c r="LF571" s="36"/>
      <c r="LG571" s="36"/>
      <c r="LH571" s="36"/>
      <c r="LI571" s="36"/>
      <c r="LJ571" s="36"/>
      <c r="LK571" s="36"/>
      <c r="LL571" s="36"/>
      <c r="LM571" s="36"/>
      <c r="LN571" s="36"/>
      <c r="LO571" s="36"/>
      <c r="LP571" s="36"/>
      <c r="LQ571" s="36"/>
      <c r="LR571" s="36"/>
      <c r="LS571" s="36"/>
      <c r="LT571" s="36"/>
      <c r="LU571" s="36"/>
      <c r="LV571" s="36"/>
      <c r="LW571" s="36"/>
      <c r="LX571" s="36"/>
      <c r="LY571" s="36"/>
      <c r="LZ571" s="36"/>
      <c r="MA571" s="36"/>
      <c r="MB571" s="36"/>
      <c r="MC571" s="36"/>
      <c r="MD571" s="36"/>
      <c r="ME571" s="36"/>
      <c r="MF571" s="36"/>
      <c r="MG571" s="36"/>
      <c r="MH571" s="36"/>
      <c r="MI571" s="36"/>
      <c r="MJ571" s="36"/>
      <c r="MK571" s="36"/>
      <c r="ML571" s="36"/>
      <c r="MM571" s="36"/>
      <c r="MN571" s="36"/>
      <c r="MO571" s="36"/>
      <c r="MP571" s="36"/>
      <c r="MQ571" s="36"/>
      <c r="MR571" s="36"/>
      <c r="MS571" s="36"/>
      <c r="MT571" s="36"/>
      <c r="MU571" s="36"/>
      <c r="MV571" s="36"/>
      <c r="MW571" s="36"/>
      <c r="MX571" s="36"/>
      <c r="MY571" s="36"/>
      <c r="MZ571" s="36"/>
      <c r="NA571" s="36"/>
      <c r="NB571" s="36"/>
      <c r="NC571" s="36"/>
      <c r="ND571" s="36"/>
      <c r="NE571" s="36"/>
      <c r="NF571" s="36"/>
      <c r="NG571" s="36"/>
      <c r="NH571" s="36"/>
      <c r="NI571" s="36"/>
      <c r="NJ571" s="36"/>
      <c r="NK571" s="36"/>
      <c r="NL571" s="36"/>
      <c r="NM571" s="36"/>
      <c r="NN571" s="36"/>
      <c r="NO571" s="36"/>
      <c r="NP571" s="36"/>
      <c r="NQ571" s="36"/>
      <c r="NR571" s="36"/>
      <c r="NS571" s="36"/>
      <c r="NT571" s="36"/>
      <c r="NU571" s="36"/>
      <c r="NV571" s="36"/>
      <c r="NW571" s="36"/>
      <c r="NX571" s="36"/>
      <c r="NY571" s="36"/>
      <c r="NZ571" s="36"/>
      <c r="OA571" s="36"/>
      <c r="OB571" s="36"/>
      <c r="OC571" s="36"/>
      <c r="OD571" s="36"/>
      <c r="OE571" s="36"/>
      <c r="OF571" s="36"/>
      <c r="OG571" s="36"/>
      <c r="OH571" s="36"/>
      <c r="OI571" s="36"/>
      <c r="OJ571" s="36"/>
      <c r="OK571" s="36"/>
      <c r="OL571" s="36"/>
      <c r="OM571" s="36"/>
      <c r="ON571" s="36"/>
      <c r="OO571" s="36"/>
      <c r="OP571" s="36"/>
      <c r="OQ571" s="36"/>
      <c r="OR571" s="36"/>
      <c r="OS571" s="36"/>
      <c r="OT571" s="36"/>
      <c r="OU571" s="36"/>
      <c r="OV571" s="36"/>
      <c r="OW571" s="36"/>
      <c r="OX571" s="36"/>
    </row>
    <row r="572" spans="2:414" s="27" customFormat="1" ht="15.6">
      <c r="B572" s="51" t="s">
        <v>766</v>
      </c>
      <c r="C572" s="27" t="s">
        <v>767</v>
      </c>
      <c r="D572" s="29" t="s">
        <v>201</v>
      </c>
      <c r="G572" s="49">
        <v>80</v>
      </c>
      <c r="H572" s="89">
        <v>26.109000000000002</v>
      </c>
      <c r="I572" s="38">
        <f t="shared" si="165"/>
        <v>2088.7200000000003</v>
      </c>
      <c r="K572" s="49">
        <v>80</v>
      </c>
      <c r="L572" s="90">
        <v>26.849599999999999</v>
      </c>
      <c r="M572" s="38">
        <f t="shared" si="166"/>
        <v>2147.9679999999998</v>
      </c>
      <c r="O572" s="49">
        <v>505</v>
      </c>
      <c r="P572" s="38">
        <v>26.728300000000001</v>
      </c>
      <c r="Q572" s="38">
        <f t="shared" si="167"/>
        <v>13497.791500000001</v>
      </c>
      <c r="R572" s="43">
        <f t="shared" si="164"/>
        <v>665</v>
      </c>
      <c r="S572" s="38">
        <f t="shared" si="168"/>
        <v>17734.479500000001</v>
      </c>
      <c r="T572" s="52">
        <v>240</v>
      </c>
      <c r="U572" s="52">
        <v>26.735700000000001</v>
      </c>
      <c r="V572" s="38">
        <f t="shared" si="176"/>
        <v>6416.5680000000002</v>
      </c>
      <c r="W572" s="52">
        <v>505</v>
      </c>
      <c r="X572" s="52">
        <v>26.773199999999999</v>
      </c>
      <c r="Y572" s="35">
        <f t="shared" si="174"/>
        <v>13520.466</v>
      </c>
      <c r="Z572" s="78"/>
      <c r="AB572" s="32">
        <f t="shared" si="175"/>
        <v>0</v>
      </c>
      <c r="AF572" s="42">
        <f t="shared" si="177"/>
        <v>0</v>
      </c>
      <c r="AU572" s="100"/>
      <c r="AV572" s="35"/>
      <c r="AW572" s="78"/>
      <c r="AZ572" s="42">
        <f t="shared" si="178"/>
        <v>0</v>
      </c>
      <c r="BD572" s="38">
        <f t="shared" si="169"/>
        <v>0</v>
      </c>
      <c r="BH572" s="38">
        <f t="shared" si="170"/>
        <v>0</v>
      </c>
      <c r="BL572" s="38">
        <f t="shared" si="171"/>
        <v>0</v>
      </c>
      <c r="BR572" s="42">
        <f t="shared" si="172"/>
        <v>19937.034</v>
      </c>
      <c r="BS572" s="43"/>
      <c r="BT572" s="27">
        <v>2202.5500000000002</v>
      </c>
      <c r="BU572" s="36"/>
      <c r="BV572" s="36"/>
      <c r="BW572" s="36"/>
      <c r="BX572" s="36"/>
      <c r="BY572" s="36"/>
      <c r="BZ572" s="36"/>
      <c r="CA572" s="36"/>
      <c r="CB572" s="36"/>
      <c r="CC572" s="36"/>
      <c r="CD572" s="36"/>
      <c r="CE572" s="36"/>
      <c r="CF572" s="36"/>
      <c r="CG572" s="36"/>
      <c r="CH572" s="36"/>
      <c r="CI572" s="36"/>
      <c r="CJ572" s="36"/>
      <c r="CK572" s="36"/>
      <c r="CL572" s="36"/>
      <c r="CM572" s="36"/>
      <c r="CN572" s="36"/>
      <c r="CO572" s="36"/>
      <c r="CP572" s="36"/>
      <c r="CQ572" s="36"/>
      <c r="CR572" s="36"/>
      <c r="CS572" s="36"/>
      <c r="CT572" s="36"/>
      <c r="CU572" s="36"/>
      <c r="CV572" s="36"/>
      <c r="CW572" s="36"/>
      <c r="CX572" s="36"/>
      <c r="CY572" s="36"/>
      <c r="CZ572" s="36"/>
      <c r="DA572" s="36"/>
      <c r="DB572" s="36"/>
      <c r="DC572" s="36"/>
      <c r="DD572" s="36"/>
      <c r="DE572" s="36"/>
      <c r="DF572" s="36"/>
      <c r="DG572" s="36"/>
      <c r="DH572" s="36"/>
      <c r="DI572" s="36"/>
      <c r="DJ572" s="36"/>
      <c r="DK572" s="36"/>
      <c r="DL572" s="36"/>
      <c r="DM572" s="36"/>
      <c r="DN572" s="36"/>
      <c r="DO572" s="36"/>
      <c r="DP572" s="36"/>
      <c r="DQ572" s="36"/>
      <c r="DR572" s="36"/>
      <c r="DS572" s="36"/>
      <c r="DT572" s="36"/>
      <c r="DU572" s="36"/>
      <c r="DV572" s="36"/>
      <c r="DW572" s="36"/>
      <c r="DX572" s="36"/>
      <c r="DY572" s="36"/>
      <c r="DZ572" s="36"/>
      <c r="EA572" s="36"/>
      <c r="EB572" s="36"/>
      <c r="EC572" s="36"/>
      <c r="ED572" s="36"/>
      <c r="EE572" s="36"/>
      <c r="EF572" s="36"/>
      <c r="EG572" s="36"/>
      <c r="EH572" s="36"/>
      <c r="EI572" s="36"/>
      <c r="EJ572" s="36"/>
      <c r="EK572" s="36"/>
      <c r="EL572" s="36"/>
      <c r="EM572" s="36"/>
      <c r="EN572" s="36"/>
      <c r="EO572" s="36"/>
      <c r="EP572" s="36"/>
      <c r="EQ572" s="36"/>
      <c r="ER572" s="36"/>
      <c r="ES572" s="36"/>
      <c r="ET572" s="36"/>
      <c r="EU572" s="36"/>
      <c r="EV572" s="36"/>
      <c r="EW572" s="36"/>
      <c r="EX572" s="36"/>
      <c r="EY572" s="36"/>
      <c r="EZ572" s="36"/>
      <c r="FA572" s="36"/>
      <c r="FB572" s="36"/>
      <c r="FC572" s="36"/>
      <c r="FD572" s="36"/>
      <c r="FE572" s="36"/>
      <c r="FF572" s="36"/>
      <c r="FG572" s="36"/>
      <c r="FH572" s="36"/>
      <c r="FI572" s="36"/>
      <c r="FJ572" s="36"/>
      <c r="FK572" s="36"/>
      <c r="FL572" s="36"/>
      <c r="FM572" s="36"/>
      <c r="FN572" s="36"/>
      <c r="FO572" s="36"/>
      <c r="FP572" s="36"/>
      <c r="FQ572" s="36"/>
      <c r="FR572" s="36"/>
      <c r="FS572" s="36"/>
      <c r="FT572" s="36"/>
      <c r="FU572" s="36"/>
      <c r="FV572" s="36"/>
      <c r="FW572" s="36"/>
      <c r="FX572" s="36"/>
      <c r="FY572" s="36"/>
      <c r="FZ572" s="36"/>
      <c r="GA572" s="36"/>
      <c r="GB572" s="36"/>
      <c r="GC572" s="36"/>
      <c r="GD572" s="36"/>
      <c r="GE572" s="36"/>
      <c r="GF572" s="36"/>
      <c r="GG572" s="36"/>
      <c r="GH572" s="36"/>
      <c r="GI572" s="36"/>
      <c r="GJ572" s="36"/>
      <c r="GK572" s="36"/>
      <c r="GL572" s="36"/>
      <c r="GM572" s="36"/>
      <c r="GN572" s="36"/>
      <c r="GO572" s="36"/>
      <c r="GP572" s="36"/>
      <c r="GQ572" s="36"/>
      <c r="GR572" s="36"/>
      <c r="GS572" s="36"/>
      <c r="GT572" s="36"/>
      <c r="GU572" s="36"/>
      <c r="GV572" s="36"/>
      <c r="GW572" s="36"/>
      <c r="GX572" s="36"/>
      <c r="GY572" s="36"/>
      <c r="GZ572" s="36"/>
      <c r="HA572" s="36"/>
      <c r="HB572" s="36"/>
      <c r="HC572" s="36"/>
      <c r="HD572" s="36"/>
      <c r="HE572" s="36"/>
      <c r="HF572" s="36"/>
      <c r="HG572" s="36"/>
      <c r="HH572" s="36"/>
      <c r="HI572" s="36"/>
      <c r="HJ572" s="36"/>
      <c r="HK572" s="36"/>
      <c r="HL572" s="36"/>
      <c r="HM572" s="36"/>
      <c r="HN572" s="36"/>
      <c r="HO572" s="36"/>
      <c r="HP572" s="36"/>
      <c r="HQ572" s="36"/>
      <c r="HR572" s="36"/>
      <c r="HS572" s="36"/>
      <c r="HT572" s="36"/>
      <c r="HU572" s="36"/>
      <c r="HV572" s="36"/>
      <c r="HW572" s="36"/>
      <c r="HX572" s="36"/>
      <c r="HY572" s="36"/>
      <c r="HZ572" s="36"/>
      <c r="IA572" s="36"/>
      <c r="IB572" s="36"/>
      <c r="IC572" s="36"/>
      <c r="ID572" s="36"/>
      <c r="IE572" s="36"/>
      <c r="IF572" s="36"/>
      <c r="IG572" s="36"/>
      <c r="IH572" s="36"/>
      <c r="II572" s="36"/>
      <c r="IJ572" s="36"/>
      <c r="IK572" s="36"/>
      <c r="IL572" s="36"/>
      <c r="IM572" s="36"/>
      <c r="IN572" s="36"/>
      <c r="IO572" s="36"/>
      <c r="IP572" s="36"/>
      <c r="IQ572" s="36"/>
      <c r="IR572" s="36"/>
      <c r="IS572" s="36"/>
      <c r="IT572" s="36"/>
      <c r="IU572" s="36"/>
      <c r="IV572" s="36"/>
      <c r="IW572" s="36"/>
      <c r="IX572" s="36"/>
      <c r="IY572" s="36"/>
      <c r="IZ572" s="36"/>
      <c r="JA572" s="36"/>
      <c r="JB572" s="36"/>
      <c r="JC572" s="36"/>
      <c r="JD572" s="36"/>
      <c r="JE572" s="36"/>
      <c r="JF572" s="36"/>
      <c r="JG572" s="36"/>
      <c r="JH572" s="36"/>
      <c r="JI572" s="36"/>
      <c r="JJ572" s="36"/>
      <c r="JK572" s="36"/>
      <c r="JL572" s="36"/>
      <c r="JM572" s="36"/>
      <c r="JN572" s="36"/>
      <c r="JO572" s="36"/>
      <c r="JP572" s="36"/>
      <c r="JQ572" s="36"/>
      <c r="JR572" s="36"/>
      <c r="JS572" s="36"/>
      <c r="JT572" s="36"/>
      <c r="JU572" s="36"/>
      <c r="JV572" s="36"/>
      <c r="JW572" s="36"/>
      <c r="JX572" s="36"/>
      <c r="JY572" s="36"/>
      <c r="JZ572" s="36"/>
      <c r="KA572" s="36"/>
      <c r="KB572" s="36"/>
      <c r="KC572" s="36"/>
      <c r="KD572" s="36"/>
      <c r="KE572" s="36"/>
      <c r="KF572" s="36"/>
      <c r="KG572" s="36"/>
      <c r="KH572" s="36"/>
      <c r="KI572" s="36"/>
      <c r="KJ572" s="36"/>
      <c r="KK572" s="36"/>
      <c r="KL572" s="36"/>
      <c r="KM572" s="36"/>
      <c r="KN572" s="36"/>
      <c r="KO572" s="36"/>
      <c r="KP572" s="36"/>
      <c r="KQ572" s="36"/>
      <c r="KR572" s="36"/>
      <c r="KS572" s="36"/>
      <c r="KT572" s="36"/>
      <c r="KU572" s="36"/>
      <c r="KV572" s="36"/>
      <c r="KW572" s="36"/>
      <c r="KX572" s="36"/>
      <c r="KY572" s="36"/>
      <c r="KZ572" s="36"/>
      <c r="LA572" s="36"/>
      <c r="LB572" s="36"/>
      <c r="LC572" s="36"/>
      <c r="LD572" s="36"/>
      <c r="LE572" s="36"/>
      <c r="LF572" s="36"/>
      <c r="LG572" s="36"/>
      <c r="LH572" s="36"/>
      <c r="LI572" s="36"/>
      <c r="LJ572" s="36"/>
      <c r="LK572" s="36"/>
      <c r="LL572" s="36"/>
      <c r="LM572" s="36"/>
      <c r="LN572" s="36"/>
      <c r="LO572" s="36"/>
      <c r="LP572" s="36"/>
      <c r="LQ572" s="36"/>
      <c r="LR572" s="36"/>
      <c r="LS572" s="36"/>
      <c r="LT572" s="36"/>
      <c r="LU572" s="36"/>
      <c r="LV572" s="36"/>
      <c r="LW572" s="36"/>
      <c r="LX572" s="36"/>
      <c r="LY572" s="36"/>
      <c r="LZ572" s="36"/>
      <c r="MA572" s="36"/>
      <c r="MB572" s="36"/>
      <c r="MC572" s="36"/>
      <c r="MD572" s="36"/>
      <c r="ME572" s="36"/>
      <c r="MF572" s="36"/>
      <c r="MG572" s="36"/>
      <c r="MH572" s="36"/>
      <c r="MI572" s="36"/>
      <c r="MJ572" s="36"/>
      <c r="MK572" s="36"/>
      <c r="ML572" s="36"/>
      <c r="MM572" s="36"/>
      <c r="MN572" s="36"/>
      <c r="MO572" s="36"/>
      <c r="MP572" s="36"/>
      <c r="MQ572" s="36"/>
      <c r="MR572" s="36"/>
      <c r="MS572" s="36"/>
      <c r="MT572" s="36"/>
      <c r="MU572" s="36"/>
      <c r="MV572" s="36"/>
      <c r="MW572" s="36"/>
      <c r="MX572" s="36"/>
      <c r="MY572" s="36"/>
      <c r="MZ572" s="36"/>
      <c r="NA572" s="36"/>
      <c r="NB572" s="36"/>
      <c r="NC572" s="36"/>
      <c r="ND572" s="36"/>
      <c r="NE572" s="36"/>
      <c r="NF572" s="36"/>
      <c r="NG572" s="36"/>
      <c r="NH572" s="36"/>
      <c r="NI572" s="36"/>
      <c r="NJ572" s="36"/>
      <c r="NK572" s="36"/>
      <c r="NL572" s="36"/>
      <c r="NM572" s="36"/>
      <c r="NN572" s="36"/>
      <c r="NO572" s="36"/>
      <c r="NP572" s="36"/>
      <c r="NQ572" s="36"/>
      <c r="NR572" s="36"/>
      <c r="NS572" s="36"/>
      <c r="NT572" s="36"/>
      <c r="NU572" s="36"/>
      <c r="NV572" s="36"/>
      <c r="NW572" s="36"/>
      <c r="NX572" s="36"/>
      <c r="NY572" s="36"/>
      <c r="NZ572" s="36"/>
      <c r="OA572" s="36"/>
      <c r="OB572" s="36"/>
      <c r="OC572" s="36"/>
      <c r="OD572" s="36"/>
      <c r="OE572" s="36"/>
      <c r="OF572" s="36"/>
      <c r="OG572" s="36"/>
      <c r="OH572" s="36"/>
      <c r="OI572" s="36"/>
      <c r="OJ572" s="36"/>
      <c r="OK572" s="36"/>
      <c r="OL572" s="36"/>
      <c r="OM572" s="36"/>
      <c r="ON572" s="36"/>
      <c r="OO572" s="36"/>
      <c r="OP572" s="36"/>
      <c r="OQ572" s="36"/>
      <c r="OR572" s="36"/>
      <c r="OS572" s="36"/>
      <c r="OT572" s="36"/>
      <c r="OU572" s="36"/>
      <c r="OV572" s="36"/>
      <c r="OW572" s="36"/>
      <c r="OX572" s="36"/>
    </row>
    <row r="573" spans="2:414" s="27" customFormat="1" ht="15.6">
      <c r="B573" s="51" t="s">
        <v>1083</v>
      </c>
      <c r="C573" s="27" t="s">
        <v>737</v>
      </c>
      <c r="D573" s="29" t="s">
        <v>201</v>
      </c>
      <c r="G573" s="49">
        <v>80</v>
      </c>
      <c r="H573" s="89">
        <v>26.109000000000002</v>
      </c>
      <c r="I573" s="38">
        <f t="shared" si="165"/>
        <v>2088.7200000000003</v>
      </c>
      <c r="K573" s="49">
        <v>80</v>
      </c>
      <c r="L573" s="90">
        <v>26.849599999999999</v>
      </c>
      <c r="M573" s="38">
        <f t="shared" si="166"/>
        <v>2147.9679999999998</v>
      </c>
      <c r="O573" s="49">
        <v>505</v>
      </c>
      <c r="P573" s="38">
        <v>26.728300000000001</v>
      </c>
      <c r="Q573" s="38">
        <f t="shared" si="167"/>
        <v>13497.791500000001</v>
      </c>
      <c r="R573" s="43">
        <f t="shared" si="164"/>
        <v>665</v>
      </c>
      <c r="S573" s="38">
        <f t="shared" si="168"/>
        <v>17734.479500000001</v>
      </c>
      <c r="T573" s="27">
        <v>90</v>
      </c>
      <c r="U573" s="52">
        <v>26.74</v>
      </c>
      <c r="V573" s="38">
        <f t="shared" si="176"/>
        <v>2406.6</v>
      </c>
      <c r="Y573" s="35">
        <f t="shared" si="174"/>
        <v>0</v>
      </c>
      <c r="Z573" s="78"/>
      <c r="AB573" s="32">
        <f t="shared" si="175"/>
        <v>0</v>
      </c>
      <c r="AF573" s="42">
        <f t="shared" si="177"/>
        <v>0</v>
      </c>
      <c r="AU573" s="100"/>
      <c r="AV573" s="35"/>
      <c r="AW573" s="78"/>
      <c r="AZ573" s="42">
        <f t="shared" si="178"/>
        <v>0</v>
      </c>
      <c r="BD573" s="38">
        <f t="shared" si="169"/>
        <v>0</v>
      </c>
      <c r="BH573" s="38">
        <f t="shared" si="170"/>
        <v>0</v>
      </c>
      <c r="BL573" s="38">
        <f t="shared" si="171"/>
        <v>0</v>
      </c>
      <c r="BR573" s="42">
        <f t="shared" si="172"/>
        <v>2406.6</v>
      </c>
      <c r="BS573" s="43">
        <f t="shared" si="173"/>
        <v>15327.879500000001</v>
      </c>
      <c r="BU573" s="36"/>
      <c r="BV573" s="36"/>
      <c r="BW573" s="36"/>
      <c r="BX573" s="36"/>
      <c r="BY573" s="36"/>
      <c r="BZ573" s="36"/>
      <c r="CA573" s="36"/>
      <c r="CB573" s="36"/>
      <c r="CC573" s="36"/>
      <c r="CD573" s="36"/>
      <c r="CE573" s="36"/>
      <c r="CF573" s="36"/>
      <c r="CG573" s="36"/>
      <c r="CH573" s="36"/>
      <c r="CI573" s="36"/>
      <c r="CJ573" s="36"/>
      <c r="CK573" s="36"/>
      <c r="CL573" s="36"/>
      <c r="CM573" s="36"/>
      <c r="CN573" s="36"/>
      <c r="CO573" s="36"/>
      <c r="CP573" s="36"/>
      <c r="CQ573" s="36"/>
      <c r="CR573" s="36"/>
      <c r="CS573" s="36"/>
      <c r="CT573" s="36"/>
      <c r="CU573" s="36"/>
      <c r="CV573" s="36"/>
      <c r="CW573" s="36"/>
      <c r="CX573" s="36"/>
      <c r="CY573" s="36"/>
      <c r="CZ573" s="36"/>
      <c r="DA573" s="36"/>
      <c r="DB573" s="36"/>
      <c r="DC573" s="36"/>
      <c r="DD573" s="36"/>
      <c r="DE573" s="36"/>
      <c r="DF573" s="36"/>
      <c r="DG573" s="36"/>
      <c r="DH573" s="36"/>
      <c r="DI573" s="36"/>
      <c r="DJ573" s="36"/>
      <c r="DK573" s="36"/>
      <c r="DL573" s="36"/>
      <c r="DM573" s="36"/>
      <c r="DN573" s="36"/>
      <c r="DO573" s="36"/>
      <c r="DP573" s="36"/>
      <c r="DQ573" s="36"/>
      <c r="DR573" s="36"/>
      <c r="DS573" s="36"/>
      <c r="DT573" s="36"/>
      <c r="DU573" s="36"/>
      <c r="DV573" s="36"/>
      <c r="DW573" s="36"/>
      <c r="DX573" s="36"/>
      <c r="DY573" s="36"/>
      <c r="DZ573" s="36"/>
      <c r="EA573" s="36"/>
      <c r="EB573" s="36"/>
      <c r="EC573" s="36"/>
      <c r="ED573" s="36"/>
      <c r="EE573" s="36"/>
      <c r="EF573" s="36"/>
      <c r="EG573" s="36"/>
      <c r="EH573" s="36"/>
      <c r="EI573" s="36"/>
      <c r="EJ573" s="36"/>
      <c r="EK573" s="36"/>
      <c r="EL573" s="36"/>
      <c r="EM573" s="36"/>
      <c r="EN573" s="36"/>
      <c r="EO573" s="36"/>
      <c r="EP573" s="36"/>
      <c r="EQ573" s="36"/>
      <c r="ER573" s="36"/>
      <c r="ES573" s="36"/>
      <c r="ET573" s="36"/>
      <c r="EU573" s="36"/>
      <c r="EV573" s="36"/>
      <c r="EW573" s="36"/>
      <c r="EX573" s="36"/>
      <c r="EY573" s="36"/>
      <c r="EZ573" s="36"/>
      <c r="FA573" s="36"/>
      <c r="FB573" s="36"/>
      <c r="FC573" s="36"/>
      <c r="FD573" s="36"/>
      <c r="FE573" s="36"/>
      <c r="FF573" s="36"/>
      <c r="FG573" s="36"/>
      <c r="FH573" s="36"/>
      <c r="FI573" s="36"/>
      <c r="FJ573" s="36"/>
      <c r="FK573" s="36"/>
      <c r="FL573" s="36"/>
      <c r="FM573" s="36"/>
      <c r="FN573" s="36"/>
      <c r="FO573" s="36"/>
      <c r="FP573" s="36"/>
      <c r="FQ573" s="36"/>
      <c r="FR573" s="36"/>
      <c r="FS573" s="36"/>
      <c r="FT573" s="36"/>
      <c r="FU573" s="36"/>
      <c r="FV573" s="36"/>
      <c r="FW573" s="36"/>
      <c r="FX573" s="36"/>
      <c r="FY573" s="36"/>
      <c r="FZ573" s="36"/>
      <c r="GA573" s="36"/>
      <c r="GB573" s="36"/>
      <c r="GC573" s="36"/>
      <c r="GD573" s="36"/>
      <c r="GE573" s="36"/>
      <c r="GF573" s="36"/>
      <c r="GG573" s="36"/>
      <c r="GH573" s="36"/>
      <c r="GI573" s="36"/>
      <c r="GJ573" s="36"/>
      <c r="GK573" s="36"/>
      <c r="GL573" s="36"/>
      <c r="GM573" s="36"/>
      <c r="GN573" s="36"/>
      <c r="GO573" s="36"/>
      <c r="GP573" s="36"/>
      <c r="GQ573" s="36"/>
      <c r="GR573" s="36"/>
      <c r="GS573" s="36"/>
      <c r="GT573" s="36"/>
      <c r="GU573" s="36"/>
      <c r="GV573" s="36"/>
      <c r="GW573" s="36"/>
      <c r="GX573" s="36"/>
      <c r="GY573" s="36"/>
      <c r="GZ573" s="36"/>
      <c r="HA573" s="36"/>
      <c r="HB573" s="36"/>
      <c r="HC573" s="36"/>
      <c r="HD573" s="36"/>
      <c r="HE573" s="36"/>
      <c r="HF573" s="36"/>
      <c r="HG573" s="36"/>
      <c r="HH573" s="36"/>
      <c r="HI573" s="36"/>
      <c r="HJ573" s="36"/>
      <c r="HK573" s="36"/>
      <c r="HL573" s="36"/>
      <c r="HM573" s="36"/>
      <c r="HN573" s="36"/>
      <c r="HO573" s="36"/>
      <c r="HP573" s="36"/>
      <c r="HQ573" s="36"/>
      <c r="HR573" s="36"/>
      <c r="HS573" s="36"/>
      <c r="HT573" s="36"/>
      <c r="HU573" s="36"/>
      <c r="HV573" s="36"/>
      <c r="HW573" s="36"/>
      <c r="HX573" s="36"/>
      <c r="HY573" s="36"/>
      <c r="HZ573" s="36"/>
      <c r="IA573" s="36"/>
      <c r="IB573" s="36"/>
      <c r="IC573" s="36"/>
      <c r="ID573" s="36"/>
      <c r="IE573" s="36"/>
      <c r="IF573" s="36"/>
      <c r="IG573" s="36"/>
      <c r="IH573" s="36"/>
      <c r="II573" s="36"/>
      <c r="IJ573" s="36"/>
      <c r="IK573" s="36"/>
      <c r="IL573" s="36"/>
      <c r="IM573" s="36"/>
      <c r="IN573" s="36"/>
      <c r="IO573" s="36"/>
      <c r="IP573" s="36"/>
      <c r="IQ573" s="36"/>
      <c r="IR573" s="36"/>
      <c r="IS573" s="36"/>
      <c r="IT573" s="36"/>
      <c r="IU573" s="36"/>
      <c r="IV573" s="36"/>
      <c r="IW573" s="36"/>
      <c r="IX573" s="36"/>
      <c r="IY573" s="36"/>
      <c r="IZ573" s="36"/>
      <c r="JA573" s="36"/>
      <c r="JB573" s="36"/>
      <c r="JC573" s="36"/>
      <c r="JD573" s="36"/>
      <c r="JE573" s="36"/>
      <c r="JF573" s="36"/>
      <c r="JG573" s="36"/>
      <c r="JH573" s="36"/>
      <c r="JI573" s="36"/>
      <c r="JJ573" s="36"/>
      <c r="JK573" s="36"/>
      <c r="JL573" s="36"/>
      <c r="JM573" s="36"/>
      <c r="JN573" s="36"/>
      <c r="JO573" s="36"/>
      <c r="JP573" s="36"/>
      <c r="JQ573" s="36"/>
      <c r="JR573" s="36"/>
      <c r="JS573" s="36"/>
      <c r="JT573" s="36"/>
      <c r="JU573" s="36"/>
      <c r="JV573" s="36"/>
      <c r="JW573" s="36"/>
      <c r="JX573" s="36"/>
      <c r="JY573" s="36"/>
      <c r="JZ573" s="36"/>
      <c r="KA573" s="36"/>
      <c r="KB573" s="36"/>
      <c r="KC573" s="36"/>
      <c r="KD573" s="36"/>
      <c r="KE573" s="36"/>
      <c r="KF573" s="36"/>
      <c r="KG573" s="36"/>
      <c r="KH573" s="36"/>
      <c r="KI573" s="36"/>
      <c r="KJ573" s="36"/>
      <c r="KK573" s="36"/>
      <c r="KL573" s="36"/>
      <c r="KM573" s="36"/>
      <c r="KN573" s="36"/>
      <c r="KO573" s="36"/>
      <c r="KP573" s="36"/>
      <c r="KQ573" s="36"/>
      <c r="KR573" s="36"/>
      <c r="KS573" s="36"/>
      <c r="KT573" s="36"/>
      <c r="KU573" s="36"/>
      <c r="KV573" s="36"/>
      <c r="KW573" s="36"/>
      <c r="KX573" s="36"/>
      <c r="KY573" s="36"/>
      <c r="KZ573" s="36"/>
      <c r="LA573" s="36"/>
      <c r="LB573" s="36"/>
      <c r="LC573" s="36"/>
      <c r="LD573" s="36"/>
      <c r="LE573" s="36"/>
      <c r="LF573" s="36"/>
      <c r="LG573" s="36"/>
      <c r="LH573" s="36"/>
      <c r="LI573" s="36"/>
      <c r="LJ573" s="36"/>
      <c r="LK573" s="36"/>
      <c r="LL573" s="36"/>
      <c r="LM573" s="36"/>
      <c r="LN573" s="36"/>
      <c r="LO573" s="36"/>
      <c r="LP573" s="36"/>
      <c r="LQ573" s="36"/>
      <c r="LR573" s="36"/>
      <c r="LS573" s="36"/>
      <c r="LT573" s="36"/>
      <c r="LU573" s="36"/>
      <c r="LV573" s="36"/>
      <c r="LW573" s="36"/>
      <c r="LX573" s="36"/>
      <c r="LY573" s="36"/>
      <c r="LZ573" s="36"/>
      <c r="MA573" s="36"/>
      <c r="MB573" s="36"/>
      <c r="MC573" s="36"/>
      <c r="MD573" s="36"/>
      <c r="ME573" s="36"/>
      <c r="MF573" s="36"/>
      <c r="MG573" s="36"/>
      <c r="MH573" s="36"/>
      <c r="MI573" s="36"/>
      <c r="MJ573" s="36"/>
      <c r="MK573" s="36"/>
      <c r="ML573" s="36"/>
      <c r="MM573" s="36"/>
      <c r="MN573" s="36"/>
      <c r="MO573" s="36"/>
      <c r="MP573" s="36"/>
      <c r="MQ573" s="36"/>
      <c r="MR573" s="36"/>
      <c r="MS573" s="36"/>
      <c r="MT573" s="36"/>
      <c r="MU573" s="36"/>
      <c r="MV573" s="36"/>
      <c r="MW573" s="36"/>
      <c r="MX573" s="36"/>
      <c r="MY573" s="36"/>
      <c r="MZ573" s="36"/>
      <c r="NA573" s="36"/>
      <c r="NB573" s="36"/>
      <c r="NC573" s="36"/>
      <c r="ND573" s="36"/>
      <c r="NE573" s="36"/>
      <c r="NF573" s="36"/>
      <c r="NG573" s="36"/>
      <c r="NH573" s="36"/>
      <c r="NI573" s="36"/>
      <c r="NJ573" s="36"/>
      <c r="NK573" s="36"/>
      <c r="NL573" s="36"/>
      <c r="NM573" s="36"/>
      <c r="NN573" s="36"/>
      <c r="NO573" s="36"/>
      <c r="NP573" s="36"/>
      <c r="NQ573" s="36"/>
      <c r="NR573" s="36"/>
      <c r="NS573" s="36"/>
      <c r="NT573" s="36"/>
      <c r="NU573" s="36"/>
      <c r="NV573" s="36"/>
      <c r="NW573" s="36"/>
      <c r="NX573" s="36"/>
      <c r="NY573" s="36"/>
      <c r="NZ573" s="36"/>
      <c r="OA573" s="36"/>
      <c r="OB573" s="36"/>
      <c r="OC573" s="36"/>
      <c r="OD573" s="36"/>
      <c r="OE573" s="36"/>
      <c r="OF573" s="36"/>
      <c r="OG573" s="36"/>
      <c r="OH573" s="36"/>
      <c r="OI573" s="36"/>
      <c r="OJ573" s="36"/>
      <c r="OK573" s="36"/>
      <c r="OL573" s="36"/>
      <c r="OM573" s="36"/>
      <c r="ON573" s="36"/>
      <c r="OO573" s="36"/>
      <c r="OP573" s="36"/>
      <c r="OQ573" s="36"/>
      <c r="OR573" s="36"/>
      <c r="OS573" s="36"/>
      <c r="OT573" s="36"/>
      <c r="OU573" s="36"/>
      <c r="OV573" s="36"/>
      <c r="OW573" s="36"/>
      <c r="OX573" s="36"/>
    </row>
    <row r="574" spans="2:414" s="27" customFormat="1" ht="15.6">
      <c r="B574" s="51" t="s">
        <v>869</v>
      </c>
      <c r="C574" s="27" t="s">
        <v>402</v>
      </c>
      <c r="D574" s="29" t="s">
        <v>201</v>
      </c>
      <c r="G574" s="49">
        <v>80</v>
      </c>
      <c r="H574" s="89">
        <v>26.109000000000002</v>
      </c>
      <c r="I574" s="38">
        <f t="shared" si="165"/>
        <v>2088.7200000000003</v>
      </c>
      <c r="K574" s="49">
        <v>80</v>
      </c>
      <c r="L574" s="90">
        <v>26.849599999999999</v>
      </c>
      <c r="M574" s="38">
        <f t="shared" si="166"/>
        <v>2147.9679999999998</v>
      </c>
      <c r="O574" s="49">
        <v>505</v>
      </c>
      <c r="P574" s="38">
        <v>26.728300000000001</v>
      </c>
      <c r="Q574" s="38">
        <f t="shared" si="167"/>
        <v>13497.791500000001</v>
      </c>
      <c r="R574" s="43">
        <f t="shared" si="164"/>
        <v>665</v>
      </c>
      <c r="S574" s="38">
        <f t="shared" si="168"/>
        <v>17734.479500000001</v>
      </c>
      <c r="T574" s="52">
        <v>30</v>
      </c>
      <c r="U574" s="52">
        <v>26.38</v>
      </c>
      <c r="V574" s="38">
        <f t="shared" si="176"/>
        <v>791.4</v>
      </c>
      <c r="W574" s="52">
        <v>505</v>
      </c>
      <c r="X574" s="52">
        <v>26.508700000000001</v>
      </c>
      <c r="Y574" s="35">
        <f t="shared" si="174"/>
        <v>13386.8935</v>
      </c>
      <c r="Z574" s="78"/>
      <c r="AB574" s="32">
        <f t="shared" si="175"/>
        <v>0</v>
      </c>
      <c r="AF574" s="42">
        <f t="shared" si="177"/>
        <v>0</v>
      </c>
      <c r="AU574" s="100"/>
      <c r="AV574" s="35"/>
      <c r="AW574" s="78"/>
      <c r="AZ574" s="42">
        <f t="shared" si="178"/>
        <v>0</v>
      </c>
      <c r="BD574" s="38">
        <f t="shared" si="169"/>
        <v>0</v>
      </c>
      <c r="BH574" s="38">
        <f t="shared" si="170"/>
        <v>0</v>
      </c>
      <c r="BL574" s="38">
        <f t="shared" si="171"/>
        <v>0</v>
      </c>
      <c r="BR574" s="42">
        <f t="shared" si="172"/>
        <v>14178.2935</v>
      </c>
      <c r="BS574" s="43">
        <f t="shared" si="173"/>
        <v>3556.1860000000015</v>
      </c>
      <c r="BU574" s="36"/>
      <c r="BV574" s="36"/>
      <c r="BW574" s="36"/>
      <c r="BX574" s="36"/>
      <c r="BY574" s="36"/>
      <c r="BZ574" s="36"/>
      <c r="CA574" s="36"/>
      <c r="CB574" s="36"/>
      <c r="CC574" s="36"/>
      <c r="CD574" s="36"/>
      <c r="CE574" s="36"/>
      <c r="CF574" s="36"/>
      <c r="CG574" s="36"/>
      <c r="CH574" s="36"/>
      <c r="CI574" s="36"/>
      <c r="CJ574" s="36"/>
      <c r="CK574" s="36"/>
      <c r="CL574" s="36"/>
      <c r="CM574" s="36"/>
      <c r="CN574" s="36"/>
      <c r="CO574" s="36"/>
      <c r="CP574" s="36"/>
      <c r="CQ574" s="36"/>
      <c r="CR574" s="36"/>
      <c r="CS574" s="36"/>
      <c r="CT574" s="36"/>
      <c r="CU574" s="36"/>
      <c r="CV574" s="36"/>
      <c r="CW574" s="36"/>
      <c r="CX574" s="36"/>
      <c r="CY574" s="36"/>
      <c r="CZ574" s="36"/>
      <c r="DA574" s="36"/>
      <c r="DB574" s="36"/>
      <c r="DC574" s="36"/>
      <c r="DD574" s="36"/>
      <c r="DE574" s="36"/>
      <c r="DF574" s="36"/>
      <c r="DG574" s="36"/>
      <c r="DH574" s="36"/>
      <c r="DI574" s="36"/>
      <c r="DJ574" s="36"/>
      <c r="DK574" s="36"/>
      <c r="DL574" s="36"/>
      <c r="DM574" s="36"/>
      <c r="DN574" s="36"/>
      <c r="DO574" s="36"/>
      <c r="DP574" s="36"/>
      <c r="DQ574" s="36"/>
      <c r="DR574" s="36"/>
      <c r="DS574" s="36"/>
      <c r="DT574" s="36"/>
      <c r="DU574" s="36"/>
      <c r="DV574" s="36"/>
      <c r="DW574" s="36"/>
      <c r="DX574" s="36"/>
      <c r="DY574" s="36"/>
      <c r="DZ574" s="36"/>
      <c r="EA574" s="36"/>
      <c r="EB574" s="36"/>
      <c r="EC574" s="36"/>
      <c r="ED574" s="36"/>
      <c r="EE574" s="36"/>
      <c r="EF574" s="36"/>
      <c r="EG574" s="36"/>
      <c r="EH574" s="36"/>
      <c r="EI574" s="36"/>
      <c r="EJ574" s="36"/>
      <c r="EK574" s="36"/>
      <c r="EL574" s="36"/>
      <c r="EM574" s="36"/>
      <c r="EN574" s="36"/>
      <c r="EO574" s="36"/>
      <c r="EP574" s="36"/>
      <c r="EQ574" s="36"/>
      <c r="ER574" s="36"/>
      <c r="ES574" s="36"/>
      <c r="ET574" s="36"/>
      <c r="EU574" s="36"/>
      <c r="EV574" s="36"/>
      <c r="EW574" s="36"/>
      <c r="EX574" s="36"/>
      <c r="EY574" s="36"/>
      <c r="EZ574" s="36"/>
      <c r="FA574" s="36"/>
      <c r="FB574" s="36"/>
      <c r="FC574" s="36"/>
      <c r="FD574" s="36"/>
      <c r="FE574" s="36"/>
      <c r="FF574" s="36"/>
      <c r="FG574" s="36"/>
      <c r="FH574" s="36"/>
      <c r="FI574" s="36"/>
      <c r="FJ574" s="36"/>
      <c r="FK574" s="36"/>
      <c r="FL574" s="36"/>
      <c r="FM574" s="36"/>
      <c r="FN574" s="36"/>
      <c r="FO574" s="36"/>
      <c r="FP574" s="36"/>
      <c r="FQ574" s="36"/>
      <c r="FR574" s="36"/>
      <c r="FS574" s="36"/>
      <c r="FT574" s="36"/>
      <c r="FU574" s="36"/>
      <c r="FV574" s="36"/>
      <c r="FW574" s="36"/>
      <c r="FX574" s="36"/>
      <c r="FY574" s="36"/>
      <c r="FZ574" s="36"/>
      <c r="GA574" s="36"/>
      <c r="GB574" s="36"/>
      <c r="GC574" s="36"/>
      <c r="GD574" s="36"/>
      <c r="GE574" s="36"/>
      <c r="GF574" s="36"/>
      <c r="GG574" s="36"/>
      <c r="GH574" s="36"/>
      <c r="GI574" s="36"/>
      <c r="GJ574" s="36"/>
      <c r="GK574" s="36"/>
      <c r="GL574" s="36"/>
      <c r="GM574" s="36"/>
      <c r="GN574" s="36"/>
      <c r="GO574" s="36"/>
      <c r="GP574" s="36"/>
      <c r="GQ574" s="36"/>
      <c r="GR574" s="36"/>
      <c r="GS574" s="36"/>
      <c r="GT574" s="36"/>
      <c r="GU574" s="36"/>
      <c r="GV574" s="36"/>
      <c r="GW574" s="36"/>
      <c r="GX574" s="36"/>
      <c r="GY574" s="36"/>
      <c r="GZ574" s="36"/>
      <c r="HA574" s="36"/>
      <c r="HB574" s="36"/>
      <c r="HC574" s="36"/>
      <c r="HD574" s="36"/>
      <c r="HE574" s="36"/>
      <c r="HF574" s="36"/>
      <c r="HG574" s="36"/>
      <c r="HH574" s="36"/>
      <c r="HI574" s="36"/>
      <c r="HJ574" s="36"/>
      <c r="HK574" s="36"/>
      <c r="HL574" s="36"/>
      <c r="HM574" s="36"/>
      <c r="HN574" s="36"/>
      <c r="HO574" s="36"/>
      <c r="HP574" s="36"/>
      <c r="HQ574" s="36"/>
      <c r="HR574" s="36"/>
      <c r="HS574" s="36"/>
      <c r="HT574" s="36"/>
      <c r="HU574" s="36"/>
      <c r="HV574" s="36"/>
      <c r="HW574" s="36"/>
      <c r="HX574" s="36"/>
      <c r="HY574" s="36"/>
      <c r="HZ574" s="36"/>
      <c r="IA574" s="36"/>
      <c r="IB574" s="36"/>
      <c r="IC574" s="36"/>
      <c r="ID574" s="36"/>
      <c r="IE574" s="36"/>
      <c r="IF574" s="36"/>
      <c r="IG574" s="36"/>
      <c r="IH574" s="36"/>
      <c r="II574" s="36"/>
      <c r="IJ574" s="36"/>
      <c r="IK574" s="36"/>
      <c r="IL574" s="36"/>
      <c r="IM574" s="36"/>
      <c r="IN574" s="36"/>
      <c r="IO574" s="36"/>
      <c r="IP574" s="36"/>
      <c r="IQ574" s="36"/>
      <c r="IR574" s="36"/>
      <c r="IS574" s="36"/>
      <c r="IT574" s="36"/>
      <c r="IU574" s="36"/>
      <c r="IV574" s="36"/>
      <c r="IW574" s="36"/>
      <c r="IX574" s="36"/>
      <c r="IY574" s="36"/>
      <c r="IZ574" s="36"/>
      <c r="JA574" s="36"/>
      <c r="JB574" s="36"/>
      <c r="JC574" s="36"/>
      <c r="JD574" s="36"/>
      <c r="JE574" s="36"/>
      <c r="JF574" s="36"/>
      <c r="JG574" s="36"/>
      <c r="JH574" s="36"/>
      <c r="JI574" s="36"/>
      <c r="JJ574" s="36"/>
      <c r="JK574" s="36"/>
      <c r="JL574" s="36"/>
      <c r="JM574" s="36"/>
      <c r="JN574" s="36"/>
      <c r="JO574" s="36"/>
      <c r="JP574" s="36"/>
      <c r="JQ574" s="36"/>
      <c r="JR574" s="36"/>
      <c r="JS574" s="36"/>
      <c r="JT574" s="36"/>
      <c r="JU574" s="36"/>
      <c r="JV574" s="36"/>
      <c r="JW574" s="36"/>
      <c r="JX574" s="36"/>
      <c r="JY574" s="36"/>
      <c r="JZ574" s="36"/>
      <c r="KA574" s="36"/>
      <c r="KB574" s="36"/>
      <c r="KC574" s="36"/>
      <c r="KD574" s="36"/>
      <c r="KE574" s="36"/>
      <c r="KF574" s="36"/>
      <c r="KG574" s="36"/>
      <c r="KH574" s="36"/>
      <c r="KI574" s="36"/>
      <c r="KJ574" s="36"/>
      <c r="KK574" s="36"/>
      <c r="KL574" s="36"/>
      <c r="KM574" s="36"/>
      <c r="KN574" s="36"/>
      <c r="KO574" s="36"/>
      <c r="KP574" s="36"/>
      <c r="KQ574" s="36"/>
      <c r="KR574" s="36"/>
      <c r="KS574" s="36"/>
      <c r="KT574" s="36"/>
      <c r="KU574" s="36"/>
      <c r="KV574" s="36"/>
      <c r="KW574" s="36"/>
      <c r="KX574" s="36"/>
      <c r="KY574" s="36"/>
      <c r="KZ574" s="36"/>
      <c r="LA574" s="36"/>
      <c r="LB574" s="36"/>
      <c r="LC574" s="36"/>
      <c r="LD574" s="36"/>
      <c r="LE574" s="36"/>
      <c r="LF574" s="36"/>
      <c r="LG574" s="36"/>
      <c r="LH574" s="36"/>
      <c r="LI574" s="36"/>
      <c r="LJ574" s="36"/>
      <c r="LK574" s="36"/>
      <c r="LL574" s="36"/>
      <c r="LM574" s="36"/>
      <c r="LN574" s="36"/>
      <c r="LO574" s="36"/>
      <c r="LP574" s="36"/>
      <c r="LQ574" s="36"/>
      <c r="LR574" s="36"/>
      <c r="LS574" s="36"/>
      <c r="LT574" s="36"/>
      <c r="LU574" s="36"/>
      <c r="LV574" s="36"/>
      <c r="LW574" s="36"/>
      <c r="LX574" s="36"/>
      <c r="LY574" s="36"/>
      <c r="LZ574" s="36"/>
      <c r="MA574" s="36"/>
      <c r="MB574" s="36"/>
      <c r="MC574" s="36"/>
      <c r="MD574" s="36"/>
      <c r="ME574" s="36"/>
      <c r="MF574" s="36"/>
      <c r="MG574" s="36"/>
      <c r="MH574" s="36"/>
      <c r="MI574" s="36"/>
      <c r="MJ574" s="36"/>
      <c r="MK574" s="36"/>
      <c r="ML574" s="36"/>
      <c r="MM574" s="36"/>
      <c r="MN574" s="36"/>
      <c r="MO574" s="36"/>
      <c r="MP574" s="36"/>
      <c r="MQ574" s="36"/>
      <c r="MR574" s="36"/>
      <c r="MS574" s="36"/>
      <c r="MT574" s="36"/>
      <c r="MU574" s="36"/>
      <c r="MV574" s="36"/>
      <c r="MW574" s="36"/>
      <c r="MX574" s="36"/>
      <c r="MY574" s="36"/>
      <c r="MZ574" s="36"/>
      <c r="NA574" s="36"/>
      <c r="NB574" s="36"/>
      <c r="NC574" s="36"/>
      <c r="ND574" s="36"/>
      <c r="NE574" s="36"/>
      <c r="NF574" s="36"/>
      <c r="NG574" s="36"/>
      <c r="NH574" s="36"/>
      <c r="NI574" s="36"/>
      <c r="NJ574" s="36"/>
      <c r="NK574" s="36"/>
      <c r="NL574" s="36"/>
      <c r="NM574" s="36"/>
      <c r="NN574" s="36"/>
      <c r="NO574" s="36"/>
      <c r="NP574" s="36"/>
      <c r="NQ574" s="36"/>
      <c r="NR574" s="36"/>
      <c r="NS574" s="36"/>
      <c r="NT574" s="36"/>
      <c r="NU574" s="36"/>
      <c r="NV574" s="36"/>
      <c r="NW574" s="36"/>
      <c r="NX574" s="36"/>
      <c r="NY574" s="36"/>
      <c r="NZ574" s="36"/>
      <c r="OA574" s="36"/>
      <c r="OB574" s="36"/>
      <c r="OC574" s="36"/>
      <c r="OD574" s="36"/>
      <c r="OE574" s="36"/>
      <c r="OF574" s="36"/>
      <c r="OG574" s="36"/>
      <c r="OH574" s="36"/>
      <c r="OI574" s="36"/>
      <c r="OJ574" s="36"/>
      <c r="OK574" s="36"/>
      <c r="OL574" s="36"/>
      <c r="OM574" s="36"/>
      <c r="ON574" s="36"/>
      <c r="OO574" s="36"/>
      <c r="OP574" s="36"/>
      <c r="OQ574" s="36"/>
      <c r="OR574" s="36"/>
      <c r="OS574" s="36"/>
      <c r="OT574" s="36"/>
      <c r="OU574" s="36"/>
      <c r="OV574" s="36"/>
      <c r="OW574" s="36"/>
      <c r="OX574" s="36"/>
    </row>
    <row r="575" spans="2:414" s="27" customFormat="1" ht="15.6">
      <c r="B575" s="51" t="s">
        <v>1084</v>
      </c>
      <c r="C575" s="27" t="s">
        <v>1085</v>
      </c>
      <c r="D575" s="29" t="s">
        <v>201</v>
      </c>
      <c r="G575" s="49">
        <v>80</v>
      </c>
      <c r="H575" s="89">
        <v>26.109000000000002</v>
      </c>
      <c r="I575" s="38">
        <f t="shared" si="165"/>
        <v>2088.7200000000003</v>
      </c>
      <c r="K575" s="49">
        <v>80</v>
      </c>
      <c r="L575" s="90">
        <v>26.849599999999999</v>
      </c>
      <c r="M575" s="38">
        <f t="shared" si="166"/>
        <v>2147.9679999999998</v>
      </c>
      <c r="O575" s="49">
        <v>505</v>
      </c>
      <c r="P575" s="38">
        <v>26.728300000000001</v>
      </c>
      <c r="Q575" s="38">
        <f t="shared" si="167"/>
        <v>13497.791500000001</v>
      </c>
      <c r="R575" s="43">
        <f t="shared" si="164"/>
        <v>665</v>
      </c>
      <c r="S575" s="38">
        <f t="shared" si="168"/>
        <v>17734.479500000001</v>
      </c>
      <c r="T575" s="27">
        <v>120</v>
      </c>
      <c r="U575" s="52">
        <v>26.38</v>
      </c>
      <c r="V575" s="38">
        <f t="shared" si="176"/>
        <v>3165.6</v>
      </c>
      <c r="W575" s="52">
        <v>500</v>
      </c>
      <c r="X575" s="52">
        <v>26.72</v>
      </c>
      <c r="Y575" s="35">
        <f t="shared" si="174"/>
        <v>13360</v>
      </c>
      <c r="Z575" s="78"/>
      <c r="AB575" s="32">
        <f t="shared" si="175"/>
        <v>0</v>
      </c>
      <c r="AF575" s="42">
        <f t="shared" si="177"/>
        <v>0</v>
      </c>
      <c r="AU575" s="100"/>
      <c r="AV575" s="35"/>
      <c r="AW575" s="78"/>
      <c r="AZ575" s="42">
        <f t="shared" si="178"/>
        <v>0</v>
      </c>
      <c r="BD575" s="38">
        <f t="shared" si="169"/>
        <v>0</v>
      </c>
      <c r="BH575" s="38">
        <f t="shared" si="170"/>
        <v>0</v>
      </c>
      <c r="BL575" s="38">
        <f t="shared" si="171"/>
        <v>0</v>
      </c>
      <c r="BR575" s="42">
        <f t="shared" si="172"/>
        <v>16525.599999999999</v>
      </c>
      <c r="BS575" s="43">
        <f t="shared" si="173"/>
        <v>1208.8795000000027</v>
      </c>
      <c r="BU575" s="36"/>
      <c r="BV575" s="36"/>
      <c r="BW575" s="36"/>
      <c r="BX575" s="36"/>
      <c r="BY575" s="36"/>
      <c r="BZ575" s="36"/>
      <c r="CA575" s="36"/>
      <c r="CB575" s="36"/>
      <c r="CC575" s="36"/>
      <c r="CD575" s="36"/>
      <c r="CE575" s="36"/>
      <c r="CF575" s="36"/>
      <c r="CG575" s="36"/>
      <c r="CH575" s="36"/>
      <c r="CI575" s="36"/>
      <c r="CJ575" s="36"/>
      <c r="CK575" s="36"/>
      <c r="CL575" s="36"/>
      <c r="CM575" s="36"/>
      <c r="CN575" s="36"/>
      <c r="CO575" s="36"/>
      <c r="CP575" s="36"/>
      <c r="CQ575" s="36"/>
      <c r="CR575" s="36"/>
      <c r="CS575" s="36"/>
      <c r="CT575" s="36"/>
      <c r="CU575" s="36"/>
      <c r="CV575" s="36"/>
      <c r="CW575" s="36"/>
      <c r="CX575" s="36"/>
      <c r="CY575" s="36"/>
      <c r="CZ575" s="36"/>
      <c r="DA575" s="36"/>
      <c r="DB575" s="36"/>
      <c r="DC575" s="36"/>
      <c r="DD575" s="36"/>
      <c r="DE575" s="36"/>
      <c r="DF575" s="36"/>
      <c r="DG575" s="36"/>
      <c r="DH575" s="36"/>
      <c r="DI575" s="36"/>
      <c r="DJ575" s="36"/>
      <c r="DK575" s="36"/>
      <c r="DL575" s="36"/>
      <c r="DM575" s="36"/>
      <c r="DN575" s="36"/>
      <c r="DO575" s="36"/>
      <c r="DP575" s="36"/>
      <c r="DQ575" s="36"/>
      <c r="DR575" s="36"/>
      <c r="DS575" s="36"/>
      <c r="DT575" s="36"/>
      <c r="DU575" s="36"/>
      <c r="DV575" s="36"/>
      <c r="DW575" s="36"/>
      <c r="DX575" s="36"/>
      <c r="DY575" s="36"/>
      <c r="DZ575" s="36"/>
      <c r="EA575" s="36"/>
      <c r="EB575" s="36"/>
      <c r="EC575" s="36"/>
      <c r="ED575" s="36"/>
      <c r="EE575" s="36"/>
      <c r="EF575" s="36"/>
      <c r="EG575" s="36"/>
      <c r="EH575" s="36"/>
      <c r="EI575" s="36"/>
      <c r="EJ575" s="36"/>
      <c r="EK575" s="36"/>
      <c r="EL575" s="36"/>
      <c r="EM575" s="36"/>
      <c r="EN575" s="36"/>
      <c r="EO575" s="36"/>
      <c r="EP575" s="36"/>
      <c r="EQ575" s="36"/>
      <c r="ER575" s="36"/>
      <c r="ES575" s="36"/>
      <c r="ET575" s="36"/>
      <c r="EU575" s="36"/>
      <c r="EV575" s="36"/>
      <c r="EW575" s="36"/>
      <c r="EX575" s="36"/>
      <c r="EY575" s="36"/>
      <c r="EZ575" s="36"/>
      <c r="FA575" s="36"/>
      <c r="FB575" s="36"/>
      <c r="FC575" s="36"/>
      <c r="FD575" s="36"/>
      <c r="FE575" s="36"/>
      <c r="FF575" s="36"/>
      <c r="FG575" s="36"/>
      <c r="FH575" s="36"/>
      <c r="FI575" s="36"/>
      <c r="FJ575" s="36"/>
      <c r="FK575" s="36"/>
      <c r="FL575" s="36"/>
      <c r="FM575" s="36"/>
      <c r="FN575" s="36"/>
      <c r="FO575" s="36"/>
      <c r="FP575" s="36"/>
      <c r="FQ575" s="36"/>
      <c r="FR575" s="36"/>
      <c r="FS575" s="36"/>
      <c r="FT575" s="36"/>
      <c r="FU575" s="36"/>
      <c r="FV575" s="36"/>
      <c r="FW575" s="36"/>
      <c r="FX575" s="36"/>
      <c r="FY575" s="36"/>
      <c r="FZ575" s="36"/>
      <c r="GA575" s="36"/>
      <c r="GB575" s="36"/>
      <c r="GC575" s="36"/>
      <c r="GD575" s="36"/>
      <c r="GE575" s="36"/>
      <c r="GF575" s="36"/>
      <c r="GG575" s="36"/>
      <c r="GH575" s="36"/>
      <c r="GI575" s="36"/>
      <c r="GJ575" s="36"/>
      <c r="GK575" s="36"/>
      <c r="GL575" s="36"/>
      <c r="GM575" s="36"/>
      <c r="GN575" s="36"/>
      <c r="GO575" s="36"/>
      <c r="GP575" s="36"/>
      <c r="GQ575" s="36"/>
      <c r="GR575" s="36"/>
      <c r="GS575" s="36"/>
      <c r="GT575" s="36"/>
      <c r="GU575" s="36"/>
      <c r="GV575" s="36"/>
      <c r="GW575" s="36"/>
      <c r="GX575" s="36"/>
      <c r="GY575" s="36"/>
      <c r="GZ575" s="36"/>
      <c r="HA575" s="36"/>
      <c r="HB575" s="36"/>
      <c r="HC575" s="36"/>
      <c r="HD575" s="36"/>
      <c r="HE575" s="36"/>
      <c r="HF575" s="36"/>
      <c r="HG575" s="36"/>
      <c r="HH575" s="36"/>
      <c r="HI575" s="36"/>
      <c r="HJ575" s="36"/>
      <c r="HK575" s="36"/>
      <c r="HL575" s="36"/>
      <c r="HM575" s="36"/>
      <c r="HN575" s="36"/>
      <c r="HO575" s="36"/>
      <c r="HP575" s="36"/>
      <c r="HQ575" s="36"/>
      <c r="HR575" s="36"/>
      <c r="HS575" s="36"/>
      <c r="HT575" s="36"/>
      <c r="HU575" s="36"/>
      <c r="HV575" s="36"/>
      <c r="HW575" s="36"/>
      <c r="HX575" s="36"/>
      <c r="HY575" s="36"/>
      <c r="HZ575" s="36"/>
      <c r="IA575" s="36"/>
      <c r="IB575" s="36"/>
      <c r="IC575" s="36"/>
      <c r="ID575" s="36"/>
      <c r="IE575" s="36"/>
      <c r="IF575" s="36"/>
      <c r="IG575" s="36"/>
      <c r="IH575" s="36"/>
      <c r="II575" s="36"/>
      <c r="IJ575" s="36"/>
      <c r="IK575" s="36"/>
      <c r="IL575" s="36"/>
      <c r="IM575" s="36"/>
      <c r="IN575" s="36"/>
      <c r="IO575" s="36"/>
      <c r="IP575" s="36"/>
      <c r="IQ575" s="36"/>
      <c r="IR575" s="36"/>
      <c r="IS575" s="36"/>
      <c r="IT575" s="36"/>
      <c r="IU575" s="36"/>
      <c r="IV575" s="36"/>
      <c r="IW575" s="36"/>
      <c r="IX575" s="36"/>
      <c r="IY575" s="36"/>
      <c r="IZ575" s="36"/>
      <c r="JA575" s="36"/>
      <c r="JB575" s="36"/>
      <c r="JC575" s="36"/>
      <c r="JD575" s="36"/>
      <c r="JE575" s="36"/>
      <c r="JF575" s="36"/>
      <c r="JG575" s="36"/>
      <c r="JH575" s="36"/>
      <c r="JI575" s="36"/>
      <c r="JJ575" s="36"/>
      <c r="JK575" s="36"/>
      <c r="JL575" s="36"/>
      <c r="JM575" s="36"/>
      <c r="JN575" s="36"/>
      <c r="JO575" s="36"/>
      <c r="JP575" s="36"/>
      <c r="JQ575" s="36"/>
      <c r="JR575" s="36"/>
      <c r="JS575" s="36"/>
      <c r="JT575" s="36"/>
      <c r="JU575" s="36"/>
      <c r="JV575" s="36"/>
      <c r="JW575" s="36"/>
      <c r="JX575" s="36"/>
      <c r="JY575" s="36"/>
      <c r="JZ575" s="36"/>
      <c r="KA575" s="36"/>
      <c r="KB575" s="36"/>
      <c r="KC575" s="36"/>
      <c r="KD575" s="36"/>
      <c r="KE575" s="36"/>
      <c r="KF575" s="36"/>
      <c r="KG575" s="36"/>
      <c r="KH575" s="36"/>
      <c r="KI575" s="36"/>
      <c r="KJ575" s="36"/>
      <c r="KK575" s="36"/>
      <c r="KL575" s="36"/>
      <c r="KM575" s="36"/>
      <c r="KN575" s="36"/>
      <c r="KO575" s="36"/>
      <c r="KP575" s="36"/>
      <c r="KQ575" s="36"/>
      <c r="KR575" s="36"/>
      <c r="KS575" s="36"/>
      <c r="KT575" s="36"/>
      <c r="KU575" s="36"/>
      <c r="KV575" s="36"/>
      <c r="KW575" s="36"/>
      <c r="KX575" s="36"/>
      <c r="KY575" s="36"/>
      <c r="KZ575" s="36"/>
      <c r="LA575" s="36"/>
      <c r="LB575" s="36"/>
      <c r="LC575" s="36"/>
      <c r="LD575" s="36"/>
      <c r="LE575" s="36"/>
      <c r="LF575" s="36"/>
      <c r="LG575" s="36"/>
      <c r="LH575" s="36"/>
      <c r="LI575" s="36"/>
      <c r="LJ575" s="36"/>
      <c r="LK575" s="36"/>
      <c r="LL575" s="36"/>
      <c r="LM575" s="36"/>
      <c r="LN575" s="36"/>
      <c r="LO575" s="36"/>
      <c r="LP575" s="36"/>
      <c r="LQ575" s="36"/>
      <c r="LR575" s="36"/>
      <c r="LS575" s="36"/>
      <c r="LT575" s="36"/>
      <c r="LU575" s="36"/>
      <c r="LV575" s="36"/>
      <c r="LW575" s="36"/>
      <c r="LX575" s="36"/>
      <c r="LY575" s="36"/>
      <c r="LZ575" s="36"/>
      <c r="MA575" s="36"/>
      <c r="MB575" s="36"/>
      <c r="MC575" s="36"/>
      <c r="MD575" s="36"/>
      <c r="ME575" s="36"/>
      <c r="MF575" s="36"/>
      <c r="MG575" s="36"/>
      <c r="MH575" s="36"/>
      <c r="MI575" s="36"/>
      <c r="MJ575" s="36"/>
      <c r="MK575" s="36"/>
      <c r="ML575" s="36"/>
      <c r="MM575" s="36"/>
      <c r="MN575" s="36"/>
      <c r="MO575" s="36"/>
      <c r="MP575" s="36"/>
      <c r="MQ575" s="36"/>
      <c r="MR575" s="36"/>
      <c r="MS575" s="36"/>
      <c r="MT575" s="36"/>
      <c r="MU575" s="36"/>
      <c r="MV575" s="36"/>
      <c r="MW575" s="36"/>
      <c r="MX575" s="36"/>
      <c r="MY575" s="36"/>
      <c r="MZ575" s="36"/>
      <c r="NA575" s="36"/>
      <c r="NB575" s="36"/>
      <c r="NC575" s="36"/>
      <c r="ND575" s="36"/>
      <c r="NE575" s="36"/>
      <c r="NF575" s="36"/>
      <c r="NG575" s="36"/>
      <c r="NH575" s="36"/>
      <c r="NI575" s="36"/>
      <c r="NJ575" s="36"/>
      <c r="NK575" s="36"/>
      <c r="NL575" s="36"/>
      <c r="NM575" s="36"/>
      <c r="NN575" s="36"/>
      <c r="NO575" s="36"/>
      <c r="NP575" s="36"/>
      <c r="NQ575" s="36"/>
      <c r="NR575" s="36"/>
      <c r="NS575" s="36"/>
      <c r="NT575" s="36"/>
      <c r="NU575" s="36"/>
      <c r="NV575" s="36"/>
      <c r="NW575" s="36"/>
      <c r="NX575" s="36"/>
      <c r="NY575" s="36"/>
      <c r="NZ575" s="36"/>
      <c r="OA575" s="36"/>
      <c r="OB575" s="36"/>
      <c r="OC575" s="36"/>
      <c r="OD575" s="36"/>
      <c r="OE575" s="36"/>
      <c r="OF575" s="36"/>
      <c r="OG575" s="36"/>
      <c r="OH575" s="36"/>
      <c r="OI575" s="36"/>
      <c r="OJ575" s="36"/>
      <c r="OK575" s="36"/>
      <c r="OL575" s="36"/>
      <c r="OM575" s="36"/>
      <c r="ON575" s="36"/>
      <c r="OO575" s="36"/>
      <c r="OP575" s="36"/>
      <c r="OQ575" s="36"/>
      <c r="OR575" s="36"/>
      <c r="OS575" s="36"/>
      <c r="OT575" s="36"/>
      <c r="OU575" s="36"/>
      <c r="OV575" s="36"/>
      <c r="OW575" s="36"/>
      <c r="OX575" s="36"/>
    </row>
    <row r="576" spans="2:414" s="27" customFormat="1" ht="15.6">
      <c r="B576" s="51" t="s">
        <v>1086</v>
      </c>
      <c r="C576" s="27" t="s">
        <v>138</v>
      </c>
      <c r="D576" s="29" t="s">
        <v>201</v>
      </c>
      <c r="G576" s="49">
        <v>80</v>
      </c>
      <c r="H576" s="89">
        <v>26.109000000000002</v>
      </c>
      <c r="I576" s="38">
        <f t="shared" si="165"/>
        <v>2088.7200000000003</v>
      </c>
      <c r="K576" s="49">
        <v>80</v>
      </c>
      <c r="L576" s="90">
        <v>26.849599999999999</v>
      </c>
      <c r="M576" s="38">
        <f t="shared" si="166"/>
        <v>2147.9679999999998</v>
      </c>
      <c r="O576" s="49">
        <v>505</v>
      </c>
      <c r="P576" s="38">
        <v>26.728300000000001</v>
      </c>
      <c r="Q576" s="38">
        <f t="shared" si="167"/>
        <v>13497.791500000001</v>
      </c>
      <c r="R576" s="43">
        <f t="shared" si="164"/>
        <v>665</v>
      </c>
      <c r="S576" s="38">
        <f t="shared" si="168"/>
        <v>17734.479500000001</v>
      </c>
      <c r="V576" s="38">
        <v>4000</v>
      </c>
      <c r="W576" s="52">
        <v>505</v>
      </c>
      <c r="X576" s="52">
        <v>26.7165</v>
      </c>
      <c r="Y576" s="35">
        <f t="shared" si="174"/>
        <v>13491.8325</v>
      </c>
      <c r="Z576" s="78"/>
      <c r="AB576" s="32">
        <f t="shared" si="175"/>
        <v>0</v>
      </c>
      <c r="AF576" s="42">
        <f t="shared" si="177"/>
        <v>0</v>
      </c>
      <c r="AU576" s="100"/>
      <c r="AV576" s="35"/>
      <c r="AW576" s="78"/>
      <c r="AZ576" s="42">
        <f t="shared" si="178"/>
        <v>0</v>
      </c>
      <c r="BD576" s="38">
        <f t="shared" si="169"/>
        <v>0</v>
      </c>
      <c r="BH576" s="38">
        <f t="shared" si="170"/>
        <v>0</v>
      </c>
      <c r="BL576" s="38">
        <f t="shared" si="171"/>
        <v>0</v>
      </c>
      <c r="BR576" s="42">
        <f t="shared" si="172"/>
        <v>17491.8325</v>
      </c>
      <c r="BS576" s="43">
        <f t="shared" si="173"/>
        <v>242.64700000000084</v>
      </c>
      <c r="BU576" s="36"/>
      <c r="BV576" s="36"/>
      <c r="BW576" s="36"/>
      <c r="BX576" s="36"/>
      <c r="BY576" s="36"/>
      <c r="BZ576" s="36"/>
      <c r="CA576" s="36"/>
      <c r="CB576" s="36"/>
      <c r="CC576" s="36"/>
      <c r="CD576" s="36"/>
      <c r="CE576" s="36"/>
      <c r="CF576" s="36"/>
      <c r="CG576" s="36"/>
      <c r="CH576" s="36"/>
      <c r="CI576" s="36"/>
      <c r="CJ576" s="36"/>
      <c r="CK576" s="36"/>
      <c r="CL576" s="36"/>
      <c r="CM576" s="36"/>
      <c r="CN576" s="36"/>
      <c r="CO576" s="36"/>
      <c r="CP576" s="36"/>
      <c r="CQ576" s="36"/>
      <c r="CR576" s="36"/>
      <c r="CS576" s="36"/>
      <c r="CT576" s="36"/>
      <c r="CU576" s="36"/>
      <c r="CV576" s="36"/>
      <c r="CW576" s="36"/>
      <c r="CX576" s="36"/>
      <c r="CY576" s="36"/>
      <c r="CZ576" s="36"/>
      <c r="DA576" s="36"/>
      <c r="DB576" s="36"/>
      <c r="DC576" s="36"/>
      <c r="DD576" s="36"/>
      <c r="DE576" s="36"/>
      <c r="DF576" s="36"/>
      <c r="DG576" s="36"/>
      <c r="DH576" s="36"/>
      <c r="DI576" s="36"/>
      <c r="DJ576" s="36"/>
      <c r="DK576" s="36"/>
      <c r="DL576" s="36"/>
      <c r="DM576" s="36"/>
      <c r="DN576" s="36"/>
      <c r="DO576" s="36"/>
      <c r="DP576" s="36"/>
      <c r="DQ576" s="36"/>
      <c r="DR576" s="36"/>
      <c r="DS576" s="36"/>
      <c r="DT576" s="36"/>
      <c r="DU576" s="36"/>
      <c r="DV576" s="36"/>
      <c r="DW576" s="36"/>
      <c r="DX576" s="36"/>
      <c r="DY576" s="36"/>
      <c r="DZ576" s="36"/>
      <c r="EA576" s="36"/>
      <c r="EB576" s="36"/>
      <c r="EC576" s="36"/>
      <c r="ED576" s="36"/>
      <c r="EE576" s="36"/>
      <c r="EF576" s="36"/>
      <c r="EG576" s="36"/>
      <c r="EH576" s="36"/>
      <c r="EI576" s="36"/>
      <c r="EJ576" s="36"/>
      <c r="EK576" s="36"/>
      <c r="EL576" s="36"/>
      <c r="EM576" s="36"/>
      <c r="EN576" s="36"/>
      <c r="EO576" s="36"/>
      <c r="EP576" s="36"/>
      <c r="EQ576" s="36"/>
      <c r="ER576" s="36"/>
      <c r="ES576" s="36"/>
      <c r="ET576" s="36"/>
      <c r="EU576" s="36"/>
      <c r="EV576" s="36"/>
      <c r="EW576" s="36"/>
      <c r="EX576" s="36"/>
      <c r="EY576" s="36"/>
      <c r="EZ576" s="36"/>
      <c r="FA576" s="36"/>
      <c r="FB576" s="36"/>
      <c r="FC576" s="36"/>
      <c r="FD576" s="36"/>
      <c r="FE576" s="36"/>
      <c r="FF576" s="36"/>
      <c r="FG576" s="36"/>
      <c r="FH576" s="36"/>
      <c r="FI576" s="36"/>
      <c r="FJ576" s="36"/>
      <c r="FK576" s="36"/>
      <c r="FL576" s="36"/>
      <c r="FM576" s="36"/>
      <c r="FN576" s="36"/>
      <c r="FO576" s="36"/>
      <c r="FP576" s="36"/>
      <c r="FQ576" s="36"/>
      <c r="FR576" s="36"/>
      <c r="FS576" s="36"/>
      <c r="FT576" s="36"/>
      <c r="FU576" s="36"/>
      <c r="FV576" s="36"/>
      <c r="FW576" s="36"/>
      <c r="FX576" s="36"/>
      <c r="FY576" s="36"/>
      <c r="FZ576" s="36"/>
      <c r="GA576" s="36"/>
      <c r="GB576" s="36"/>
      <c r="GC576" s="36"/>
      <c r="GD576" s="36"/>
      <c r="GE576" s="36"/>
      <c r="GF576" s="36"/>
      <c r="GG576" s="36"/>
      <c r="GH576" s="36"/>
      <c r="GI576" s="36"/>
      <c r="GJ576" s="36"/>
      <c r="GK576" s="36"/>
      <c r="GL576" s="36"/>
      <c r="GM576" s="36"/>
      <c r="GN576" s="36"/>
      <c r="GO576" s="36"/>
      <c r="GP576" s="36"/>
      <c r="GQ576" s="36"/>
      <c r="GR576" s="36"/>
      <c r="GS576" s="36"/>
      <c r="GT576" s="36"/>
      <c r="GU576" s="36"/>
      <c r="GV576" s="36"/>
      <c r="GW576" s="36"/>
      <c r="GX576" s="36"/>
      <c r="GY576" s="36"/>
      <c r="GZ576" s="36"/>
      <c r="HA576" s="36"/>
      <c r="HB576" s="36"/>
      <c r="HC576" s="36"/>
      <c r="HD576" s="36"/>
      <c r="HE576" s="36"/>
      <c r="HF576" s="36"/>
      <c r="HG576" s="36"/>
      <c r="HH576" s="36"/>
      <c r="HI576" s="36"/>
      <c r="HJ576" s="36"/>
      <c r="HK576" s="36"/>
      <c r="HL576" s="36"/>
      <c r="HM576" s="36"/>
      <c r="HN576" s="36"/>
      <c r="HO576" s="36"/>
      <c r="HP576" s="36"/>
      <c r="HQ576" s="36"/>
      <c r="HR576" s="36"/>
      <c r="HS576" s="36"/>
      <c r="HT576" s="36"/>
      <c r="HU576" s="36"/>
      <c r="HV576" s="36"/>
      <c r="HW576" s="36"/>
      <c r="HX576" s="36"/>
      <c r="HY576" s="36"/>
      <c r="HZ576" s="36"/>
      <c r="IA576" s="36"/>
      <c r="IB576" s="36"/>
      <c r="IC576" s="36"/>
      <c r="ID576" s="36"/>
      <c r="IE576" s="36"/>
      <c r="IF576" s="36"/>
      <c r="IG576" s="36"/>
      <c r="IH576" s="36"/>
      <c r="II576" s="36"/>
      <c r="IJ576" s="36"/>
      <c r="IK576" s="36"/>
      <c r="IL576" s="36"/>
      <c r="IM576" s="36"/>
      <c r="IN576" s="36"/>
      <c r="IO576" s="36"/>
      <c r="IP576" s="36"/>
      <c r="IQ576" s="36"/>
      <c r="IR576" s="36"/>
      <c r="IS576" s="36"/>
      <c r="IT576" s="36"/>
      <c r="IU576" s="36"/>
      <c r="IV576" s="36"/>
      <c r="IW576" s="36"/>
      <c r="IX576" s="36"/>
      <c r="IY576" s="36"/>
      <c r="IZ576" s="36"/>
      <c r="JA576" s="36"/>
      <c r="JB576" s="36"/>
      <c r="JC576" s="36"/>
      <c r="JD576" s="36"/>
      <c r="JE576" s="36"/>
      <c r="JF576" s="36"/>
      <c r="JG576" s="36"/>
      <c r="JH576" s="36"/>
      <c r="JI576" s="36"/>
      <c r="JJ576" s="36"/>
      <c r="JK576" s="36"/>
      <c r="JL576" s="36"/>
      <c r="JM576" s="36"/>
      <c r="JN576" s="36"/>
      <c r="JO576" s="36"/>
      <c r="JP576" s="36"/>
      <c r="JQ576" s="36"/>
      <c r="JR576" s="36"/>
      <c r="JS576" s="36"/>
      <c r="JT576" s="36"/>
      <c r="JU576" s="36"/>
      <c r="JV576" s="36"/>
      <c r="JW576" s="36"/>
      <c r="JX576" s="36"/>
      <c r="JY576" s="36"/>
      <c r="JZ576" s="36"/>
      <c r="KA576" s="36"/>
      <c r="KB576" s="36"/>
      <c r="KC576" s="36"/>
      <c r="KD576" s="36"/>
      <c r="KE576" s="36"/>
      <c r="KF576" s="36"/>
      <c r="KG576" s="36"/>
      <c r="KH576" s="36"/>
      <c r="KI576" s="36"/>
      <c r="KJ576" s="36"/>
      <c r="KK576" s="36"/>
      <c r="KL576" s="36"/>
      <c r="KM576" s="36"/>
      <c r="KN576" s="36"/>
      <c r="KO576" s="36"/>
      <c r="KP576" s="36"/>
      <c r="KQ576" s="36"/>
      <c r="KR576" s="36"/>
      <c r="KS576" s="36"/>
      <c r="KT576" s="36"/>
      <c r="KU576" s="36"/>
      <c r="KV576" s="36"/>
      <c r="KW576" s="36"/>
      <c r="KX576" s="36"/>
      <c r="KY576" s="36"/>
      <c r="KZ576" s="36"/>
      <c r="LA576" s="36"/>
      <c r="LB576" s="36"/>
      <c r="LC576" s="36"/>
      <c r="LD576" s="36"/>
      <c r="LE576" s="36"/>
      <c r="LF576" s="36"/>
      <c r="LG576" s="36"/>
      <c r="LH576" s="36"/>
      <c r="LI576" s="36"/>
      <c r="LJ576" s="36"/>
      <c r="LK576" s="36"/>
      <c r="LL576" s="36"/>
      <c r="LM576" s="36"/>
      <c r="LN576" s="36"/>
      <c r="LO576" s="36"/>
      <c r="LP576" s="36"/>
      <c r="LQ576" s="36"/>
      <c r="LR576" s="36"/>
      <c r="LS576" s="36"/>
      <c r="LT576" s="36"/>
      <c r="LU576" s="36"/>
      <c r="LV576" s="36"/>
      <c r="LW576" s="36"/>
      <c r="LX576" s="36"/>
      <c r="LY576" s="36"/>
      <c r="LZ576" s="36"/>
      <c r="MA576" s="36"/>
      <c r="MB576" s="36"/>
      <c r="MC576" s="36"/>
      <c r="MD576" s="36"/>
      <c r="ME576" s="36"/>
      <c r="MF576" s="36"/>
      <c r="MG576" s="36"/>
      <c r="MH576" s="36"/>
      <c r="MI576" s="36"/>
      <c r="MJ576" s="36"/>
      <c r="MK576" s="36"/>
      <c r="ML576" s="36"/>
      <c r="MM576" s="36"/>
      <c r="MN576" s="36"/>
      <c r="MO576" s="36"/>
      <c r="MP576" s="36"/>
      <c r="MQ576" s="36"/>
      <c r="MR576" s="36"/>
      <c r="MS576" s="36"/>
      <c r="MT576" s="36"/>
      <c r="MU576" s="36"/>
      <c r="MV576" s="36"/>
      <c r="MW576" s="36"/>
      <c r="MX576" s="36"/>
      <c r="MY576" s="36"/>
      <c r="MZ576" s="36"/>
      <c r="NA576" s="36"/>
      <c r="NB576" s="36"/>
      <c r="NC576" s="36"/>
      <c r="ND576" s="36"/>
      <c r="NE576" s="36"/>
      <c r="NF576" s="36"/>
      <c r="NG576" s="36"/>
      <c r="NH576" s="36"/>
      <c r="NI576" s="36"/>
      <c r="NJ576" s="36"/>
      <c r="NK576" s="36"/>
      <c r="NL576" s="36"/>
      <c r="NM576" s="36"/>
      <c r="NN576" s="36"/>
      <c r="NO576" s="36"/>
      <c r="NP576" s="36"/>
      <c r="NQ576" s="36"/>
      <c r="NR576" s="36"/>
      <c r="NS576" s="36"/>
      <c r="NT576" s="36"/>
      <c r="NU576" s="36"/>
      <c r="NV576" s="36"/>
      <c r="NW576" s="36"/>
      <c r="NX576" s="36"/>
      <c r="NY576" s="36"/>
      <c r="NZ576" s="36"/>
      <c r="OA576" s="36"/>
      <c r="OB576" s="36"/>
      <c r="OC576" s="36"/>
      <c r="OD576" s="36"/>
      <c r="OE576" s="36"/>
      <c r="OF576" s="36"/>
      <c r="OG576" s="36"/>
      <c r="OH576" s="36"/>
      <c r="OI576" s="36"/>
      <c r="OJ576" s="36"/>
      <c r="OK576" s="36"/>
      <c r="OL576" s="36"/>
      <c r="OM576" s="36"/>
      <c r="ON576" s="36"/>
      <c r="OO576" s="36"/>
      <c r="OP576" s="36"/>
      <c r="OQ576" s="36"/>
      <c r="OR576" s="36"/>
      <c r="OS576" s="36"/>
      <c r="OT576" s="36"/>
      <c r="OU576" s="36"/>
      <c r="OV576" s="36"/>
      <c r="OW576" s="36"/>
      <c r="OX576" s="36"/>
    </row>
    <row r="577" spans="2:414" s="27" customFormat="1" ht="15.6">
      <c r="B577" s="51" t="s">
        <v>1087</v>
      </c>
      <c r="C577" s="27" t="s">
        <v>148</v>
      </c>
      <c r="D577" s="29" t="s">
        <v>201</v>
      </c>
      <c r="G577" s="49">
        <v>80</v>
      </c>
      <c r="H577" s="89">
        <v>26.109000000000002</v>
      </c>
      <c r="I577" s="38">
        <f t="shared" si="165"/>
        <v>2088.7200000000003</v>
      </c>
      <c r="K577" s="49">
        <v>80</v>
      </c>
      <c r="L577" s="90">
        <v>26.849599999999999</v>
      </c>
      <c r="M577" s="38">
        <f t="shared" si="166"/>
        <v>2147.9679999999998</v>
      </c>
      <c r="O577" s="49">
        <v>505</v>
      </c>
      <c r="P577" s="38">
        <v>26.728300000000001</v>
      </c>
      <c r="Q577" s="38">
        <f t="shared" si="167"/>
        <v>13497.791500000001</v>
      </c>
      <c r="R577" s="43">
        <f t="shared" si="164"/>
        <v>665</v>
      </c>
      <c r="S577" s="38">
        <f t="shared" si="168"/>
        <v>17734.479500000001</v>
      </c>
      <c r="T577" s="27">
        <v>240</v>
      </c>
      <c r="U577" s="52">
        <v>26.38</v>
      </c>
      <c r="V577" s="38">
        <f t="shared" si="176"/>
        <v>6331.2</v>
      </c>
      <c r="W577" s="52">
        <v>450</v>
      </c>
      <c r="X577" s="52">
        <v>26.72</v>
      </c>
      <c r="Y577" s="35">
        <f t="shared" si="174"/>
        <v>12024</v>
      </c>
      <c r="Z577" s="78"/>
      <c r="AB577" s="32">
        <f t="shared" si="175"/>
        <v>0</v>
      </c>
      <c r="AF577" s="42">
        <f t="shared" si="177"/>
        <v>0</v>
      </c>
      <c r="AU577" s="100"/>
      <c r="AV577" s="35"/>
      <c r="AW577" s="78"/>
      <c r="AZ577" s="42">
        <f t="shared" si="178"/>
        <v>0</v>
      </c>
      <c r="BD577" s="38">
        <f t="shared" si="169"/>
        <v>0</v>
      </c>
      <c r="BH577" s="38">
        <f t="shared" si="170"/>
        <v>0</v>
      </c>
      <c r="BL577" s="38">
        <f t="shared" si="171"/>
        <v>0</v>
      </c>
      <c r="BR577" s="42">
        <f t="shared" si="172"/>
        <v>18355.2</v>
      </c>
      <c r="BS577" s="43"/>
      <c r="BT577" s="27">
        <v>620.72</v>
      </c>
      <c r="BU577" s="36"/>
      <c r="BV577" s="36"/>
      <c r="BW577" s="36"/>
      <c r="BX577" s="36"/>
      <c r="BY577" s="36"/>
      <c r="BZ577" s="36"/>
      <c r="CA577" s="36"/>
      <c r="CB577" s="36"/>
      <c r="CC577" s="36"/>
      <c r="CD577" s="36"/>
      <c r="CE577" s="36"/>
      <c r="CF577" s="36"/>
      <c r="CG577" s="36"/>
      <c r="CH577" s="36"/>
      <c r="CI577" s="36"/>
      <c r="CJ577" s="36"/>
      <c r="CK577" s="36"/>
      <c r="CL577" s="36"/>
      <c r="CM577" s="36"/>
      <c r="CN577" s="36"/>
      <c r="CO577" s="36"/>
      <c r="CP577" s="36"/>
      <c r="CQ577" s="36"/>
      <c r="CR577" s="36"/>
      <c r="CS577" s="36"/>
      <c r="CT577" s="36"/>
      <c r="CU577" s="36"/>
      <c r="CV577" s="36"/>
      <c r="CW577" s="36"/>
      <c r="CX577" s="36"/>
      <c r="CY577" s="36"/>
      <c r="CZ577" s="36"/>
      <c r="DA577" s="36"/>
      <c r="DB577" s="36"/>
      <c r="DC577" s="36"/>
      <c r="DD577" s="36"/>
      <c r="DE577" s="36"/>
      <c r="DF577" s="36"/>
      <c r="DG577" s="36"/>
      <c r="DH577" s="36"/>
      <c r="DI577" s="36"/>
      <c r="DJ577" s="36"/>
      <c r="DK577" s="36"/>
      <c r="DL577" s="36"/>
      <c r="DM577" s="36"/>
      <c r="DN577" s="36"/>
      <c r="DO577" s="36"/>
      <c r="DP577" s="36"/>
      <c r="DQ577" s="36"/>
      <c r="DR577" s="36"/>
      <c r="DS577" s="36"/>
      <c r="DT577" s="36"/>
      <c r="DU577" s="36"/>
      <c r="DV577" s="36"/>
      <c r="DW577" s="36"/>
      <c r="DX577" s="36"/>
      <c r="DY577" s="36"/>
      <c r="DZ577" s="36"/>
      <c r="EA577" s="36"/>
      <c r="EB577" s="36"/>
      <c r="EC577" s="36"/>
      <c r="ED577" s="36"/>
      <c r="EE577" s="36"/>
      <c r="EF577" s="36"/>
      <c r="EG577" s="36"/>
      <c r="EH577" s="36"/>
      <c r="EI577" s="36"/>
      <c r="EJ577" s="36"/>
      <c r="EK577" s="36"/>
      <c r="EL577" s="36"/>
      <c r="EM577" s="36"/>
      <c r="EN577" s="36"/>
      <c r="EO577" s="36"/>
      <c r="EP577" s="36"/>
      <c r="EQ577" s="36"/>
      <c r="ER577" s="36"/>
      <c r="ES577" s="36"/>
      <c r="ET577" s="36"/>
      <c r="EU577" s="36"/>
      <c r="EV577" s="36"/>
      <c r="EW577" s="36"/>
      <c r="EX577" s="36"/>
      <c r="EY577" s="36"/>
      <c r="EZ577" s="36"/>
      <c r="FA577" s="36"/>
      <c r="FB577" s="36"/>
      <c r="FC577" s="36"/>
      <c r="FD577" s="36"/>
      <c r="FE577" s="36"/>
      <c r="FF577" s="36"/>
      <c r="FG577" s="36"/>
      <c r="FH577" s="36"/>
      <c r="FI577" s="36"/>
      <c r="FJ577" s="36"/>
      <c r="FK577" s="36"/>
      <c r="FL577" s="36"/>
      <c r="FM577" s="36"/>
      <c r="FN577" s="36"/>
      <c r="FO577" s="36"/>
      <c r="FP577" s="36"/>
      <c r="FQ577" s="36"/>
      <c r="FR577" s="36"/>
      <c r="FS577" s="36"/>
      <c r="FT577" s="36"/>
      <c r="FU577" s="36"/>
      <c r="FV577" s="36"/>
      <c r="FW577" s="36"/>
      <c r="FX577" s="36"/>
      <c r="FY577" s="36"/>
      <c r="FZ577" s="36"/>
      <c r="GA577" s="36"/>
      <c r="GB577" s="36"/>
      <c r="GC577" s="36"/>
      <c r="GD577" s="36"/>
      <c r="GE577" s="36"/>
      <c r="GF577" s="36"/>
      <c r="GG577" s="36"/>
      <c r="GH577" s="36"/>
      <c r="GI577" s="36"/>
      <c r="GJ577" s="36"/>
      <c r="GK577" s="36"/>
      <c r="GL577" s="36"/>
      <c r="GM577" s="36"/>
      <c r="GN577" s="36"/>
      <c r="GO577" s="36"/>
      <c r="GP577" s="36"/>
      <c r="GQ577" s="36"/>
      <c r="GR577" s="36"/>
      <c r="GS577" s="36"/>
      <c r="GT577" s="36"/>
      <c r="GU577" s="36"/>
      <c r="GV577" s="36"/>
      <c r="GW577" s="36"/>
      <c r="GX577" s="36"/>
      <c r="GY577" s="36"/>
      <c r="GZ577" s="36"/>
      <c r="HA577" s="36"/>
      <c r="HB577" s="36"/>
      <c r="HC577" s="36"/>
      <c r="HD577" s="36"/>
      <c r="HE577" s="36"/>
      <c r="HF577" s="36"/>
      <c r="HG577" s="36"/>
      <c r="HH577" s="36"/>
      <c r="HI577" s="36"/>
      <c r="HJ577" s="36"/>
      <c r="HK577" s="36"/>
      <c r="HL577" s="36"/>
      <c r="HM577" s="36"/>
      <c r="HN577" s="36"/>
      <c r="HO577" s="36"/>
      <c r="HP577" s="36"/>
      <c r="HQ577" s="36"/>
      <c r="HR577" s="36"/>
      <c r="HS577" s="36"/>
      <c r="HT577" s="36"/>
      <c r="HU577" s="36"/>
      <c r="HV577" s="36"/>
      <c r="HW577" s="36"/>
      <c r="HX577" s="36"/>
      <c r="HY577" s="36"/>
      <c r="HZ577" s="36"/>
      <c r="IA577" s="36"/>
      <c r="IB577" s="36"/>
      <c r="IC577" s="36"/>
      <c r="ID577" s="36"/>
      <c r="IE577" s="36"/>
      <c r="IF577" s="36"/>
      <c r="IG577" s="36"/>
      <c r="IH577" s="36"/>
      <c r="II577" s="36"/>
      <c r="IJ577" s="36"/>
      <c r="IK577" s="36"/>
      <c r="IL577" s="36"/>
      <c r="IM577" s="36"/>
      <c r="IN577" s="36"/>
      <c r="IO577" s="36"/>
      <c r="IP577" s="36"/>
      <c r="IQ577" s="36"/>
      <c r="IR577" s="36"/>
      <c r="IS577" s="36"/>
      <c r="IT577" s="36"/>
      <c r="IU577" s="36"/>
      <c r="IV577" s="36"/>
      <c r="IW577" s="36"/>
      <c r="IX577" s="36"/>
      <c r="IY577" s="36"/>
      <c r="IZ577" s="36"/>
      <c r="JA577" s="36"/>
      <c r="JB577" s="36"/>
      <c r="JC577" s="36"/>
      <c r="JD577" s="36"/>
      <c r="JE577" s="36"/>
      <c r="JF577" s="36"/>
      <c r="JG577" s="36"/>
      <c r="JH577" s="36"/>
      <c r="JI577" s="36"/>
      <c r="JJ577" s="36"/>
      <c r="JK577" s="36"/>
      <c r="JL577" s="36"/>
      <c r="JM577" s="36"/>
      <c r="JN577" s="36"/>
      <c r="JO577" s="36"/>
      <c r="JP577" s="36"/>
      <c r="JQ577" s="36"/>
      <c r="JR577" s="36"/>
      <c r="JS577" s="36"/>
      <c r="JT577" s="36"/>
      <c r="JU577" s="36"/>
      <c r="JV577" s="36"/>
      <c r="JW577" s="36"/>
      <c r="JX577" s="36"/>
      <c r="JY577" s="36"/>
      <c r="JZ577" s="36"/>
      <c r="KA577" s="36"/>
      <c r="KB577" s="36"/>
      <c r="KC577" s="36"/>
      <c r="KD577" s="36"/>
      <c r="KE577" s="36"/>
      <c r="KF577" s="36"/>
      <c r="KG577" s="36"/>
      <c r="KH577" s="36"/>
      <c r="KI577" s="36"/>
      <c r="KJ577" s="36"/>
      <c r="KK577" s="36"/>
      <c r="KL577" s="36"/>
      <c r="KM577" s="36"/>
      <c r="KN577" s="36"/>
      <c r="KO577" s="36"/>
      <c r="KP577" s="36"/>
      <c r="KQ577" s="36"/>
      <c r="KR577" s="36"/>
      <c r="KS577" s="36"/>
      <c r="KT577" s="36"/>
      <c r="KU577" s="36"/>
      <c r="KV577" s="36"/>
      <c r="KW577" s="36"/>
      <c r="KX577" s="36"/>
      <c r="KY577" s="36"/>
      <c r="KZ577" s="36"/>
      <c r="LA577" s="36"/>
      <c r="LB577" s="36"/>
      <c r="LC577" s="36"/>
      <c r="LD577" s="36"/>
      <c r="LE577" s="36"/>
      <c r="LF577" s="36"/>
      <c r="LG577" s="36"/>
      <c r="LH577" s="36"/>
      <c r="LI577" s="36"/>
      <c r="LJ577" s="36"/>
      <c r="LK577" s="36"/>
      <c r="LL577" s="36"/>
      <c r="LM577" s="36"/>
      <c r="LN577" s="36"/>
      <c r="LO577" s="36"/>
      <c r="LP577" s="36"/>
      <c r="LQ577" s="36"/>
      <c r="LR577" s="36"/>
      <c r="LS577" s="36"/>
      <c r="LT577" s="36"/>
      <c r="LU577" s="36"/>
      <c r="LV577" s="36"/>
      <c r="LW577" s="36"/>
      <c r="LX577" s="36"/>
      <c r="LY577" s="36"/>
      <c r="LZ577" s="36"/>
      <c r="MA577" s="36"/>
      <c r="MB577" s="36"/>
      <c r="MC577" s="36"/>
      <c r="MD577" s="36"/>
      <c r="ME577" s="36"/>
      <c r="MF577" s="36"/>
      <c r="MG577" s="36"/>
      <c r="MH577" s="36"/>
      <c r="MI577" s="36"/>
      <c r="MJ577" s="36"/>
      <c r="MK577" s="36"/>
      <c r="ML577" s="36"/>
      <c r="MM577" s="36"/>
      <c r="MN577" s="36"/>
      <c r="MO577" s="36"/>
      <c r="MP577" s="36"/>
      <c r="MQ577" s="36"/>
      <c r="MR577" s="36"/>
      <c r="MS577" s="36"/>
      <c r="MT577" s="36"/>
      <c r="MU577" s="36"/>
      <c r="MV577" s="36"/>
      <c r="MW577" s="36"/>
      <c r="MX577" s="36"/>
      <c r="MY577" s="36"/>
      <c r="MZ577" s="36"/>
      <c r="NA577" s="36"/>
      <c r="NB577" s="36"/>
      <c r="NC577" s="36"/>
      <c r="ND577" s="36"/>
      <c r="NE577" s="36"/>
      <c r="NF577" s="36"/>
      <c r="NG577" s="36"/>
      <c r="NH577" s="36"/>
      <c r="NI577" s="36"/>
      <c r="NJ577" s="36"/>
      <c r="NK577" s="36"/>
      <c r="NL577" s="36"/>
      <c r="NM577" s="36"/>
      <c r="NN577" s="36"/>
      <c r="NO577" s="36"/>
      <c r="NP577" s="36"/>
      <c r="NQ577" s="36"/>
      <c r="NR577" s="36"/>
      <c r="NS577" s="36"/>
      <c r="NT577" s="36"/>
      <c r="NU577" s="36"/>
      <c r="NV577" s="36"/>
      <c r="NW577" s="36"/>
      <c r="NX577" s="36"/>
      <c r="NY577" s="36"/>
      <c r="NZ577" s="36"/>
      <c r="OA577" s="36"/>
      <c r="OB577" s="36"/>
      <c r="OC577" s="36"/>
      <c r="OD577" s="36"/>
      <c r="OE577" s="36"/>
      <c r="OF577" s="36"/>
      <c r="OG577" s="36"/>
      <c r="OH577" s="36"/>
      <c r="OI577" s="36"/>
      <c r="OJ577" s="36"/>
      <c r="OK577" s="36"/>
      <c r="OL577" s="36"/>
      <c r="OM577" s="36"/>
      <c r="ON577" s="36"/>
      <c r="OO577" s="36"/>
      <c r="OP577" s="36"/>
      <c r="OQ577" s="36"/>
      <c r="OR577" s="36"/>
      <c r="OS577" s="36"/>
      <c r="OT577" s="36"/>
      <c r="OU577" s="36"/>
      <c r="OV577" s="36"/>
      <c r="OW577" s="36"/>
      <c r="OX577" s="36"/>
    </row>
    <row r="578" spans="2:414" s="27" customFormat="1" ht="15.6">
      <c r="B578" s="51" t="s">
        <v>194</v>
      </c>
      <c r="C578" s="27" t="s">
        <v>692</v>
      </c>
      <c r="D578" s="29" t="s">
        <v>201</v>
      </c>
      <c r="G578" s="49">
        <v>80</v>
      </c>
      <c r="H578" s="89">
        <v>26.109000000000002</v>
      </c>
      <c r="I578" s="38">
        <f t="shared" si="165"/>
        <v>2088.7200000000003</v>
      </c>
      <c r="K578" s="49">
        <v>80</v>
      </c>
      <c r="L578" s="90">
        <v>26.849599999999999</v>
      </c>
      <c r="M578" s="38">
        <f t="shared" si="166"/>
        <v>2147.9679999999998</v>
      </c>
      <c r="O578" s="49">
        <v>505</v>
      </c>
      <c r="P578" s="38">
        <v>26.728300000000001</v>
      </c>
      <c r="Q578" s="38">
        <f t="shared" si="167"/>
        <v>13497.791500000001</v>
      </c>
      <c r="R578" s="43">
        <f t="shared" si="164"/>
        <v>665</v>
      </c>
      <c r="S578" s="38">
        <f t="shared" si="168"/>
        <v>17734.479500000001</v>
      </c>
      <c r="T578" s="27">
        <v>240</v>
      </c>
      <c r="U578" s="52">
        <v>26.643899999999999</v>
      </c>
      <c r="V578" s="38">
        <f t="shared" si="176"/>
        <v>6394.5360000000001</v>
      </c>
      <c r="W578" s="52">
        <v>505</v>
      </c>
      <c r="X578" s="52">
        <v>26.608699999999999</v>
      </c>
      <c r="Y578" s="35">
        <f t="shared" si="174"/>
        <v>13437.3935</v>
      </c>
      <c r="Z578" s="78"/>
      <c r="AB578" s="32">
        <f t="shared" si="175"/>
        <v>0</v>
      </c>
      <c r="AF578" s="42">
        <f t="shared" si="177"/>
        <v>0</v>
      </c>
      <c r="AU578" s="100"/>
      <c r="AV578" s="35"/>
      <c r="AW578" s="78"/>
      <c r="AZ578" s="42">
        <f t="shared" si="178"/>
        <v>0</v>
      </c>
      <c r="BD578" s="38">
        <f t="shared" si="169"/>
        <v>0</v>
      </c>
      <c r="BH578" s="38">
        <f t="shared" si="170"/>
        <v>0</v>
      </c>
      <c r="BL578" s="38">
        <f t="shared" si="171"/>
        <v>0</v>
      </c>
      <c r="BR578" s="42">
        <f t="shared" si="172"/>
        <v>19831.929499999998</v>
      </c>
      <c r="BS578" s="43"/>
      <c r="BT578" s="27">
        <v>2097.4499999999998</v>
      </c>
      <c r="BU578" s="36"/>
      <c r="BV578" s="36"/>
      <c r="BW578" s="36"/>
      <c r="BX578" s="36"/>
      <c r="BY578" s="36"/>
      <c r="BZ578" s="36"/>
      <c r="CA578" s="36"/>
      <c r="CB578" s="36"/>
      <c r="CC578" s="36"/>
      <c r="CD578" s="36"/>
      <c r="CE578" s="36"/>
      <c r="CF578" s="36"/>
      <c r="CG578" s="36"/>
      <c r="CH578" s="36"/>
      <c r="CI578" s="36"/>
      <c r="CJ578" s="36"/>
      <c r="CK578" s="36"/>
      <c r="CL578" s="36"/>
      <c r="CM578" s="36"/>
      <c r="CN578" s="36"/>
      <c r="CO578" s="36"/>
      <c r="CP578" s="36"/>
      <c r="CQ578" s="36"/>
      <c r="CR578" s="36"/>
      <c r="CS578" s="36"/>
      <c r="CT578" s="36"/>
      <c r="CU578" s="36"/>
      <c r="CV578" s="36"/>
      <c r="CW578" s="36"/>
      <c r="CX578" s="36"/>
      <c r="CY578" s="36"/>
      <c r="CZ578" s="36"/>
      <c r="DA578" s="36"/>
      <c r="DB578" s="36"/>
      <c r="DC578" s="36"/>
      <c r="DD578" s="36"/>
      <c r="DE578" s="36"/>
      <c r="DF578" s="36"/>
      <c r="DG578" s="36"/>
      <c r="DH578" s="36"/>
      <c r="DI578" s="36"/>
      <c r="DJ578" s="36"/>
      <c r="DK578" s="36"/>
      <c r="DL578" s="36"/>
      <c r="DM578" s="36"/>
      <c r="DN578" s="36"/>
      <c r="DO578" s="36"/>
      <c r="DP578" s="36"/>
      <c r="DQ578" s="36"/>
      <c r="DR578" s="36"/>
      <c r="DS578" s="36"/>
      <c r="DT578" s="36"/>
      <c r="DU578" s="36"/>
      <c r="DV578" s="36"/>
      <c r="DW578" s="36"/>
      <c r="DX578" s="36"/>
      <c r="DY578" s="36"/>
      <c r="DZ578" s="36"/>
      <c r="EA578" s="36"/>
      <c r="EB578" s="36"/>
      <c r="EC578" s="36"/>
      <c r="ED578" s="36"/>
      <c r="EE578" s="36"/>
      <c r="EF578" s="36"/>
      <c r="EG578" s="36"/>
      <c r="EH578" s="36"/>
      <c r="EI578" s="36"/>
      <c r="EJ578" s="36"/>
      <c r="EK578" s="36"/>
      <c r="EL578" s="36"/>
      <c r="EM578" s="36"/>
      <c r="EN578" s="36"/>
      <c r="EO578" s="36"/>
      <c r="EP578" s="36"/>
      <c r="EQ578" s="36"/>
      <c r="ER578" s="36"/>
      <c r="ES578" s="36"/>
      <c r="ET578" s="36"/>
      <c r="EU578" s="36"/>
      <c r="EV578" s="36"/>
      <c r="EW578" s="36"/>
      <c r="EX578" s="36"/>
      <c r="EY578" s="36"/>
      <c r="EZ578" s="36"/>
      <c r="FA578" s="36"/>
      <c r="FB578" s="36"/>
      <c r="FC578" s="36"/>
      <c r="FD578" s="36"/>
      <c r="FE578" s="36"/>
      <c r="FF578" s="36"/>
      <c r="FG578" s="36"/>
      <c r="FH578" s="36"/>
      <c r="FI578" s="36"/>
      <c r="FJ578" s="36"/>
      <c r="FK578" s="36"/>
      <c r="FL578" s="36"/>
      <c r="FM578" s="36"/>
      <c r="FN578" s="36"/>
      <c r="FO578" s="36"/>
      <c r="FP578" s="36"/>
      <c r="FQ578" s="36"/>
      <c r="FR578" s="36"/>
      <c r="FS578" s="36"/>
      <c r="FT578" s="36"/>
      <c r="FU578" s="36"/>
      <c r="FV578" s="36"/>
      <c r="FW578" s="36"/>
      <c r="FX578" s="36"/>
      <c r="FY578" s="36"/>
      <c r="FZ578" s="36"/>
      <c r="GA578" s="36"/>
      <c r="GB578" s="36"/>
      <c r="GC578" s="36"/>
      <c r="GD578" s="36"/>
      <c r="GE578" s="36"/>
      <c r="GF578" s="36"/>
      <c r="GG578" s="36"/>
      <c r="GH578" s="36"/>
      <c r="GI578" s="36"/>
      <c r="GJ578" s="36"/>
      <c r="GK578" s="36"/>
      <c r="GL578" s="36"/>
      <c r="GM578" s="36"/>
      <c r="GN578" s="36"/>
      <c r="GO578" s="36"/>
      <c r="GP578" s="36"/>
      <c r="GQ578" s="36"/>
      <c r="GR578" s="36"/>
      <c r="GS578" s="36"/>
      <c r="GT578" s="36"/>
      <c r="GU578" s="36"/>
      <c r="GV578" s="36"/>
      <c r="GW578" s="36"/>
      <c r="GX578" s="36"/>
      <c r="GY578" s="36"/>
      <c r="GZ578" s="36"/>
      <c r="HA578" s="36"/>
      <c r="HB578" s="36"/>
      <c r="HC578" s="36"/>
      <c r="HD578" s="36"/>
      <c r="HE578" s="36"/>
      <c r="HF578" s="36"/>
      <c r="HG578" s="36"/>
      <c r="HH578" s="36"/>
      <c r="HI578" s="36"/>
      <c r="HJ578" s="36"/>
      <c r="HK578" s="36"/>
      <c r="HL578" s="36"/>
      <c r="HM578" s="36"/>
      <c r="HN578" s="36"/>
      <c r="HO578" s="36"/>
      <c r="HP578" s="36"/>
      <c r="HQ578" s="36"/>
      <c r="HR578" s="36"/>
      <c r="HS578" s="36"/>
      <c r="HT578" s="36"/>
      <c r="HU578" s="36"/>
      <c r="HV578" s="36"/>
      <c r="HW578" s="36"/>
      <c r="HX578" s="36"/>
      <c r="HY578" s="36"/>
      <c r="HZ578" s="36"/>
      <c r="IA578" s="36"/>
      <c r="IB578" s="36"/>
      <c r="IC578" s="36"/>
      <c r="ID578" s="36"/>
      <c r="IE578" s="36"/>
      <c r="IF578" s="36"/>
      <c r="IG578" s="36"/>
      <c r="IH578" s="36"/>
      <c r="II578" s="36"/>
      <c r="IJ578" s="36"/>
      <c r="IK578" s="36"/>
      <c r="IL578" s="36"/>
      <c r="IM578" s="36"/>
      <c r="IN578" s="36"/>
      <c r="IO578" s="36"/>
      <c r="IP578" s="36"/>
      <c r="IQ578" s="36"/>
      <c r="IR578" s="36"/>
      <c r="IS578" s="36"/>
      <c r="IT578" s="36"/>
      <c r="IU578" s="36"/>
      <c r="IV578" s="36"/>
      <c r="IW578" s="36"/>
      <c r="IX578" s="36"/>
      <c r="IY578" s="36"/>
      <c r="IZ578" s="36"/>
      <c r="JA578" s="36"/>
      <c r="JB578" s="36"/>
      <c r="JC578" s="36"/>
      <c r="JD578" s="36"/>
      <c r="JE578" s="36"/>
      <c r="JF578" s="36"/>
      <c r="JG578" s="36"/>
      <c r="JH578" s="36"/>
      <c r="JI578" s="36"/>
      <c r="JJ578" s="36"/>
      <c r="JK578" s="36"/>
      <c r="JL578" s="36"/>
      <c r="JM578" s="36"/>
      <c r="JN578" s="36"/>
      <c r="JO578" s="36"/>
      <c r="JP578" s="36"/>
      <c r="JQ578" s="36"/>
      <c r="JR578" s="36"/>
      <c r="JS578" s="36"/>
      <c r="JT578" s="36"/>
      <c r="JU578" s="36"/>
      <c r="JV578" s="36"/>
      <c r="JW578" s="36"/>
      <c r="JX578" s="36"/>
      <c r="JY578" s="36"/>
      <c r="JZ578" s="36"/>
      <c r="KA578" s="36"/>
      <c r="KB578" s="36"/>
      <c r="KC578" s="36"/>
      <c r="KD578" s="36"/>
      <c r="KE578" s="36"/>
      <c r="KF578" s="36"/>
      <c r="KG578" s="36"/>
      <c r="KH578" s="36"/>
      <c r="KI578" s="36"/>
      <c r="KJ578" s="36"/>
      <c r="KK578" s="36"/>
      <c r="KL578" s="36"/>
      <c r="KM578" s="36"/>
      <c r="KN578" s="36"/>
      <c r="KO578" s="36"/>
      <c r="KP578" s="36"/>
      <c r="KQ578" s="36"/>
      <c r="KR578" s="36"/>
      <c r="KS578" s="36"/>
      <c r="KT578" s="36"/>
      <c r="KU578" s="36"/>
      <c r="KV578" s="36"/>
      <c r="KW578" s="36"/>
      <c r="KX578" s="36"/>
      <c r="KY578" s="36"/>
      <c r="KZ578" s="36"/>
      <c r="LA578" s="36"/>
      <c r="LB578" s="36"/>
      <c r="LC578" s="36"/>
      <c r="LD578" s="36"/>
      <c r="LE578" s="36"/>
      <c r="LF578" s="36"/>
      <c r="LG578" s="36"/>
      <c r="LH578" s="36"/>
      <c r="LI578" s="36"/>
      <c r="LJ578" s="36"/>
      <c r="LK578" s="36"/>
      <c r="LL578" s="36"/>
      <c r="LM578" s="36"/>
      <c r="LN578" s="36"/>
      <c r="LO578" s="36"/>
      <c r="LP578" s="36"/>
      <c r="LQ578" s="36"/>
      <c r="LR578" s="36"/>
      <c r="LS578" s="36"/>
      <c r="LT578" s="36"/>
      <c r="LU578" s="36"/>
      <c r="LV578" s="36"/>
      <c r="LW578" s="36"/>
      <c r="LX578" s="36"/>
      <c r="LY578" s="36"/>
      <c r="LZ578" s="36"/>
      <c r="MA578" s="36"/>
      <c r="MB578" s="36"/>
      <c r="MC578" s="36"/>
      <c r="MD578" s="36"/>
      <c r="ME578" s="36"/>
      <c r="MF578" s="36"/>
      <c r="MG578" s="36"/>
      <c r="MH578" s="36"/>
      <c r="MI578" s="36"/>
      <c r="MJ578" s="36"/>
      <c r="MK578" s="36"/>
      <c r="ML578" s="36"/>
      <c r="MM578" s="36"/>
      <c r="MN578" s="36"/>
      <c r="MO578" s="36"/>
      <c r="MP578" s="36"/>
      <c r="MQ578" s="36"/>
      <c r="MR578" s="36"/>
      <c r="MS578" s="36"/>
      <c r="MT578" s="36"/>
      <c r="MU578" s="36"/>
      <c r="MV578" s="36"/>
      <c r="MW578" s="36"/>
      <c r="MX578" s="36"/>
      <c r="MY578" s="36"/>
      <c r="MZ578" s="36"/>
      <c r="NA578" s="36"/>
      <c r="NB578" s="36"/>
      <c r="NC578" s="36"/>
      <c r="ND578" s="36"/>
      <c r="NE578" s="36"/>
      <c r="NF578" s="36"/>
      <c r="NG578" s="36"/>
      <c r="NH578" s="36"/>
      <c r="NI578" s="36"/>
      <c r="NJ578" s="36"/>
      <c r="NK578" s="36"/>
      <c r="NL578" s="36"/>
      <c r="NM578" s="36"/>
      <c r="NN578" s="36"/>
      <c r="NO578" s="36"/>
      <c r="NP578" s="36"/>
      <c r="NQ578" s="36"/>
      <c r="NR578" s="36"/>
      <c r="NS578" s="36"/>
      <c r="NT578" s="36"/>
      <c r="NU578" s="36"/>
      <c r="NV578" s="36"/>
      <c r="NW578" s="36"/>
      <c r="NX578" s="36"/>
      <c r="NY578" s="36"/>
      <c r="NZ578" s="36"/>
      <c r="OA578" s="36"/>
      <c r="OB578" s="36"/>
      <c r="OC578" s="36"/>
      <c r="OD578" s="36"/>
      <c r="OE578" s="36"/>
      <c r="OF578" s="36"/>
      <c r="OG578" s="36"/>
      <c r="OH578" s="36"/>
      <c r="OI578" s="36"/>
      <c r="OJ578" s="36"/>
      <c r="OK578" s="36"/>
      <c r="OL578" s="36"/>
      <c r="OM578" s="36"/>
      <c r="ON578" s="36"/>
      <c r="OO578" s="36"/>
      <c r="OP578" s="36"/>
      <c r="OQ578" s="36"/>
      <c r="OR578" s="36"/>
      <c r="OS578" s="36"/>
      <c r="OT578" s="36"/>
      <c r="OU578" s="36"/>
      <c r="OV578" s="36"/>
      <c r="OW578" s="36"/>
      <c r="OX578" s="36"/>
    </row>
    <row r="579" spans="2:414" s="27" customFormat="1" ht="15.6">
      <c r="B579" s="51" t="s">
        <v>1088</v>
      </c>
      <c r="C579" s="27" t="s">
        <v>17</v>
      </c>
      <c r="D579" s="29" t="s">
        <v>201</v>
      </c>
      <c r="G579" s="49">
        <v>80</v>
      </c>
      <c r="H579" s="89">
        <v>26.109000000000002</v>
      </c>
      <c r="I579" s="38">
        <f t="shared" si="165"/>
        <v>2088.7200000000003</v>
      </c>
      <c r="K579" s="49">
        <v>80</v>
      </c>
      <c r="L579" s="90">
        <v>26.849599999999999</v>
      </c>
      <c r="M579" s="38">
        <f t="shared" si="166"/>
        <v>2147.9679999999998</v>
      </c>
      <c r="O579" s="49">
        <v>505</v>
      </c>
      <c r="P579" s="38">
        <v>26.728300000000001</v>
      </c>
      <c r="Q579" s="38">
        <f t="shared" si="167"/>
        <v>13497.791500000001</v>
      </c>
      <c r="R579" s="43">
        <f t="shared" si="164"/>
        <v>665</v>
      </c>
      <c r="S579" s="38">
        <f t="shared" si="168"/>
        <v>17734.479500000001</v>
      </c>
      <c r="T579" s="27">
        <v>240</v>
      </c>
      <c r="U579" s="52">
        <v>26.38</v>
      </c>
      <c r="V579" s="38">
        <f t="shared" si="176"/>
        <v>6331.2</v>
      </c>
      <c r="W579" s="52">
        <v>484</v>
      </c>
      <c r="X579" s="52">
        <v>26.564699999999998</v>
      </c>
      <c r="Y579" s="35">
        <f t="shared" si="174"/>
        <v>12857.3148</v>
      </c>
      <c r="Z579" s="78"/>
      <c r="AB579" s="27">
        <v>364</v>
      </c>
      <c r="AF579" s="42">
        <f t="shared" si="177"/>
        <v>0</v>
      </c>
      <c r="AU579" s="100"/>
      <c r="AV579" s="35"/>
      <c r="AW579" s="78"/>
      <c r="AZ579" s="42">
        <f t="shared" si="178"/>
        <v>0</v>
      </c>
      <c r="BD579" s="38">
        <f t="shared" si="169"/>
        <v>0</v>
      </c>
      <c r="BH579" s="38">
        <f t="shared" si="170"/>
        <v>0</v>
      </c>
      <c r="BL579" s="38">
        <f t="shared" si="171"/>
        <v>0</v>
      </c>
      <c r="BR579" s="42">
        <f t="shared" si="172"/>
        <v>19552.514800000001</v>
      </c>
      <c r="BS579" s="43"/>
      <c r="BT579" s="27">
        <v>1818.04</v>
      </c>
      <c r="BU579" s="36"/>
      <c r="BV579" s="36"/>
      <c r="BW579" s="36"/>
      <c r="BX579" s="36"/>
      <c r="BY579" s="36"/>
      <c r="BZ579" s="36"/>
      <c r="CA579" s="36"/>
      <c r="CB579" s="36"/>
      <c r="CC579" s="36"/>
      <c r="CD579" s="36"/>
      <c r="CE579" s="36"/>
      <c r="CF579" s="36"/>
      <c r="CG579" s="36"/>
      <c r="CH579" s="36"/>
      <c r="CI579" s="36"/>
      <c r="CJ579" s="36"/>
      <c r="CK579" s="36"/>
      <c r="CL579" s="36"/>
      <c r="CM579" s="36"/>
      <c r="CN579" s="36"/>
      <c r="CO579" s="36"/>
      <c r="CP579" s="36"/>
      <c r="CQ579" s="36"/>
      <c r="CR579" s="36"/>
      <c r="CS579" s="36"/>
      <c r="CT579" s="36"/>
      <c r="CU579" s="36"/>
      <c r="CV579" s="36"/>
      <c r="CW579" s="36"/>
      <c r="CX579" s="36"/>
      <c r="CY579" s="36"/>
      <c r="CZ579" s="36"/>
      <c r="DA579" s="36"/>
      <c r="DB579" s="36"/>
      <c r="DC579" s="36"/>
      <c r="DD579" s="36"/>
      <c r="DE579" s="36"/>
      <c r="DF579" s="36"/>
      <c r="DG579" s="36"/>
      <c r="DH579" s="36"/>
      <c r="DI579" s="36"/>
      <c r="DJ579" s="36"/>
      <c r="DK579" s="36"/>
      <c r="DL579" s="36"/>
      <c r="DM579" s="36"/>
      <c r="DN579" s="36"/>
      <c r="DO579" s="36"/>
      <c r="DP579" s="36"/>
      <c r="DQ579" s="36"/>
      <c r="DR579" s="36"/>
      <c r="DS579" s="36"/>
      <c r="DT579" s="36"/>
      <c r="DU579" s="36"/>
      <c r="DV579" s="36"/>
      <c r="DW579" s="36"/>
      <c r="DX579" s="36"/>
      <c r="DY579" s="36"/>
      <c r="DZ579" s="36"/>
      <c r="EA579" s="36"/>
      <c r="EB579" s="36"/>
      <c r="EC579" s="36"/>
      <c r="ED579" s="36"/>
      <c r="EE579" s="36"/>
      <c r="EF579" s="36"/>
      <c r="EG579" s="36"/>
      <c r="EH579" s="36"/>
      <c r="EI579" s="36"/>
      <c r="EJ579" s="36"/>
      <c r="EK579" s="36"/>
      <c r="EL579" s="36"/>
      <c r="EM579" s="36"/>
      <c r="EN579" s="36"/>
      <c r="EO579" s="36"/>
      <c r="EP579" s="36"/>
      <c r="EQ579" s="36"/>
      <c r="ER579" s="36"/>
      <c r="ES579" s="36"/>
      <c r="ET579" s="36"/>
      <c r="EU579" s="36"/>
      <c r="EV579" s="36"/>
      <c r="EW579" s="36"/>
      <c r="EX579" s="36"/>
      <c r="EY579" s="36"/>
      <c r="EZ579" s="36"/>
      <c r="FA579" s="36"/>
      <c r="FB579" s="36"/>
      <c r="FC579" s="36"/>
      <c r="FD579" s="36"/>
      <c r="FE579" s="36"/>
      <c r="FF579" s="36"/>
      <c r="FG579" s="36"/>
      <c r="FH579" s="36"/>
      <c r="FI579" s="36"/>
      <c r="FJ579" s="36"/>
      <c r="FK579" s="36"/>
      <c r="FL579" s="36"/>
      <c r="FM579" s="36"/>
      <c r="FN579" s="36"/>
      <c r="FO579" s="36"/>
      <c r="FP579" s="36"/>
      <c r="FQ579" s="36"/>
      <c r="FR579" s="36"/>
      <c r="FS579" s="36"/>
      <c r="FT579" s="36"/>
      <c r="FU579" s="36"/>
      <c r="FV579" s="36"/>
      <c r="FW579" s="36"/>
      <c r="FX579" s="36"/>
      <c r="FY579" s="36"/>
      <c r="FZ579" s="36"/>
      <c r="GA579" s="36"/>
      <c r="GB579" s="36"/>
      <c r="GC579" s="36"/>
      <c r="GD579" s="36"/>
      <c r="GE579" s="36"/>
      <c r="GF579" s="36"/>
      <c r="GG579" s="36"/>
      <c r="GH579" s="36"/>
      <c r="GI579" s="36"/>
      <c r="GJ579" s="36"/>
      <c r="GK579" s="36"/>
      <c r="GL579" s="36"/>
      <c r="GM579" s="36"/>
      <c r="GN579" s="36"/>
      <c r="GO579" s="36"/>
      <c r="GP579" s="36"/>
      <c r="GQ579" s="36"/>
      <c r="GR579" s="36"/>
      <c r="GS579" s="36"/>
      <c r="GT579" s="36"/>
      <c r="GU579" s="36"/>
      <c r="GV579" s="36"/>
      <c r="GW579" s="36"/>
      <c r="GX579" s="36"/>
      <c r="GY579" s="36"/>
      <c r="GZ579" s="36"/>
      <c r="HA579" s="36"/>
      <c r="HB579" s="36"/>
      <c r="HC579" s="36"/>
      <c r="HD579" s="36"/>
      <c r="HE579" s="36"/>
      <c r="HF579" s="36"/>
      <c r="HG579" s="36"/>
      <c r="HH579" s="36"/>
      <c r="HI579" s="36"/>
      <c r="HJ579" s="36"/>
      <c r="HK579" s="36"/>
      <c r="HL579" s="36"/>
      <c r="HM579" s="36"/>
      <c r="HN579" s="36"/>
      <c r="HO579" s="36"/>
      <c r="HP579" s="36"/>
      <c r="HQ579" s="36"/>
      <c r="HR579" s="36"/>
      <c r="HS579" s="36"/>
      <c r="HT579" s="36"/>
      <c r="HU579" s="36"/>
      <c r="HV579" s="36"/>
      <c r="HW579" s="36"/>
      <c r="HX579" s="36"/>
      <c r="HY579" s="36"/>
      <c r="HZ579" s="36"/>
      <c r="IA579" s="36"/>
      <c r="IB579" s="36"/>
      <c r="IC579" s="36"/>
      <c r="ID579" s="36"/>
      <c r="IE579" s="36"/>
      <c r="IF579" s="36"/>
      <c r="IG579" s="36"/>
      <c r="IH579" s="36"/>
      <c r="II579" s="36"/>
      <c r="IJ579" s="36"/>
      <c r="IK579" s="36"/>
      <c r="IL579" s="36"/>
      <c r="IM579" s="36"/>
      <c r="IN579" s="36"/>
      <c r="IO579" s="36"/>
      <c r="IP579" s="36"/>
      <c r="IQ579" s="36"/>
      <c r="IR579" s="36"/>
      <c r="IS579" s="36"/>
      <c r="IT579" s="36"/>
      <c r="IU579" s="36"/>
      <c r="IV579" s="36"/>
      <c r="IW579" s="36"/>
      <c r="IX579" s="36"/>
      <c r="IY579" s="36"/>
      <c r="IZ579" s="36"/>
      <c r="JA579" s="36"/>
      <c r="JB579" s="36"/>
      <c r="JC579" s="36"/>
      <c r="JD579" s="36"/>
      <c r="JE579" s="36"/>
      <c r="JF579" s="36"/>
      <c r="JG579" s="36"/>
      <c r="JH579" s="36"/>
      <c r="JI579" s="36"/>
      <c r="JJ579" s="36"/>
      <c r="JK579" s="36"/>
      <c r="JL579" s="36"/>
      <c r="JM579" s="36"/>
      <c r="JN579" s="36"/>
      <c r="JO579" s="36"/>
      <c r="JP579" s="36"/>
      <c r="JQ579" s="36"/>
      <c r="JR579" s="36"/>
      <c r="JS579" s="36"/>
      <c r="JT579" s="36"/>
      <c r="JU579" s="36"/>
      <c r="JV579" s="36"/>
      <c r="JW579" s="36"/>
      <c r="JX579" s="36"/>
      <c r="JY579" s="36"/>
      <c r="JZ579" s="36"/>
      <c r="KA579" s="36"/>
      <c r="KB579" s="36"/>
      <c r="KC579" s="36"/>
      <c r="KD579" s="36"/>
      <c r="KE579" s="36"/>
      <c r="KF579" s="36"/>
      <c r="KG579" s="36"/>
      <c r="KH579" s="36"/>
      <c r="KI579" s="36"/>
      <c r="KJ579" s="36"/>
      <c r="KK579" s="36"/>
      <c r="KL579" s="36"/>
      <c r="KM579" s="36"/>
      <c r="KN579" s="36"/>
      <c r="KO579" s="36"/>
      <c r="KP579" s="36"/>
      <c r="KQ579" s="36"/>
      <c r="KR579" s="36"/>
      <c r="KS579" s="36"/>
      <c r="KT579" s="36"/>
      <c r="KU579" s="36"/>
      <c r="KV579" s="36"/>
      <c r="KW579" s="36"/>
      <c r="KX579" s="36"/>
      <c r="KY579" s="36"/>
      <c r="KZ579" s="36"/>
      <c r="LA579" s="36"/>
      <c r="LB579" s="36"/>
      <c r="LC579" s="36"/>
      <c r="LD579" s="36"/>
      <c r="LE579" s="36"/>
      <c r="LF579" s="36"/>
      <c r="LG579" s="36"/>
      <c r="LH579" s="36"/>
      <c r="LI579" s="36"/>
      <c r="LJ579" s="36"/>
      <c r="LK579" s="36"/>
      <c r="LL579" s="36"/>
      <c r="LM579" s="36"/>
      <c r="LN579" s="36"/>
      <c r="LO579" s="36"/>
      <c r="LP579" s="36"/>
      <c r="LQ579" s="36"/>
      <c r="LR579" s="36"/>
      <c r="LS579" s="36"/>
      <c r="LT579" s="36"/>
      <c r="LU579" s="36"/>
      <c r="LV579" s="36"/>
      <c r="LW579" s="36"/>
      <c r="LX579" s="36"/>
      <c r="LY579" s="36"/>
      <c r="LZ579" s="36"/>
      <c r="MA579" s="36"/>
      <c r="MB579" s="36"/>
      <c r="MC579" s="36"/>
      <c r="MD579" s="36"/>
      <c r="ME579" s="36"/>
      <c r="MF579" s="36"/>
      <c r="MG579" s="36"/>
      <c r="MH579" s="36"/>
      <c r="MI579" s="36"/>
      <c r="MJ579" s="36"/>
      <c r="MK579" s="36"/>
      <c r="ML579" s="36"/>
      <c r="MM579" s="36"/>
      <c r="MN579" s="36"/>
      <c r="MO579" s="36"/>
      <c r="MP579" s="36"/>
      <c r="MQ579" s="36"/>
      <c r="MR579" s="36"/>
      <c r="MS579" s="36"/>
      <c r="MT579" s="36"/>
      <c r="MU579" s="36"/>
      <c r="MV579" s="36"/>
      <c r="MW579" s="36"/>
      <c r="MX579" s="36"/>
      <c r="MY579" s="36"/>
      <c r="MZ579" s="36"/>
      <c r="NA579" s="36"/>
      <c r="NB579" s="36"/>
      <c r="NC579" s="36"/>
      <c r="ND579" s="36"/>
      <c r="NE579" s="36"/>
      <c r="NF579" s="36"/>
      <c r="NG579" s="36"/>
      <c r="NH579" s="36"/>
      <c r="NI579" s="36"/>
      <c r="NJ579" s="36"/>
      <c r="NK579" s="36"/>
      <c r="NL579" s="36"/>
      <c r="NM579" s="36"/>
      <c r="NN579" s="36"/>
      <c r="NO579" s="36"/>
      <c r="NP579" s="36"/>
      <c r="NQ579" s="36"/>
      <c r="NR579" s="36"/>
      <c r="NS579" s="36"/>
      <c r="NT579" s="36"/>
      <c r="NU579" s="36"/>
      <c r="NV579" s="36"/>
      <c r="NW579" s="36"/>
      <c r="NX579" s="36"/>
      <c r="NY579" s="36"/>
      <c r="NZ579" s="36"/>
      <c r="OA579" s="36"/>
      <c r="OB579" s="36"/>
      <c r="OC579" s="36"/>
      <c r="OD579" s="36"/>
      <c r="OE579" s="36"/>
      <c r="OF579" s="36"/>
      <c r="OG579" s="36"/>
      <c r="OH579" s="36"/>
      <c r="OI579" s="36"/>
      <c r="OJ579" s="36"/>
      <c r="OK579" s="36"/>
      <c r="OL579" s="36"/>
      <c r="OM579" s="36"/>
      <c r="ON579" s="36"/>
      <c r="OO579" s="36"/>
      <c r="OP579" s="36"/>
      <c r="OQ579" s="36"/>
      <c r="OR579" s="36"/>
      <c r="OS579" s="36"/>
      <c r="OT579" s="36"/>
      <c r="OU579" s="36"/>
      <c r="OV579" s="36"/>
      <c r="OW579" s="36"/>
      <c r="OX579" s="36"/>
    </row>
    <row r="580" spans="2:414" s="27" customFormat="1" ht="15.6">
      <c r="B580" s="51" t="s">
        <v>220</v>
      </c>
      <c r="C580" s="27" t="s">
        <v>897</v>
      </c>
      <c r="D580" s="29" t="s">
        <v>201</v>
      </c>
      <c r="G580" s="49">
        <v>80</v>
      </c>
      <c r="H580" s="89">
        <v>26.109000000000002</v>
      </c>
      <c r="I580" s="38">
        <f t="shared" si="165"/>
        <v>2088.7200000000003</v>
      </c>
      <c r="K580" s="49">
        <v>80</v>
      </c>
      <c r="L580" s="90">
        <v>26.849599999999999</v>
      </c>
      <c r="M580" s="38">
        <f t="shared" si="166"/>
        <v>2147.9679999999998</v>
      </c>
      <c r="O580" s="49">
        <v>505</v>
      </c>
      <c r="P580" s="38">
        <v>26.728300000000001</v>
      </c>
      <c r="Q580" s="38">
        <f t="shared" si="167"/>
        <v>13497.791500000001</v>
      </c>
      <c r="R580" s="43">
        <f t="shared" ref="R580:R640" si="179">G580+K580+O580</f>
        <v>665</v>
      </c>
      <c r="S580" s="38">
        <f t="shared" si="168"/>
        <v>17734.479500000001</v>
      </c>
      <c r="T580" s="27">
        <v>240</v>
      </c>
      <c r="U580" s="52">
        <v>26.673500000000001</v>
      </c>
      <c r="V580" s="38">
        <f t="shared" si="176"/>
        <v>6401.64</v>
      </c>
      <c r="W580" s="52">
        <v>505</v>
      </c>
      <c r="X580" s="52">
        <v>26.69</v>
      </c>
      <c r="Y580" s="35">
        <f t="shared" si="174"/>
        <v>13478.45</v>
      </c>
      <c r="Z580" s="78"/>
      <c r="AF580" s="42">
        <f t="shared" si="177"/>
        <v>0</v>
      </c>
      <c r="AU580" s="100"/>
      <c r="AV580" s="35"/>
      <c r="AW580" s="78"/>
      <c r="AZ580" s="42">
        <f t="shared" si="178"/>
        <v>0</v>
      </c>
      <c r="BD580" s="38">
        <f t="shared" si="169"/>
        <v>0</v>
      </c>
      <c r="BH580" s="38">
        <f t="shared" si="170"/>
        <v>0</v>
      </c>
      <c r="BL580" s="38">
        <f t="shared" si="171"/>
        <v>0</v>
      </c>
      <c r="BR580" s="42">
        <f t="shared" si="172"/>
        <v>19880.09</v>
      </c>
      <c r="BS580" s="43"/>
      <c r="BT580" s="27">
        <v>2145.61</v>
      </c>
      <c r="BU580" s="36"/>
      <c r="BV580" s="36"/>
      <c r="BW580" s="36"/>
      <c r="BX580" s="36"/>
      <c r="BY580" s="36"/>
      <c r="BZ580" s="36"/>
      <c r="CA580" s="36"/>
      <c r="CB580" s="36"/>
      <c r="CC580" s="36"/>
      <c r="CD580" s="36"/>
      <c r="CE580" s="36"/>
      <c r="CF580" s="36"/>
      <c r="CG580" s="36"/>
      <c r="CH580" s="36"/>
      <c r="CI580" s="36"/>
      <c r="CJ580" s="36"/>
      <c r="CK580" s="36"/>
      <c r="CL580" s="36"/>
      <c r="CM580" s="36"/>
      <c r="CN580" s="36"/>
      <c r="CO580" s="36"/>
      <c r="CP580" s="36"/>
      <c r="CQ580" s="36"/>
      <c r="CR580" s="36"/>
      <c r="CS580" s="36"/>
      <c r="CT580" s="36"/>
      <c r="CU580" s="36"/>
      <c r="CV580" s="36"/>
      <c r="CW580" s="36"/>
      <c r="CX580" s="36"/>
      <c r="CY580" s="36"/>
      <c r="CZ580" s="36"/>
      <c r="DA580" s="36"/>
      <c r="DB580" s="36"/>
      <c r="DC580" s="36"/>
      <c r="DD580" s="36"/>
      <c r="DE580" s="36"/>
      <c r="DF580" s="36"/>
      <c r="DG580" s="36"/>
      <c r="DH580" s="36"/>
      <c r="DI580" s="36"/>
      <c r="DJ580" s="36"/>
      <c r="DK580" s="36"/>
      <c r="DL580" s="36"/>
      <c r="DM580" s="36"/>
      <c r="DN580" s="36"/>
      <c r="DO580" s="36"/>
      <c r="DP580" s="36"/>
      <c r="DQ580" s="36"/>
      <c r="DR580" s="36"/>
      <c r="DS580" s="36"/>
      <c r="DT580" s="36"/>
      <c r="DU580" s="36"/>
      <c r="DV580" s="36"/>
      <c r="DW580" s="36"/>
      <c r="DX580" s="36"/>
      <c r="DY580" s="36"/>
      <c r="DZ580" s="36"/>
      <c r="EA580" s="36"/>
      <c r="EB580" s="36"/>
      <c r="EC580" s="36"/>
      <c r="ED580" s="36"/>
      <c r="EE580" s="36"/>
      <c r="EF580" s="36"/>
      <c r="EG580" s="36"/>
      <c r="EH580" s="36"/>
      <c r="EI580" s="36"/>
      <c r="EJ580" s="36"/>
      <c r="EK580" s="36"/>
      <c r="EL580" s="36"/>
      <c r="EM580" s="36"/>
      <c r="EN580" s="36"/>
      <c r="EO580" s="36"/>
      <c r="EP580" s="36"/>
      <c r="EQ580" s="36"/>
      <c r="ER580" s="36"/>
      <c r="ES580" s="36"/>
      <c r="ET580" s="36"/>
      <c r="EU580" s="36"/>
      <c r="EV580" s="36"/>
      <c r="EW580" s="36"/>
      <c r="EX580" s="36"/>
      <c r="EY580" s="36"/>
      <c r="EZ580" s="36"/>
      <c r="FA580" s="36"/>
      <c r="FB580" s="36"/>
      <c r="FC580" s="36"/>
      <c r="FD580" s="36"/>
      <c r="FE580" s="36"/>
      <c r="FF580" s="36"/>
      <c r="FG580" s="36"/>
      <c r="FH580" s="36"/>
      <c r="FI580" s="36"/>
      <c r="FJ580" s="36"/>
      <c r="FK580" s="36"/>
      <c r="FL580" s="36"/>
      <c r="FM580" s="36"/>
      <c r="FN580" s="36"/>
      <c r="FO580" s="36"/>
      <c r="FP580" s="36"/>
      <c r="FQ580" s="36"/>
      <c r="FR580" s="36"/>
      <c r="FS580" s="36"/>
      <c r="FT580" s="36"/>
      <c r="FU580" s="36"/>
      <c r="FV580" s="36"/>
      <c r="FW580" s="36"/>
      <c r="FX580" s="36"/>
      <c r="FY580" s="36"/>
      <c r="FZ580" s="36"/>
      <c r="GA580" s="36"/>
      <c r="GB580" s="36"/>
      <c r="GC580" s="36"/>
      <c r="GD580" s="36"/>
      <c r="GE580" s="36"/>
      <c r="GF580" s="36"/>
      <c r="GG580" s="36"/>
      <c r="GH580" s="36"/>
      <c r="GI580" s="36"/>
      <c r="GJ580" s="36"/>
      <c r="GK580" s="36"/>
      <c r="GL580" s="36"/>
      <c r="GM580" s="36"/>
      <c r="GN580" s="36"/>
      <c r="GO580" s="36"/>
      <c r="GP580" s="36"/>
      <c r="GQ580" s="36"/>
      <c r="GR580" s="36"/>
      <c r="GS580" s="36"/>
      <c r="GT580" s="36"/>
      <c r="GU580" s="36"/>
      <c r="GV580" s="36"/>
      <c r="GW580" s="36"/>
      <c r="GX580" s="36"/>
      <c r="GY580" s="36"/>
      <c r="GZ580" s="36"/>
      <c r="HA580" s="36"/>
      <c r="HB580" s="36"/>
      <c r="HC580" s="36"/>
      <c r="HD580" s="36"/>
      <c r="HE580" s="36"/>
      <c r="HF580" s="36"/>
      <c r="HG580" s="36"/>
      <c r="HH580" s="36"/>
      <c r="HI580" s="36"/>
      <c r="HJ580" s="36"/>
      <c r="HK580" s="36"/>
      <c r="HL580" s="36"/>
      <c r="HM580" s="36"/>
      <c r="HN580" s="36"/>
      <c r="HO580" s="36"/>
      <c r="HP580" s="36"/>
      <c r="HQ580" s="36"/>
      <c r="HR580" s="36"/>
      <c r="HS580" s="36"/>
      <c r="HT580" s="36"/>
      <c r="HU580" s="36"/>
      <c r="HV580" s="36"/>
      <c r="HW580" s="36"/>
      <c r="HX580" s="36"/>
      <c r="HY580" s="36"/>
      <c r="HZ580" s="36"/>
      <c r="IA580" s="36"/>
      <c r="IB580" s="36"/>
      <c r="IC580" s="36"/>
      <c r="ID580" s="36"/>
      <c r="IE580" s="36"/>
      <c r="IF580" s="36"/>
      <c r="IG580" s="36"/>
      <c r="IH580" s="36"/>
      <c r="II580" s="36"/>
      <c r="IJ580" s="36"/>
      <c r="IK580" s="36"/>
      <c r="IL580" s="36"/>
      <c r="IM580" s="36"/>
      <c r="IN580" s="36"/>
      <c r="IO580" s="36"/>
      <c r="IP580" s="36"/>
      <c r="IQ580" s="36"/>
      <c r="IR580" s="36"/>
      <c r="IS580" s="36"/>
      <c r="IT580" s="36"/>
      <c r="IU580" s="36"/>
      <c r="IV580" s="36"/>
      <c r="IW580" s="36"/>
      <c r="IX580" s="36"/>
      <c r="IY580" s="36"/>
      <c r="IZ580" s="36"/>
      <c r="JA580" s="36"/>
      <c r="JB580" s="36"/>
      <c r="JC580" s="36"/>
      <c r="JD580" s="36"/>
      <c r="JE580" s="36"/>
      <c r="JF580" s="36"/>
      <c r="JG580" s="36"/>
      <c r="JH580" s="36"/>
      <c r="JI580" s="36"/>
      <c r="JJ580" s="36"/>
      <c r="JK580" s="36"/>
      <c r="JL580" s="36"/>
      <c r="JM580" s="36"/>
      <c r="JN580" s="36"/>
      <c r="JO580" s="36"/>
      <c r="JP580" s="36"/>
      <c r="JQ580" s="36"/>
      <c r="JR580" s="36"/>
      <c r="JS580" s="36"/>
      <c r="JT580" s="36"/>
      <c r="JU580" s="36"/>
      <c r="JV580" s="36"/>
      <c r="JW580" s="36"/>
      <c r="JX580" s="36"/>
      <c r="JY580" s="36"/>
      <c r="JZ580" s="36"/>
      <c r="KA580" s="36"/>
      <c r="KB580" s="36"/>
      <c r="KC580" s="36"/>
      <c r="KD580" s="36"/>
      <c r="KE580" s="36"/>
      <c r="KF580" s="36"/>
      <c r="KG580" s="36"/>
      <c r="KH580" s="36"/>
      <c r="KI580" s="36"/>
      <c r="KJ580" s="36"/>
      <c r="KK580" s="36"/>
      <c r="KL580" s="36"/>
      <c r="KM580" s="36"/>
      <c r="KN580" s="36"/>
      <c r="KO580" s="36"/>
      <c r="KP580" s="36"/>
      <c r="KQ580" s="36"/>
      <c r="KR580" s="36"/>
      <c r="KS580" s="36"/>
      <c r="KT580" s="36"/>
      <c r="KU580" s="36"/>
      <c r="KV580" s="36"/>
      <c r="KW580" s="36"/>
      <c r="KX580" s="36"/>
      <c r="KY580" s="36"/>
      <c r="KZ580" s="36"/>
      <c r="LA580" s="36"/>
      <c r="LB580" s="36"/>
      <c r="LC580" s="36"/>
      <c r="LD580" s="36"/>
      <c r="LE580" s="36"/>
      <c r="LF580" s="36"/>
      <c r="LG580" s="36"/>
      <c r="LH580" s="36"/>
      <c r="LI580" s="36"/>
      <c r="LJ580" s="36"/>
      <c r="LK580" s="36"/>
      <c r="LL580" s="36"/>
      <c r="LM580" s="36"/>
      <c r="LN580" s="36"/>
      <c r="LO580" s="36"/>
      <c r="LP580" s="36"/>
      <c r="LQ580" s="36"/>
      <c r="LR580" s="36"/>
      <c r="LS580" s="36"/>
      <c r="LT580" s="36"/>
      <c r="LU580" s="36"/>
      <c r="LV580" s="36"/>
      <c r="LW580" s="36"/>
      <c r="LX580" s="36"/>
      <c r="LY580" s="36"/>
      <c r="LZ580" s="36"/>
      <c r="MA580" s="36"/>
      <c r="MB580" s="36"/>
      <c r="MC580" s="36"/>
      <c r="MD580" s="36"/>
      <c r="ME580" s="36"/>
      <c r="MF580" s="36"/>
      <c r="MG580" s="36"/>
      <c r="MH580" s="36"/>
      <c r="MI580" s="36"/>
      <c r="MJ580" s="36"/>
      <c r="MK580" s="36"/>
      <c r="ML580" s="36"/>
      <c r="MM580" s="36"/>
      <c r="MN580" s="36"/>
      <c r="MO580" s="36"/>
      <c r="MP580" s="36"/>
      <c r="MQ580" s="36"/>
      <c r="MR580" s="36"/>
      <c r="MS580" s="36"/>
      <c r="MT580" s="36"/>
      <c r="MU580" s="36"/>
      <c r="MV580" s="36"/>
      <c r="MW580" s="36"/>
      <c r="MX580" s="36"/>
      <c r="MY580" s="36"/>
      <c r="MZ580" s="36"/>
      <c r="NA580" s="36"/>
      <c r="NB580" s="36"/>
      <c r="NC580" s="36"/>
      <c r="ND580" s="36"/>
      <c r="NE580" s="36"/>
      <c r="NF580" s="36"/>
      <c r="NG580" s="36"/>
      <c r="NH580" s="36"/>
      <c r="NI580" s="36"/>
      <c r="NJ580" s="36"/>
      <c r="NK580" s="36"/>
      <c r="NL580" s="36"/>
      <c r="NM580" s="36"/>
      <c r="NN580" s="36"/>
      <c r="NO580" s="36"/>
      <c r="NP580" s="36"/>
      <c r="NQ580" s="36"/>
      <c r="NR580" s="36"/>
      <c r="NS580" s="36"/>
      <c r="NT580" s="36"/>
      <c r="NU580" s="36"/>
      <c r="NV580" s="36"/>
      <c r="NW580" s="36"/>
      <c r="NX580" s="36"/>
      <c r="NY580" s="36"/>
      <c r="NZ580" s="36"/>
      <c r="OA580" s="36"/>
      <c r="OB580" s="36"/>
      <c r="OC580" s="36"/>
      <c r="OD580" s="36"/>
      <c r="OE580" s="36"/>
      <c r="OF580" s="36"/>
      <c r="OG580" s="36"/>
      <c r="OH580" s="36"/>
      <c r="OI580" s="36"/>
      <c r="OJ580" s="36"/>
      <c r="OK580" s="36"/>
      <c r="OL580" s="36"/>
      <c r="OM580" s="36"/>
      <c r="ON580" s="36"/>
      <c r="OO580" s="36"/>
      <c r="OP580" s="36"/>
      <c r="OQ580" s="36"/>
      <c r="OR580" s="36"/>
      <c r="OS580" s="36"/>
      <c r="OT580" s="36"/>
      <c r="OU580" s="36"/>
      <c r="OV580" s="36"/>
      <c r="OW580" s="36"/>
      <c r="OX580" s="36"/>
    </row>
    <row r="581" spans="2:414" s="27" customFormat="1" ht="15.6">
      <c r="B581" s="51" t="s">
        <v>1089</v>
      </c>
      <c r="C581" s="27" t="s">
        <v>167</v>
      </c>
      <c r="D581" s="29" t="s">
        <v>201</v>
      </c>
      <c r="G581" s="49">
        <v>80</v>
      </c>
      <c r="H581" s="89">
        <v>26.109000000000002</v>
      </c>
      <c r="I581" s="38">
        <f t="shared" si="165"/>
        <v>2088.7200000000003</v>
      </c>
      <c r="K581" s="49">
        <v>80</v>
      </c>
      <c r="L581" s="90">
        <v>26.849599999999999</v>
      </c>
      <c r="M581" s="38">
        <f t="shared" si="166"/>
        <v>2147.9679999999998</v>
      </c>
      <c r="O581" s="49">
        <v>505</v>
      </c>
      <c r="P581" s="38">
        <v>26.728300000000001</v>
      </c>
      <c r="Q581" s="38">
        <f t="shared" si="167"/>
        <v>13497.791500000001</v>
      </c>
      <c r="R581" s="43">
        <f t="shared" si="179"/>
        <v>665</v>
      </c>
      <c r="S581" s="38">
        <f t="shared" si="168"/>
        <v>17734.479500000001</v>
      </c>
      <c r="T581" s="27">
        <v>240</v>
      </c>
      <c r="U581" s="52">
        <v>26.677399999999999</v>
      </c>
      <c r="V581" s="38">
        <f t="shared" si="176"/>
        <v>6402.576</v>
      </c>
      <c r="W581" s="52">
        <v>505</v>
      </c>
      <c r="X581" s="52">
        <v>26.704000000000001</v>
      </c>
      <c r="Y581" s="35">
        <f t="shared" si="174"/>
        <v>13485.52</v>
      </c>
      <c r="Z581" s="78"/>
      <c r="AF581" s="42">
        <f t="shared" si="177"/>
        <v>0</v>
      </c>
      <c r="AU581" s="100"/>
      <c r="AV581" s="35"/>
      <c r="AW581" s="78"/>
      <c r="AZ581" s="42">
        <f t="shared" si="178"/>
        <v>0</v>
      </c>
      <c r="BD581" s="38">
        <f t="shared" si="169"/>
        <v>0</v>
      </c>
      <c r="BH581" s="38">
        <f t="shared" si="170"/>
        <v>0</v>
      </c>
      <c r="BL581" s="38">
        <f t="shared" si="171"/>
        <v>0</v>
      </c>
      <c r="BR581" s="42">
        <f t="shared" si="172"/>
        <v>19888.096000000001</v>
      </c>
      <c r="BS581" s="43"/>
      <c r="BT581" s="27">
        <v>2153.62</v>
      </c>
      <c r="BU581" s="36"/>
      <c r="BV581" s="36"/>
      <c r="BW581" s="36"/>
      <c r="BX581" s="36"/>
      <c r="BY581" s="36"/>
      <c r="BZ581" s="36"/>
      <c r="CA581" s="36"/>
      <c r="CB581" s="36"/>
      <c r="CC581" s="36"/>
      <c r="CD581" s="36"/>
      <c r="CE581" s="36"/>
      <c r="CF581" s="36"/>
      <c r="CG581" s="36"/>
      <c r="CH581" s="36"/>
      <c r="CI581" s="36"/>
      <c r="CJ581" s="36"/>
      <c r="CK581" s="36"/>
      <c r="CL581" s="36"/>
      <c r="CM581" s="36"/>
      <c r="CN581" s="36"/>
      <c r="CO581" s="36"/>
      <c r="CP581" s="36"/>
      <c r="CQ581" s="36"/>
      <c r="CR581" s="36"/>
      <c r="CS581" s="36"/>
      <c r="CT581" s="36"/>
      <c r="CU581" s="36"/>
      <c r="CV581" s="36"/>
      <c r="CW581" s="36"/>
      <c r="CX581" s="36"/>
      <c r="CY581" s="36"/>
      <c r="CZ581" s="36"/>
      <c r="DA581" s="36"/>
      <c r="DB581" s="36"/>
      <c r="DC581" s="36"/>
      <c r="DD581" s="36"/>
      <c r="DE581" s="36"/>
      <c r="DF581" s="36"/>
      <c r="DG581" s="36"/>
      <c r="DH581" s="36"/>
      <c r="DI581" s="36"/>
      <c r="DJ581" s="36"/>
      <c r="DK581" s="36"/>
      <c r="DL581" s="36"/>
      <c r="DM581" s="36"/>
      <c r="DN581" s="36"/>
      <c r="DO581" s="36"/>
      <c r="DP581" s="36"/>
      <c r="DQ581" s="36"/>
      <c r="DR581" s="36"/>
      <c r="DS581" s="36"/>
      <c r="DT581" s="36"/>
      <c r="DU581" s="36"/>
      <c r="DV581" s="36"/>
      <c r="DW581" s="36"/>
      <c r="DX581" s="36"/>
      <c r="DY581" s="36"/>
      <c r="DZ581" s="36"/>
      <c r="EA581" s="36"/>
      <c r="EB581" s="36"/>
      <c r="EC581" s="36"/>
      <c r="ED581" s="36"/>
      <c r="EE581" s="36"/>
      <c r="EF581" s="36"/>
      <c r="EG581" s="36"/>
      <c r="EH581" s="36"/>
      <c r="EI581" s="36"/>
      <c r="EJ581" s="36"/>
      <c r="EK581" s="36"/>
      <c r="EL581" s="36"/>
      <c r="EM581" s="36"/>
      <c r="EN581" s="36"/>
      <c r="EO581" s="36"/>
      <c r="EP581" s="36"/>
      <c r="EQ581" s="36"/>
      <c r="ER581" s="36"/>
      <c r="ES581" s="36"/>
      <c r="ET581" s="36"/>
      <c r="EU581" s="36"/>
      <c r="EV581" s="36"/>
      <c r="EW581" s="36"/>
      <c r="EX581" s="36"/>
      <c r="EY581" s="36"/>
      <c r="EZ581" s="36"/>
      <c r="FA581" s="36"/>
      <c r="FB581" s="36"/>
      <c r="FC581" s="36"/>
      <c r="FD581" s="36"/>
      <c r="FE581" s="36"/>
      <c r="FF581" s="36"/>
      <c r="FG581" s="36"/>
      <c r="FH581" s="36"/>
      <c r="FI581" s="36"/>
      <c r="FJ581" s="36"/>
      <c r="FK581" s="36"/>
      <c r="FL581" s="36"/>
      <c r="FM581" s="36"/>
      <c r="FN581" s="36"/>
      <c r="FO581" s="36"/>
      <c r="FP581" s="36"/>
      <c r="FQ581" s="36"/>
      <c r="FR581" s="36"/>
      <c r="FS581" s="36"/>
      <c r="FT581" s="36"/>
      <c r="FU581" s="36"/>
      <c r="FV581" s="36"/>
      <c r="FW581" s="36"/>
      <c r="FX581" s="36"/>
      <c r="FY581" s="36"/>
      <c r="FZ581" s="36"/>
      <c r="GA581" s="36"/>
      <c r="GB581" s="36"/>
      <c r="GC581" s="36"/>
      <c r="GD581" s="36"/>
      <c r="GE581" s="36"/>
      <c r="GF581" s="36"/>
      <c r="GG581" s="36"/>
      <c r="GH581" s="36"/>
      <c r="GI581" s="36"/>
      <c r="GJ581" s="36"/>
      <c r="GK581" s="36"/>
      <c r="GL581" s="36"/>
      <c r="GM581" s="36"/>
      <c r="GN581" s="36"/>
      <c r="GO581" s="36"/>
      <c r="GP581" s="36"/>
      <c r="GQ581" s="36"/>
      <c r="GR581" s="36"/>
      <c r="GS581" s="36"/>
      <c r="GT581" s="36"/>
      <c r="GU581" s="36"/>
      <c r="GV581" s="36"/>
      <c r="GW581" s="36"/>
      <c r="GX581" s="36"/>
      <c r="GY581" s="36"/>
      <c r="GZ581" s="36"/>
      <c r="HA581" s="36"/>
      <c r="HB581" s="36"/>
      <c r="HC581" s="36"/>
      <c r="HD581" s="36"/>
      <c r="HE581" s="36"/>
      <c r="HF581" s="36"/>
      <c r="HG581" s="36"/>
      <c r="HH581" s="36"/>
      <c r="HI581" s="36"/>
      <c r="HJ581" s="36"/>
      <c r="HK581" s="36"/>
      <c r="HL581" s="36"/>
      <c r="HM581" s="36"/>
      <c r="HN581" s="36"/>
      <c r="HO581" s="36"/>
      <c r="HP581" s="36"/>
      <c r="HQ581" s="36"/>
      <c r="HR581" s="36"/>
      <c r="HS581" s="36"/>
      <c r="HT581" s="36"/>
      <c r="HU581" s="36"/>
      <c r="HV581" s="36"/>
      <c r="HW581" s="36"/>
      <c r="HX581" s="36"/>
      <c r="HY581" s="36"/>
      <c r="HZ581" s="36"/>
      <c r="IA581" s="36"/>
      <c r="IB581" s="36"/>
      <c r="IC581" s="36"/>
      <c r="ID581" s="36"/>
      <c r="IE581" s="36"/>
      <c r="IF581" s="36"/>
      <c r="IG581" s="36"/>
      <c r="IH581" s="36"/>
      <c r="II581" s="36"/>
      <c r="IJ581" s="36"/>
      <c r="IK581" s="36"/>
      <c r="IL581" s="36"/>
      <c r="IM581" s="36"/>
      <c r="IN581" s="36"/>
      <c r="IO581" s="36"/>
      <c r="IP581" s="36"/>
      <c r="IQ581" s="36"/>
      <c r="IR581" s="36"/>
      <c r="IS581" s="36"/>
      <c r="IT581" s="36"/>
      <c r="IU581" s="36"/>
      <c r="IV581" s="36"/>
      <c r="IW581" s="36"/>
      <c r="IX581" s="36"/>
      <c r="IY581" s="36"/>
      <c r="IZ581" s="36"/>
      <c r="JA581" s="36"/>
      <c r="JB581" s="36"/>
      <c r="JC581" s="36"/>
      <c r="JD581" s="36"/>
      <c r="JE581" s="36"/>
      <c r="JF581" s="36"/>
      <c r="JG581" s="36"/>
      <c r="JH581" s="36"/>
      <c r="JI581" s="36"/>
      <c r="JJ581" s="36"/>
      <c r="JK581" s="36"/>
      <c r="JL581" s="36"/>
      <c r="JM581" s="36"/>
      <c r="JN581" s="36"/>
      <c r="JO581" s="36"/>
      <c r="JP581" s="36"/>
      <c r="JQ581" s="36"/>
      <c r="JR581" s="36"/>
      <c r="JS581" s="36"/>
      <c r="JT581" s="36"/>
      <c r="JU581" s="36"/>
      <c r="JV581" s="36"/>
      <c r="JW581" s="36"/>
      <c r="JX581" s="36"/>
      <c r="JY581" s="36"/>
      <c r="JZ581" s="36"/>
      <c r="KA581" s="36"/>
      <c r="KB581" s="36"/>
      <c r="KC581" s="36"/>
      <c r="KD581" s="36"/>
      <c r="KE581" s="36"/>
      <c r="KF581" s="36"/>
      <c r="KG581" s="36"/>
      <c r="KH581" s="36"/>
      <c r="KI581" s="36"/>
      <c r="KJ581" s="36"/>
      <c r="KK581" s="36"/>
      <c r="KL581" s="36"/>
      <c r="KM581" s="36"/>
      <c r="KN581" s="36"/>
      <c r="KO581" s="36"/>
      <c r="KP581" s="36"/>
      <c r="KQ581" s="36"/>
      <c r="KR581" s="36"/>
      <c r="KS581" s="36"/>
      <c r="KT581" s="36"/>
      <c r="KU581" s="36"/>
      <c r="KV581" s="36"/>
      <c r="KW581" s="36"/>
      <c r="KX581" s="36"/>
      <c r="KY581" s="36"/>
      <c r="KZ581" s="36"/>
      <c r="LA581" s="36"/>
      <c r="LB581" s="36"/>
      <c r="LC581" s="36"/>
      <c r="LD581" s="36"/>
      <c r="LE581" s="36"/>
      <c r="LF581" s="36"/>
      <c r="LG581" s="36"/>
      <c r="LH581" s="36"/>
      <c r="LI581" s="36"/>
      <c r="LJ581" s="36"/>
      <c r="LK581" s="36"/>
      <c r="LL581" s="36"/>
      <c r="LM581" s="36"/>
      <c r="LN581" s="36"/>
      <c r="LO581" s="36"/>
      <c r="LP581" s="36"/>
      <c r="LQ581" s="36"/>
      <c r="LR581" s="36"/>
      <c r="LS581" s="36"/>
      <c r="LT581" s="36"/>
      <c r="LU581" s="36"/>
      <c r="LV581" s="36"/>
      <c r="LW581" s="36"/>
      <c r="LX581" s="36"/>
      <c r="LY581" s="36"/>
      <c r="LZ581" s="36"/>
      <c r="MA581" s="36"/>
      <c r="MB581" s="36"/>
      <c r="MC581" s="36"/>
      <c r="MD581" s="36"/>
      <c r="ME581" s="36"/>
      <c r="MF581" s="36"/>
      <c r="MG581" s="36"/>
      <c r="MH581" s="36"/>
      <c r="MI581" s="36"/>
      <c r="MJ581" s="36"/>
      <c r="MK581" s="36"/>
      <c r="ML581" s="36"/>
      <c r="MM581" s="36"/>
      <c r="MN581" s="36"/>
      <c r="MO581" s="36"/>
      <c r="MP581" s="36"/>
      <c r="MQ581" s="36"/>
      <c r="MR581" s="36"/>
      <c r="MS581" s="36"/>
      <c r="MT581" s="36"/>
      <c r="MU581" s="36"/>
      <c r="MV581" s="36"/>
      <c r="MW581" s="36"/>
      <c r="MX581" s="36"/>
      <c r="MY581" s="36"/>
      <c r="MZ581" s="36"/>
      <c r="NA581" s="36"/>
      <c r="NB581" s="36"/>
      <c r="NC581" s="36"/>
      <c r="ND581" s="36"/>
      <c r="NE581" s="36"/>
      <c r="NF581" s="36"/>
      <c r="NG581" s="36"/>
      <c r="NH581" s="36"/>
      <c r="NI581" s="36"/>
      <c r="NJ581" s="36"/>
      <c r="NK581" s="36"/>
      <c r="NL581" s="36"/>
      <c r="NM581" s="36"/>
      <c r="NN581" s="36"/>
      <c r="NO581" s="36"/>
      <c r="NP581" s="36"/>
      <c r="NQ581" s="36"/>
      <c r="NR581" s="36"/>
      <c r="NS581" s="36"/>
      <c r="NT581" s="36"/>
      <c r="NU581" s="36"/>
      <c r="NV581" s="36"/>
      <c r="NW581" s="36"/>
      <c r="NX581" s="36"/>
      <c r="NY581" s="36"/>
      <c r="NZ581" s="36"/>
      <c r="OA581" s="36"/>
      <c r="OB581" s="36"/>
      <c r="OC581" s="36"/>
      <c r="OD581" s="36"/>
      <c r="OE581" s="36"/>
      <c r="OF581" s="36"/>
      <c r="OG581" s="36"/>
      <c r="OH581" s="36"/>
      <c r="OI581" s="36"/>
      <c r="OJ581" s="36"/>
      <c r="OK581" s="36"/>
      <c r="OL581" s="36"/>
      <c r="OM581" s="36"/>
      <c r="ON581" s="36"/>
      <c r="OO581" s="36"/>
      <c r="OP581" s="36"/>
      <c r="OQ581" s="36"/>
      <c r="OR581" s="36"/>
      <c r="OS581" s="36"/>
      <c r="OT581" s="36"/>
      <c r="OU581" s="36"/>
      <c r="OV581" s="36"/>
      <c r="OW581" s="36"/>
      <c r="OX581" s="36"/>
    </row>
    <row r="582" spans="2:414" s="27" customFormat="1" ht="15.6">
      <c r="B582" s="51" t="s">
        <v>918</v>
      </c>
      <c r="C582" s="27" t="s">
        <v>919</v>
      </c>
      <c r="D582" s="29" t="s">
        <v>201</v>
      </c>
      <c r="G582" s="49">
        <v>80</v>
      </c>
      <c r="H582" s="89">
        <v>26.109000000000002</v>
      </c>
      <c r="I582" s="38">
        <f t="shared" si="165"/>
        <v>2088.7200000000003</v>
      </c>
      <c r="K582" s="49">
        <v>80</v>
      </c>
      <c r="L582" s="90">
        <v>26.849599999999999</v>
      </c>
      <c r="M582" s="38">
        <f t="shared" si="166"/>
        <v>2147.9679999999998</v>
      </c>
      <c r="O582" s="49">
        <v>505</v>
      </c>
      <c r="P582" s="38">
        <v>26.728300000000001</v>
      </c>
      <c r="Q582" s="38">
        <f t="shared" si="167"/>
        <v>13497.791500000001</v>
      </c>
      <c r="R582" s="43">
        <f t="shared" si="179"/>
        <v>665</v>
      </c>
      <c r="S582" s="38">
        <f t="shared" si="168"/>
        <v>17734.479500000001</v>
      </c>
      <c r="V582" s="38">
        <f t="shared" si="176"/>
        <v>0</v>
      </c>
      <c r="W582" s="52">
        <v>500</v>
      </c>
      <c r="X582" s="52">
        <v>26.339600000000001</v>
      </c>
      <c r="Y582" s="35">
        <f t="shared" si="174"/>
        <v>13169.800000000001</v>
      </c>
      <c r="Z582" s="78"/>
      <c r="AF582" s="42">
        <f t="shared" si="177"/>
        <v>0</v>
      </c>
      <c r="AU582" s="100"/>
      <c r="AV582" s="35"/>
      <c r="AW582" s="78"/>
      <c r="AZ582" s="42">
        <f t="shared" si="178"/>
        <v>0</v>
      </c>
      <c r="BD582" s="38">
        <f t="shared" si="169"/>
        <v>0</v>
      </c>
      <c r="BH582" s="38">
        <f t="shared" si="170"/>
        <v>0</v>
      </c>
      <c r="BL582" s="38">
        <f t="shared" si="171"/>
        <v>0</v>
      </c>
      <c r="BR582" s="42">
        <f t="shared" si="172"/>
        <v>13169.800000000001</v>
      </c>
      <c r="BS582" s="43">
        <f t="shared" si="173"/>
        <v>4564.6795000000002</v>
      </c>
      <c r="BU582" s="36"/>
      <c r="BV582" s="36"/>
      <c r="BW582" s="36"/>
      <c r="BX582" s="36"/>
      <c r="BY582" s="36"/>
      <c r="BZ582" s="36"/>
      <c r="CA582" s="36"/>
      <c r="CB582" s="36"/>
      <c r="CC582" s="36"/>
      <c r="CD582" s="36"/>
      <c r="CE582" s="36"/>
      <c r="CF582" s="36"/>
      <c r="CG582" s="36"/>
      <c r="CH582" s="36"/>
      <c r="CI582" s="36"/>
      <c r="CJ582" s="36"/>
      <c r="CK582" s="36"/>
      <c r="CL582" s="36"/>
      <c r="CM582" s="36"/>
      <c r="CN582" s="36"/>
      <c r="CO582" s="36"/>
      <c r="CP582" s="36"/>
      <c r="CQ582" s="36"/>
      <c r="CR582" s="36"/>
      <c r="CS582" s="36"/>
      <c r="CT582" s="36"/>
      <c r="CU582" s="36"/>
      <c r="CV582" s="36"/>
      <c r="CW582" s="36"/>
      <c r="CX582" s="36"/>
      <c r="CY582" s="36"/>
      <c r="CZ582" s="36"/>
      <c r="DA582" s="36"/>
      <c r="DB582" s="36"/>
      <c r="DC582" s="36"/>
      <c r="DD582" s="36"/>
      <c r="DE582" s="36"/>
      <c r="DF582" s="36"/>
      <c r="DG582" s="36"/>
      <c r="DH582" s="36"/>
      <c r="DI582" s="36"/>
      <c r="DJ582" s="36"/>
      <c r="DK582" s="36"/>
      <c r="DL582" s="36"/>
      <c r="DM582" s="36"/>
      <c r="DN582" s="36"/>
      <c r="DO582" s="36"/>
      <c r="DP582" s="36"/>
      <c r="DQ582" s="36"/>
      <c r="DR582" s="36"/>
      <c r="DS582" s="36"/>
      <c r="DT582" s="36"/>
      <c r="DU582" s="36"/>
      <c r="DV582" s="36"/>
      <c r="DW582" s="36"/>
      <c r="DX582" s="36"/>
      <c r="DY582" s="36"/>
      <c r="DZ582" s="36"/>
      <c r="EA582" s="36"/>
      <c r="EB582" s="36"/>
      <c r="EC582" s="36"/>
      <c r="ED582" s="36"/>
      <c r="EE582" s="36"/>
      <c r="EF582" s="36"/>
      <c r="EG582" s="36"/>
      <c r="EH582" s="36"/>
      <c r="EI582" s="36"/>
      <c r="EJ582" s="36"/>
      <c r="EK582" s="36"/>
      <c r="EL582" s="36"/>
      <c r="EM582" s="36"/>
      <c r="EN582" s="36"/>
      <c r="EO582" s="36"/>
      <c r="EP582" s="36"/>
      <c r="EQ582" s="36"/>
      <c r="ER582" s="36"/>
      <c r="ES582" s="36"/>
      <c r="ET582" s="36"/>
      <c r="EU582" s="36"/>
      <c r="EV582" s="36"/>
      <c r="EW582" s="36"/>
      <c r="EX582" s="36"/>
      <c r="EY582" s="36"/>
      <c r="EZ582" s="36"/>
      <c r="FA582" s="36"/>
      <c r="FB582" s="36"/>
      <c r="FC582" s="36"/>
      <c r="FD582" s="36"/>
      <c r="FE582" s="36"/>
      <c r="FF582" s="36"/>
      <c r="FG582" s="36"/>
      <c r="FH582" s="36"/>
      <c r="FI582" s="36"/>
      <c r="FJ582" s="36"/>
      <c r="FK582" s="36"/>
      <c r="FL582" s="36"/>
      <c r="FM582" s="36"/>
      <c r="FN582" s="36"/>
      <c r="FO582" s="36"/>
      <c r="FP582" s="36"/>
      <c r="FQ582" s="36"/>
      <c r="FR582" s="36"/>
      <c r="FS582" s="36"/>
      <c r="FT582" s="36"/>
      <c r="FU582" s="36"/>
      <c r="FV582" s="36"/>
      <c r="FW582" s="36"/>
      <c r="FX582" s="36"/>
      <c r="FY582" s="36"/>
      <c r="FZ582" s="36"/>
      <c r="GA582" s="36"/>
      <c r="GB582" s="36"/>
      <c r="GC582" s="36"/>
      <c r="GD582" s="36"/>
      <c r="GE582" s="36"/>
      <c r="GF582" s="36"/>
      <c r="GG582" s="36"/>
      <c r="GH582" s="36"/>
      <c r="GI582" s="36"/>
      <c r="GJ582" s="36"/>
      <c r="GK582" s="36"/>
      <c r="GL582" s="36"/>
      <c r="GM582" s="36"/>
      <c r="GN582" s="36"/>
      <c r="GO582" s="36"/>
      <c r="GP582" s="36"/>
      <c r="GQ582" s="36"/>
      <c r="GR582" s="36"/>
      <c r="GS582" s="36"/>
      <c r="GT582" s="36"/>
      <c r="GU582" s="36"/>
      <c r="GV582" s="36"/>
      <c r="GW582" s="36"/>
      <c r="GX582" s="36"/>
      <c r="GY582" s="36"/>
      <c r="GZ582" s="36"/>
      <c r="HA582" s="36"/>
      <c r="HB582" s="36"/>
      <c r="HC582" s="36"/>
      <c r="HD582" s="36"/>
      <c r="HE582" s="36"/>
      <c r="HF582" s="36"/>
      <c r="HG582" s="36"/>
      <c r="HH582" s="36"/>
      <c r="HI582" s="36"/>
      <c r="HJ582" s="36"/>
      <c r="HK582" s="36"/>
      <c r="HL582" s="36"/>
      <c r="HM582" s="36"/>
      <c r="HN582" s="36"/>
      <c r="HO582" s="36"/>
      <c r="HP582" s="36"/>
      <c r="HQ582" s="36"/>
      <c r="HR582" s="36"/>
      <c r="HS582" s="36"/>
      <c r="HT582" s="36"/>
      <c r="HU582" s="36"/>
      <c r="HV582" s="36"/>
      <c r="HW582" s="36"/>
      <c r="HX582" s="36"/>
      <c r="HY582" s="36"/>
      <c r="HZ582" s="36"/>
      <c r="IA582" s="36"/>
      <c r="IB582" s="36"/>
      <c r="IC582" s="36"/>
      <c r="ID582" s="36"/>
      <c r="IE582" s="36"/>
      <c r="IF582" s="36"/>
      <c r="IG582" s="36"/>
      <c r="IH582" s="36"/>
      <c r="II582" s="36"/>
      <c r="IJ582" s="36"/>
      <c r="IK582" s="36"/>
      <c r="IL582" s="36"/>
      <c r="IM582" s="36"/>
      <c r="IN582" s="36"/>
      <c r="IO582" s="36"/>
      <c r="IP582" s="36"/>
      <c r="IQ582" s="36"/>
      <c r="IR582" s="36"/>
      <c r="IS582" s="36"/>
      <c r="IT582" s="36"/>
      <c r="IU582" s="36"/>
      <c r="IV582" s="36"/>
      <c r="IW582" s="36"/>
      <c r="IX582" s="36"/>
      <c r="IY582" s="36"/>
      <c r="IZ582" s="36"/>
      <c r="JA582" s="36"/>
      <c r="JB582" s="36"/>
      <c r="JC582" s="36"/>
      <c r="JD582" s="36"/>
      <c r="JE582" s="36"/>
      <c r="JF582" s="36"/>
      <c r="JG582" s="36"/>
      <c r="JH582" s="36"/>
      <c r="JI582" s="36"/>
      <c r="JJ582" s="36"/>
      <c r="JK582" s="36"/>
      <c r="JL582" s="36"/>
      <c r="JM582" s="36"/>
      <c r="JN582" s="36"/>
      <c r="JO582" s="36"/>
      <c r="JP582" s="36"/>
      <c r="JQ582" s="36"/>
      <c r="JR582" s="36"/>
      <c r="JS582" s="36"/>
      <c r="JT582" s="36"/>
      <c r="JU582" s="36"/>
      <c r="JV582" s="36"/>
      <c r="JW582" s="36"/>
      <c r="JX582" s="36"/>
      <c r="JY582" s="36"/>
      <c r="JZ582" s="36"/>
      <c r="KA582" s="36"/>
      <c r="KB582" s="36"/>
      <c r="KC582" s="36"/>
      <c r="KD582" s="36"/>
      <c r="KE582" s="36"/>
      <c r="KF582" s="36"/>
      <c r="KG582" s="36"/>
      <c r="KH582" s="36"/>
      <c r="KI582" s="36"/>
      <c r="KJ582" s="36"/>
      <c r="KK582" s="36"/>
      <c r="KL582" s="36"/>
      <c r="KM582" s="36"/>
      <c r="KN582" s="36"/>
      <c r="KO582" s="36"/>
      <c r="KP582" s="36"/>
      <c r="KQ582" s="36"/>
      <c r="KR582" s="36"/>
      <c r="KS582" s="36"/>
      <c r="KT582" s="36"/>
      <c r="KU582" s="36"/>
      <c r="KV582" s="36"/>
      <c r="KW582" s="36"/>
      <c r="KX582" s="36"/>
      <c r="KY582" s="36"/>
      <c r="KZ582" s="36"/>
      <c r="LA582" s="36"/>
      <c r="LB582" s="36"/>
      <c r="LC582" s="36"/>
      <c r="LD582" s="36"/>
      <c r="LE582" s="36"/>
      <c r="LF582" s="36"/>
      <c r="LG582" s="36"/>
      <c r="LH582" s="36"/>
      <c r="LI582" s="36"/>
      <c r="LJ582" s="36"/>
      <c r="LK582" s="36"/>
      <c r="LL582" s="36"/>
      <c r="LM582" s="36"/>
      <c r="LN582" s="36"/>
      <c r="LO582" s="36"/>
      <c r="LP582" s="36"/>
      <c r="LQ582" s="36"/>
      <c r="LR582" s="36"/>
      <c r="LS582" s="36"/>
      <c r="LT582" s="36"/>
      <c r="LU582" s="36"/>
      <c r="LV582" s="36"/>
      <c r="LW582" s="36"/>
      <c r="LX582" s="36"/>
      <c r="LY582" s="36"/>
      <c r="LZ582" s="36"/>
      <c r="MA582" s="36"/>
      <c r="MB582" s="36"/>
      <c r="MC582" s="36"/>
      <c r="MD582" s="36"/>
      <c r="ME582" s="36"/>
      <c r="MF582" s="36"/>
      <c r="MG582" s="36"/>
      <c r="MH582" s="36"/>
      <c r="MI582" s="36"/>
      <c r="MJ582" s="36"/>
      <c r="MK582" s="36"/>
      <c r="ML582" s="36"/>
      <c r="MM582" s="36"/>
      <c r="MN582" s="36"/>
      <c r="MO582" s="36"/>
      <c r="MP582" s="36"/>
      <c r="MQ582" s="36"/>
      <c r="MR582" s="36"/>
      <c r="MS582" s="36"/>
      <c r="MT582" s="36"/>
      <c r="MU582" s="36"/>
      <c r="MV582" s="36"/>
      <c r="MW582" s="36"/>
      <c r="MX582" s="36"/>
      <c r="MY582" s="36"/>
      <c r="MZ582" s="36"/>
      <c r="NA582" s="36"/>
      <c r="NB582" s="36"/>
      <c r="NC582" s="36"/>
      <c r="ND582" s="36"/>
      <c r="NE582" s="36"/>
      <c r="NF582" s="36"/>
      <c r="NG582" s="36"/>
      <c r="NH582" s="36"/>
      <c r="NI582" s="36"/>
      <c r="NJ582" s="36"/>
      <c r="NK582" s="36"/>
      <c r="NL582" s="36"/>
      <c r="NM582" s="36"/>
      <c r="NN582" s="36"/>
      <c r="NO582" s="36"/>
      <c r="NP582" s="36"/>
      <c r="NQ582" s="36"/>
      <c r="NR582" s="36"/>
      <c r="NS582" s="36"/>
      <c r="NT582" s="36"/>
      <c r="NU582" s="36"/>
      <c r="NV582" s="36"/>
      <c r="NW582" s="36"/>
      <c r="NX582" s="36"/>
      <c r="NY582" s="36"/>
      <c r="NZ582" s="36"/>
      <c r="OA582" s="36"/>
      <c r="OB582" s="36"/>
      <c r="OC582" s="36"/>
      <c r="OD582" s="36"/>
      <c r="OE582" s="36"/>
      <c r="OF582" s="36"/>
      <c r="OG582" s="36"/>
      <c r="OH582" s="36"/>
      <c r="OI582" s="36"/>
      <c r="OJ582" s="36"/>
      <c r="OK582" s="36"/>
      <c r="OL582" s="36"/>
      <c r="OM582" s="36"/>
      <c r="ON582" s="36"/>
      <c r="OO582" s="36"/>
      <c r="OP582" s="36"/>
      <c r="OQ582" s="36"/>
      <c r="OR582" s="36"/>
      <c r="OS582" s="36"/>
      <c r="OT582" s="36"/>
      <c r="OU582" s="36"/>
      <c r="OV582" s="36"/>
      <c r="OW582" s="36"/>
      <c r="OX582" s="36"/>
    </row>
    <row r="583" spans="2:414" s="27" customFormat="1" ht="15.6">
      <c r="B583" s="51" t="s">
        <v>724</v>
      </c>
      <c r="C583" s="27" t="s">
        <v>1090</v>
      </c>
      <c r="D583" s="29" t="s">
        <v>201</v>
      </c>
      <c r="G583" s="49">
        <v>80</v>
      </c>
      <c r="H583" s="89">
        <v>26.109000000000002</v>
      </c>
      <c r="I583" s="38">
        <f t="shared" si="165"/>
        <v>2088.7200000000003</v>
      </c>
      <c r="K583" s="49">
        <v>80</v>
      </c>
      <c r="L583" s="90">
        <v>26.849599999999999</v>
      </c>
      <c r="M583" s="38">
        <f t="shared" si="166"/>
        <v>2147.9679999999998</v>
      </c>
      <c r="O583" s="49">
        <v>505</v>
      </c>
      <c r="P583" s="38">
        <v>26.728300000000001</v>
      </c>
      <c r="Q583" s="38">
        <f t="shared" si="167"/>
        <v>13497.791500000001</v>
      </c>
      <c r="R583" s="43">
        <f t="shared" si="179"/>
        <v>665</v>
      </c>
      <c r="S583" s="38">
        <f t="shared" si="168"/>
        <v>17734.479500000001</v>
      </c>
      <c r="T583" s="27">
        <v>85</v>
      </c>
      <c r="U583" s="52">
        <v>26.68</v>
      </c>
      <c r="V583" s="38">
        <f t="shared" si="176"/>
        <v>2267.8000000000002</v>
      </c>
      <c r="W583" s="52">
        <v>450</v>
      </c>
      <c r="X583" s="52">
        <v>26.34</v>
      </c>
      <c r="Y583" s="35">
        <f t="shared" si="174"/>
        <v>11853</v>
      </c>
      <c r="Z583" s="78"/>
      <c r="AF583" s="42">
        <f t="shared" si="177"/>
        <v>0</v>
      </c>
      <c r="AU583" s="100"/>
      <c r="AV583" s="35"/>
      <c r="AW583" s="78"/>
      <c r="AZ583" s="42">
        <f t="shared" si="178"/>
        <v>0</v>
      </c>
      <c r="BD583" s="38">
        <f t="shared" si="169"/>
        <v>0</v>
      </c>
      <c r="BH583" s="38">
        <f t="shared" si="170"/>
        <v>0</v>
      </c>
      <c r="BL583" s="38">
        <f t="shared" si="171"/>
        <v>0</v>
      </c>
      <c r="BR583" s="42">
        <f t="shared" si="172"/>
        <v>14120.8</v>
      </c>
      <c r="BS583" s="43">
        <f t="shared" si="173"/>
        <v>3613.679500000002</v>
      </c>
      <c r="BU583" s="36"/>
      <c r="BV583" s="36"/>
      <c r="BW583" s="36"/>
      <c r="BX583" s="36"/>
      <c r="BY583" s="36"/>
      <c r="BZ583" s="36"/>
      <c r="CA583" s="36"/>
      <c r="CB583" s="36"/>
      <c r="CC583" s="36"/>
      <c r="CD583" s="36"/>
      <c r="CE583" s="36"/>
      <c r="CF583" s="36"/>
      <c r="CG583" s="36"/>
      <c r="CH583" s="36"/>
      <c r="CI583" s="36"/>
      <c r="CJ583" s="36"/>
      <c r="CK583" s="36"/>
      <c r="CL583" s="36"/>
      <c r="CM583" s="36"/>
      <c r="CN583" s="36"/>
      <c r="CO583" s="36"/>
      <c r="CP583" s="36"/>
      <c r="CQ583" s="36"/>
      <c r="CR583" s="36"/>
      <c r="CS583" s="36"/>
      <c r="CT583" s="36"/>
      <c r="CU583" s="36"/>
      <c r="CV583" s="36"/>
      <c r="CW583" s="36"/>
      <c r="CX583" s="36"/>
      <c r="CY583" s="36"/>
      <c r="CZ583" s="36"/>
      <c r="DA583" s="36"/>
      <c r="DB583" s="36"/>
      <c r="DC583" s="36"/>
      <c r="DD583" s="36"/>
      <c r="DE583" s="36"/>
      <c r="DF583" s="36"/>
      <c r="DG583" s="36"/>
      <c r="DH583" s="36"/>
      <c r="DI583" s="36"/>
      <c r="DJ583" s="36"/>
      <c r="DK583" s="36"/>
      <c r="DL583" s="36"/>
      <c r="DM583" s="36"/>
      <c r="DN583" s="36"/>
      <c r="DO583" s="36"/>
      <c r="DP583" s="36"/>
      <c r="DQ583" s="36"/>
      <c r="DR583" s="36"/>
      <c r="DS583" s="36"/>
      <c r="DT583" s="36"/>
      <c r="DU583" s="36"/>
      <c r="DV583" s="36"/>
      <c r="DW583" s="36"/>
      <c r="DX583" s="36"/>
      <c r="DY583" s="36"/>
      <c r="DZ583" s="36"/>
      <c r="EA583" s="36"/>
      <c r="EB583" s="36"/>
      <c r="EC583" s="36"/>
      <c r="ED583" s="36"/>
      <c r="EE583" s="36"/>
      <c r="EF583" s="36"/>
      <c r="EG583" s="36"/>
      <c r="EH583" s="36"/>
      <c r="EI583" s="36"/>
      <c r="EJ583" s="36"/>
      <c r="EK583" s="36"/>
      <c r="EL583" s="36"/>
      <c r="EM583" s="36"/>
      <c r="EN583" s="36"/>
      <c r="EO583" s="36"/>
      <c r="EP583" s="36"/>
      <c r="EQ583" s="36"/>
      <c r="ER583" s="36"/>
      <c r="ES583" s="36"/>
      <c r="ET583" s="36"/>
      <c r="EU583" s="36"/>
      <c r="EV583" s="36"/>
      <c r="EW583" s="36"/>
      <c r="EX583" s="36"/>
      <c r="EY583" s="36"/>
      <c r="EZ583" s="36"/>
      <c r="FA583" s="36"/>
      <c r="FB583" s="36"/>
      <c r="FC583" s="36"/>
      <c r="FD583" s="36"/>
      <c r="FE583" s="36"/>
      <c r="FF583" s="36"/>
      <c r="FG583" s="36"/>
      <c r="FH583" s="36"/>
      <c r="FI583" s="36"/>
      <c r="FJ583" s="36"/>
      <c r="FK583" s="36"/>
      <c r="FL583" s="36"/>
      <c r="FM583" s="36"/>
      <c r="FN583" s="36"/>
      <c r="FO583" s="36"/>
      <c r="FP583" s="36"/>
      <c r="FQ583" s="36"/>
      <c r="FR583" s="36"/>
      <c r="FS583" s="36"/>
      <c r="FT583" s="36"/>
      <c r="FU583" s="36"/>
      <c r="FV583" s="36"/>
      <c r="FW583" s="36"/>
      <c r="FX583" s="36"/>
      <c r="FY583" s="36"/>
      <c r="FZ583" s="36"/>
      <c r="GA583" s="36"/>
      <c r="GB583" s="36"/>
      <c r="GC583" s="36"/>
      <c r="GD583" s="36"/>
      <c r="GE583" s="36"/>
      <c r="GF583" s="36"/>
      <c r="GG583" s="36"/>
      <c r="GH583" s="36"/>
      <c r="GI583" s="36"/>
      <c r="GJ583" s="36"/>
      <c r="GK583" s="36"/>
      <c r="GL583" s="36"/>
      <c r="GM583" s="36"/>
      <c r="GN583" s="36"/>
      <c r="GO583" s="36"/>
      <c r="GP583" s="36"/>
      <c r="GQ583" s="36"/>
      <c r="GR583" s="36"/>
      <c r="GS583" s="36"/>
      <c r="GT583" s="36"/>
      <c r="GU583" s="36"/>
      <c r="GV583" s="36"/>
      <c r="GW583" s="36"/>
      <c r="GX583" s="36"/>
      <c r="GY583" s="36"/>
      <c r="GZ583" s="36"/>
      <c r="HA583" s="36"/>
      <c r="HB583" s="36"/>
      <c r="HC583" s="36"/>
      <c r="HD583" s="36"/>
      <c r="HE583" s="36"/>
      <c r="HF583" s="36"/>
      <c r="HG583" s="36"/>
      <c r="HH583" s="36"/>
      <c r="HI583" s="36"/>
      <c r="HJ583" s="36"/>
      <c r="HK583" s="36"/>
      <c r="HL583" s="36"/>
      <c r="HM583" s="36"/>
      <c r="HN583" s="36"/>
      <c r="HO583" s="36"/>
      <c r="HP583" s="36"/>
      <c r="HQ583" s="36"/>
      <c r="HR583" s="36"/>
      <c r="HS583" s="36"/>
      <c r="HT583" s="36"/>
      <c r="HU583" s="36"/>
      <c r="HV583" s="36"/>
      <c r="HW583" s="36"/>
      <c r="HX583" s="36"/>
      <c r="HY583" s="36"/>
      <c r="HZ583" s="36"/>
      <c r="IA583" s="36"/>
      <c r="IB583" s="36"/>
      <c r="IC583" s="36"/>
      <c r="ID583" s="36"/>
      <c r="IE583" s="36"/>
      <c r="IF583" s="36"/>
      <c r="IG583" s="36"/>
      <c r="IH583" s="36"/>
      <c r="II583" s="36"/>
      <c r="IJ583" s="36"/>
      <c r="IK583" s="36"/>
      <c r="IL583" s="36"/>
      <c r="IM583" s="36"/>
      <c r="IN583" s="36"/>
      <c r="IO583" s="36"/>
      <c r="IP583" s="36"/>
      <c r="IQ583" s="36"/>
      <c r="IR583" s="36"/>
      <c r="IS583" s="36"/>
      <c r="IT583" s="36"/>
      <c r="IU583" s="36"/>
      <c r="IV583" s="36"/>
      <c r="IW583" s="36"/>
      <c r="IX583" s="36"/>
      <c r="IY583" s="36"/>
      <c r="IZ583" s="36"/>
      <c r="JA583" s="36"/>
      <c r="JB583" s="36"/>
      <c r="JC583" s="36"/>
      <c r="JD583" s="36"/>
      <c r="JE583" s="36"/>
      <c r="JF583" s="36"/>
      <c r="JG583" s="36"/>
      <c r="JH583" s="36"/>
      <c r="JI583" s="36"/>
      <c r="JJ583" s="36"/>
      <c r="JK583" s="36"/>
      <c r="JL583" s="36"/>
      <c r="JM583" s="36"/>
      <c r="JN583" s="36"/>
      <c r="JO583" s="36"/>
      <c r="JP583" s="36"/>
      <c r="JQ583" s="36"/>
      <c r="JR583" s="36"/>
      <c r="JS583" s="36"/>
      <c r="JT583" s="36"/>
      <c r="JU583" s="36"/>
      <c r="JV583" s="36"/>
      <c r="JW583" s="36"/>
      <c r="JX583" s="36"/>
      <c r="JY583" s="36"/>
      <c r="JZ583" s="36"/>
      <c r="KA583" s="36"/>
      <c r="KB583" s="36"/>
      <c r="KC583" s="36"/>
      <c r="KD583" s="36"/>
      <c r="KE583" s="36"/>
      <c r="KF583" s="36"/>
      <c r="KG583" s="36"/>
      <c r="KH583" s="36"/>
      <c r="KI583" s="36"/>
      <c r="KJ583" s="36"/>
      <c r="KK583" s="36"/>
      <c r="KL583" s="36"/>
      <c r="KM583" s="36"/>
      <c r="KN583" s="36"/>
      <c r="KO583" s="36"/>
      <c r="KP583" s="36"/>
      <c r="KQ583" s="36"/>
      <c r="KR583" s="36"/>
      <c r="KS583" s="36"/>
      <c r="KT583" s="36"/>
      <c r="KU583" s="36"/>
      <c r="KV583" s="36"/>
      <c r="KW583" s="36"/>
      <c r="KX583" s="36"/>
      <c r="KY583" s="36"/>
      <c r="KZ583" s="36"/>
      <c r="LA583" s="36"/>
      <c r="LB583" s="36"/>
      <c r="LC583" s="36"/>
      <c r="LD583" s="36"/>
      <c r="LE583" s="36"/>
      <c r="LF583" s="36"/>
      <c r="LG583" s="36"/>
      <c r="LH583" s="36"/>
      <c r="LI583" s="36"/>
      <c r="LJ583" s="36"/>
      <c r="LK583" s="36"/>
      <c r="LL583" s="36"/>
      <c r="LM583" s="36"/>
      <c r="LN583" s="36"/>
      <c r="LO583" s="36"/>
      <c r="LP583" s="36"/>
      <c r="LQ583" s="36"/>
      <c r="LR583" s="36"/>
      <c r="LS583" s="36"/>
      <c r="LT583" s="36"/>
      <c r="LU583" s="36"/>
      <c r="LV583" s="36"/>
      <c r="LW583" s="36"/>
      <c r="LX583" s="36"/>
      <c r="LY583" s="36"/>
      <c r="LZ583" s="36"/>
      <c r="MA583" s="36"/>
      <c r="MB583" s="36"/>
      <c r="MC583" s="36"/>
      <c r="MD583" s="36"/>
      <c r="ME583" s="36"/>
      <c r="MF583" s="36"/>
      <c r="MG583" s="36"/>
      <c r="MH583" s="36"/>
      <c r="MI583" s="36"/>
      <c r="MJ583" s="36"/>
      <c r="MK583" s="36"/>
      <c r="ML583" s="36"/>
      <c r="MM583" s="36"/>
      <c r="MN583" s="36"/>
      <c r="MO583" s="36"/>
      <c r="MP583" s="36"/>
      <c r="MQ583" s="36"/>
      <c r="MR583" s="36"/>
      <c r="MS583" s="36"/>
      <c r="MT583" s="36"/>
      <c r="MU583" s="36"/>
      <c r="MV583" s="36"/>
      <c r="MW583" s="36"/>
      <c r="MX583" s="36"/>
      <c r="MY583" s="36"/>
      <c r="MZ583" s="36"/>
      <c r="NA583" s="36"/>
      <c r="NB583" s="36"/>
      <c r="NC583" s="36"/>
      <c r="ND583" s="36"/>
      <c r="NE583" s="36"/>
      <c r="NF583" s="36"/>
      <c r="NG583" s="36"/>
      <c r="NH583" s="36"/>
      <c r="NI583" s="36"/>
      <c r="NJ583" s="36"/>
      <c r="NK583" s="36"/>
      <c r="NL583" s="36"/>
      <c r="NM583" s="36"/>
      <c r="NN583" s="36"/>
      <c r="NO583" s="36"/>
      <c r="NP583" s="36"/>
      <c r="NQ583" s="36"/>
      <c r="NR583" s="36"/>
      <c r="NS583" s="36"/>
      <c r="NT583" s="36"/>
      <c r="NU583" s="36"/>
      <c r="NV583" s="36"/>
      <c r="NW583" s="36"/>
      <c r="NX583" s="36"/>
      <c r="NY583" s="36"/>
      <c r="NZ583" s="36"/>
      <c r="OA583" s="36"/>
      <c r="OB583" s="36"/>
      <c r="OC583" s="36"/>
      <c r="OD583" s="36"/>
      <c r="OE583" s="36"/>
      <c r="OF583" s="36"/>
      <c r="OG583" s="36"/>
      <c r="OH583" s="36"/>
      <c r="OI583" s="36"/>
      <c r="OJ583" s="36"/>
      <c r="OK583" s="36"/>
      <c r="OL583" s="36"/>
      <c r="OM583" s="36"/>
      <c r="ON583" s="36"/>
      <c r="OO583" s="36"/>
      <c r="OP583" s="36"/>
      <c r="OQ583" s="36"/>
      <c r="OR583" s="36"/>
      <c r="OS583" s="36"/>
      <c r="OT583" s="36"/>
      <c r="OU583" s="36"/>
      <c r="OV583" s="36"/>
      <c r="OW583" s="36"/>
      <c r="OX583" s="36"/>
    </row>
    <row r="584" spans="2:414" s="27" customFormat="1" ht="15.6">
      <c r="B584" s="51" t="s">
        <v>772</v>
      </c>
      <c r="C584" s="27" t="s">
        <v>757</v>
      </c>
      <c r="D584" s="29" t="s">
        <v>201</v>
      </c>
      <c r="G584" s="49">
        <v>80</v>
      </c>
      <c r="H584" s="89">
        <v>26.109000000000002</v>
      </c>
      <c r="I584" s="38">
        <f t="shared" si="165"/>
        <v>2088.7200000000003</v>
      </c>
      <c r="K584" s="49">
        <v>80</v>
      </c>
      <c r="L584" s="90">
        <v>26.849599999999999</v>
      </c>
      <c r="M584" s="38">
        <f t="shared" si="166"/>
        <v>2147.9679999999998</v>
      </c>
      <c r="O584" s="49">
        <v>505</v>
      </c>
      <c r="P584" s="38">
        <v>26.728300000000001</v>
      </c>
      <c r="Q584" s="38">
        <f t="shared" si="167"/>
        <v>13497.791500000001</v>
      </c>
      <c r="R584" s="43">
        <f t="shared" si="179"/>
        <v>665</v>
      </c>
      <c r="S584" s="38">
        <f t="shared" si="168"/>
        <v>17734.479500000001</v>
      </c>
      <c r="T584" s="27">
        <v>505</v>
      </c>
      <c r="U584" s="52">
        <v>26.5715</v>
      </c>
      <c r="V584" s="38">
        <f t="shared" si="176"/>
        <v>13418.6075</v>
      </c>
      <c r="W584" s="52">
        <v>600</v>
      </c>
      <c r="X584" s="52">
        <v>26.735700000000001</v>
      </c>
      <c r="Y584" s="35">
        <f t="shared" si="174"/>
        <v>16041.42</v>
      </c>
      <c r="Z584" s="78"/>
      <c r="AF584" s="42">
        <f t="shared" si="177"/>
        <v>0</v>
      </c>
      <c r="AU584" s="100"/>
      <c r="AV584" s="35"/>
      <c r="AW584" s="78"/>
      <c r="AZ584" s="42">
        <f t="shared" si="178"/>
        <v>0</v>
      </c>
      <c r="BD584" s="38">
        <f t="shared" si="169"/>
        <v>0</v>
      </c>
      <c r="BH584" s="38">
        <f t="shared" si="170"/>
        <v>0</v>
      </c>
      <c r="BL584" s="38">
        <f t="shared" si="171"/>
        <v>0</v>
      </c>
      <c r="BR584" s="42">
        <f t="shared" si="172"/>
        <v>29460.0275</v>
      </c>
      <c r="BS584" s="43"/>
      <c r="BT584" s="27">
        <v>11725.55</v>
      </c>
      <c r="BU584" s="36"/>
      <c r="BV584" s="36"/>
      <c r="BW584" s="36"/>
      <c r="BX584" s="36"/>
      <c r="BY584" s="36"/>
      <c r="BZ584" s="36"/>
      <c r="CA584" s="36"/>
      <c r="CB584" s="36"/>
      <c r="CC584" s="36"/>
      <c r="CD584" s="36"/>
      <c r="CE584" s="36"/>
      <c r="CF584" s="36"/>
      <c r="CG584" s="36"/>
      <c r="CH584" s="36"/>
      <c r="CI584" s="36"/>
      <c r="CJ584" s="36"/>
      <c r="CK584" s="36"/>
      <c r="CL584" s="36"/>
      <c r="CM584" s="36"/>
      <c r="CN584" s="36"/>
      <c r="CO584" s="36"/>
      <c r="CP584" s="36"/>
      <c r="CQ584" s="36"/>
      <c r="CR584" s="36"/>
      <c r="CS584" s="36"/>
      <c r="CT584" s="36"/>
      <c r="CU584" s="36"/>
      <c r="CV584" s="36"/>
      <c r="CW584" s="36"/>
      <c r="CX584" s="36"/>
      <c r="CY584" s="36"/>
      <c r="CZ584" s="36"/>
      <c r="DA584" s="36"/>
      <c r="DB584" s="36"/>
      <c r="DC584" s="36"/>
      <c r="DD584" s="36"/>
      <c r="DE584" s="36"/>
      <c r="DF584" s="36"/>
      <c r="DG584" s="36"/>
      <c r="DH584" s="36"/>
      <c r="DI584" s="36"/>
      <c r="DJ584" s="36"/>
      <c r="DK584" s="36"/>
      <c r="DL584" s="36"/>
      <c r="DM584" s="36"/>
      <c r="DN584" s="36"/>
      <c r="DO584" s="36"/>
      <c r="DP584" s="36"/>
      <c r="DQ584" s="36"/>
      <c r="DR584" s="36"/>
      <c r="DS584" s="36"/>
      <c r="DT584" s="36"/>
      <c r="DU584" s="36"/>
      <c r="DV584" s="36"/>
      <c r="DW584" s="36"/>
      <c r="DX584" s="36"/>
      <c r="DY584" s="36"/>
      <c r="DZ584" s="36"/>
      <c r="EA584" s="36"/>
      <c r="EB584" s="36"/>
      <c r="EC584" s="36"/>
      <c r="ED584" s="36"/>
      <c r="EE584" s="36"/>
      <c r="EF584" s="36"/>
      <c r="EG584" s="36"/>
      <c r="EH584" s="36"/>
      <c r="EI584" s="36"/>
      <c r="EJ584" s="36"/>
      <c r="EK584" s="36"/>
      <c r="EL584" s="36"/>
      <c r="EM584" s="36"/>
      <c r="EN584" s="36"/>
      <c r="EO584" s="36"/>
      <c r="EP584" s="36"/>
      <c r="EQ584" s="36"/>
      <c r="ER584" s="36"/>
      <c r="ES584" s="36"/>
      <c r="ET584" s="36"/>
      <c r="EU584" s="36"/>
      <c r="EV584" s="36"/>
      <c r="EW584" s="36"/>
      <c r="EX584" s="36"/>
      <c r="EY584" s="36"/>
      <c r="EZ584" s="36"/>
      <c r="FA584" s="36"/>
      <c r="FB584" s="36"/>
      <c r="FC584" s="36"/>
      <c r="FD584" s="36"/>
      <c r="FE584" s="36"/>
      <c r="FF584" s="36"/>
      <c r="FG584" s="36"/>
      <c r="FH584" s="36"/>
      <c r="FI584" s="36"/>
      <c r="FJ584" s="36"/>
      <c r="FK584" s="36"/>
      <c r="FL584" s="36"/>
      <c r="FM584" s="36"/>
      <c r="FN584" s="36"/>
      <c r="FO584" s="36"/>
      <c r="FP584" s="36"/>
      <c r="FQ584" s="36"/>
      <c r="FR584" s="36"/>
      <c r="FS584" s="36"/>
      <c r="FT584" s="36"/>
      <c r="FU584" s="36"/>
      <c r="FV584" s="36"/>
      <c r="FW584" s="36"/>
      <c r="FX584" s="36"/>
      <c r="FY584" s="36"/>
      <c r="FZ584" s="36"/>
      <c r="GA584" s="36"/>
      <c r="GB584" s="36"/>
      <c r="GC584" s="36"/>
      <c r="GD584" s="36"/>
      <c r="GE584" s="36"/>
      <c r="GF584" s="36"/>
      <c r="GG584" s="36"/>
      <c r="GH584" s="36"/>
      <c r="GI584" s="36"/>
      <c r="GJ584" s="36"/>
      <c r="GK584" s="36"/>
      <c r="GL584" s="36"/>
      <c r="GM584" s="36"/>
      <c r="GN584" s="36"/>
      <c r="GO584" s="36"/>
      <c r="GP584" s="36"/>
      <c r="GQ584" s="36"/>
      <c r="GR584" s="36"/>
      <c r="GS584" s="36"/>
      <c r="GT584" s="36"/>
      <c r="GU584" s="36"/>
      <c r="GV584" s="36"/>
      <c r="GW584" s="36"/>
      <c r="GX584" s="36"/>
      <c r="GY584" s="36"/>
      <c r="GZ584" s="36"/>
      <c r="HA584" s="36"/>
      <c r="HB584" s="36"/>
      <c r="HC584" s="36"/>
      <c r="HD584" s="36"/>
      <c r="HE584" s="36"/>
      <c r="HF584" s="36"/>
      <c r="HG584" s="36"/>
      <c r="HH584" s="36"/>
      <c r="HI584" s="36"/>
      <c r="HJ584" s="36"/>
      <c r="HK584" s="36"/>
      <c r="HL584" s="36"/>
      <c r="HM584" s="36"/>
      <c r="HN584" s="36"/>
      <c r="HO584" s="36"/>
      <c r="HP584" s="36"/>
      <c r="HQ584" s="36"/>
      <c r="HR584" s="36"/>
      <c r="HS584" s="36"/>
      <c r="HT584" s="36"/>
      <c r="HU584" s="36"/>
      <c r="HV584" s="36"/>
      <c r="HW584" s="36"/>
      <c r="HX584" s="36"/>
      <c r="HY584" s="36"/>
      <c r="HZ584" s="36"/>
      <c r="IA584" s="36"/>
      <c r="IB584" s="36"/>
      <c r="IC584" s="36"/>
      <c r="ID584" s="36"/>
      <c r="IE584" s="36"/>
      <c r="IF584" s="36"/>
      <c r="IG584" s="36"/>
      <c r="IH584" s="36"/>
      <c r="II584" s="36"/>
      <c r="IJ584" s="36"/>
      <c r="IK584" s="36"/>
      <c r="IL584" s="36"/>
      <c r="IM584" s="36"/>
      <c r="IN584" s="36"/>
      <c r="IO584" s="36"/>
      <c r="IP584" s="36"/>
      <c r="IQ584" s="36"/>
      <c r="IR584" s="36"/>
      <c r="IS584" s="36"/>
      <c r="IT584" s="36"/>
      <c r="IU584" s="36"/>
      <c r="IV584" s="36"/>
      <c r="IW584" s="36"/>
      <c r="IX584" s="36"/>
      <c r="IY584" s="36"/>
      <c r="IZ584" s="36"/>
      <c r="JA584" s="36"/>
      <c r="JB584" s="36"/>
      <c r="JC584" s="36"/>
      <c r="JD584" s="36"/>
      <c r="JE584" s="36"/>
      <c r="JF584" s="36"/>
      <c r="JG584" s="36"/>
      <c r="JH584" s="36"/>
      <c r="JI584" s="36"/>
      <c r="JJ584" s="36"/>
      <c r="JK584" s="36"/>
      <c r="JL584" s="36"/>
      <c r="JM584" s="36"/>
      <c r="JN584" s="36"/>
      <c r="JO584" s="36"/>
      <c r="JP584" s="36"/>
      <c r="JQ584" s="36"/>
      <c r="JR584" s="36"/>
      <c r="JS584" s="36"/>
      <c r="JT584" s="36"/>
      <c r="JU584" s="36"/>
      <c r="JV584" s="36"/>
      <c r="JW584" s="36"/>
      <c r="JX584" s="36"/>
      <c r="JY584" s="36"/>
      <c r="JZ584" s="36"/>
      <c r="KA584" s="36"/>
      <c r="KB584" s="36"/>
      <c r="KC584" s="36"/>
      <c r="KD584" s="36"/>
      <c r="KE584" s="36"/>
      <c r="KF584" s="36"/>
      <c r="KG584" s="36"/>
      <c r="KH584" s="36"/>
      <c r="KI584" s="36"/>
      <c r="KJ584" s="36"/>
      <c r="KK584" s="36"/>
      <c r="KL584" s="36"/>
      <c r="KM584" s="36"/>
      <c r="KN584" s="36"/>
      <c r="KO584" s="36"/>
      <c r="KP584" s="36"/>
      <c r="KQ584" s="36"/>
      <c r="KR584" s="36"/>
      <c r="KS584" s="36"/>
      <c r="KT584" s="36"/>
      <c r="KU584" s="36"/>
      <c r="KV584" s="36"/>
      <c r="KW584" s="36"/>
      <c r="KX584" s="36"/>
      <c r="KY584" s="36"/>
      <c r="KZ584" s="36"/>
      <c r="LA584" s="36"/>
      <c r="LB584" s="36"/>
      <c r="LC584" s="36"/>
      <c r="LD584" s="36"/>
      <c r="LE584" s="36"/>
      <c r="LF584" s="36"/>
      <c r="LG584" s="36"/>
      <c r="LH584" s="36"/>
      <c r="LI584" s="36"/>
      <c r="LJ584" s="36"/>
      <c r="LK584" s="36"/>
      <c r="LL584" s="36"/>
      <c r="LM584" s="36"/>
      <c r="LN584" s="36"/>
      <c r="LO584" s="36"/>
      <c r="LP584" s="36"/>
      <c r="LQ584" s="36"/>
      <c r="LR584" s="36"/>
      <c r="LS584" s="36"/>
      <c r="LT584" s="36"/>
      <c r="LU584" s="36"/>
      <c r="LV584" s="36"/>
      <c r="LW584" s="36"/>
      <c r="LX584" s="36"/>
      <c r="LY584" s="36"/>
      <c r="LZ584" s="36"/>
      <c r="MA584" s="36"/>
      <c r="MB584" s="36"/>
      <c r="MC584" s="36"/>
      <c r="MD584" s="36"/>
      <c r="ME584" s="36"/>
      <c r="MF584" s="36"/>
      <c r="MG584" s="36"/>
      <c r="MH584" s="36"/>
      <c r="MI584" s="36"/>
      <c r="MJ584" s="36"/>
      <c r="MK584" s="36"/>
      <c r="ML584" s="36"/>
      <c r="MM584" s="36"/>
      <c r="MN584" s="36"/>
      <c r="MO584" s="36"/>
      <c r="MP584" s="36"/>
      <c r="MQ584" s="36"/>
      <c r="MR584" s="36"/>
      <c r="MS584" s="36"/>
      <c r="MT584" s="36"/>
      <c r="MU584" s="36"/>
      <c r="MV584" s="36"/>
      <c r="MW584" s="36"/>
      <c r="MX584" s="36"/>
      <c r="MY584" s="36"/>
      <c r="MZ584" s="36"/>
      <c r="NA584" s="36"/>
      <c r="NB584" s="36"/>
      <c r="NC584" s="36"/>
      <c r="ND584" s="36"/>
      <c r="NE584" s="36"/>
      <c r="NF584" s="36"/>
      <c r="NG584" s="36"/>
      <c r="NH584" s="36"/>
      <c r="NI584" s="36"/>
      <c r="NJ584" s="36"/>
      <c r="NK584" s="36"/>
      <c r="NL584" s="36"/>
      <c r="NM584" s="36"/>
      <c r="NN584" s="36"/>
      <c r="NO584" s="36"/>
      <c r="NP584" s="36"/>
      <c r="NQ584" s="36"/>
      <c r="NR584" s="36"/>
      <c r="NS584" s="36"/>
      <c r="NT584" s="36"/>
      <c r="NU584" s="36"/>
      <c r="NV584" s="36"/>
      <c r="NW584" s="36"/>
      <c r="NX584" s="36"/>
      <c r="NY584" s="36"/>
      <c r="NZ584" s="36"/>
      <c r="OA584" s="36"/>
      <c r="OB584" s="36"/>
      <c r="OC584" s="36"/>
      <c r="OD584" s="36"/>
      <c r="OE584" s="36"/>
      <c r="OF584" s="36"/>
      <c r="OG584" s="36"/>
      <c r="OH584" s="36"/>
      <c r="OI584" s="36"/>
      <c r="OJ584" s="36"/>
      <c r="OK584" s="36"/>
      <c r="OL584" s="36"/>
      <c r="OM584" s="36"/>
      <c r="ON584" s="36"/>
      <c r="OO584" s="36"/>
      <c r="OP584" s="36"/>
      <c r="OQ584" s="36"/>
      <c r="OR584" s="36"/>
      <c r="OS584" s="36"/>
      <c r="OT584" s="36"/>
      <c r="OU584" s="36"/>
      <c r="OV584" s="36"/>
      <c r="OW584" s="36"/>
      <c r="OX584" s="36"/>
    </row>
    <row r="585" spans="2:414" s="27" customFormat="1" ht="15.6">
      <c r="B585" s="51" t="s">
        <v>1091</v>
      </c>
      <c r="C585" s="27" t="s">
        <v>1005</v>
      </c>
      <c r="D585" s="29" t="s">
        <v>201</v>
      </c>
      <c r="G585" s="49">
        <v>80</v>
      </c>
      <c r="H585" s="89">
        <v>26.109000000000002</v>
      </c>
      <c r="I585" s="38">
        <f t="shared" ref="I585:I636" si="180">G585*H585</f>
        <v>2088.7200000000003</v>
      </c>
      <c r="K585" s="49">
        <v>80</v>
      </c>
      <c r="L585" s="90">
        <v>26.849599999999999</v>
      </c>
      <c r="M585" s="38">
        <f t="shared" ref="M585:M636" si="181">K585*L585</f>
        <v>2147.9679999999998</v>
      </c>
      <c r="O585" s="49">
        <v>505</v>
      </c>
      <c r="P585" s="38">
        <v>26.728300000000001</v>
      </c>
      <c r="Q585" s="38">
        <f t="shared" ref="Q585:Q639" si="182">O585*P585</f>
        <v>13497.791500000001</v>
      </c>
      <c r="R585" s="43">
        <f t="shared" si="179"/>
        <v>665</v>
      </c>
      <c r="S585" s="38">
        <f t="shared" ref="S585:S639" si="183">I585+M585+Q585</f>
        <v>17734.479500000001</v>
      </c>
      <c r="T585" s="27">
        <v>240</v>
      </c>
      <c r="U585" s="52">
        <v>26.68</v>
      </c>
      <c r="V585" s="38">
        <f t="shared" si="176"/>
        <v>6403.2</v>
      </c>
      <c r="W585" s="52">
        <v>505</v>
      </c>
      <c r="X585" s="52">
        <v>26.677399999999999</v>
      </c>
      <c r="Y585" s="35">
        <f t="shared" si="174"/>
        <v>13472.087</v>
      </c>
      <c r="Z585" s="78"/>
      <c r="AF585" s="42">
        <f t="shared" si="177"/>
        <v>0</v>
      </c>
      <c r="AU585" s="100"/>
      <c r="AV585" s="35"/>
      <c r="AW585" s="78"/>
      <c r="AZ585" s="42">
        <f t="shared" si="178"/>
        <v>0</v>
      </c>
      <c r="BD585" s="38">
        <f t="shared" ref="BD585:BD636" si="184">BB585*BC585</f>
        <v>0</v>
      </c>
      <c r="BH585" s="38">
        <f t="shared" ref="BH585:BH636" si="185">BF585*BG585</f>
        <v>0</v>
      </c>
      <c r="BL585" s="38">
        <f t="shared" ref="BL585:BL649" si="186">BJ585*BK585</f>
        <v>0</v>
      </c>
      <c r="BR585" s="42">
        <f t="shared" ref="BR585:BR648" si="187">V585+Y585+AB585+AF585+AJ585+AN585+AR585+AV585+AZ585+BD585+BH585+BL585+BP585</f>
        <v>19875.287</v>
      </c>
      <c r="BS585" s="43"/>
      <c r="BT585" s="27">
        <v>2140.81</v>
      </c>
      <c r="BU585" s="36"/>
      <c r="BV585" s="36"/>
      <c r="BW585" s="36"/>
      <c r="BX585" s="36"/>
      <c r="BY585" s="36"/>
      <c r="BZ585" s="36"/>
      <c r="CA585" s="36"/>
      <c r="CB585" s="36"/>
      <c r="CC585" s="36"/>
      <c r="CD585" s="36"/>
      <c r="CE585" s="36"/>
      <c r="CF585" s="36"/>
      <c r="CG585" s="36"/>
      <c r="CH585" s="36"/>
      <c r="CI585" s="36"/>
      <c r="CJ585" s="36"/>
      <c r="CK585" s="36"/>
      <c r="CL585" s="36"/>
      <c r="CM585" s="36"/>
      <c r="CN585" s="36"/>
      <c r="CO585" s="36"/>
      <c r="CP585" s="36"/>
      <c r="CQ585" s="36"/>
      <c r="CR585" s="36"/>
      <c r="CS585" s="36"/>
      <c r="CT585" s="36"/>
      <c r="CU585" s="36"/>
      <c r="CV585" s="36"/>
      <c r="CW585" s="36"/>
      <c r="CX585" s="36"/>
      <c r="CY585" s="36"/>
      <c r="CZ585" s="36"/>
      <c r="DA585" s="36"/>
      <c r="DB585" s="36"/>
      <c r="DC585" s="36"/>
      <c r="DD585" s="36"/>
      <c r="DE585" s="36"/>
      <c r="DF585" s="36"/>
      <c r="DG585" s="36"/>
      <c r="DH585" s="36"/>
      <c r="DI585" s="36"/>
      <c r="DJ585" s="36"/>
      <c r="DK585" s="36"/>
      <c r="DL585" s="36"/>
      <c r="DM585" s="36"/>
      <c r="DN585" s="36"/>
      <c r="DO585" s="36"/>
      <c r="DP585" s="36"/>
      <c r="DQ585" s="36"/>
      <c r="DR585" s="36"/>
      <c r="DS585" s="36"/>
      <c r="DT585" s="36"/>
      <c r="DU585" s="36"/>
      <c r="DV585" s="36"/>
      <c r="DW585" s="36"/>
      <c r="DX585" s="36"/>
      <c r="DY585" s="36"/>
      <c r="DZ585" s="36"/>
      <c r="EA585" s="36"/>
      <c r="EB585" s="36"/>
      <c r="EC585" s="36"/>
      <c r="ED585" s="36"/>
      <c r="EE585" s="36"/>
      <c r="EF585" s="36"/>
      <c r="EG585" s="36"/>
      <c r="EH585" s="36"/>
      <c r="EI585" s="36"/>
      <c r="EJ585" s="36"/>
      <c r="EK585" s="36"/>
      <c r="EL585" s="36"/>
      <c r="EM585" s="36"/>
      <c r="EN585" s="36"/>
      <c r="EO585" s="36"/>
      <c r="EP585" s="36"/>
      <c r="EQ585" s="36"/>
      <c r="ER585" s="36"/>
      <c r="ES585" s="36"/>
      <c r="ET585" s="36"/>
      <c r="EU585" s="36"/>
      <c r="EV585" s="36"/>
      <c r="EW585" s="36"/>
      <c r="EX585" s="36"/>
      <c r="EY585" s="36"/>
      <c r="EZ585" s="36"/>
      <c r="FA585" s="36"/>
      <c r="FB585" s="36"/>
      <c r="FC585" s="36"/>
      <c r="FD585" s="36"/>
      <c r="FE585" s="36"/>
      <c r="FF585" s="36"/>
      <c r="FG585" s="36"/>
      <c r="FH585" s="36"/>
      <c r="FI585" s="36"/>
      <c r="FJ585" s="36"/>
      <c r="FK585" s="36"/>
      <c r="FL585" s="36"/>
      <c r="FM585" s="36"/>
      <c r="FN585" s="36"/>
      <c r="FO585" s="36"/>
      <c r="FP585" s="36"/>
      <c r="FQ585" s="36"/>
      <c r="FR585" s="36"/>
      <c r="FS585" s="36"/>
      <c r="FT585" s="36"/>
      <c r="FU585" s="36"/>
      <c r="FV585" s="36"/>
      <c r="FW585" s="36"/>
      <c r="FX585" s="36"/>
      <c r="FY585" s="36"/>
      <c r="FZ585" s="36"/>
      <c r="GA585" s="36"/>
      <c r="GB585" s="36"/>
      <c r="GC585" s="36"/>
      <c r="GD585" s="36"/>
      <c r="GE585" s="36"/>
      <c r="GF585" s="36"/>
      <c r="GG585" s="36"/>
      <c r="GH585" s="36"/>
      <c r="GI585" s="36"/>
      <c r="GJ585" s="36"/>
      <c r="GK585" s="36"/>
      <c r="GL585" s="36"/>
      <c r="GM585" s="36"/>
      <c r="GN585" s="36"/>
      <c r="GO585" s="36"/>
      <c r="GP585" s="36"/>
      <c r="GQ585" s="36"/>
      <c r="GR585" s="36"/>
      <c r="GS585" s="36"/>
      <c r="GT585" s="36"/>
      <c r="GU585" s="36"/>
      <c r="GV585" s="36"/>
      <c r="GW585" s="36"/>
      <c r="GX585" s="36"/>
      <c r="GY585" s="36"/>
      <c r="GZ585" s="36"/>
      <c r="HA585" s="36"/>
      <c r="HB585" s="36"/>
      <c r="HC585" s="36"/>
      <c r="HD585" s="36"/>
      <c r="HE585" s="36"/>
      <c r="HF585" s="36"/>
      <c r="HG585" s="36"/>
      <c r="HH585" s="36"/>
      <c r="HI585" s="36"/>
      <c r="HJ585" s="36"/>
      <c r="HK585" s="36"/>
      <c r="HL585" s="36"/>
      <c r="HM585" s="36"/>
      <c r="HN585" s="36"/>
      <c r="HO585" s="36"/>
      <c r="HP585" s="36"/>
      <c r="HQ585" s="36"/>
      <c r="HR585" s="36"/>
      <c r="HS585" s="36"/>
      <c r="HT585" s="36"/>
      <c r="HU585" s="36"/>
      <c r="HV585" s="36"/>
      <c r="HW585" s="36"/>
      <c r="HX585" s="36"/>
      <c r="HY585" s="36"/>
      <c r="HZ585" s="36"/>
      <c r="IA585" s="36"/>
      <c r="IB585" s="36"/>
      <c r="IC585" s="36"/>
      <c r="ID585" s="36"/>
      <c r="IE585" s="36"/>
      <c r="IF585" s="36"/>
      <c r="IG585" s="36"/>
      <c r="IH585" s="36"/>
      <c r="II585" s="36"/>
      <c r="IJ585" s="36"/>
      <c r="IK585" s="36"/>
      <c r="IL585" s="36"/>
      <c r="IM585" s="36"/>
      <c r="IN585" s="36"/>
      <c r="IO585" s="36"/>
      <c r="IP585" s="36"/>
      <c r="IQ585" s="36"/>
      <c r="IR585" s="36"/>
      <c r="IS585" s="36"/>
      <c r="IT585" s="36"/>
      <c r="IU585" s="36"/>
      <c r="IV585" s="36"/>
      <c r="IW585" s="36"/>
      <c r="IX585" s="36"/>
      <c r="IY585" s="36"/>
      <c r="IZ585" s="36"/>
      <c r="JA585" s="36"/>
      <c r="JB585" s="36"/>
      <c r="JC585" s="36"/>
      <c r="JD585" s="36"/>
      <c r="JE585" s="36"/>
      <c r="JF585" s="36"/>
      <c r="JG585" s="36"/>
      <c r="JH585" s="36"/>
      <c r="JI585" s="36"/>
      <c r="JJ585" s="36"/>
      <c r="JK585" s="36"/>
      <c r="JL585" s="36"/>
      <c r="JM585" s="36"/>
      <c r="JN585" s="36"/>
      <c r="JO585" s="36"/>
      <c r="JP585" s="36"/>
      <c r="JQ585" s="36"/>
      <c r="JR585" s="36"/>
      <c r="JS585" s="36"/>
      <c r="JT585" s="36"/>
      <c r="JU585" s="36"/>
      <c r="JV585" s="36"/>
      <c r="JW585" s="36"/>
      <c r="JX585" s="36"/>
      <c r="JY585" s="36"/>
      <c r="JZ585" s="36"/>
      <c r="KA585" s="36"/>
      <c r="KB585" s="36"/>
      <c r="KC585" s="36"/>
      <c r="KD585" s="36"/>
      <c r="KE585" s="36"/>
      <c r="KF585" s="36"/>
      <c r="KG585" s="36"/>
      <c r="KH585" s="36"/>
      <c r="KI585" s="36"/>
      <c r="KJ585" s="36"/>
      <c r="KK585" s="36"/>
      <c r="KL585" s="36"/>
      <c r="KM585" s="36"/>
      <c r="KN585" s="36"/>
      <c r="KO585" s="36"/>
      <c r="KP585" s="36"/>
      <c r="KQ585" s="36"/>
      <c r="KR585" s="36"/>
      <c r="KS585" s="36"/>
      <c r="KT585" s="36"/>
      <c r="KU585" s="36"/>
      <c r="KV585" s="36"/>
      <c r="KW585" s="36"/>
      <c r="KX585" s="36"/>
      <c r="KY585" s="36"/>
      <c r="KZ585" s="36"/>
      <c r="LA585" s="36"/>
      <c r="LB585" s="36"/>
      <c r="LC585" s="36"/>
      <c r="LD585" s="36"/>
      <c r="LE585" s="36"/>
      <c r="LF585" s="36"/>
      <c r="LG585" s="36"/>
      <c r="LH585" s="36"/>
      <c r="LI585" s="36"/>
      <c r="LJ585" s="36"/>
      <c r="LK585" s="36"/>
      <c r="LL585" s="36"/>
      <c r="LM585" s="36"/>
      <c r="LN585" s="36"/>
      <c r="LO585" s="36"/>
      <c r="LP585" s="36"/>
      <c r="LQ585" s="36"/>
      <c r="LR585" s="36"/>
      <c r="LS585" s="36"/>
      <c r="LT585" s="36"/>
      <c r="LU585" s="36"/>
      <c r="LV585" s="36"/>
      <c r="LW585" s="36"/>
      <c r="LX585" s="36"/>
      <c r="LY585" s="36"/>
      <c r="LZ585" s="36"/>
      <c r="MA585" s="36"/>
      <c r="MB585" s="36"/>
      <c r="MC585" s="36"/>
      <c r="MD585" s="36"/>
      <c r="ME585" s="36"/>
      <c r="MF585" s="36"/>
      <c r="MG585" s="36"/>
      <c r="MH585" s="36"/>
      <c r="MI585" s="36"/>
      <c r="MJ585" s="36"/>
      <c r="MK585" s="36"/>
      <c r="ML585" s="36"/>
      <c r="MM585" s="36"/>
      <c r="MN585" s="36"/>
      <c r="MO585" s="36"/>
      <c r="MP585" s="36"/>
      <c r="MQ585" s="36"/>
      <c r="MR585" s="36"/>
      <c r="MS585" s="36"/>
      <c r="MT585" s="36"/>
      <c r="MU585" s="36"/>
      <c r="MV585" s="36"/>
      <c r="MW585" s="36"/>
      <c r="MX585" s="36"/>
      <c r="MY585" s="36"/>
      <c r="MZ585" s="36"/>
      <c r="NA585" s="36"/>
      <c r="NB585" s="36"/>
      <c r="NC585" s="36"/>
      <c r="ND585" s="36"/>
      <c r="NE585" s="36"/>
      <c r="NF585" s="36"/>
      <c r="NG585" s="36"/>
      <c r="NH585" s="36"/>
      <c r="NI585" s="36"/>
      <c r="NJ585" s="36"/>
      <c r="NK585" s="36"/>
      <c r="NL585" s="36"/>
      <c r="NM585" s="36"/>
      <c r="NN585" s="36"/>
      <c r="NO585" s="36"/>
      <c r="NP585" s="36"/>
      <c r="NQ585" s="36"/>
      <c r="NR585" s="36"/>
      <c r="NS585" s="36"/>
      <c r="NT585" s="36"/>
      <c r="NU585" s="36"/>
      <c r="NV585" s="36"/>
      <c r="NW585" s="36"/>
      <c r="NX585" s="36"/>
      <c r="NY585" s="36"/>
      <c r="NZ585" s="36"/>
      <c r="OA585" s="36"/>
      <c r="OB585" s="36"/>
      <c r="OC585" s="36"/>
      <c r="OD585" s="36"/>
      <c r="OE585" s="36"/>
      <c r="OF585" s="36"/>
      <c r="OG585" s="36"/>
      <c r="OH585" s="36"/>
      <c r="OI585" s="36"/>
      <c r="OJ585" s="36"/>
      <c r="OK585" s="36"/>
      <c r="OL585" s="36"/>
      <c r="OM585" s="36"/>
      <c r="ON585" s="36"/>
      <c r="OO585" s="36"/>
      <c r="OP585" s="36"/>
      <c r="OQ585" s="36"/>
      <c r="OR585" s="36"/>
      <c r="OS585" s="36"/>
      <c r="OT585" s="36"/>
      <c r="OU585" s="36"/>
      <c r="OV585" s="36"/>
      <c r="OW585" s="36"/>
      <c r="OX585" s="36"/>
    </row>
    <row r="586" spans="2:414" s="27" customFormat="1" ht="15.6">
      <c r="B586" s="51" t="s">
        <v>1092</v>
      </c>
      <c r="C586" s="27" t="s">
        <v>19</v>
      </c>
      <c r="D586" s="29" t="s">
        <v>105</v>
      </c>
      <c r="G586" s="49">
        <v>80</v>
      </c>
      <c r="H586" s="89">
        <v>26.109000000000002</v>
      </c>
      <c r="I586" s="38">
        <f t="shared" si="180"/>
        <v>2088.7200000000003</v>
      </c>
      <c r="K586" s="49">
        <v>80</v>
      </c>
      <c r="L586" s="90">
        <v>26.849599999999999</v>
      </c>
      <c r="M586" s="38">
        <f t="shared" si="181"/>
        <v>2147.9679999999998</v>
      </c>
      <c r="O586" s="49">
        <v>505</v>
      </c>
      <c r="P586" s="38">
        <v>26.728300000000001</v>
      </c>
      <c r="Q586" s="38">
        <f t="shared" si="182"/>
        <v>13497.791500000001</v>
      </c>
      <c r="R586" s="43">
        <f t="shared" si="179"/>
        <v>665</v>
      </c>
      <c r="S586" s="38">
        <f t="shared" si="183"/>
        <v>17734.479500000001</v>
      </c>
      <c r="T586" s="27">
        <v>240</v>
      </c>
      <c r="U586" s="52">
        <v>26.38</v>
      </c>
      <c r="V586" s="38">
        <f t="shared" si="176"/>
        <v>6331.2</v>
      </c>
      <c r="W586" s="52">
        <v>505</v>
      </c>
      <c r="X586" s="52">
        <v>26.68</v>
      </c>
      <c r="Y586" s="35">
        <f t="shared" si="174"/>
        <v>13473.4</v>
      </c>
      <c r="Z586" s="78"/>
      <c r="AF586" s="42">
        <f t="shared" si="177"/>
        <v>0</v>
      </c>
      <c r="AU586" s="100"/>
      <c r="AV586" s="35"/>
      <c r="AW586" s="78"/>
      <c r="AZ586" s="42">
        <f t="shared" si="178"/>
        <v>0</v>
      </c>
      <c r="BD586" s="38">
        <f t="shared" si="184"/>
        <v>0</v>
      </c>
      <c r="BH586" s="38">
        <f t="shared" si="185"/>
        <v>0</v>
      </c>
      <c r="BL586" s="38">
        <f t="shared" si="186"/>
        <v>0</v>
      </c>
      <c r="BR586" s="42">
        <f t="shared" si="187"/>
        <v>19804.599999999999</v>
      </c>
      <c r="BS586" s="43"/>
      <c r="BT586" s="27">
        <v>2070.12</v>
      </c>
      <c r="BU586" s="36"/>
      <c r="BV586" s="36"/>
      <c r="BW586" s="36"/>
      <c r="BX586" s="36"/>
      <c r="BY586" s="36"/>
      <c r="BZ586" s="36"/>
      <c r="CA586" s="36"/>
      <c r="CB586" s="36"/>
      <c r="CC586" s="36"/>
      <c r="CD586" s="36"/>
      <c r="CE586" s="36"/>
      <c r="CF586" s="36"/>
      <c r="CG586" s="36"/>
      <c r="CH586" s="36"/>
      <c r="CI586" s="36"/>
      <c r="CJ586" s="36"/>
      <c r="CK586" s="36"/>
      <c r="CL586" s="36"/>
      <c r="CM586" s="36"/>
      <c r="CN586" s="36"/>
      <c r="CO586" s="36"/>
      <c r="CP586" s="36"/>
      <c r="CQ586" s="36"/>
      <c r="CR586" s="36"/>
      <c r="CS586" s="36"/>
      <c r="CT586" s="36"/>
      <c r="CU586" s="36"/>
      <c r="CV586" s="36"/>
      <c r="CW586" s="36"/>
      <c r="CX586" s="36"/>
      <c r="CY586" s="36"/>
      <c r="CZ586" s="36"/>
      <c r="DA586" s="36"/>
      <c r="DB586" s="36"/>
      <c r="DC586" s="36"/>
      <c r="DD586" s="36"/>
      <c r="DE586" s="36"/>
      <c r="DF586" s="36"/>
      <c r="DG586" s="36"/>
      <c r="DH586" s="36"/>
      <c r="DI586" s="36"/>
      <c r="DJ586" s="36"/>
      <c r="DK586" s="36"/>
      <c r="DL586" s="36"/>
      <c r="DM586" s="36"/>
      <c r="DN586" s="36"/>
      <c r="DO586" s="36"/>
      <c r="DP586" s="36"/>
      <c r="DQ586" s="36"/>
      <c r="DR586" s="36"/>
      <c r="DS586" s="36"/>
      <c r="DT586" s="36"/>
      <c r="DU586" s="36"/>
      <c r="DV586" s="36"/>
      <c r="DW586" s="36"/>
      <c r="DX586" s="36"/>
      <c r="DY586" s="36"/>
      <c r="DZ586" s="36"/>
      <c r="EA586" s="36"/>
      <c r="EB586" s="36"/>
      <c r="EC586" s="36"/>
      <c r="ED586" s="36"/>
      <c r="EE586" s="36"/>
      <c r="EF586" s="36"/>
      <c r="EG586" s="36"/>
      <c r="EH586" s="36"/>
      <c r="EI586" s="36"/>
      <c r="EJ586" s="36"/>
      <c r="EK586" s="36"/>
      <c r="EL586" s="36"/>
      <c r="EM586" s="36"/>
      <c r="EN586" s="36"/>
      <c r="EO586" s="36"/>
      <c r="EP586" s="36"/>
      <c r="EQ586" s="36"/>
      <c r="ER586" s="36"/>
      <c r="ES586" s="36"/>
      <c r="ET586" s="36"/>
      <c r="EU586" s="36"/>
      <c r="EV586" s="36"/>
      <c r="EW586" s="36"/>
      <c r="EX586" s="36"/>
      <c r="EY586" s="36"/>
      <c r="EZ586" s="36"/>
      <c r="FA586" s="36"/>
      <c r="FB586" s="36"/>
      <c r="FC586" s="36"/>
      <c r="FD586" s="36"/>
      <c r="FE586" s="36"/>
      <c r="FF586" s="36"/>
      <c r="FG586" s="36"/>
      <c r="FH586" s="36"/>
      <c r="FI586" s="36"/>
      <c r="FJ586" s="36"/>
      <c r="FK586" s="36"/>
      <c r="FL586" s="36"/>
      <c r="FM586" s="36"/>
      <c r="FN586" s="36"/>
      <c r="FO586" s="36"/>
      <c r="FP586" s="36"/>
      <c r="FQ586" s="36"/>
      <c r="FR586" s="36"/>
      <c r="FS586" s="36"/>
      <c r="FT586" s="36"/>
      <c r="FU586" s="36"/>
      <c r="FV586" s="36"/>
      <c r="FW586" s="36"/>
      <c r="FX586" s="36"/>
      <c r="FY586" s="36"/>
      <c r="FZ586" s="36"/>
      <c r="GA586" s="36"/>
      <c r="GB586" s="36"/>
      <c r="GC586" s="36"/>
      <c r="GD586" s="36"/>
      <c r="GE586" s="36"/>
      <c r="GF586" s="36"/>
      <c r="GG586" s="36"/>
      <c r="GH586" s="36"/>
      <c r="GI586" s="36"/>
      <c r="GJ586" s="36"/>
      <c r="GK586" s="36"/>
      <c r="GL586" s="36"/>
      <c r="GM586" s="36"/>
      <c r="GN586" s="36"/>
      <c r="GO586" s="36"/>
      <c r="GP586" s="36"/>
      <c r="GQ586" s="36"/>
      <c r="GR586" s="36"/>
      <c r="GS586" s="36"/>
      <c r="GT586" s="36"/>
      <c r="GU586" s="36"/>
      <c r="GV586" s="36"/>
      <c r="GW586" s="36"/>
      <c r="GX586" s="36"/>
      <c r="GY586" s="36"/>
      <c r="GZ586" s="36"/>
      <c r="HA586" s="36"/>
      <c r="HB586" s="36"/>
      <c r="HC586" s="36"/>
      <c r="HD586" s="36"/>
      <c r="HE586" s="36"/>
      <c r="HF586" s="36"/>
      <c r="HG586" s="36"/>
      <c r="HH586" s="36"/>
      <c r="HI586" s="36"/>
      <c r="HJ586" s="36"/>
      <c r="HK586" s="36"/>
      <c r="HL586" s="36"/>
      <c r="HM586" s="36"/>
      <c r="HN586" s="36"/>
      <c r="HO586" s="36"/>
      <c r="HP586" s="36"/>
      <c r="HQ586" s="36"/>
      <c r="HR586" s="36"/>
      <c r="HS586" s="36"/>
      <c r="HT586" s="36"/>
      <c r="HU586" s="36"/>
      <c r="HV586" s="36"/>
      <c r="HW586" s="36"/>
      <c r="HX586" s="36"/>
      <c r="HY586" s="36"/>
      <c r="HZ586" s="36"/>
      <c r="IA586" s="36"/>
      <c r="IB586" s="36"/>
      <c r="IC586" s="36"/>
      <c r="ID586" s="36"/>
      <c r="IE586" s="36"/>
      <c r="IF586" s="36"/>
      <c r="IG586" s="36"/>
      <c r="IH586" s="36"/>
      <c r="II586" s="36"/>
      <c r="IJ586" s="36"/>
      <c r="IK586" s="36"/>
      <c r="IL586" s="36"/>
      <c r="IM586" s="36"/>
      <c r="IN586" s="36"/>
      <c r="IO586" s="36"/>
      <c r="IP586" s="36"/>
      <c r="IQ586" s="36"/>
      <c r="IR586" s="36"/>
      <c r="IS586" s="36"/>
      <c r="IT586" s="36"/>
      <c r="IU586" s="36"/>
      <c r="IV586" s="36"/>
      <c r="IW586" s="36"/>
      <c r="IX586" s="36"/>
      <c r="IY586" s="36"/>
      <c r="IZ586" s="36"/>
      <c r="JA586" s="36"/>
      <c r="JB586" s="36"/>
      <c r="JC586" s="36"/>
      <c r="JD586" s="36"/>
      <c r="JE586" s="36"/>
      <c r="JF586" s="36"/>
      <c r="JG586" s="36"/>
      <c r="JH586" s="36"/>
      <c r="JI586" s="36"/>
      <c r="JJ586" s="36"/>
      <c r="JK586" s="36"/>
      <c r="JL586" s="36"/>
      <c r="JM586" s="36"/>
      <c r="JN586" s="36"/>
      <c r="JO586" s="36"/>
      <c r="JP586" s="36"/>
      <c r="JQ586" s="36"/>
      <c r="JR586" s="36"/>
      <c r="JS586" s="36"/>
      <c r="JT586" s="36"/>
      <c r="JU586" s="36"/>
      <c r="JV586" s="36"/>
      <c r="JW586" s="36"/>
      <c r="JX586" s="36"/>
      <c r="JY586" s="36"/>
      <c r="JZ586" s="36"/>
      <c r="KA586" s="36"/>
      <c r="KB586" s="36"/>
      <c r="KC586" s="36"/>
      <c r="KD586" s="36"/>
      <c r="KE586" s="36"/>
      <c r="KF586" s="36"/>
      <c r="KG586" s="36"/>
      <c r="KH586" s="36"/>
      <c r="KI586" s="36"/>
      <c r="KJ586" s="36"/>
      <c r="KK586" s="36"/>
      <c r="KL586" s="36"/>
      <c r="KM586" s="36"/>
      <c r="KN586" s="36"/>
      <c r="KO586" s="36"/>
      <c r="KP586" s="36"/>
      <c r="KQ586" s="36"/>
      <c r="KR586" s="36"/>
      <c r="KS586" s="36"/>
      <c r="KT586" s="36"/>
      <c r="KU586" s="36"/>
      <c r="KV586" s="36"/>
      <c r="KW586" s="36"/>
      <c r="KX586" s="36"/>
      <c r="KY586" s="36"/>
      <c r="KZ586" s="36"/>
      <c r="LA586" s="36"/>
      <c r="LB586" s="36"/>
      <c r="LC586" s="36"/>
      <c r="LD586" s="36"/>
      <c r="LE586" s="36"/>
      <c r="LF586" s="36"/>
      <c r="LG586" s="36"/>
      <c r="LH586" s="36"/>
      <c r="LI586" s="36"/>
      <c r="LJ586" s="36"/>
      <c r="LK586" s="36"/>
      <c r="LL586" s="36"/>
      <c r="LM586" s="36"/>
      <c r="LN586" s="36"/>
      <c r="LO586" s="36"/>
      <c r="LP586" s="36"/>
      <c r="LQ586" s="36"/>
      <c r="LR586" s="36"/>
      <c r="LS586" s="36"/>
      <c r="LT586" s="36"/>
      <c r="LU586" s="36"/>
      <c r="LV586" s="36"/>
      <c r="LW586" s="36"/>
      <c r="LX586" s="36"/>
      <c r="LY586" s="36"/>
      <c r="LZ586" s="36"/>
      <c r="MA586" s="36"/>
      <c r="MB586" s="36"/>
      <c r="MC586" s="36"/>
      <c r="MD586" s="36"/>
      <c r="ME586" s="36"/>
      <c r="MF586" s="36"/>
      <c r="MG586" s="36"/>
      <c r="MH586" s="36"/>
      <c r="MI586" s="36"/>
      <c r="MJ586" s="36"/>
      <c r="MK586" s="36"/>
      <c r="ML586" s="36"/>
      <c r="MM586" s="36"/>
      <c r="MN586" s="36"/>
      <c r="MO586" s="36"/>
      <c r="MP586" s="36"/>
      <c r="MQ586" s="36"/>
      <c r="MR586" s="36"/>
      <c r="MS586" s="36"/>
      <c r="MT586" s="36"/>
      <c r="MU586" s="36"/>
      <c r="MV586" s="36"/>
      <c r="MW586" s="36"/>
      <c r="MX586" s="36"/>
      <c r="MY586" s="36"/>
      <c r="MZ586" s="36"/>
      <c r="NA586" s="36"/>
      <c r="NB586" s="36"/>
      <c r="NC586" s="36"/>
      <c r="ND586" s="36"/>
      <c r="NE586" s="36"/>
      <c r="NF586" s="36"/>
      <c r="NG586" s="36"/>
      <c r="NH586" s="36"/>
      <c r="NI586" s="36"/>
      <c r="NJ586" s="36"/>
      <c r="NK586" s="36"/>
      <c r="NL586" s="36"/>
      <c r="NM586" s="36"/>
      <c r="NN586" s="36"/>
      <c r="NO586" s="36"/>
      <c r="NP586" s="36"/>
      <c r="NQ586" s="36"/>
      <c r="NR586" s="36"/>
      <c r="NS586" s="36"/>
      <c r="NT586" s="36"/>
      <c r="NU586" s="36"/>
      <c r="NV586" s="36"/>
      <c r="NW586" s="36"/>
      <c r="NX586" s="36"/>
      <c r="NY586" s="36"/>
      <c r="NZ586" s="36"/>
      <c r="OA586" s="36"/>
      <c r="OB586" s="36"/>
      <c r="OC586" s="36"/>
      <c r="OD586" s="36"/>
      <c r="OE586" s="36"/>
      <c r="OF586" s="36"/>
      <c r="OG586" s="36"/>
      <c r="OH586" s="36"/>
      <c r="OI586" s="36"/>
      <c r="OJ586" s="36"/>
      <c r="OK586" s="36"/>
      <c r="OL586" s="36"/>
      <c r="OM586" s="36"/>
      <c r="ON586" s="36"/>
      <c r="OO586" s="36"/>
      <c r="OP586" s="36"/>
      <c r="OQ586" s="36"/>
      <c r="OR586" s="36"/>
      <c r="OS586" s="36"/>
      <c r="OT586" s="36"/>
      <c r="OU586" s="36"/>
      <c r="OV586" s="36"/>
      <c r="OW586" s="36"/>
      <c r="OX586" s="36"/>
    </row>
    <row r="587" spans="2:414" s="27" customFormat="1" ht="15.6">
      <c r="B587" s="51" t="s">
        <v>653</v>
      </c>
      <c r="C587" s="27" t="s">
        <v>338</v>
      </c>
      <c r="D587" s="29" t="s">
        <v>105</v>
      </c>
      <c r="G587" s="49">
        <v>80</v>
      </c>
      <c r="H587" s="89">
        <v>26.109000000000002</v>
      </c>
      <c r="I587" s="38">
        <f t="shared" si="180"/>
        <v>2088.7200000000003</v>
      </c>
      <c r="K587" s="49">
        <v>80</v>
      </c>
      <c r="L587" s="90">
        <v>26.849599999999999</v>
      </c>
      <c r="M587" s="38">
        <f t="shared" si="181"/>
        <v>2147.9679999999998</v>
      </c>
      <c r="O587" s="49">
        <v>505</v>
      </c>
      <c r="P587" s="38">
        <v>26.728300000000001</v>
      </c>
      <c r="Q587" s="38">
        <f t="shared" si="182"/>
        <v>13497.791500000001</v>
      </c>
      <c r="R587" s="43">
        <f t="shared" si="179"/>
        <v>665</v>
      </c>
      <c r="S587" s="38">
        <f t="shared" si="183"/>
        <v>17734.479500000001</v>
      </c>
      <c r="T587" s="27">
        <v>240</v>
      </c>
      <c r="U587" s="52">
        <v>26.9907</v>
      </c>
      <c r="V587" s="38">
        <f t="shared" si="176"/>
        <v>6477.768</v>
      </c>
      <c r="W587" s="52">
        <v>505</v>
      </c>
      <c r="X587" s="52">
        <v>26.732500000000002</v>
      </c>
      <c r="Y587" s="35">
        <f t="shared" si="174"/>
        <v>13499.9125</v>
      </c>
      <c r="Z587" s="78"/>
      <c r="AF587" s="42">
        <f t="shared" si="177"/>
        <v>0</v>
      </c>
      <c r="AU587" s="100"/>
      <c r="AV587" s="35"/>
      <c r="AW587" s="78"/>
      <c r="AZ587" s="42">
        <f t="shared" si="178"/>
        <v>0</v>
      </c>
      <c r="BD587" s="38">
        <f t="shared" si="184"/>
        <v>0</v>
      </c>
      <c r="BH587" s="38">
        <f t="shared" si="185"/>
        <v>0</v>
      </c>
      <c r="BL587" s="38">
        <f t="shared" si="186"/>
        <v>0</v>
      </c>
      <c r="BR587" s="42">
        <f t="shared" si="187"/>
        <v>19977.680500000002</v>
      </c>
      <c r="BS587" s="43"/>
      <c r="BT587" s="27">
        <v>2243.1999999999998</v>
      </c>
      <c r="BU587" s="36"/>
      <c r="BV587" s="36"/>
      <c r="BW587" s="36"/>
      <c r="BX587" s="36"/>
      <c r="BY587" s="36"/>
      <c r="BZ587" s="36"/>
      <c r="CA587" s="36"/>
      <c r="CB587" s="36"/>
      <c r="CC587" s="36"/>
      <c r="CD587" s="36"/>
      <c r="CE587" s="36"/>
      <c r="CF587" s="36"/>
      <c r="CG587" s="36"/>
      <c r="CH587" s="36"/>
      <c r="CI587" s="36"/>
      <c r="CJ587" s="36"/>
      <c r="CK587" s="36"/>
      <c r="CL587" s="36"/>
      <c r="CM587" s="36"/>
      <c r="CN587" s="36"/>
      <c r="CO587" s="36"/>
      <c r="CP587" s="36"/>
      <c r="CQ587" s="36"/>
      <c r="CR587" s="36"/>
      <c r="CS587" s="36"/>
      <c r="CT587" s="36"/>
      <c r="CU587" s="36"/>
      <c r="CV587" s="36"/>
      <c r="CW587" s="36"/>
      <c r="CX587" s="36"/>
      <c r="CY587" s="36"/>
      <c r="CZ587" s="36"/>
      <c r="DA587" s="36"/>
      <c r="DB587" s="36"/>
      <c r="DC587" s="36"/>
      <c r="DD587" s="36"/>
      <c r="DE587" s="36"/>
      <c r="DF587" s="36"/>
      <c r="DG587" s="36"/>
      <c r="DH587" s="36"/>
      <c r="DI587" s="36"/>
      <c r="DJ587" s="36"/>
      <c r="DK587" s="36"/>
      <c r="DL587" s="36"/>
      <c r="DM587" s="36"/>
      <c r="DN587" s="36"/>
      <c r="DO587" s="36"/>
      <c r="DP587" s="36"/>
      <c r="DQ587" s="36"/>
      <c r="DR587" s="36"/>
      <c r="DS587" s="36"/>
      <c r="DT587" s="36"/>
      <c r="DU587" s="36"/>
      <c r="DV587" s="36"/>
      <c r="DW587" s="36"/>
      <c r="DX587" s="36"/>
      <c r="DY587" s="36"/>
      <c r="DZ587" s="36"/>
      <c r="EA587" s="36"/>
      <c r="EB587" s="36"/>
      <c r="EC587" s="36"/>
      <c r="ED587" s="36"/>
      <c r="EE587" s="36"/>
      <c r="EF587" s="36"/>
      <c r="EG587" s="36"/>
      <c r="EH587" s="36"/>
      <c r="EI587" s="36"/>
      <c r="EJ587" s="36"/>
      <c r="EK587" s="36"/>
      <c r="EL587" s="36"/>
      <c r="EM587" s="36"/>
      <c r="EN587" s="36"/>
      <c r="EO587" s="36"/>
      <c r="EP587" s="36"/>
      <c r="EQ587" s="36"/>
      <c r="ER587" s="36"/>
      <c r="ES587" s="36"/>
      <c r="ET587" s="36"/>
      <c r="EU587" s="36"/>
      <c r="EV587" s="36"/>
      <c r="EW587" s="36"/>
      <c r="EX587" s="36"/>
      <c r="EY587" s="36"/>
      <c r="EZ587" s="36"/>
      <c r="FA587" s="36"/>
      <c r="FB587" s="36"/>
      <c r="FC587" s="36"/>
      <c r="FD587" s="36"/>
      <c r="FE587" s="36"/>
      <c r="FF587" s="36"/>
      <c r="FG587" s="36"/>
      <c r="FH587" s="36"/>
      <c r="FI587" s="36"/>
      <c r="FJ587" s="36"/>
      <c r="FK587" s="36"/>
      <c r="FL587" s="36"/>
      <c r="FM587" s="36"/>
      <c r="FN587" s="36"/>
      <c r="FO587" s="36"/>
      <c r="FP587" s="36"/>
      <c r="FQ587" s="36"/>
      <c r="FR587" s="36"/>
      <c r="FS587" s="36"/>
      <c r="FT587" s="36"/>
      <c r="FU587" s="36"/>
      <c r="FV587" s="36"/>
      <c r="FW587" s="36"/>
      <c r="FX587" s="36"/>
      <c r="FY587" s="36"/>
      <c r="FZ587" s="36"/>
      <c r="GA587" s="36"/>
      <c r="GB587" s="36"/>
      <c r="GC587" s="36"/>
      <c r="GD587" s="36"/>
      <c r="GE587" s="36"/>
      <c r="GF587" s="36"/>
      <c r="GG587" s="36"/>
      <c r="GH587" s="36"/>
      <c r="GI587" s="36"/>
      <c r="GJ587" s="36"/>
      <c r="GK587" s="36"/>
      <c r="GL587" s="36"/>
      <c r="GM587" s="36"/>
      <c r="GN587" s="36"/>
      <c r="GO587" s="36"/>
      <c r="GP587" s="36"/>
      <c r="GQ587" s="36"/>
      <c r="GR587" s="36"/>
      <c r="GS587" s="36"/>
      <c r="GT587" s="36"/>
      <c r="GU587" s="36"/>
      <c r="GV587" s="36"/>
      <c r="GW587" s="36"/>
      <c r="GX587" s="36"/>
      <c r="GY587" s="36"/>
      <c r="GZ587" s="36"/>
      <c r="HA587" s="36"/>
      <c r="HB587" s="36"/>
      <c r="HC587" s="36"/>
      <c r="HD587" s="36"/>
      <c r="HE587" s="36"/>
      <c r="HF587" s="36"/>
      <c r="HG587" s="36"/>
      <c r="HH587" s="36"/>
      <c r="HI587" s="36"/>
      <c r="HJ587" s="36"/>
      <c r="HK587" s="36"/>
      <c r="HL587" s="36"/>
      <c r="HM587" s="36"/>
      <c r="HN587" s="36"/>
      <c r="HO587" s="36"/>
      <c r="HP587" s="36"/>
      <c r="HQ587" s="36"/>
      <c r="HR587" s="36"/>
      <c r="HS587" s="36"/>
      <c r="HT587" s="36"/>
      <c r="HU587" s="36"/>
      <c r="HV587" s="36"/>
      <c r="HW587" s="36"/>
      <c r="HX587" s="36"/>
      <c r="HY587" s="36"/>
      <c r="HZ587" s="36"/>
      <c r="IA587" s="36"/>
      <c r="IB587" s="36"/>
      <c r="IC587" s="36"/>
      <c r="ID587" s="36"/>
      <c r="IE587" s="36"/>
      <c r="IF587" s="36"/>
      <c r="IG587" s="36"/>
      <c r="IH587" s="36"/>
      <c r="II587" s="36"/>
      <c r="IJ587" s="36"/>
      <c r="IK587" s="36"/>
      <c r="IL587" s="36"/>
      <c r="IM587" s="36"/>
      <c r="IN587" s="36"/>
      <c r="IO587" s="36"/>
      <c r="IP587" s="36"/>
      <c r="IQ587" s="36"/>
      <c r="IR587" s="36"/>
      <c r="IS587" s="36"/>
      <c r="IT587" s="36"/>
      <c r="IU587" s="36"/>
      <c r="IV587" s="36"/>
      <c r="IW587" s="36"/>
      <c r="IX587" s="36"/>
      <c r="IY587" s="36"/>
      <c r="IZ587" s="36"/>
      <c r="JA587" s="36"/>
      <c r="JB587" s="36"/>
      <c r="JC587" s="36"/>
      <c r="JD587" s="36"/>
      <c r="JE587" s="36"/>
      <c r="JF587" s="36"/>
      <c r="JG587" s="36"/>
      <c r="JH587" s="36"/>
      <c r="JI587" s="36"/>
      <c r="JJ587" s="36"/>
      <c r="JK587" s="36"/>
      <c r="JL587" s="36"/>
      <c r="JM587" s="36"/>
      <c r="JN587" s="36"/>
      <c r="JO587" s="36"/>
      <c r="JP587" s="36"/>
      <c r="JQ587" s="36"/>
      <c r="JR587" s="36"/>
      <c r="JS587" s="36"/>
      <c r="JT587" s="36"/>
      <c r="JU587" s="36"/>
      <c r="JV587" s="36"/>
      <c r="JW587" s="36"/>
      <c r="JX587" s="36"/>
      <c r="JY587" s="36"/>
      <c r="JZ587" s="36"/>
      <c r="KA587" s="36"/>
      <c r="KB587" s="36"/>
      <c r="KC587" s="36"/>
      <c r="KD587" s="36"/>
      <c r="KE587" s="36"/>
      <c r="KF587" s="36"/>
      <c r="KG587" s="36"/>
      <c r="KH587" s="36"/>
      <c r="KI587" s="36"/>
      <c r="KJ587" s="36"/>
      <c r="KK587" s="36"/>
      <c r="KL587" s="36"/>
      <c r="KM587" s="36"/>
      <c r="KN587" s="36"/>
      <c r="KO587" s="36"/>
      <c r="KP587" s="36"/>
      <c r="KQ587" s="36"/>
      <c r="KR587" s="36"/>
      <c r="KS587" s="36"/>
      <c r="KT587" s="36"/>
      <c r="KU587" s="36"/>
      <c r="KV587" s="36"/>
      <c r="KW587" s="36"/>
      <c r="KX587" s="36"/>
      <c r="KY587" s="36"/>
      <c r="KZ587" s="36"/>
      <c r="LA587" s="36"/>
      <c r="LB587" s="36"/>
      <c r="LC587" s="36"/>
      <c r="LD587" s="36"/>
      <c r="LE587" s="36"/>
      <c r="LF587" s="36"/>
      <c r="LG587" s="36"/>
      <c r="LH587" s="36"/>
      <c r="LI587" s="36"/>
      <c r="LJ587" s="36"/>
      <c r="LK587" s="36"/>
      <c r="LL587" s="36"/>
      <c r="LM587" s="36"/>
      <c r="LN587" s="36"/>
      <c r="LO587" s="36"/>
      <c r="LP587" s="36"/>
      <c r="LQ587" s="36"/>
      <c r="LR587" s="36"/>
      <c r="LS587" s="36"/>
      <c r="LT587" s="36"/>
      <c r="LU587" s="36"/>
      <c r="LV587" s="36"/>
      <c r="LW587" s="36"/>
      <c r="LX587" s="36"/>
      <c r="LY587" s="36"/>
      <c r="LZ587" s="36"/>
      <c r="MA587" s="36"/>
      <c r="MB587" s="36"/>
      <c r="MC587" s="36"/>
      <c r="MD587" s="36"/>
      <c r="ME587" s="36"/>
      <c r="MF587" s="36"/>
      <c r="MG587" s="36"/>
      <c r="MH587" s="36"/>
      <c r="MI587" s="36"/>
      <c r="MJ587" s="36"/>
      <c r="MK587" s="36"/>
      <c r="ML587" s="36"/>
      <c r="MM587" s="36"/>
      <c r="MN587" s="36"/>
      <c r="MO587" s="36"/>
      <c r="MP587" s="36"/>
      <c r="MQ587" s="36"/>
      <c r="MR587" s="36"/>
      <c r="MS587" s="36"/>
      <c r="MT587" s="36"/>
      <c r="MU587" s="36"/>
      <c r="MV587" s="36"/>
      <c r="MW587" s="36"/>
      <c r="MX587" s="36"/>
      <c r="MY587" s="36"/>
      <c r="MZ587" s="36"/>
      <c r="NA587" s="36"/>
      <c r="NB587" s="36"/>
      <c r="NC587" s="36"/>
      <c r="ND587" s="36"/>
      <c r="NE587" s="36"/>
      <c r="NF587" s="36"/>
      <c r="NG587" s="36"/>
      <c r="NH587" s="36"/>
      <c r="NI587" s="36"/>
      <c r="NJ587" s="36"/>
      <c r="NK587" s="36"/>
      <c r="NL587" s="36"/>
      <c r="NM587" s="36"/>
      <c r="NN587" s="36"/>
      <c r="NO587" s="36"/>
      <c r="NP587" s="36"/>
      <c r="NQ587" s="36"/>
      <c r="NR587" s="36"/>
      <c r="NS587" s="36"/>
      <c r="NT587" s="36"/>
      <c r="NU587" s="36"/>
      <c r="NV587" s="36"/>
      <c r="NW587" s="36"/>
      <c r="NX587" s="36"/>
      <c r="NY587" s="36"/>
      <c r="NZ587" s="36"/>
      <c r="OA587" s="36"/>
      <c r="OB587" s="36"/>
      <c r="OC587" s="36"/>
      <c r="OD587" s="36"/>
      <c r="OE587" s="36"/>
      <c r="OF587" s="36"/>
      <c r="OG587" s="36"/>
      <c r="OH587" s="36"/>
      <c r="OI587" s="36"/>
      <c r="OJ587" s="36"/>
      <c r="OK587" s="36"/>
      <c r="OL587" s="36"/>
      <c r="OM587" s="36"/>
      <c r="ON587" s="36"/>
      <c r="OO587" s="36"/>
      <c r="OP587" s="36"/>
      <c r="OQ587" s="36"/>
      <c r="OR587" s="36"/>
      <c r="OS587" s="36"/>
      <c r="OT587" s="36"/>
      <c r="OU587" s="36"/>
      <c r="OV587" s="36"/>
      <c r="OW587" s="36"/>
      <c r="OX587" s="36"/>
    </row>
    <row r="588" spans="2:414" s="27" customFormat="1" ht="15.6">
      <c r="B588" s="51" t="s">
        <v>1093</v>
      </c>
      <c r="C588" s="27" t="s">
        <v>734</v>
      </c>
      <c r="D588" s="29" t="s">
        <v>105</v>
      </c>
      <c r="G588" s="49">
        <v>80</v>
      </c>
      <c r="H588" s="89">
        <v>26.109000000000002</v>
      </c>
      <c r="I588" s="38">
        <f t="shared" si="180"/>
        <v>2088.7200000000003</v>
      </c>
      <c r="K588" s="49">
        <v>80</v>
      </c>
      <c r="L588" s="90">
        <v>26.849599999999999</v>
      </c>
      <c r="M588" s="38">
        <f t="shared" si="181"/>
        <v>2147.9679999999998</v>
      </c>
      <c r="O588" s="49">
        <v>505</v>
      </c>
      <c r="P588" s="38">
        <v>26.728300000000001</v>
      </c>
      <c r="Q588" s="38">
        <f t="shared" si="182"/>
        <v>13497.791500000001</v>
      </c>
      <c r="R588" s="43">
        <f t="shared" si="179"/>
        <v>665</v>
      </c>
      <c r="S588" s="38">
        <f t="shared" si="183"/>
        <v>17734.479500000001</v>
      </c>
      <c r="T588" s="27">
        <v>240</v>
      </c>
      <c r="U588" s="52">
        <v>26.38</v>
      </c>
      <c r="V588" s="38">
        <f t="shared" si="176"/>
        <v>6331.2</v>
      </c>
      <c r="W588" s="52">
        <v>505</v>
      </c>
      <c r="X588" s="52">
        <v>26.73</v>
      </c>
      <c r="Y588" s="35">
        <f t="shared" si="174"/>
        <v>13498.65</v>
      </c>
      <c r="Z588" s="78"/>
      <c r="AF588" s="42">
        <f t="shared" si="177"/>
        <v>0</v>
      </c>
      <c r="AU588" s="100"/>
      <c r="AV588" s="35"/>
      <c r="AW588" s="78"/>
      <c r="AZ588" s="42">
        <f t="shared" si="178"/>
        <v>0</v>
      </c>
      <c r="BD588" s="38">
        <f t="shared" si="184"/>
        <v>0</v>
      </c>
      <c r="BH588" s="38">
        <f t="shared" si="185"/>
        <v>0</v>
      </c>
      <c r="BL588" s="38">
        <f t="shared" si="186"/>
        <v>0</v>
      </c>
      <c r="BR588" s="42">
        <f t="shared" si="187"/>
        <v>19829.849999999999</v>
      </c>
      <c r="BS588" s="43"/>
      <c r="BT588" s="27">
        <v>2095.37</v>
      </c>
      <c r="BU588" s="36"/>
      <c r="BV588" s="36"/>
      <c r="BW588" s="36"/>
      <c r="BX588" s="36"/>
      <c r="BY588" s="36"/>
      <c r="BZ588" s="36"/>
      <c r="CA588" s="36"/>
      <c r="CB588" s="36"/>
      <c r="CC588" s="36"/>
      <c r="CD588" s="36"/>
      <c r="CE588" s="36"/>
      <c r="CF588" s="36"/>
      <c r="CG588" s="36"/>
      <c r="CH588" s="36"/>
      <c r="CI588" s="36"/>
      <c r="CJ588" s="36"/>
      <c r="CK588" s="36"/>
      <c r="CL588" s="36"/>
      <c r="CM588" s="36"/>
      <c r="CN588" s="36"/>
      <c r="CO588" s="36"/>
      <c r="CP588" s="36"/>
      <c r="CQ588" s="36"/>
      <c r="CR588" s="36"/>
      <c r="CS588" s="36"/>
      <c r="CT588" s="36"/>
      <c r="CU588" s="36"/>
      <c r="CV588" s="36"/>
      <c r="CW588" s="36"/>
      <c r="CX588" s="36"/>
      <c r="CY588" s="36"/>
      <c r="CZ588" s="36"/>
      <c r="DA588" s="36"/>
      <c r="DB588" s="36"/>
      <c r="DC588" s="36"/>
      <c r="DD588" s="36"/>
      <c r="DE588" s="36"/>
      <c r="DF588" s="36"/>
      <c r="DG588" s="36"/>
      <c r="DH588" s="36"/>
      <c r="DI588" s="36"/>
      <c r="DJ588" s="36"/>
      <c r="DK588" s="36"/>
      <c r="DL588" s="36"/>
      <c r="DM588" s="36"/>
      <c r="DN588" s="36"/>
      <c r="DO588" s="36"/>
      <c r="DP588" s="36"/>
      <c r="DQ588" s="36"/>
      <c r="DR588" s="36"/>
      <c r="DS588" s="36"/>
      <c r="DT588" s="36"/>
      <c r="DU588" s="36"/>
      <c r="DV588" s="36"/>
      <c r="DW588" s="36"/>
      <c r="DX588" s="36"/>
      <c r="DY588" s="36"/>
      <c r="DZ588" s="36"/>
      <c r="EA588" s="36"/>
      <c r="EB588" s="36"/>
      <c r="EC588" s="36"/>
      <c r="ED588" s="36"/>
      <c r="EE588" s="36"/>
      <c r="EF588" s="36"/>
      <c r="EG588" s="36"/>
      <c r="EH588" s="36"/>
      <c r="EI588" s="36"/>
      <c r="EJ588" s="36"/>
      <c r="EK588" s="36"/>
      <c r="EL588" s="36"/>
      <c r="EM588" s="36"/>
      <c r="EN588" s="36"/>
      <c r="EO588" s="36"/>
      <c r="EP588" s="36"/>
      <c r="EQ588" s="36"/>
      <c r="ER588" s="36"/>
      <c r="ES588" s="36"/>
      <c r="ET588" s="36"/>
      <c r="EU588" s="36"/>
      <c r="EV588" s="36"/>
      <c r="EW588" s="36"/>
      <c r="EX588" s="36"/>
      <c r="EY588" s="36"/>
      <c r="EZ588" s="36"/>
      <c r="FA588" s="36"/>
      <c r="FB588" s="36"/>
      <c r="FC588" s="36"/>
      <c r="FD588" s="36"/>
      <c r="FE588" s="36"/>
      <c r="FF588" s="36"/>
      <c r="FG588" s="36"/>
      <c r="FH588" s="36"/>
      <c r="FI588" s="36"/>
      <c r="FJ588" s="36"/>
      <c r="FK588" s="36"/>
      <c r="FL588" s="36"/>
      <c r="FM588" s="36"/>
      <c r="FN588" s="36"/>
      <c r="FO588" s="36"/>
      <c r="FP588" s="36"/>
      <c r="FQ588" s="36"/>
      <c r="FR588" s="36"/>
      <c r="FS588" s="36"/>
      <c r="FT588" s="36"/>
      <c r="FU588" s="36"/>
      <c r="FV588" s="36"/>
      <c r="FW588" s="36"/>
      <c r="FX588" s="36"/>
      <c r="FY588" s="36"/>
      <c r="FZ588" s="36"/>
      <c r="GA588" s="36"/>
      <c r="GB588" s="36"/>
      <c r="GC588" s="36"/>
      <c r="GD588" s="36"/>
      <c r="GE588" s="36"/>
      <c r="GF588" s="36"/>
      <c r="GG588" s="36"/>
      <c r="GH588" s="36"/>
      <c r="GI588" s="36"/>
      <c r="GJ588" s="36"/>
      <c r="GK588" s="36"/>
      <c r="GL588" s="36"/>
      <c r="GM588" s="36"/>
      <c r="GN588" s="36"/>
      <c r="GO588" s="36"/>
      <c r="GP588" s="36"/>
      <c r="GQ588" s="36"/>
      <c r="GR588" s="36"/>
      <c r="GS588" s="36"/>
      <c r="GT588" s="36"/>
      <c r="GU588" s="36"/>
      <c r="GV588" s="36"/>
      <c r="GW588" s="36"/>
      <c r="GX588" s="36"/>
      <c r="GY588" s="36"/>
      <c r="GZ588" s="36"/>
      <c r="HA588" s="36"/>
      <c r="HB588" s="36"/>
      <c r="HC588" s="36"/>
      <c r="HD588" s="36"/>
      <c r="HE588" s="36"/>
      <c r="HF588" s="36"/>
      <c r="HG588" s="36"/>
      <c r="HH588" s="36"/>
      <c r="HI588" s="36"/>
      <c r="HJ588" s="36"/>
      <c r="HK588" s="36"/>
      <c r="HL588" s="36"/>
      <c r="HM588" s="36"/>
      <c r="HN588" s="36"/>
      <c r="HO588" s="36"/>
      <c r="HP588" s="36"/>
      <c r="HQ588" s="36"/>
      <c r="HR588" s="36"/>
      <c r="HS588" s="36"/>
      <c r="HT588" s="36"/>
      <c r="HU588" s="36"/>
      <c r="HV588" s="36"/>
      <c r="HW588" s="36"/>
      <c r="HX588" s="36"/>
      <c r="HY588" s="36"/>
      <c r="HZ588" s="36"/>
      <c r="IA588" s="36"/>
      <c r="IB588" s="36"/>
      <c r="IC588" s="36"/>
      <c r="ID588" s="36"/>
      <c r="IE588" s="36"/>
      <c r="IF588" s="36"/>
      <c r="IG588" s="36"/>
      <c r="IH588" s="36"/>
      <c r="II588" s="36"/>
      <c r="IJ588" s="36"/>
      <c r="IK588" s="36"/>
      <c r="IL588" s="36"/>
      <c r="IM588" s="36"/>
      <c r="IN588" s="36"/>
      <c r="IO588" s="36"/>
      <c r="IP588" s="36"/>
      <c r="IQ588" s="36"/>
      <c r="IR588" s="36"/>
      <c r="IS588" s="36"/>
      <c r="IT588" s="36"/>
      <c r="IU588" s="36"/>
      <c r="IV588" s="36"/>
      <c r="IW588" s="36"/>
      <c r="IX588" s="36"/>
      <c r="IY588" s="36"/>
      <c r="IZ588" s="36"/>
      <c r="JA588" s="36"/>
      <c r="JB588" s="36"/>
      <c r="JC588" s="36"/>
      <c r="JD588" s="36"/>
      <c r="JE588" s="36"/>
      <c r="JF588" s="36"/>
      <c r="JG588" s="36"/>
      <c r="JH588" s="36"/>
      <c r="JI588" s="36"/>
      <c r="JJ588" s="36"/>
      <c r="JK588" s="36"/>
      <c r="JL588" s="36"/>
      <c r="JM588" s="36"/>
      <c r="JN588" s="36"/>
      <c r="JO588" s="36"/>
      <c r="JP588" s="36"/>
      <c r="JQ588" s="36"/>
      <c r="JR588" s="36"/>
      <c r="JS588" s="36"/>
      <c r="JT588" s="36"/>
      <c r="JU588" s="36"/>
      <c r="JV588" s="36"/>
      <c r="JW588" s="36"/>
      <c r="JX588" s="36"/>
      <c r="JY588" s="36"/>
      <c r="JZ588" s="36"/>
      <c r="KA588" s="36"/>
      <c r="KB588" s="36"/>
      <c r="KC588" s="36"/>
      <c r="KD588" s="36"/>
      <c r="KE588" s="36"/>
      <c r="KF588" s="36"/>
      <c r="KG588" s="36"/>
      <c r="KH588" s="36"/>
      <c r="KI588" s="36"/>
      <c r="KJ588" s="36"/>
      <c r="KK588" s="36"/>
      <c r="KL588" s="36"/>
      <c r="KM588" s="36"/>
      <c r="KN588" s="36"/>
      <c r="KO588" s="36"/>
      <c r="KP588" s="36"/>
      <c r="KQ588" s="36"/>
      <c r="KR588" s="36"/>
      <c r="KS588" s="36"/>
      <c r="KT588" s="36"/>
      <c r="KU588" s="36"/>
      <c r="KV588" s="36"/>
      <c r="KW588" s="36"/>
      <c r="KX588" s="36"/>
      <c r="KY588" s="36"/>
      <c r="KZ588" s="36"/>
      <c r="LA588" s="36"/>
      <c r="LB588" s="36"/>
      <c r="LC588" s="36"/>
      <c r="LD588" s="36"/>
      <c r="LE588" s="36"/>
      <c r="LF588" s="36"/>
      <c r="LG588" s="36"/>
      <c r="LH588" s="36"/>
      <c r="LI588" s="36"/>
      <c r="LJ588" s="36"/>
      <c r="LK588" s="36"/>
      <c r="LL588" s="36"/>
      <c r="LM588" s="36"/>
      <c r="LN588" s="36"/>
      <c r="LO588" s="36"/>
      <c r="LP588" s="36"/>
      <c r="LQ588" s="36"/>
      <c r="LR588" s="36"/>
      <c r="LS588" s="36"/>
      <c r="LT588" s="36"/>
      <c r="LU588" s="36"/>
      <c r="LV588" s="36"/>
      <c r="LW588" s="36"/>
      <c r="LX588" s="36"/>
      <c r="LY588" s="36"/>
      <c r="LZ588" s="36"/>
      <c r="MA588" s="36"/>
      <c r="MB588" s="36"/>
      <c r="MC588" s="36"/>
      <c r="MD588" s="36"/>
      <c r="ME588" s="36"/>
      <c r="MF588" s="36"/>
      <c r="MG588" s="36"/>
      <c r="MH588" s="36"/>
      <c r="MI588" s="36"/>
      <c r="MJ588" s="36"/>
      <c r="MK588" s="36"/>
      <c r="ML588" s="36"/>
      <c r="MM588" s="36"/>
      <c r="MN588" s="36"/>
      <c r="MO588" s="36"/>
      <c r="MP588" s="36"/>
      <c r="MQ588" s="36"/>
      <c r="MR588" s="36"/>
      <c r="MS588" s="36"/>
      <c r="MT588" s="36"/>
      <c r="MU588" s="36"/>
      <c r="MV588" s="36"/>
      <c r="MW588" s="36"/>
      <c r="MX588" s="36"/>
      <c r="MY588" s="36"/>
      <c r="MZ588" s="36"/>
      <c r="NA588" s="36"/>
      <c r="NB588" s="36"/>
      <c r="NC588" s="36"/>
      <c r="ND588" s="36"/>
      <c r="NE588" s="36"/>
      <c r="NF588" s="36"/>
      <c r="NG588" s="36"/>
      <c r="NH588" s="36"/>
      <c r="NI588" s="36"/>
      <c r="NJ588" s="36"/>
      <c r="NK588" s="36"/>
      <c r="NL588" s="36"/>
      <c r="NM588" s="36"/>
      <c r="NN588" s="36"/>
      <c r="NO588" s="36"/>
      <c r="NP588" s="36"/>
      <c r="NQ588" s="36"/>
      <c r="NR588" s="36"/>
      <c r="NS588" s="36"/>
      <c r="NT588" s="36"/>
      <c r="NU588" s="36"/>
      <c r="NV588" s="36"/>
      <c r="NW588" s="36"/>
      <c r="NX588" s="36"/>
      <c r="NY588" s="36"/>
      <c r="NZ588" s="36"/>
      <c r="OA588" s="36"/>
      <c r="OB588" s="36"/>
      <c r="OC588" s="36"/>
      <c r="OD588" s="36"/>
      <c r="OE588" s="36"/>
      <c r="OF588" s="36"/>
      <c r="OG588" s="36"/>
      <c r="OH588" s="36"/>
      <c r="OI588" s="36"/>
      <c r="OJ588" s="36"/>
      <c r="OK588" s="36"/>
      <c r="OL588" s="36"/>
      <c r="OM588" s="36"/>
      <c r="ON588" s="36"/>
      <c r="OO588" s="36"/>
      <c r="OP588" s="36"/>
      <c r="OQ588" s="36"/>
      <c r="OR588" s="36"/>
      <c r="OS588" s="36"/>
      <c r="OT588" s="36"/>
      <c r="OU588" s="36"/>
      <c r="OV588" s="36"/>
      <c r="OW588" s="36"/>
      <c r="OX588" s="36"/>
    </row>
    <row r="589" spans="2:414" s="27" customFormat="1" ht="15.6">
      <c r="B589" s="51" t="s">
        <v>430</v>
      </c>
      <c r="C589" s="27" t="s">
        <v>44</v>
      </c>
      <c r="D589" s="29" t="s">
        <v>105</v>
      </c>
      <c r="G589" s="49">
        <v>80</v>
      </c>
      <c r="H589" s="89">
        <v>26.109000000000002</v>
      </c>
      <c r="I589" s="38">
        <f t="shared" si="180"/>
        <v>2088.7200000000003</v>
      </c>
      <c r="K589" s="49">
        <v>80</v>
      </c>
      <c r="L589" s="90">
        <v>26.849599999999999</v>
      </c>
      <c r="M589" s="38">
        <f t="shared" si="181"/>
        <v>2147.9679999999998</v>
      </c>
      <c r="O589" s="49">
        <v>505</v>
      </c>
      <c r="P589" s="38">
        <v>26.728300000000001</v>
      </c>
      <c r="Q589" s="38">
        <f t="shared" si="182"/>
        <v>13497.791500000001</v>
      </c>
      <c r="R589" s="43">
        <f t="shared" si="179"/>
        <v>665</v>
      </c>
      <c r="S589" s="38">
        <f t="shared" si="183"/>
        <v>17734.479500000001</v>
      </c>
      <c r="T589" s="27">
        <v>265</v>
      </c>
      <c r="U589" s="52">
        <v>26.38</v>
      </c>
      <c r="V589" s="38">
        <f t="shared" si="176"/>
        <v>6990.7</v>
      </c>
      <c r="W589" s="52">
        <v>480</v>
      </c>
      <c r="X589" s="52">
        <v>26.728300000000001</v>
      </c>
      <c r="Y589" s="35">
        <f t="shared" si="174"/>
        <v>12829.584000000001</v>
      </c>
      <c r="Z589" s="78"/>
      <c r="AF589" s="42">
        <f t="shared" si="177"/>
        <v>0</v>
      </c>
      <c r="AU589" s="100"/>
      <c r="AV589" s="35"/>
      <c r="AW589" s="78"/>
      <c r="AZ589" s="42">
        <f t="shared" si="178"/>
        <v>0</v>
      </c>
      <c r="BD589" s="38">
        <f t="shared" si="184"/>
        <v>0</v>
      </c>
      <c r="BH589" s="38">
        <f t="shared" si="185"/>
        <v>0</v>
      </c>
      <c r="BL589" s="38">
        <f t="shared" si="186"/>
        <v>0</v>
      </c>
      <c r="BR589" s="42">
        <f t="shared" si="187"/>
        <v>19820.284</v>
      </c>
      <c r="BS589" s="43"/>
      <c r="BT589" s="27">
        <v>2085.8000000000002</v>
      </c>
      <c r="BU589" s="36"/>
      <c r="BV589" s="36"/>
      <c r="BW589" s="36"/>
      <c r="BX589" s="36"/>
      <c r="BY589" s="36"/>
      <c r="BZ589" s="36"/>
      <c r="CA589" s="36"/>
      <c r="CB589" s="36"/>
      <c r="CC589" s="36"/>
      <c r="CD589" s="36"/>
      <c r="CE589" s="36"/>
      <c r="CF589" s="36"/>
      <c r="CG589" s="36"/>
      <c r="CH589" s="36"/>
      <c r="CI589" s="36"/>
      <c r="CJ589" s="36"/>
      <c r="CK589" s="36"/>
      <c r="CL589" s="36"/>
      <c r="CM589" s="36"/>
      <c r="CN589" s="36"/>
      <c r="CO589" s="36"/>
      <c r="CP589" s="36"/>
      <c r="CQ589" s="36"/>
      <c r="CR589" s="36"/>
      <c r="CS589" s="36"/>
      <c r="CT589" s="36"/>
      <c r="CU589" s="36"/>
      <c r="CV589" s="36"/>
      <c r="CW589" s="36"/>
      <c r="CX589" s="36"/>
      <c r="CY589" s="36"/>
      <c r="CZ589" s="36"/>
      <c r="DA589" s="36"/>
      <c r="DB589" s="36"/>
      <c r="DC589" s="36"/>
      <c r="DD589" s="36"/>
      <c r="DE589" s="36"/>
      <c r="DF589" s="36"/>
      <c r="DG589" s="36"/>
      <c r="DH589" s="36"/>
      <c r="DI589" s="36"/>
      <c r="DJ589" s="36"/>
      <c r="DK589" s="36"/>
      <c r="DL589" s="36"/>
      <c r="DM589" s="36"/>
      <c r="DN589" s="36"/>
      <c r="DO589" s="36"/>
      <c r="DP589" s="36"/>
      <c r="DQ589" s="36"/>
      <c r="DR589" s="36"/>
      <c r="DS589" s="36"/>
      <c r="DT589" s="36"/>
      <c r="DU589" s="36"/>
      <c r="DV589" s="36"/>
      <c r="DW589" s="36"/>
      <c r="DX589" s="36"/>
      <c r="DY589" s="36"/>
      <c r="DZ589" s="36"/>
      <c r="EA589" s="36"/>
      <c r="EB589" s="36"/>
      <c r="EC589" s="36"/>
      <c r="ED589" s="36"/>
      <c r="EE589" s="36"/>
      <c r="EF589" s="36"/>
      <c r="EG589" s="36"/>
      <c r="EH589" s="36"/>
      <c r="EI589" s="36"/>
      <c r="EJ589" s="36"/>
      <c r="EK589" s="36"/>
      <c r="EL589" s="36"/>
      <c r="EM589" s="36"/>
      <c r="EN589" s="36"/>
      <c r="EO589" s="36"/>
      <c r="EP589" s="36"/>
      <c r="EQ589" s="36"/>
      <c r="ER589" s="36"/>
      <c r="ES589" s="36"/>
      <c r="ET589" s="36"/>
      <c r="EU589" s="36"/>
      <c r="EV589" s="36"/>
      <c r="EW589" s="36"/>
      <c r="EX589" s="36"/>
      <c r="EY589" s="36"/>
      <c r="EZ589" s="36"/>
      <c r="FA589" s="36"/>
      <c r="FB589" s="36"/>
      <c r="FC589" s="36"/>
      <c r="FD589" s="36"/>
      <c r="FE589" s="36"/>
      <c r="FF589" s="36"/>
      <c r="FG589" s="36"/>
      <c r="FH589" s="36"/>
      <c r="FI589" s="36"/>
      <c r="FJ589" s="36"/>
      <c r="FK589" s="36"/>
      <c r="FL589" s="36"/>
      <c r="FM589" s="36"/>
      <c r="FN589" s="36"/>
      <c r="FO589" s="36"/>
      <c r="FP589" s="36"/>
      <c r="FQ589" s="36"/>
      <c r="FR589" s="36"/>
      <c r="FS589" s="36"/>
      <c r="FT589" s="36"/>
      <c r="FU589" s="36"/>
      <c r="FV589" s="36"/>
      <c r="FW589" s="36"/>
      <c r="FX589" s="36"/>
      <c r="FY589" s="36"/>
      <c r="FZ589" s="36"/>
      <c r="GA589" s="36"/>
      <c r="GB589" s="36"/>
      <c r="GC589" s="36"/>
      <c r="GD589" s="36"/>
      <c r="GE589" s="36"/>
      <c r="GF589" s="36"/>
      <c r="GG589" s="36"/>
      <c r="GH589" s="36"/>
      <c r="GI589" s="36"/>
      <c r="GJ589" s="36"/>
      <c r="GK589" s="36"/>
      <c r="GL589" s="36"/>
      <c r="GM589" s="36"/>
      <c r="GN589" s="36"/>
      <c r="GO589" s="36"/>
      <c r="GP589" s="36"/>
      <c r="GQ589" s="36"/>
      <c r="GR589" s="36"/>
      <c r="GS589" s="36"/>
      <c r="GT589" s="36"/>
      <c r="GU589" s="36"/>
      <c r="GV589" s="36"/>
      <c r="GW589" s="36"/>
      <c r="GX589" s="36"/>
      <c r="GY589" s="36"/>
      <c r="GZ589" s="36"/>
      <c r="HA589" s="36"/>
      <c r="HB589" s="36"/>
      <c r="HC589" s="36"/>
      <c r="HD589" s="36"/>
      <c r="HE589" s="36"/>
      <c r="HF589" s="36"/>
      <c r="HG589" s="36"/>
      <c r="HH589" s="36"/>
      <c r="HI589" s="36"/>
      <c r="HJ589" s="36"/>
      <c r="HK589" s="36"/>
      <c r="HL589" s="36"/>
      <c r="HM589" s="36"/>
      <c r="HN589" s="36"/>
      <c r="HO589" s="36"/>
      <c r="HP589" s="36"/>
      <c r="HQ589" s="36"/>
      <c r="HR589" s="36"/>
      <c r="HS589" s="36"/>
      <c r="HT589" s="36"/>
      <c r="HU589" s="36"/>
      <c r="HV589" s="36"/>
      <c r="HW589" s="36"/>
      <c r="HX589" s="36"/>
      <c r="HY589" s="36"/>
      <c r="HZ589" s="36"/>
      <c r="IA589" s="36"/>
      <c r="IB589" s="36"/>
      <c r="IC589" s="36"/>
      <c r="ID589" s="36"/>
      <c r="IE589" s="36"/>
      <c r="IF589" s="36"/>
      <c r="IG589" s="36"/>
      <c r="IH589" s="36"/>
      <c r="II589" s="36"/>
      <c r="IJ589" s="36"/>
      <c r="IK589" s="36"/>
      <c r="IL589" s="36"/>
      <c r="IM589" s="36"/>
      <c r="IN589" s="36"/>
      <c r="IO589" s="36"/>
      <c r="IP589" s="36"/>
      <c r="IQ589" s="36"/>
      <c r="IR589" s="36"/>
      <c r="IS589" s="36"/>
      <c r="IT589" s="36"/>
      <c r="IU589" s="36"/>
      <c r="IV589" s="36"/>
      <c r="IW589" s="36"/>
      <c r="IX589" s="36"/>
      <c r="IY589" s="36"/>
      <c r="IZ589" s="36"/>
      <c r="JA589" s="36"/>
      <c r="JB589" s="36"/>
      <c r="JC589" s="36"/>
      <c r="JD589" s="36"/>
      <c r="JE589" s="36"/>
      <c r="JF589" s="36"/>
      <c r="JG589" s="36"/>
      <c r="JH589" s="36"/>
      <c r="JI589" s="36"/>
      <c r="JJ589" s="36"/>
      <c r="JK589" s="36"/>
      <c r="JL589" s="36"/>
      <c r="JM589" s="36"/>
      <c r="JN589" s="36"/>
      <c r="JO589" s="36"/>
      <c r="JP589" s="36"/>
      <c r="JQ589" s="36"/>
      <c r="JR589" s="36"/>
      <c r="JS589" s="36"/>
      <c r="JT589" s="36"/>
      <c r="JU589" s="36"/>
      <c r="JV589" s="36"/>
      <c r="JW589" s="36"/>
      <c r="JX589" s="36"/>
      <c r="JY589" s="36"/>
      <c r="JZ589" s="36"/>
      <c r="KA589" s="36"/>
      <c r="KB589" s="36"/>
      <c r="KC589" s="36"/>
      <c r="KD589" s="36"/>
      <c r="KE589" s="36"/>
      <c r="KF589" s="36"/>
      <c r="KG589" s="36"/>
      <c r="KH589" s="36"/>
      <c r="KI589" s="36"/>
      <c r="KJ589" s="36"/>
      <c r="KK589" s="36"/>
      <c r="KL589" s="36"/>
      <c r="KM589" s="36"/>
      <c r="KN589" s="36"/>
      <c r="KO589" s="36"/>
      <c r="KP589" s="36"/>
      <c r="KQ589" s="36"/>
      <c r="KR589" s="36"/>
      <c r="KS589" s="36"/>
      <c r="KT589" s="36"/>
      <c r="KU589" s="36"/>
      <c r="KV589" s="36"/>
      <c r="KW589" s="36"/>
      <c r="KX589" s="36"/>
      <c r="KY589" s="36"/>
      <c r="KZ589" s="36"/>
      <c r="LA589" s="36"/>
      <c r="LB589" s="36"/>
      <c r="LC589" s="36"/>
      <c r="LD589" s="36"/>
      <c r="LE589" s="36"/>
      <c r="LF589" s="36"/>
      <c r="LG589" s="36"/>
      <c r="LH589" s="36"/>
      <c r="LI589" s="36"/>
      <c r="LJ589" s="36"/>
      <c r="LK589" s="36"/>
      <c r="LL589" s="36"/>
      <c r="LM589" s="36"/>
      <c r="LN589" s="36"/>
      <c r="LO589" s="36"/>
      <c r="LP589" s="36"/>
      <c r="LQ589" s="36"/>
      <c r="LR589" s="36"/>
      <c r="LS589" s="36"/>
      <c r="LT589" s="36"/>
      <c r="LU589" s="36"/>
      <c r="LV589" s="36"/>
      <c r="LW589" s="36"/>
      <c r="LX589" s="36"/>
      <c r="LY589" s="36"/>
      <c r="LZ589" s="36"/>
      <c r="MA589" s="36"/>
      <c r="MB589" s="36"/>
      <c r="MC589" s="36"/>
      <c r="MD589" s="36"/>
      <c r="ME589" s="36"/>
      <c r="MF589" s="36"/>
      <c r="MG589" s="36"/>
      <c r="MH589" s="36"/>
      <c r="MI589" s="36"/>
      <c r="MJ589" s="36"/>
      <c r="MK589" s="36"/>
      <c r="ML589" s="36"/>
      <c r="MM589" s="36"/>
      <c r="MN589" s="36"/>
      <c r="MO589" s="36"/>
      <c r="MP589" s="36"/>
      <c r="MQ589" s="36"/>
      <c r="MR589" s="36"/>
      <c r="MS589" s="36"/>
      <c r="MT589" s="36"/>
      <c r="MU589" s="36"/>
      <c r="MV589" s="36"/>
      <c r="MW589" s="36"/>
      <c r="MX589" s="36"/>
      <c r="MY589" s="36"/>
      <c r="MZ589" s="36"/>
      <c r="NA589" s="36"/>
      <c r="NB589" s="36"/>
      <c r="NC589" s="36"/>
      <c r="ND589" s="36"/>
      <c r="NE589" s="36"/>
      <c r="NF589" s="36"/>
      <c r="NG589" s="36"/>
      <c r="NH589" s="36"/>
      <c r="NI589" s="36"/>
      <c r="NJ589" s="36"/>
      <c r="NK589" s="36"/>
      <c r="NL589" s="36"/>
      <c r="NM589" s="36"/>
      <c r="NN589" s="36"/>
      <c r="NO589" s="36"/>
      <c r="NP589" s="36"/>
      <c r="NQ589" s="36"/>
      <c r="NR589" s="36"/>
      <c r="NS589" s="36"/>
      <c r="NT589" s="36"/>
      <c r="NU589" s="36"/>
      <c r="NV589" s="36"/>
      <c r="NW589" s="36"/>
      <c r="NX589" s="36"/>
      <c r="NY589" s="36"/>
      <c r="NZ589" s="36"/>
      <c r="OA589" s="36"/>
      <c r="OB589" s="36"/>
      <c r="OC589" s="36"/>
      <c r="OD589" s="36"/>
      <c r="OE589" s="36"/>
      <c r="OF589" s="36"/>
      <c r="OG589" s="36"/>
      <c r="OH589" s="36"/>
      <c r="OI589" s="36"/>
      <c r="OJ589" s="36"/>
      <c r="OK589" s="36"/>
      <c r="OL589" s="36"/>
      <c r="OM589" s="36"/>
      <c r="ON589" s="36"/>
      <c r="OO589" s="36"/>
      <c r="OP589" s="36"/>
      <c r="OQ589" s="36"/>
      <c r="OR589" s="36"/>
      <c r="OS589" s="36"/>
      <c r="OT589" s="36"/>
      <c r="OU589" s="36"/>
      <c r="OV589" s="36"/>
      <c r="OW589" s="36"/>
      <c r="OX589" s="36"/>
    </row>
    <row r="590" spans="2:414" s="27" customFormat="1" ht="15.6">
      <c r="B590" s="51" t="s">
        <v>1088</v>
      </c>
      <c r="C590" s="27" t="s">
        <v>1094</v>
      </c>
      <c r="D590" s="29" t="s">
        <v>105</v>
      </c>
      <c r="G590" s="49">
        <v>80</v>
      </c>
      <c r="H590" s="89">
        <v>26.109000000000002</v>
      </c>
      <c r="I590" s="38">
        <f t="shared" si="180"/>
        <v>2088.7200000000003</v>
      </c>
      <c r="K590" s="49">
        <v>80</v>
      </c>
      <c r="L590" s="90">
        <v>26.849599999999999</v>
      </c>
      <c r="M590" s="38">
        <f t="shared" si="181"/>
        <v>2147.9679999999998</v>
      </c>
      <c r="O590" s="49">
        <v>505</v>
      </c>
      <c r="P590" s="38">
        <v>26.728300000000001</v>
      </c>
      <c r="Q590" s="38">
        <f t="shared" si="182"/>
        <v>13497.791500000001</v>
      </c>
      <c r="R590" s="43">
        <f t="shared" si="179"/>
        <v>665</v>
      </c>
      <c r="S590" s="38">
        <f t="shared" si="183"/>
        <v>17734.479500000001</v>
      </c>
      <c r="T590" s="27">
        <v>240</v>
      </c>
      <c r="U590" s="52">
        <v>26.7498</v>
      </c>
      <c r="V590" s="38">
        <f t="shared" si="176"/>
        <v>6419.9520000000002</v>
      </c>
      <c r="W590" s="52">
        <v>390</v>
      </c>
      <c r="X590" s="52">
        <v>26.555099999999999</v>
      </c>
      <c r="Y590" s="35">
        <f t="shared" si="174"/>
        <v>10356.489</v>
      </c>
      <c r="Z590" s="78"/>
      <c r="AF590" s="42">
        <f t="shared" si="177"/>
        <v>0</v>
      </c>
      <c r="AU590" s="100"/>
      <c r="AV590" s="35"/>
      <c r="AW590" s="78"/>
      <c r="AZ590" s="42">
        <f t="shared" si="178"/>
        <v>0</v>
      </c>
      <c r="BD590" s="38">
        <f t="shared" si="184"/>
        <v>0</v>
      </c>
      <c r="BH590" s="38">
        <f t="shared" si="185"/>
        <v>0</v>
      </c>
      <c r="BL590" s="38">
        <f t="shared" si="186"/>
        <v>0</v>
      </c>
      <c r="BR590" s="42">
        <f t="shared" si="187"/>
        <v>16776.440999999999</v>
      </c>
      <c r="BS590" s="43">
        <f t="shared" ref="BS590:BS649" si="188">S590-BR590</f>
        <v>958.03850000000239</v>
      </c>
      <c r="BU590" s="36"/>
      <c r="BV590" s="36"/>
      <c r="BW590" s="36"/>
      <c r="BX590" s="36"/>
      <c r="BY590" s="36"/>
      <c r="BZ590" s="36"/>
      <c r="CA590" s="36"/>
      <c r="CB590" s="36"/>
      <c r="CC590" s="36"/>
      <c r="CD590" s="36"/>
      <c r="CE590" s="36"/>
      <c r="CF590" s="36"/>
      <c r="CG590" s="36"/>
      <c r="CH590" s="36"/>
      <c r="CI590" s="36"/>
      <c r="CJ590" s="36"/>
      <c r="CK590" s="36"/>
      <c r="CL590" s="36"/>
      <c r="CM590" s="36"/>
      <c r="CN590" s="36"/>
      <c r="CO590" s="36"/>
      <c r="CP590" s="36"/>
      <c r="CQ590" s="36"/>
      <c r="CR590" s="36"/>
      <c r="CS590" s="36"/>
      <c r="CT590" s="36"/>
      <c r="CU590" s="36"/>
      <c r="CV590" s="36"/>
      <c r="CW590" s="36"/>
      <c r="CX590" s="36"/>
      <c r="CY590" s="36"/>
      <c r="CZ590" s="36"/>
      <c r="DA590" s="36"/>
      <c r="DB590" s="36"/>
      <c r="DC590" s="36"/>
      <c r="DD590" s="36"/>
      <c r="DE590" s="36"/>
      <c r="DF590" s="36"/>
      <c r="DG590" s="36"/>
      <c r="DH590" s="36"/>
      <c r="DI590" s="36"/>
      <c r="DJ590" s="36"/>
      <c r="DK590" s="36"/>
      <c r="DL590" s="36"/>
      <c r="DM590" s="36"/>
      <c r="DN590" s="36"/>
      <c r="DO590" s="36"/>
      <c r="DP590" s="36"/>
      <c r="DQ590" s="36"/>
      <c r="DR590" s="36"/>
      <c r="DS590" s="36"/>
      <c r="DT590" s="36"/>
      <c r="DU590" s="36"/>
      <c r="DV590" s="36"/>
      <c r="DW590" s="36"/>
      <c r="DX590" s="36"/>
      <c r="DY590" s="36"/>
      <c r="DZ590" s="36"/>
      <c r="EA590" s="36"/>
      <c r="EB590" s="36"/>
      <c r="EC590" s="36"/>
      <c r="ED590" s="36"/>
      <c r="EE590" s="36"/>
      <c r="EF590" s="36"/>
      <c r="EG590" s="36"/>
      <c r="EH590" s="36"/>
      <c r="EI590" s="36"/>
      <c r="EJ590" s="36"/>
      <c r="EK590" s="36"/>
      <c r="EL590" s="36"/>
      <c r="EM590" s="36"/>
      <c r="EN590" s="36"/>
      <c r="EO590" s="36"/>
      <c r="EP590" s="36"/>
      <c r="EQ590" s="36"/>
      <c r="ER590" s="36"/>
      <c r="ES590" s="36"/>
      <c r="ET590" s="36"/>
      <c r="EU590" s="36"/>
      <c r="EV590" s="36"/>
      <c r="EW590" s="36"/>
      <c r="EX590" s="36"/>
      <c r="EY590" s="36"/>
      <c r="EZ590" s="36"/>
      <c r="FA590" s="36"/>
      <c r="FB590" s="36"/>
      <c r="FC590" s="36"/>
      <c r="FD590" s="36"/>
      <c r="FE590" s="36"/>
      <c r="FF590" s="36"/>
      <c r="FG590" s="36"/>
      <c r="FH590" s="36"/>
      <c r="FI590" s="36"/>
      <c r="FJ590" s="36"/>
      <c r="FK590" s="36"/>
      <c r="FL590" s="36"/>
      <c r="FM590" s="36"/>
      <c r="FN590" s="36"/>
      <c r="FO590" s="36"/>
      <c r="FP590" s="36"/>
      <c r="FQ590" s="36"/>
      <c r="FR590" s="36"/>
      <c r="FS590" s="36"/>
      <c r="FT590" s="36"/>
      <c r="FU590" s="36"/>
      <c r="FV590" s="36"/>
      <c r="FW590" s="36"/>
      <c r="FX590" s="36"/>
      <c r="FY590" s="36"/>
      <c r="FZ590" s="36"/>
      <c r="GA590" s="36"/>
      <c r="GB590" s="36"/>
      <c r="GC590" s="36"/>
      <c r="GD590" s="36"/>
      <c r="GE590" s="36"/>
      <c r="GF590" s="36"/>
      <c r="GG590" s="36"/>
      <c r="GH590" s="36"/>
      <c r="GI590" s="36"/>
      <c r="GJ590" s="36"/>
      <c r="GK590" s="36"/>
      <c r="GL590" s="36"/>
      <c r="GM590" s="36"/>
      <c r="GN590" s="36"/>
      <c r="GO590" s="36"/>
      <c r="GP590" s="36"/>
      <c r="GQ590" s="36"/>
      <c r="GR590" s="36"/>
      <c r="GS590" s="36"/>
      <c r="GT590" s="36"/>
      <c r="GU590" s="36"/>
      <c r="GV590" s="36"/>
      <c r="GW590" s="36"/>
      <c r="GX590" s="36"/>
      <c r="GY590" s="36"/>
      <c r="GZ590" s="36"/>
      <c r="HA590" s="36"/>
      <c r="HB590" s="36"/>
      <c r="HC590" s="36"/>
      <c r="HD590" s="36"/>
      <c r="HE590" s="36"/>
      <c r="HF590" s="36"/>
      <c r="HG590" s="36"/>
      <c r="HH590" s="36"/>
      <c r="HI590" s="36"/>
      <c r="HJ590" s="36"/>
      <c r="HK590" s="36"/>
      <c r="HL590" s="36"/>
      <c r="HM590" s="36"/>
      <c r="HN590" s="36"/>
      <c r="HO590" s="36"/>
      <c r="HP590" s="36"/>
      <c r="HQ590" s="36"/>
      <c r="HR590" s="36"/>
      <c r="HS590" s="36"/>
      <c r="HT590" s="36"/>
      <c r="HU590" s="36"/>
      <c r="HV590" s="36"/>
      <c r="HW590" s="36"/>
      <c r="HX590" s="36"/>
      <c r="HY590" s="36"/>
      <c r="HZ590" s="36"/>
      <c r="IA590" s="36"/>
      <c r="IB590" s="36"/>
      <c r="IC590" s="36"/>
      <c r="ID590" s="36"/>
      <c r="IE590" s="36"/>
      <c r="IF590" s="36"/>
      <c r="IG590" s="36"/>
      <c r="IH590" s="36"/>
      <c r="II590" s="36"/>
      <c r="IJ590" s="36"/>
      <c r="IK590" s="36"/>
      <c r="IL590" s="36"/>
      <c r="IM590" s="36"/>
      <c r="IN590" s="36"/>
      <c r="IO590" s="36"/>
      <c r="IP590" s="36"/>
      <c r="IQ590" s="36"/>
      <c r="IR590" s="36"/>
      <c r="IS590" s="36"/>
      <c r="IT590" s="36"/>
      <c r="IU590" s="36"/>
      <c r="IV590" s="36"/>
      <c r="IW590" s="36"/>
      <c r="IX590" s="36"/>
      <c r="IY590" s="36"/>
      <c r="IZ590" s="36"/>
      <c r="JA590" s="36"/>
      <c r="JB590" s="36"/>
      <c r="JC590" s="36"/>
      <c r="JD590" s="36"/>
      <c r="JE590" s="36"/>
      <c r="JF590" s="36"/>
      <c r="JG590" s="36"/>
      <c r="JH590" s="36"/>
      <c r="JI590" s="36"/>
      <c r="JJ590" s="36"/>
      <c r="JK590" s="36"/>
      <c r="JL590" s="36"/>
      <c r="JM590" s="36"/>
      <c r="JN590" s="36"/>
      <c r="JO590" s="36"/>
      <c r="JP590" s="36"/>
      <c r="JQ590" s="36"/>
      <c r="JR590" s="36"/>
      <c r="JS590" s="36"/>
      <c r="JT590" s="36"/>
      <c r="JU590" s="36"/>
      <c r="JV590" s="36"/>
      <c r="JW590" s="36"/>
      <c r="JX590" s="36"/>
      <c r="JY590" s="36"/>
      <c r="JZ590" s="36"/>
      <c r="KA590" s="36"/>
      <c r="KB590" s="36"/>
      <c r="KC590" s="36"/>
      <c r="KD590" s="36"/>
      <c r="KE590" s="36"/>
      <c r="KF590" s="36"/>
      <c r="KG590" s="36"/>
      <c r="KH590" s="36"/>
      <c r="KI590" s="36"/>
      <c r="KJ590" s="36"/>
      <c r="KK590" s="36"/>
      <c r="KL590" s="36"/>
      <c r="KM590" s="36"/>
      <c r="KN590" s="36"/>
      <c r="KO590" s="36"/>
      <c r="KP590" s="36"/>
      <c r="KQ590" s="36"/>
      <c r="KR590" s="36"/>
      <c r="KS590" s="36"/>
      <c r="KT590" s="36"/>
      <c r="KU590" s="36"/>
      <c r="KV590" s="36"/>
      <c r="KW590" s="36"/>
      <c r="KX590" s="36"/>
      <c r="KY590" s="36"/>
      <c r="KZ590" s="36"/>
      <c r="LA590" s="36"/>
      <c r="LB590" s="36"/>
      <c r="LC590" s="36"/>
      <c r="LD590" s="36"/>
      <c r="LE590" s="36"/>
      <c r="LF590" s="36"/>
      <c r="LG590" s="36"/>
      <c r="LH590" s="36"/>
      <c r="LI590" s="36"/>
      <c r="LJ590" s="36"/>
      <c r="LK590" s="36"/>
      <c r="LL590" s="36"/>
      <c r="LM590" s="36"/>
      <c r="LN590" s="36"/>
      <c r="LO590" s="36"/>
      <c r="LP590" s="36"/>
      <c r="LQ590" s="36"/>
      <c r="LR590" s="36"/>
      <c r="LS590" s="36"/>
      <c r="LT590" s="36"/>
      <c r="LU590" s="36"/>
      <c r="LV590" s="36"/>
      <c r="LW590" s="36"/>
      <c r="LX590" s="36"/>
      <c r="LY590" s="36"/>
      <c r="LZ590" s="36"/>
      <c r="MA590" s="36"/>
      <c r="MB590" s="36"/>
      <c r="MC590" s="36"/>
      <c r="MD590" s="36"/>
      <c r="ME590" s="36"/>
      <c r="MF590" s="36"/>
      <c r="MG590" s="36"/>
      <c r="MH590" s="36"/>
      <c r="MI590" s="36"/>
      <c r="MJ590" s="36"/>
      <c r="MK590" s="36"/>
      <c r="ML590" s="36"/>
      <c r="MM590" s="36"/>
      <c r="MN590" s="36"/>
      <c r="MO590" s="36"/>
      <c r="MP590" s="36"/>
      <c r="MQ590" s="36"/>
      <c r="MR590" s="36"/>
      <c r="MS590" s="36"/>
      <c r="MT590" s="36"/>
      <c r="MU590" s="36"/>
      <c r="MV590" s="36"/>
      <c r="MW590" s="36"/>
      <c r="MX590" s="36"/>
      <c r="MY590" s="36"/>
      <c r="MZ590" s="36"/>
      <c r="NA590" s="36"/>
      <c r="NB590" s="36"/>
      <c r="NC590" s="36"/>
      <c r="ND590" s="36"/>
      <c r="NE590" s="36"/>
      <c r="NF590" s="36"/>
      <c r="NG590" s="36"/>
      <c r="NH590" s="36"/>
      <c r="NI590" s="36"/>
      <c r="NJ590" s="36"/>
      <c r="NK590" s="36"/>
      <c r="NL590" s="36"/>
      <c r="NM590" s="36"/>
      <c r="NN590" s="36"/>
      <c r="NO590" s="36"/>
      <c r="NP590" s="36"/>
      <c r="NQ590" s="36"/>
      <c r="NR590" s="36"/>
      <c r="NS590" s="36"/>
      <c r="NT590" s="36"/>
      <c r="NU590" s="36"/>
      <c r="NV590" s="36"/>
      <c r="NW590" s="36"/>
      <c r="NX590" s="36"/>
      <c r="NY590" s="36"/>
      <c r="NZ590" s="36"/>
      <c r="OA590" s="36"/>
      <c r="OB590" s="36"/>
      <c r="OC590" s="36"/>
      <c r="OD590" s="36"/>
      <c r="OE590" s="36"/>
      <c r="OF590" s="36"/>
      <c r="OG590" s="36"/>
      <c r="OH590" s="36"/>
      <c r="OI590" s="36"/>
      <c r="OJ590" s="36"/>
      <c r="OK590" s="36"/>
      <c r="OL590" s="36"/>
      <c r="OM590" s="36"/>
      <c r="ON590" s="36"/>
      <c r="OO590" s="36"/>
      <c r="OP590" s="36"/>
      <c r="OQ590" s="36"/>
      <c r="OR590" s="36"/>
      <c r="OS590" s="36"/>
      <c r="OT590" s="36"/>
      <c r="OU590" s="36"/>
      <c r="OV590" s="36"/>
      <c r="OW590" s="36"/>
      <c r="OX590" s="36"/>
    </row>
    <row r="591" spans="2:414" s="27" customFormat="1" ht="15.6">
      <c r="B591" s="51" t="s">
        <v>212</v>
      </c>
      <c r="C591" s="27" t="s">
        <v>1095</v>
      </c>
      <c r="D591" s="29" t="s">
        <v>105</v>
      </c>
      <c r="G591" s="49">
        <v>80</v>
      </c>
      <c r="H591" s="89">
        <v>26.109000000000002</v>
      </c>
      <c r="I591" s="38">
        <f t="shared" si="180"/>
        <v>2088.7200000000003</v>
      </c>
      <c r="K591" s="49">
        <v>80</v>
      </c>
      <c r="L591" s="90">
        <v>26.849599999999999</v>
      </c>
      <c r="M591" s="38">
        <f t="shared" si="181"/>
        <v>2147.9679999999998</v>
      </c>
      <c r="O591" s="49">
        <v>505</v>
      </c>
      <c r="P591" s="38">
        <v>26.728300000000001</v>
      </c>
      <c r="Q591" s="38">
        <f t="shared" si="182"/>
        <v>13497.791500000001</v>
      </c>
      <c r="R591" s="43">
        <f t="shared" si="179"/>
        <v>665</v>
      </c>
      <c r="S591" s="38">
        <f t="shared" si="183"/>
        <v>17734.479500000001</v>
      </c>
      <c r="T591" s="27">
        <v>240</v>
      </c>
      <c r="U591" s="52">
        <v>26.7498</v>
      </c>
      <c r="V591" s="38">
        <f t="shared" si="176"/>
        <v>6419.9520000000002</v>
      </c>
      <c r="W591" s="52">
        <v>390</v>
      </c>
      <c r="X591" s="52">
        <v>26.555099999999999</v>
      </c>
      <c r="Y591" s="35">
        <f t="shared" si="174"/>
        <v>10356.489</v>
      </c>
      <c r="Z591" s="78"/>
      <c r="AF591" s="42">
        <f t="shared" si="177"/>
        <v>0</v>
      </c>
      <c r="AU591" s="100"/>
      <c r="AV591" s="35"/>
      <c r="AW591" s="78"/>
      <c r="AZ591" s="42">
        <f t="shared" si="178"/>
        <v>0</v>
      </c>
      <c r="BD591" s="38">
        <f t="shared" si="184"/>
        <v>0</v>
      </c>
      <c r="BH591" s="38">
        <f t="shared" si="185"/>
        <v>0</v>
      </c>
      <c r="BL591" s="38">
        <f t="shared" si="186"/>
        <v>0</v>
      </c>
      <c r="BR591" s="42">
        <f t="shared" si="187"/>
        <v>16776.440999999999</v>
      </c>
      <c r="BS591" s="43">
        <f t="shared" si="188"/>
        <v>958.03850000000239</v>
      </c>
      <c r="BU591" s="36"/>
      <c r="BV591" s="36"/>
      <c r="BW591" s="36"/>
      <c r="BX591" s="36"/>
      <c r="BY591" s="36"/>
      <c r="BZ591" s="36"/>
      <c r="CA591" s="36"/>
      <c r="CB591" s="36"/>
      <c r="CC591" s="36"/>
      <c r="CD591" s="36"/>
      <c r="CE591" s="36"/>
      <c r="CF591" s="36"/>
      <c r="CG591" s="36"/>
      <c r="CH591" s="36"/>
      <c r="CI591" s="36"/>
      <c r="CJ591" s="36"/>
      <c r="CK591" s="36"/>
      <c r="CL591" s="36"/>
      <c r="CM591" s="36"/>
      <c r="CN591" s="36"/>
      <c r="CO591" s="36"/>
      <c r="CP591" s="36"/>
      <c r="CQ591" s="36"/>
      <c r="CR591" s="36"/>
      <c r="CS591" s="36"/>
      <c r="CT591" s="36"/>
      <c r="CU591" s="36"/>
      <c r="CV591" s="36"/>
      <c r="CW591" s="36"/>
      <c r="CX591" s="36"/>
      <c r="CY591" s="36"/>
      <c r="CZ591" s="36"/>
      <c r="DA591" s="36"/>
      <c r="DB591" s="36"/>
      <c r="DC591" s="36"/>
      <c r="DD591" s="36"/>
      <c r="DE591" s="36"/>
      <c r="DF591" s="36"/>
      <c r="DG591" s="36"/>
      <c r="DH591" s="36"/>
      <c r="DI591" s="36"/>
      <c r="DJ591" s="36"/>
      <c r="DK591" s="36"/>
      <c r="DL591" s="36"/>
      <c r="DM591" s="36"/>
      <c r="DN591" s="36"/>
      <c r="DO591" s="36"/>
      <c r="DP591" s="36"/>
      <c r="DQ591" s="36"/>
      <c r="DR591" s="36"/>
      <c r="DS591" s="36"/>
      <c r="DT591" s="36"/>
      <c r="DU591" s="36"/>
      <c r="DV591" s="36"/>
      <c r="DW591" s="36"/>
      <c r="DX591" s="36"/>
      <c r="DY591" s="36"/>
      <c r="DZ591" s="36"/>
      <c r="EA591" s="36"/>
      <c r="EB591" s="36"/>
      <c r="EC591" s="36"/>
      <c r="ED591" s="36"/>
      <c r="EE591" s="36"/>
      <c r="EF591" s="36"/>
      <c r="EG591" s="36"/>
      <c r="EH591" s="36"/>
      <c r="EI591" s="36"/>
      <c r="EJ591" s="36"/>
      <c r="EK591" s="36"/>
      <c r="EL591" s="36"/>
      <c r="EM591" s="36"/>
      <c r="EN591" s="36"/>
      <c r="EO591" s="36"/>
      <c r="EP591" s="36"/>
      <c r="EQ591" s="36"/>
      <c r="ER591" s="36"/>
      <c r="ES591" s="36"/>
      <c r="ET591" s="36"/>
      <c r="EU591" s="36"/>
      <c r="EV591" s="36"/>
      <c r="EW591" s="36"/>
      <c r="EX591" s="36"/>
      <c r="EY591" s="36"/>
      <c r="EZ591" s="36"/>
      <c r="FA591" s="36"/>
      <c r="FB591" s="36"/>
      <c r="FC591" s="36"/>
      <c r="FD591" s="36"/>
      <c r="FE591" s="36"/>
      <c r="FF591" s="36"/>
      <c r="FG591" s="36"/>
      <c r="FH591" s="36"/>
      <c r="FI591" s="36"/>
      <c r="FJ591" s="36"/>
      <c r="FK591" s="36"/>
      <c r="FL591" s="36"/>
      <c r="FM591" s="36"/>
      <c r="FN591" s="36"/>
      <c r="FO591" s="36"/>
      <c r="FP591" s="36"/>
      <c r="FQ591" s="36"/>
      <c r="FR591" s="36"/>
      <c r="FS591" s="36"/>
      <c r="FT591" s="36"/>
      <c r="FU591" s="36"/>
      <c r="FV591" s="36"/>
      <c r="FW591" s="36"/>
      <c r="FX591" s="36"/>
      <c r="FY591" s="36"/>
      <c r="FZ591" s="36"/>
      <c r="GA591" s="36"/>
      <c r="GB591" s="36"/>
      <c r="GC591" s="36"/>
      <c r="GD591" s="36"/>
      <c r="GE591" s="36"/>
      <c r="GF591" s="36"/>
      <c r="GG591" s="36"/>
      <c r="GH591" s="36"/>
      <c r="GI591" s="36"/>
      <c r="GJ591" s="36"/>
      <c r="GK591" s="36"/>
      <c r="GL591" s="36"/>
      <c r="GM591" s="36"/>
      <c r="GN591" s="36"/>
      <c r="GO591" s="36"/>
      <c r="GP591" s="36"/>
      <c r="GQ591" s="36"/>
      <c r="GR591" s="36"/>
      <c r="GS591" s="36"/>
      <c r="GT591" s="36"/>
      <c r="GU591" s="36"/>
      <c r="GV591" s="36"/>
      <c r="GW591" s="36"/>
      <c r="GX591" s="36"/>
      <c r="GY591" s="36"/>
      <c r="GZ591" s="36"/>
      <c r="HA591" s="36"/>
      <c r="HB591" s="36"/>
      <c r="HC591" s="36"/>
      <c r="HD591" s="36"/>
      <c r="HE591" s="36"/>
      <c r="HF591" s="36"/>
      <c r="HG591" s="36"/>
      <c r="HH591" s="36"/>
      <c r="HI591" s="36"/>
      <c r="HJ591" s="36"/>
      <c r="HK591" s="36"/>
      <c r="HL591" s="36"/>
      <c r="HM591" s="36"/>
      <c r="HN591" s="36"/>
      <c r="HO591" s="36"/>
      <c r="HP591" s="36"/>
      <c r="HQ591" s="36"/>
      <c r="HR591" s="36"/>
      <c r="HS591" s="36"/>
      <c r="HT591" s="36"/>
      <c r="HU591" s="36"/>
      <c r="HV591" s="36"/>
      <c r="HW591" s="36"/>
      <c r="HX591" s="36"/>
      <c r="HY591" s="36"/>
      <c r="HZ591" s="36"/>
      <c r="IA591" s="36"/>
      <c r="IB591" s="36"/>
      <c r="IC591" s="36"/>
      <c r="ID591" s="36"/>
      <c r="IE591" s="36"/>
      <c r="IF591" s="36"/>
      <c r="IG591" s="36"/>
      <c r="IH591" s="36"/>
      <c r="II591" s="36"/>
      <c r="IJ591" s="36"/>
      <c r="IK591" s="36"/>
      <c r="IL591" s="36"/>
      <c r="IM591" s="36"/>
      <c r="IN591" s="36"/>
      <c r="IO591" s="36"/>
      <c r="IP591" s="36"/>
      <c r="IQ591" s="36"/>
      <c r="IR591" s="36"/>
      <c r="IS591" s="36"/>
      <c r="IT591" s="36"/>
      <c r="IU591" s="36"/>
      <c r="IV591" s="36"/>
      <c r="IW591" s="36"/>
      <c r="IX591" s="36"/>
      <c r="IY591" s="36"/>
      <c r="IZ591" s="36"/>
      <c r="JA591" s="36"/>
      <c r="JB591" s="36"/>
      <c r="JC591" s="36"/>
      <c r="JD591" s="36"/>
      <c r="JE591" s="36"/>
      <c r="JF591" s="36"/>
      <c r="JG591" s="36"/>
      <c r="JH591" s="36"/>
      <c r="JI591" s="36"/>
      <c r="JJ591" s="36"/>
      <c r="JK591" s="36"/>
      <c r="JL591" s="36"/>
      <c r="JM591" s="36"/>
      <c r="JN591" s="36"/>
      <c r="JO591" s="36"/>
      <c r="JP591" s="36"/>
      <c r="JQ591" s="36"/>
      <c r="JR591" s="36"/>
      <c r="JS591" s="36"/>
      <c r="JT591" s="36"/>
      <c r="JU591" s="36"/>
      <c r="JV591" s="36"/>
      <c r="JW591" s="36"/>
      <c r="JX591" s="36"/>
      <c r="JY591" s="36"/>
      <c r="JZ591" s="36"/>
      <c r="KA591" s="36"/>
      <c r="KB591" s="36"/>
      <c r="KC591" s="36"/>
      <c r="KD591" s="36"/>
      <c r="KE591" s="36"/>
      <c r="KF591" s="36"/>
      <c r="KG591" s="36"/>
      <c r="KH591" s="36"/>
      <c r="KI591" s="36"/>
      <c r="KJ591" s="36"/>
      <c r="KK591" s="36"/>
      <c r="KL591" s="36"/>
      <c r="KM591" s="36"/>
      <c r="KN591" s="36"/>
      <c r="KO591" s="36"/>
      <c r="KP591" s="36"/>
      <c r="KQ591" s="36"/>
      <c r="KR591" s="36"/>
      <c r="KS591" s="36"/>
      <c r="KT591" s="36"/>
      <c r="KU591" s="36"/>
      <c r="KV591" s="36"/>
      <c r="KW591" s="36"/>
      <c r="KX591" s="36"/>
      <c r="KY591" s="36"/>
      <c r="KZ591" s="36"/>
      <c r="LA591" s="36"/>
      <c r="LB591" s="36"/>
      <c r="LC591" s="36"/>
      <c r="LD591" s="36"/>
      <c r="LE591" s="36"/>
      <c r="LF591" s="36"/>
      <c r="LG591" s="36"/>
      <c r="LH591" s="36"/>
      <c r="LI591" s="36"/>
      <c r="LJ591" s="36"/>
      <c r="LK591" s="36"/>
      <c r="LL591" s="36"/>
      <c r="LM591" s="36"/>
      <c r="LN591" s="36"/>
      <c r="LO591" s="36"/>
      <c r="LP591" s="36"/>
      <c r="LQ591" s="36"/>
      <c r="LR591" s="36"/>
      <c r="LS591" s="36"/>
      <c r="LT591" s="36"/>
      <c r="LU591" s="36"/>
      <c r="LV591" s="36"/>
      <c r="LW591" s="36"/>
      <c r="LX591" s="36"/>
      <c r="LY591" s="36"/>
      <c r="LZ591" s="36"/>
      <c r="MA591" s="36"/>
      <c r="MB591" s="36"/>
      <c r="MC591" s="36"/>
      <c r="MD591" s="36"/>
      <c r="ME591" s="36"/>
      <c r="MF591" s="36"/>
      <c r="MG591" s="36"/>
      <c r="MH591" s="36"/>
      <c r="MI591" s="36"/>
      <c r="MJ591" s="36"/>
      <c r="MK591" s="36"/>
      <c r="ML591" s="36"/>
      <c r="MM591" s="36"/>
      <c r="MN591" s="36"/>
      <c r="MO591" s="36"/>
      <c r="MP591" s="36"/>
      <c r="MQ591" s="36"/>
      <c r="MR591" s="36"/>
      <c r="MS591" s="36"/>
      <c r="MT591" s="36"/>
      <c r="MU591" s="36"/>
      <c r="MV591" s="36"/>
      <c r="MW591" s="36"/>
      <c r="MX591" s="36"/>
      <c r="MY591" s="36"/>
      <c r="MZ591" s="36"/>
      <c r="NA591" s="36"/>
      <c r="NB591" s="36"/>
      <c r="NC591" s="36"/>
      <c r="ND591" s="36"/>
      <c r="NE591" s="36"/>
      <c r="NF591" s="36"/>
      <c r="NG591" s="36"/>
      <c r="NH591" s="36"/>
      <c r="NI591" s="36"/>
      <c r="NJ591" s="36"/>
      <c r="NK591" s="36"/>
      <c r="NL591" s="36"/>
      <c r="NM591" s="36"/>
      <c r="NN591" s="36"/>
      <c r="NO591" s="36"/>
      <c r="NP591" s="36"/>
      <c r="NQ591" s="36"/>
      <c r="NR591" s="36"/>
      <c r="NS591" s="36"/>
      <c r="NT591" s="36"/>
      <c r="NU591" s="36"/>
      <c r="NV591" s="36"/>
      <c r="NW591" s="36"/>
      <c r="NX591" s="36"/>
      <c r="NY591" s="36"/>
      <c r="NZ591" s="36"/>
      <c r="OA591" s="36"/>
      <c r="OB591" s="36"/>
      <c r="OC591" s="36"/>
      <c r="OD591" s="36"/>
      <c r="OE591" s="36"/>
      <c r="OF591" s="36"/>
      <c r="OG591" s="36"/>
      <c r="OH591" s="36"/>
      <c r="OI591" s="36"/>
      <c r="OJ591" s="36"/>
      <c r="OK591" s="36"/>
      <c r="OL591" s="36"/>
      <c r="OM591" s="36"/>
      <c r="ON591" s="36"/>
      <c r="OO591" s="36"/>
      <c r="OP591" s="36"/>
      <c r="OQ591" s="36"/>
      <c r="OR591" s="36"/>
      <c r="OS591" s="36"/>
      <c r="OT591" s="36"/>
      <c r="OU591" s="36"/>
      <c r="OV591" s="36"/>
      <c r="OW591" s="36"/>
      <c r="OX591" s="36"/>
    </row>
    <row r="592" spans="2:414" s="27" customFormat="1" ht="15.6">
      <c r="B592" s="51" t="s">
        <v>1096</v>
      </c>
      <c r="C592" s="27" t="s">
        <v>17</v>
      </c>
      <c r="D592" s="29" t="s">
        <v>105</v>
      </c>
      <c r="G592" s="49">
        <v>80</v>
      </c>
      <c r="H592" s="89">
        <v>26.109000000000002</v>
      </c>
      <c r="I592" s="38">
        <f t="shared" si="180"/>
        <v>2088.7200000000003</v>
      </c>
      <c r="K592" s="49">
        <v>80</v>
      </c>
      <c r="L592" s="90">
        <v>26.849599999999999</v>
      </c>
      <c r="M592" s="38">
        <f t="shared" si="181"/>
        <v>2147.9679999999998</v>
      </c>
      <c r="O592" s="49">
        <v>505</v>
      </c>
      <c r="P592" s="38">
        <v>26.728300000000001</v>
      </c>
      <c r="Q592" s="38">
        <f t="shared" si="182"/>
        <v>13497.791500000001</v>
      </c>
      <c r="R592" s="43">
        <f t="shared" si="179"/>
        <v>665</v>
      </c>
      <c r="S592" s="38">
        <f t="shared" si="183"/>
        <v>17734.479500000001</v>
      </c>
      <c r="T592" s="27">
        <v>240</v>
      </c>
      <c r="U592" s="52">
        <v>26.8401</v>
      </c>
      <c r="V592" s="38">
        <f t="shared" si="176"/>
        <v>6441.6239999999998</v>
      </c>
      <c r="W592" s="52">
        <v>360</v>
      </c>
      <c r="X592" s="52">
        <v>26.6386</v>
      </c>
      <c r="Y592" s="35">
        <f t="shared" si="174"/>
        <v>9589.8960000000006</v>
      </c>
      <c r="Z592" s="78"/>
      <c r="AF592" s="42">
        <f t="shared" si="177"/>
        <v>0</v>
      </c>
      <c r="AU592" s="100"/>
      <c r="AV592" s="35"/>
      <c r="AW592" s="78"/>
      <c r="AZ592" s="42">
        <f t="shared" si="178"/>
        <v>0</v>
      </c>
      <c r="BD592" s="38">
        <f t="shared" si="184"/>
        <v>0</v>
      </c>
      <c r="BH592" s="38">
        <f t="shared" si="185"/>
        <v>0</v>
      </c>
      <c r="BL592" s="38">
        <f t="shared" si="186"/>
        <v>0</v>
      </c>
      <c r="BR592" s="42">
        <f t="shared" si="187"/>
        <v>16031.52</v>
      </c>
      <c r="BS592" s="43">
        <f t="shared" si="188"/>
        <v>1702.9595000000008</v>
      </c>
      <c r="BU592" s="36"/>
      <c r="BV592" s="36"/>
      <c r="BW592" s="36"/>
      <c r="BX592" s="36"/>
      <c r="BY592" s="36"/>
      <c r="BZ592" s="36"/>
      <c r="CA592" s="36"/>
      <c r="CB592" s="36"/>
      <c r="CC592" s="36"/>
      <c r="CD592" s="36"/>
      <c r="CE592" s="36"/>
      <c r="CF592" s="36"/>
      <c r="CG592" s="36"/>
      <c r="CH592" s="36"/>
      <c r="CI592" s="36"/>
      <c r="CJ592" s="36"/>
      <c r="CK592" s="36"/>
      <c r="CL592" s="36"/>
      <c r="CM592" s="36"/>
      <c r="CN592" s="36"/>
      <c r="CO592" s="36"/>
      <c r="CP592" s="36"/>
      <c r="CQ592" s="36"/>
      <c r="CR592" s="36"/>
      <c r="CS592" s="36"/>
      <c r="CT592" s="36"/>
      <c r="CU592" s="36"/>
      <c r="CV592" s="36"/>
      <c r="CW592" s="36"/>
      <c r="CX592" s="36"/>
      <c r="CY592" s="36"/>
      <c r="CZ592" s="36"/>
      <c r="DA592" s="36"/>
      <c r="DB592" s="36"/>
      <c r="DC592" s="36"/>
      <c r="DD592" s="36"/>
      <c r="DE592" s="36"/>
      <c r="DF592" s="36"/>
      <c r="DG592" s="36"/>
      <c r="DH592" s="36"/>
      <c r="DI592" s="36"/>
      <c r="DJ592" s="36"/>
      <c r="DK592" s="36"/>
      <c r="DL592" s="36"/>
      <c r="DM592" s="36"/>
      <c r="DN592" s="36"/>
      <c r="DO592" s="36"/>
      <c r="DP592" s="36"/>
      <c r="DQ592" s="36"/>
      <c r="DR592" s="36"/>
      <c r="DS592" s="36"/>
      <c r="DT592" s="36"/>
      <c r="DU592" s="36"/>
      <c r="DV592" s="36"/>
      <c r="DW592" s="36"/>
      <c r="DX592" s="36"/>
      <c r="DY592" s="36"/>
      <c r="DZ592" s="36"/>
      <c r="EA592" s="36"/>
      <c r="EB592" s="36"/>
      <c r="EC592" s="36"/>
      <c r="ED592" s="36"/>
      <c r="EE592" s="36"/>
      <c r="EF592" s="36"/>
      <c r="EG592" s="36"/>
      <c r="EH592" s="36"/>
      <c r="EI592" s="36"/>
      <c r="EJ592" s="36"/>
      <c r="EK592" s="36"/>
      <c r="EL592" s="36"/>
      <c r="EM592" s="36"/>
      <c r="EN592" s="36"/>
      <c r="EO592" s="36"/>
      <c r="EP592" s="36"/>
      <c r="EQ592" s="36"/>
      <c r="ER592" s="36"/>
      <c r="ES592" s="36"/>
      <c r="ET592" s="36"/>
      <c r="EU592" s="36"/>
      <c r="EV592" s="36"/>
      <c r="EW592" s="36"/>
      <c r="EX592" s="36"/>
      <c r="EY592" s="36"/>
      <c r="EZ592" s="36"/>
      <c r="FA592" s="36"/>
      <c r="FB592" s="36"/>
      <c r="FC592" s="36"/>
      <c r="FD592" s="36"/>
      <c r="FE592" s="36"/>
      <c r="FF592" s="36"/>
      <c r="FG592" s="36"/>
      <c r="FH592" s="36"/>
      <c r="FI592" s="36"/>
      <c r="FJ592" s="36"/>
      <c r="FK592" s="36"/>
      <c r="FL592" s="36"/>
      <c r="FM592" s="36"/>
      <c r="FN592" s="36"/>
      <c r="FO592" s="36"/>
      <c r="FP592" s="36"/>
      <c r="FQ592" s="36"/>
      <c r="FR592" s="36"/>
      <c r="FS592" s="36"/>
      <c r="FT592" s="36"/>
      <c r="FU592" s="36"/>
      <c r="FV592" s="36"/>
      <c r="FW592" s="36"/>
      <c r="FX592" s="36"/>
      <c r="FY592" s="36"/>
      <c r="FZ592" s="36"/>
      <c r="GA592" s="36"/>
      <c r="GB592" s="36"/>
      <c r="GC592" s="36"/>
      <c r="GD592" s="36"/>
      <c r="GE592" s="36"/>
      <c r="GF592" s="36"/>
      <c r="GG592" s="36"/>
      <c r="GH592" s="36"/>
      <c r="GI592" s="36"/>
      <c r="GJ592" s="36"/>
      <c r="GK592" s="36"/>
      <c r="GL592" s="36"/>
      <c r="GM592" s="36"/>
      <c r="GN592" s="36"/>
      <c r="GO592" s="36"/>
      <c r="GP592" s="36"/>
      <c r="GQ592" s="36"/>
      <c r="GR592" s="36"/>
      <c r="GS592" s="36"/>
      <c r="GT592" s="36"/>
      <c r="GU592" s="36"/>
      <c r="GV592" s="36"/>
      <c r="GW592" s="36"/>
      <c r="GX592" s="36"/>
      <c r="GY592" s="36"/>
      <c r="GZ592" s="36"/>
      <c r="HA592" s="36"/>
      <c r="HB592" s="36"/>
      <c r="HC592" s="36"/>
      <c r="HD592" s="36"/>
      <c r="HE592" s="36"/>
      <c r="HF592" s="36"/>
      <c r="HG592" s="36"/>
      <c r="HH592" s="36"/>
      <c r="HI592" s="36"/>
      <c r="HJ592" s="36"/>
      <c r="HK592" s="36"/>
      <c r="HL592" s="36"/>
      <c r="HM592" s="36"/>
      <c r="HN592" s="36"/>
      <c r="HO592" s="36"/>
      <c r="HP592" s="36"/>
      <c r="HQ592" s="36"/>
      <c r="HR592" s="36"/>
      <c r="HS592" s="36"/>
      <c r="HT592" s="36"/>
      <c r="HU592" s="36"/>
      <c r="HV592" s="36"/>
      <c r="HW592" s="36"/>
      <c r="HX592" s="36"/>
      <c r="HY592" s="36"/>
      <c r="HZ592" s="36"/>
      <c r="IA592" s="36"/>
      <c r="IB592" s="36"/>
      <c r="IC592" s="36"/>
      <c r="ID592" s="36"/>
      <c r="IE592" s="36"/>
      <c r="IF592" s="36"/>
      <c r="IG592" s="36"/>
      <c r="IH592" s="36"/>
      <c r="II592" s="36"/>
      <c r="IJ592" s="36"/>
      <c r="IK592" s="36"/>
      <c r="IL592" s="36"/>
      <c r="IM592" s="36"/>
      <c r="IN592" s="36"/>
      <c r="IO592" s="36"/>
      <c r="IP592" s="36"/>
      <c r="IQ592" s="36"/>
      <c r="IR592" s="36"/>
      <c r="IS592" s="36"/>
      <c r="IT592" s="36"/>
      <c r="IU592" s="36"/>
      <c r="IV592" s="36"/>
      <c r="IW592" s="36"/>
      <c r="IX592" s="36"/>
      <c r="IY592" s="36"/>
      <c r="IZ592" s="36"/>
      <c r="JA592" s="36"/>
      <c r="JB592" s="36"/>
      <c r="JC592" s="36"/>
      <c r="JD592" s="36"/>
      <c r="JE592" s="36"/>
      <c r="JF592" s="36"/>
      <c r="JG592" s="36"/>
      <c r="JH592" s="36"/>
      <c r="JI592" s="36"/>
      <c r="JJ592" s="36"/>
      <c r="JK592" s="36"/>
      <c r="JL592" s="36"/>
      <c r="JM592" s="36"/>
      <c r="JN592" s="36"/>
      <c r="JO592" s="36"/>
      <c r="JP592" s="36"/>
      <c r="JQ592" s="36"/>
      <c r="JR592" s="36"/>
      <c r="JS592" s="36"/>
      <c r="JT592" s="36"/>
      <c r="JU592" s="36"/>
      <c r="JV592" s="36"/>
      <c r="JW592" s="36"/>
      <c r="JX592" s="36"/>
      <c r="JY592" s="36"/>
      <c r="JZ592" s="36"/>
      <c r="KA592" s="36"/>
      <c r="KB592" s="36"/>
      <c r="KC592" s="36"/>
      <c r="KD592" s="36"/>
      <c r="KE592" s="36"/>
      <c r="KF592" s="36"/>
      <c r="KG592" s="36"/>
      <c r="KH592" s="36"/>
      <c r="KI592" s="36"/>
      <c r="KJ592" s="36"/>
      <c r="KK592" s="36"/>
      <c r="KL592" s="36"/>
      <c r="KM592" s="36"/>
      <c r="KN592" s="36"/>
      <c r="KO592" s="36"/>
      <c r="KP592" s="36"/>
      <c r="KQ592" s="36"/>
      <c r="KR592" s="36"/>
      <c r="KS592" s="36"/>
      <c r="KT592" s="36"/>
      <c r="KU592" s="36"/>
      <c r="KV592" s="36"/>
      <c r="KW592" s="36"/>
      <c r="KX592" s="36"/>
      <c r="KY592" s="36"/>
      <c r="KZ592" s="36"/>
      <c r="LA592" s="36"/>
      <c r="LB592" s="36"/>
      <c r="LC592" s="36"/>
      <c r="LD592" s="36"/>
      <c r="LE592" s="36"/>
      <c r="LF592" s="36"/>
      <c r="LG592" s="36"/>
      <c r="LH592" s="36"/>
      <c r="LI592" s="36"/>
      <c r="LJ592" s="36"/>
      <c r="LK592" s="36"/>
      <c r="LL592" s="36"/>
      <c r="LM592" s="36"/>
      <c r="LN592" s="36"/>
      <c r="LO592" s="36"/>
      <c r="LP592" s="36"/>
      <c r="LQ592" s="36"/>
      <c r="LR592" s="36"/>
      <c r="LS592" s="36"/>
      <c r="LT592" s="36"/>
      <c r="LU592" s="36"/>
      <c r="LV592" s="36"/>
      <c r="LW592" s="36"/>
      <c r="LX592" s="36"/>
      <c r="LY592" s="36"/>
      <c r="LZ592" s="36"/>
      <c r="MA592" s="36"/>
      <c r="MB592" s="36"/>
      <c r="MC592" s="36"/>
      <c r="MD592" s="36"/>
      <c r="ME592" s="36"/>
      <c r="MF592" s="36"/>
      <c r="MG592" s="36"/>
      <c r="MH592" s="36"/>
      <c r="MI592" s="36"/>
      <c r="MJ592" s="36"/>
      <c r="MK592" s="36"/>
      <c r="ML592" s="36"/>
      <c r="MM592" s="36"/>
      <c r="MN592" s="36"/>
      <c r="MO592" s="36"/>
      <c r="MP592" s="36"/>
      <c r="MQ592" s="36"/>
      <c r="MR592" s="36"/>
      <c r="MS592" s="36"/>
      <c r="MT592" s="36"/>
      <c r="MU592" s="36"/>
      <c r="MV592" s="36"/>
      <c r="MW592" s="36"/>
      <c r="MX592" s="36"/>
      <c r="MY592" s="36"/>
      <c r="MZ592" s="36"/>
      <c r="NA592" s="36"/>
      <c r="NB592" s="36"/>
      <c r="NC592" s="36"/>
      <c r="ND592" s="36"/>
      <c r="NE592" s="36"/>
      <c r="NF592" s="36"/>
      <c r="NG592" s="36"/>
      <c r="NH592" s="36"/>
      <c r="NI592" s="36"/>
      <c r="NJ592" s="36"/>
      <c r="NK592" s="36"/>
      <c r="NL592" s="36"/>
      <c r="NM592" s="36"/>
      <c r="NN592" s="36"/>
      <c r="NO592" s="36"/>
      <c r="NP592" s="36"/>
      <c r="NQ592" s="36"/>
      <c r="NR592" s="36"/>
      <c r="NS592" s="36"/>
      <c r="NT592" s="36"/>
      <c r="NU592" s="36"/>
      <c r="NV592" s="36"/>
      <c r="NW592" s="36"/>
      <c r="NX592" s="36"/>
      <c r="NY592" s="36"/>
      <c r="NZ592" s="36"/>
      <c r="OA592" s="36"/>
      <c r="OB592" s="36"/>
      <c r="OC592" s="36"/>
      <c r="OD592" s="36"/>
      <c r="OE592" s="36"/>
      <c r="OF592" s="36"/>
      <c r="OG592" s="36"/>
      <c r="OH592" s="36"/>
      <c r="OI592" s="36"/>
      <c r="OJ592" s="36"/>
      <c r="OK592" s="36"/>
      <c r="OL592" s="36"/>
      <c r="OM592" s="36"/>
      <c r="ON592" s="36"/>
      <c r="OO592" s="36"/>
      <c r="OP592" s="36"/>
      <c r="OQ592" s="36"/>
      <c r="OR592" s="36"/>
      <c r="OS592" s="36"/>
      <c r="OT592" s="36"/>
      <c r="OU592" s="36"/>
      <c r="OV592" s="36"/>
      <c r="OW592" s="36"/>
      <c r="OX592" s="36"/>
    </row>
    <row r="593" spans="2:414" s="27" customFormat="1" ht="15.6">
      <c r="B593" s="51" t="s">
        <v>724</v>
      </c>
      <c r="C593" s="27" t="s">
        <v>1097</v>
      </c>
      <c r="D593" s="29" t="s">
        <v>105</v>
      </c>
      <c r="G593" s="49">
        <v>80</v>
      </c>
      <c r="H593" s="89">
        <v>26.109000000000002</v>
      </c>
      <c r="I593" s="38">
        <f t="shared" si="180"/>
        <v>2088.7200000000003</v>
      </c>
      <c r="K593" s="49">
        <v>80</v>
      </c>
      <c r="L593" s="90">
        <v>26.849599999999999</v>
      </c>
      <c r="M593" s="38">
        <f t="shared" si="181"/>
        <v>2147.9679999999998</v>
      </c>
      <c r="O593" s="49">
        <v>505</v>
      </c>
      <c r="P593" s="38">
        <v>26.728300000000001</v>
      </c>
      <c r="Q593" s="38">
        <f t="shared" si="182"/>
        <v>13497.791500000001</v>
      </c>
      <c r="R593" s="43">
        <f t="shared" si="179"/>
        <v>665</v>
      </c>
      <c r="S593" s="38">
        <f t="shared" si="183"/>
        <v>17734.479500000001</v>
      </c>
      <c r="T593" s="27">
        <v>240</v>
      </c>
      <c r="U593" s="52">
        <v>26.38</v>
      </c>
      <c r="V593" s="38">
        <f t="shared" si="176"/>
        <v>6331.2</v>
      </c>
      <c r="W593" s="52">
        <v>505</v>
      </c>
      <c r="X593" s="52">
        <v>26.732500000000002</v>
      </c>
      <c r="Y593" s="35">
        <f t="shared" si="174"/>
        <v>13499.9125</v>
      </c>
      <c r="Z593" s="78"/>
      <c r="AF593" s="42">
        <f t="shared" si="177"/>
        <v>0</v>
      </c>
      <c r="AU593" s="100"/>
      <c r="AV593" s="35"/>
      <c r="AW593" s="78"/>
      <c r="AZ593" s="42">
        <f t="shared" si="178"/>
        <v>0</v>
      </c>
      <c r="BD593" s="38">
        <f t="shared" si="184"/>
        <v>0</v>
      </c>
      <c r="BH593" s="38">
        <f t="shared" si="185"/>
        <v>0</v>
      </c>
      <c r="BL593" s="38">
        <f t="shared" si="186"/>
        <v>0</v>
      </c>
      <c r="BR593" s="42">
        <f t="shared" si="187"/>
        <v>19831.112499999999</v>
      </c>
      <c r="BS593" s="43"/>
      <c r="BT593" s="27">
        <v>2096.63</v>
      </c>
      <c r="BU593" s="36"/>
      <c r="BV593" s="36"/>
      <c r="BW593" s="36"/>
      <c r="BX593" s="36"/>
      <c r="BY593" s="36"/>
      <c r="BZ593" s="36"/>
      <c r="CA593" s="36"/>
      <c r="CB593" s="36"/>
      <c r="CC593" s="36"/>
      <c r="CD593" s="36"/>
      <c r="CE593" s="36"/>
      <c r="CF593" s="36"/>
      <c r="CG593" s="36"/>
      <c r="CH593" s="36"/>
      <c r="CI593" s="36"/>
      <c r="CJ593" s="36"/>
      <c r="CK593" s="36"/>
      <c r="CL593" s="36"/>
      <c r="CM593" s="36"/>
      <c r="CN593" s="36"/>
      <c r="CO593" s="36"/>
      <c r="CP593" s="36"/>
      <c r="CQ593" s="36"/>
      <c r="CR593" s="36"/>
      <c r="CS593" s="36"/>
      <c r="CT593" s="36"/>
      <c r="CU593" s="36"/>
      <c r="CV593" s="36"/>
      <c r="CW593" s="36"/>
      <c r="CX593" s="36"/>
      <c r="CY593" s="36"/>
      <c r="CZ593" s="36"/>
      <c r="DA593" s="36"/>
      <c r="DB593" s="36"/>
      <c r="DC593" s="36"/>
      <c r="DD593" s="36"/>
      <c r="DE593" s="36"/>
      <c r="DF593" s="36"/>
      <c r="DG593" s="36"/>
      <c r="DH593" s="36"/>
      <c r="DI593" s="36"/>
      <c r="DJ593" s="36"/>
      <c r="DK593" s="36"/>
      <c r="DL593" s="36"/>
      <c r="DM593" s="36"/>
      <c r="DN593" s="36"/>
      <c r="DO593" s="36"/>
      <c r="DP593" s="36"/>
      <c r="DQ593" s="36"/>
      <c r="DR593" s="36"/>
      <c r="DS593" s="36"/>
      <c r="DT593" s="36"/>
      <c r="DU593" s="36"/>
      <c r="DV593" s="36"/>
      <c r="DW593" s="36"/>
      <c r="DX593" s="36"/>
      <c r="DY593" s="36"/>
      <c r="DZ593" s="36"/>
      <c r="EA593" s="36"/>
      <c r="EB593" s="36"/>
      <c r="EC593" s="36"/>
      <c r="ED593" s="36"/>
      <c r="EE593" s="36"/>
      <c r="EF593" s="36"/>
      <c r="EG593" s="36"/>
      <c r="EH593" s="36"/>
      <c r="EI593" s="36"/>
      <c r="EJ593" s="36"/>
      <c r="EK593" s="36"/>
      <c r="EL593" s="36"/>
      <c r="EM593" s="36"/>
      <c r="EN593" s="36"/>
      <c r="EO593" s="36"/>
      <c r="EP593" s="36"/>
      <c r="EQ593" s="36"/>
      <c r="ER593" s="36"/>
      <c r="ES593" s="36"/>
      <c r="ET593" s="36"/>
      <c r="EU593" s="36"/>
      <c r="EV593" s="36"/>
      <c r="EW593" s="36"/>
      <c r="EX593" s="36"/>
      <c r="EY593" s="36"/>
      <c r="EZ593" s="36"/>
      <c r="FA593" s="36"/>
      <c r="FB593" s="36"/>
      <c r="FC593" s="36"/>
      <c r="FD593" s="36"/>
      <c r="FE593" s="36"/>
      <c r="FF593" s="36"/>
      <c r="FG593" s="36"/>
      <c r="FH593" s="36"/>
      <c r="FI593" s="36"/>
      <c r="FJ593" s="36"/>
      <c r="FK593" s="36"/>
      <c r="FL593" s="36"/>
      <c r="FM593" s="36"/>
      <c r="FN593" s="36"/>
      <c r="FO593" s="36"/>
      <c r="FP593" s="36"/>
      <c r="FQ593" s="36"/>
      <c r="FR593" s="36"/>
      <c r="FS593" s="36"/>
      <c r="FT593" s="36"/>
      <c r="FU593" s="36"/>
      <c r="FV593" s="36"/>
      <c r="FW593" s="36"/>
      <c r="FX593" s="36"/>
      <c r="FY593" s="36"/>
      <c r="FZ593" s="36"/>
      <c r="GA593" s="36"/>
      <c r="GB593" s="36"/>
      <c r="GC593" s="36"/>
      <c r="GD593" s="36"/>
      <c r="GE593" s="36"/>
      <c r="GF593" s="36"/>
      <c r="GG593" s="36"/>
      <c r="GH593" s="36"/>
      <c r="GI593" s="36"/>
      <c r="GJ593" s="36"/>
      <c r="GK593" s="36"/>
      <c r="GL593" s="36"/>
      <c r="GM593" s="36"/>
      <c r="GN593" s="36"/>
      <c r="GO593" s="36"/>
      <c r="GP593" s="36"/>
      <c r="GQ593" s="36"/>
      <c r="GR593" s="36"/>
      <c r="GS593" s="36"/>
      <c r="GT593" s="36"/>
      <c r="GU593" s="36"/>
      <c r="GV593" s="36"/>
      <c r="GW593" s="36"/>
      <c r="GX593" s="36"/>
      <c r="GY593" s="36"/>
      <c r="GZ593" s="36"/>
      <c r="HA593" s="36"/>
      <c r="HB593" s="36"/>
      <c r="HC593" s="36"/>
      <c r="HD593" s="36"/>
      <c r="HE593" s="36"/>
      <c r="HF593" s="36"/>
      <c r="HG593" s="36"/>
      <c r="HH593" s="36"/>
      <c r="HI593" s="36"/>
      <c r="HJ593" s="36"/>
      <c r="HK593" s="36"/>
      <c r="HL593" s="36"/>
      <c r="HM593" s="36"/>
      <c r="HN593" s="36"/>
      <c r="HO593" s="36"/>
      <c r="HP593" s="36"/>
      <c r="HQ593" s="36"/>
      <c r="HR593" s="36"/>
      <c r="HS593" s="36"/>
      <c r="HT593" s="36"/>
      <c r="HU593" s="36"/>
      <c r="HV593" s="36"/>
      <c r="HW593" s="36"/>
      <c r="HX593" s="36"/>
      <c r="HY593" s="36"/>
      <c r="HZ593" s="36"/>
      <c r="IA593" s="36"/>
      <c r="IB593" s="36"/>
      <c r="IC593" s="36"/>
      <c r="ID593" s="36"/>
      <c r="IE593" s="36"/>
      <c r="IF593" s="36"/>
      <c r="IG593" s="36"/>
      <c r="IH593" s="36"/>
      <c r="II593" s="36"/>
      <c r="IJ593" s="36"/>
      <c r="IK593" s="36"/>
      <c r="IL593" s="36"/>
      <c r="IM593" s="36"/>
      <c r="IN593" s="36"/>
      <c r="IO593" s="36"/>
      <c r="IP593" s="36"/>
      <c r="IQ593" s="36"/>
      <c r="IR593" s="36"/>
      <c r="IS593" s="36"/>
      <c r="IT593" s="36"/>
      <c r="IU593" s="36"/>
      <c r="IV593" s="36"/>
      <c r="IW593" s="36"/>
      <c r="IX593" s="36"/>
      <c r="IY593" s="36"/>
      <c r="IZ593" s="36"/>
      <c r="JA593" s="36"/>
      <c r="JB593" s="36"/>
      <c r="JC593" s="36"/>
      <c r="JD593" s="36"/>
      <c r="JE593" s="36"/>
      <c r="JF593" s="36"/>
      <c r="JG593" s="36"/>
      <c r="JH593" s="36"/>
      <c r="JI593" s="36"/>
      <c r="JJ593" s="36"/>
      <c r="JK593" s="36"/>
      <c r="JL593" s="36"/>
      <c r="JM593" s="36"/>
      <c r="JN593" s="36"/>
      <c r="JO593" s="36"/>
      <c r="JP593" s="36"/>
      <c r="JQ593" s="36"/>
      <c r="JR593" s="36"/>
      <c r="JS593" s="36"/>
      <c r="JT593" s="36"/>
      <c r="JU593" s="36"/>
      <c r="JV593" s="36"/>
      <c r="JW593" s="36"/>
      <c r="JX593" s="36"/>
      <c r="JY593" s="36"/>
      <c r="JZ593" s="36"/>
      <c r="KA593" s="36"/>
      <c r="KB593" s="36"/>
      <c r="KC593" s="36"/>
      <c r="KD593" s="36"/>
      <c r="KE593" s="36"/>
      <c r="KF593" s="36"/>
      <c r="KG593" s="36"/>
      <c r="KH593" s="36"/>
      <c r="KI593" s="36"/>
      <c r="KJ593" s="36"/>
      <c r="KK593" s="36"/>
      <c r="KL593" s="36"/>
      <c r="KM593" s="36"/>
      <c r="KN593" s="36"/>
      <c r="KO593" s="36"/>
      <c r="KP593" s="36"/>
      <c r="KQ593" s="36"/>
      <c r="KR593" s="36"/>
      <c r="KS593" s="36"/>
      <c r="KT593" s="36"/>
      <c r="KU593" s="36"/>
      <c r="KV593" s="36"/>
      <c r="KW593" s="36"/>
      <c r="KX593" s="36"/>
      <c r="KY593" s="36"/>
      <c r="KZ593" s="36"/>
      <c r="LA593" s="36"/>
      <c r="LB593" s="36"/>
      <c r="LC593" s="36"/>
      <c r="LD593" s="36"/>
      <c r="LE593" s="36"/>
      <c r="LF593" s="36"/>
      <c r="LG593" s="36"/>
      <c r="LH593" s="36"/>
      <c r="LI593" s="36"/>
      <c r="LJ593" s="36"/>
      <c r="LK593" s="36"/>
      <c r="LL593" s="36"/>
      <c r="LM593" s="36"/>
      <c r="LN593" s="36"/>
      <c r="LO593" s="36"/>
      <c r="LP593" s="36"/>
      <c r="LQ593" s="36"/>
      <c r="LR593" s="36"/>
      <c r="LS593" s="36"/>
      <c r="LT593" s="36"/>
      <c r="LU593" s="36"/>
      <c r="LV593" s="36"/>
      <c r="LW593" s="36"/>
      <c r="LX593" s="36"/>
      <c r="LY593" s="36"/>
      <c r="LZ593" s="36"/>
      <c r="MA593" s="36"/>
      <c r="MB593" s="36"/>
      <c r="MC593" s="36"/>
      <c r="MD593" s="36"/>
      <c r="ME593" s="36"/>
      <c r="MF593" s="36"/>
      <c r="MG593" s="36"/>
      <c r="MH593" s="36"/>
      <c r="MI593" s="36"/>
      <c r="MJ593" s="36"/>
      <c r="MK593" s="36"/>
      <c r="ML593" s="36"/>
      <c r="MM593" s="36"/>
      <c r="MN593" s="36"/>
      <c r="MO593" s="36"/>
      <c r="MP593" s="36"/>
      <c r="MQ593" s="36"/>
      <c r="MR593" s="36"/>
      <c r="MS593" s="36"/>
      <c r="MT593" s="36"/>
      <c r="MU593" s="36"/>
      <c r="MV593" s="36"/>
      <c r="MW593" s="36"/>
      <c r="MX593" s="36"/>
      <c r="MY593" s="36"/>
      <c r="MZ593" s="36"/>
      <c r="NA593" s="36"/>
      <c r="NB593" s="36"/>
      <c r="NC593" s="36"/>
      <c r="ND593" s="36"/>
      <c r="NE593" s="36"/>
      <c r="NF593" s="36"/>
      <c r="NG593" s="36"/>
      <c r="NH593" s="36"/>
      <c r="NI593" s="36"/>
      <c r="NJ593" s="36"/>
      <c r="NK593" s="36"/>
      <c r="NL593" s="36"/>
      <c r="NM593" s="36"/>
      <c r="NN593" s="36"/>
      <c r="NO593" s="36"/>
      <c r="NP593" s="36"/>
      <c r="NQ593" s="36"/>
      <c r="NR593" s="36"/>
      <c r="NS593" s="36"/>
      <c r="NT593" s="36"/>
      <c r="NU593" s="36"/>
      <c r="NV593" s="36"/>
      <c r="NW593" s="36"/>
      <c r="NX593" s="36"/>
      <c r="NY593" s="36"/>
      <c r="NZ593" s="36"/>
      <c r="OA593" s="36"/>
      <c r="OB593" s="36"/>
      <c r="OC593" s="36"/>
      <c r="OD593" s="36"/>
      <c r="OE593" s="36"/>
      <c r="OF593" s="36"/>
      <c r="OG593" s="36"/>
      <c r="OH593" s="36"/>
      <c r="OI593" s="36"/>
      <c r="OJ593" s="36"/>
      <c r="OK593" s="36"/>
      <c r="OL593" s="36"/>
      <c r="OM593" s="36"/>
      <c r="ON593" s="36"/>
      <c r="OO593" s="36"/>
      <c r="OP593" s="36"/>
      <c r="OQ593" s="36"/>
      <c r="OR593" s="36"/>
      <c r="OS593" s="36"/>
      <c r="OT593" s="36"/>
      <c r="OU593" s="36"/>
      <c r="OV593" s="36"/>
      <c r="OW593" s="36"/>
      <c r="OX593" s="36"/>
    </row>
    <row r="594" spans="2:414" s="27" customFormat="1" ht="15.6">
      <c r="B594" s="51" t="s">
        <v>765</v>
      </c>
      <c r="C594" s="27" t="s">
        <v>686</v>
      </c>
      <c r="D594" s="29" t="s">
        <v>105</v>
      </c>
      <c r="G594" s="49">
        <v>80</v>
      </c>
      <c r="H594" s="89">
        <v>26.109000000000002</v>
      </c>
      <c r="I594" s="38">
        <f t="shared" si="180"/>
        <v>2088.7200000000003</v>
      </c>
      <c r="K594" s="49">
        <v>80</v>
      </c>
      <c r="L594" s="90">
        <v>26.849599999999999</v>
      </c>
      <c r="M594" s="38">
        <f t="shared" si="181"/>
        <v>2147.9679999999998</v>
      </c>
      <c r="O594" s="49">
        <v>505</v>
      </c>
      <c r="P594" s="38">
        <v>26.728300000000001</v>
      </c>
      <c r="Q594" s="38">
        <f t="shared" si="182"/>
        <v>13497.791500000001</v>
      </c>
      <c r="R594" s="43">
        <f t="shared" si="179"/>
        <v>665</v>
      </c>
      <c r="S594" s="38">
        <f t="shared" si="183"/>
        <v>17734.479500000001</v>
      </c>
      <c r="T594" s="27">
        <v>240</v>
      </c>
      <c r="U594" s="52">
        <v>26.023700000000002</v>
      </c>
      <c r="V594" s="38">
        <f t="shared" si="176"/>
        <v>6245.6880000000001</v>
      </c>
      <c r="W594" s="52">
        <v>505</v>
      </c>
      <c r="X594" s="52">
        <v>26.735700000000001</v>
      </c>
      <c r="Y594" s="35">
        <f t="shared" si="174"/>
        <v>13501.5285</v>
      </c>
      <c r="Z594" s="78"/>
      <c r="AF594" s="42">
        <f t="shared" si="177"/>
        <v>0</v>
      </c>
      <c r="AU594" s="100"/>
      <c r="AV594" s="35"/>
      <c r="AW594" s="78"/>
      <c r="AZ594" s="42">
        <f t="shared" si="178"/>
        <v>0</v>
      </c>
      <c r="BD594" s="38">
        <f t="shared" si="184"/>
        <v>0</v>
      </c>
      <c r="BH594" s="38">
        <f t="shared" si="185"/>
        <v>0</v>
      </c>
      <c r="BL594" s="38">
        <f t="shared" si="186"/>
        <v>0</v>
      </c>
      <c r="BR594" s="42">
        <f t="shared" si="187"/>
        <v>19747.216500000002</v>
      </c>
      <c r="BS594" s="43"/>
      <c r="BT594" s="27">
        <v>2012.74</v>
      </c>
      <c r="BU594" s="36"/>
      <c r="BV594" s="36"/>
      <c r="BW594" s="36"/>
      <c r="BX594" s="36"/>
      <c r="BY594" s="36"/>
      <c r="BZ594" s="36"/>
      <c r="CA594" s="36"/>
      <c r="CB594" s="36"/>
      <c r="CC594" s="36"/>
      <c r="CD594" s="36"/>
      <c r="CE594" s="36"/>
      <c r="CF594" s="36"/>
      <c r="CG594" s="36"/>
      <c r="CH594" s="36"/>
      <c r="CI594" s="36"/>
      <c r="CJ594" s="36"/>
      <c r="CK594" s="36"/>
      <c r="CL594" s="36"/>
      <c r="CM594" s="36"/>
      <c r="CN594" s="36"/>
      <c r="CO594" s="36"/>
      <c r="CP594" s="36"/>
      <c r="CQ594" s="36"/>
      <c r="CR594" s="36"/>
      <c r="CS594" s="36"/>
      <c r="CT594" s="36"/>
      <c r="CU594" s="36"/>
      <c r="CV594" s="36"/>
      <c r="CW594" s="36"/>
      <c r="CX594" s="36"/>
      <c r="CY594" s="36"/>
      <c r="CZ594" s="36"/>
      <c r="DA594" s="36"/>
      <c r="DB594" s="36"/>
      <c r="DC594" s="36"/>
      <c r="DD594" s="36"/>
      <c r="DE594" s="36"/>
      <c r="DF594" s="36"/>
      <c r="DG594" s="36"/>
      <c r="DH594" s="36"/>
      <c r="DI594" s="36"/>
      <c r="DJ594" s="36"/>
      <c r="DK594" s="36"/>
      <c r="DL594" s="36"/>
      <c r="DM594" s="36"/>
      <c r="DN594" s="36"/>
      <c r="DO594" s="36"/>
      <c r="DP594" s="36"/>
      <c r="DQ594" s="36"/>
      <c r="DR594" s="36"/>
      <c r="DS594" s="36"/>
      <c r="DT594" s="36"/>
      <c r="DU594" s="36"/>
      <c r="DV594" s="36"/>
      <c r="DW594" s="36"/>
      <c r="DX594" s="36"/>
      <c r="DY594" s="36"/>
      <c r="DZ594" s="36"/>
      <c r="EA594" s="36"/>
      <c r="EB594" s="36"/>
      <c r="EC594" s="36"/>
      <c r="ED594" s="36"/>
      <c r="EE594" s="36"/>
      <c r="EF594" s="36"/>
      <c r="EG594" s="36"/>
      <c r="EH594" s="36"/>
      <c r="EI594" s="36"/>
      <c r="EJ594" s="36"/>
      <c r="EK594" s="36"/>
      <c r="EL594" s="36"/>
      <c r="EM594" s="36"/>
      <c r="EN594" s="36"/>
      <c r="EO594" s="36"/>
      <c r="EP594" s="36"/>
      <c r="EQ594" s="36"/>
      <c r="ER594" s="36"/>
      <c r="ES594" s="36"/>
      <c r="ET594" s="36"/>
      <c r="EU594" s="36"/>
      <c r="EV594" s="36"/>
      <c r="EW594" s="36"/>
      <c r="EX594" s="36"/>
      <c r="EY594" s="36"/>
      <c r="EZ594" s="36"/>
      <c r="FA594" s="36"/>
      <c r="FB594" s="36"/>
      <c r="FC594" s="36"/>
      <c r="FD594" s="36"/>
      <c r="FE594" s="36"/>
      <c r="FF594" s="36"/>
      <c r="FG594" s="36"/>
      <c r="FH594" s="36"/>
      <c r="FI594" s="36"/>
      <c r="FJ594" s="36"/>
      <c r="FK594" s="36"/>
      <c r="FL594" s="36"/>
      <c r="FM594" s="36"/>
      <c r="FN594" s="36"/>
      <c r="FO594" s="36"/>
      <c r="FP594" s="36"/>
      <c r="FQ594" s="36"/>
      <c r="FR594" s="36"/>
      <c r="FS594" s="36"/>
      <c r="FT594" s="36"/>
      <c r="FU594" s="36"/>
      <c r="FV594" s="36"/>
      <c r="FW594" s="36"/>
      <c r="FX594" s="36"/>
      <c r="FY594" s="36"/>
      <c r="FZ594" s="36"/>
      <c r="GA594" s="36"/>
      <c r="GB594" s="36"/>
      <c r="GC594" s="36"/>
      <c r="GD594" s="36"/>
      <c r="GE594" s="36"/>
      <c r="GF594" s="36"/>
      <c r="GG594" s="36"/>
      <c r="GH594" s="36"/>
      <c r="GI594" s="36"/>
      <c r="GJ594" s="36"/>
      <c r="GK594" s="36"/>
      <c r="GL594" s="36"/>
      <c r="GM594" s="36"/>
      <c r="GN594" s="36"/>
      <c r="GO594" s="36"/>
      <c r="GP594" s="36"/>
      <c r="GQ594" s="36"/>
      <c r="GR594" s="36"/>
      <c r="GS594" s="36"/>
      <c r="GT594" s="36"/>
      <c r="GU594" s="36"/>
      <c r="GV594" s="36"/>
      <c r="GW594" s="36"/>
      <c r="GX594" s="36"/>
      <c r="GY594" s="36"/>
      <c r="GZ594" s="36"/>
      <c r="HA594" s="36"/>
      <c r="HB594" s="36"/>
      <c r="HC594" s="36"/>
      <c r="HD594" s="36"/>
      <c r="HE594" s="36"/>
      <c r="HF594" s="36"/>
      <c r="HG594" s="36"/>
      <c r="HH594" s="36"/>
      <c r="HI594" s="36"/>
      <c r="HJ594" s="36"/>
      <c r="HK594" s="36"/>
      <c r="HL594" s="36"/>
      <c r="HM594" s="36"/>
      <c r="HN594" s="36"/>
      <c r="HO594" s="36"/>
      <c r="HP594" s="36"/>
      <c r="HQ594" s="36"/>
      <c r="HR594" s="36"/>
      <c r="HS594" s="36"/>
      <c r="HT594" s="36"/>
      <c r="HU594" s="36"/>
      <c r="HV594" s="36"/>
      <c r="HW594" s="36"/>
      <c r="HX594" s="36"/>
      <c r="HY594" s="36"/>
      <c r="HZ594" s="36"/>
      <c r="IA594" s="36"/>
      <c r="IB594" s="36"/>
      <c r="IC594" s="36"/>
      <c r="ID594" s="36"/>
      <c r="IE594" s="36"/>
      <c r="IF594" s="36"/>
      <c r="IG594" s="36"/>
      <c r="IH594" s="36"/>
      <c r="II594" s="36"/>
      <c r="IJ594" s="36"/>
      <c r="IK594" s="36"/>
      <c r="IL594" s="36"/>
      <c r="IM594" s="36"/>
      <c r="IN594" s="36"/>
      <c r="IO594" s="36"/>
      <c r="IP594" s="36"/>
      <c r="IQ594" s="36"/>
      <c r="IR594" s="36"/>
      <c r="IS594" s="36"/>
      <c r="IT594" s="36"/>
      <c r="IU594" s="36"/>
      <c r="IV594" s="36"/>
      <c r="IW594" s="36"/>
      <c r="IX594" s="36"/>
      <c r="IY594" s="36"/>
      <c r="IZ594" s="36"/>
      <c r="JA594" s="36"/>
      <c r="JB594" s="36"/>
      <c r="JC594" s="36"/>
      <c r="JD594" s="36"/>
      <c r="JE594" s="36"/>
      <c r="JF594" s="36"/>
      <c r="JG594" s="36"/>
      <c r="JH594" s="36"/>
      <c r="JI594" s="36"/>
      <c r="JJ594" s="36"/>
      <c r="JK594" s="36"/>
      <c r="JL594" s="36"/>
      <c r="JM594" s="36"/>
      <c r="JN594" s="36"/>
      <c r="JO594" s="36"/>
      <c r="JP594" s="36"/>
      <c r="JQ594" s="36"/>
      <c r="JR594" s="36"/>
      <c r="JS594" s="36"/>
      <c r="JT594" s="36"/>
      <c r="JU594" s="36"/>
      <c r="JV594" s="36"/>
      <c r="JW594" s="36"/>
      <c r="JX594" s="36"/>
      <c r="JY594" s="36"/>
      <c r="JZ594" s="36"/>
      <c r="KA594" s="36"/>
      <c r="KB594" s="36"/>
      <c r="KC594" s="36"/>
      <c r="KD594" s="36"/>
      <c r="KE594" s="36"/>
      <c r="KF594" s="36"/>
      <c r="KG594" s="36"/>
      <c r="KH594" s="36"/>
      <c r="KI594" s="36"/>
      <c r="KJ594" s="36"/>
      <c r="KK594" s="36"/>
      <c r="KL594" s="36"/>
      <c r="KM594" s="36"/>
      <c r="KN594" s="36"/>
      <c r="KO594" s="36"/>
      <c r="KP594" s="36"/>
      <c r="KQ594" s="36"/>
      <c r="KR594" s="36"/>
      <c r="KS594" s="36"/>
      <c r="KT594" s="36"/>
      <c r="KU594" s="36"/>
      <c r="KV594" s="36"/>
      <c r="KW594" s="36"/>
      <c r="KX594" s="36"/>
      <c r="KY594" s="36"/>
      <c r="KZ594" s="36"/>
      <c r="LA594" s="36"/>
      <c r="LB594" s="36"/>
      <c r="LC594" s="36"/>
      <c r="LD594" s="36"/>
      <c r="LE594" s="36"/>
      <c r="LF594" s="36"/>
      <c r="LG594" s="36"/>
      <c r="LH594" s="36"/>
      <c r="LI594" s="36"/>
      <c r="LJ594" s="36"/>
      <c r="LK594" s="36"/>
      <c r="LL594" s="36"/>
      <c r="LM594" s="36"/>
      <c r="LN594" s="36"/>
      <c r="LO594" s="36"/>
      <c r="LP594" s="36"/>
      <c r="LQ594" s="36"/>
      <c r="LR594" s="36"/>
      <c r="LS594" s="36"/>
      <c r="LT594" s="36"/>
      <c r="LU594" s="36"/>
      <c r="LV594" s="36"/>
      <c r="LW594" s="36"/>
      <c r="LX594" s="36"/>
      <c r="LY594" s="36"/>
      <c r="LZ594" s="36"/>
      <c r="MA594" s="36"/>
      <c r="MB594" s="36"/>
      <c r="MC594" s="36"/>
      <c r="MD594" s="36"/>
      <c r="ME594" s="36"/>
      <c r="MF594" s="36"/>
      <c r="MG594" s="36"/>
      <c r="MH594" s="36"/>
      <c r="MI594" s="36"/>
      <c r="MJ594" s="36"/>
      <c r="MK594" s="36"/>
      <c r="ML594" s="36"/>
      <c r="MM594" s="36"/>
      <c r="MN594" s="36"/>
      <c r="MO594" s="36"/>
      <c r="MP594" s="36"/>
      <c r="MQ594" s="36"/>
      <c r="MR594" s="36"/>
      <c r="MS594" s="36"/>
      <c r="MT594" s="36"/>
      <c r="MU594" s="36"/>
      <c r="MV594" s="36"/>
      <c r="MW594" s="36"/>
      <c r="MX594" s="36"/>
      <c r="MY594" s="36"/>
      <c r="MZ594" s="36"/>
      <c r="NA594" s="36"/>
      <c r="NB594" s="36"/>
      <c r="NC594" s="36"/>
      <c r="ND594" s="36"/>
      <c r="NE594" s="36"/>
      <c r="NF594" s="36"/>
      <c r="NG594" s="36"/>
      <c r="NH594" s="36"/>
      <c r="NI594" s="36"/>
      <c r="NJ594" s="36"/>
      <c r="NK594" s="36"/>
      <c r="NL594" s="36"/>
      <c r="NM594" s="36"/>
      <c r="NN594" s="36"/>
      <c r="NO594" s="36"/>
      <c r="NP594" s="36"/>
      <c r="NQ594" s="36"/>
      <c r="NR594" s="36"/>
      <c r="NS594" s="36"/>
      <c r="NT594" s="36"/>
      <c r="NU594" s="36"/>
      <c r="NV594" s="36"/>
      <c r="NW594" s="36"/>
      <c r="NX594" s="36"/>
      <c r="NY594" s="36"/>
      <c r="NZ594" s="36"/>
      <c r="OA594" s="36"/>
      <c r="OB594" s="36"/>
      <c r="OC594" s="36"/>
      <c r="OD594" s="36"/>
      <c r="OE594" s="36"/>
      <c r="OF594" s="36"/>
      <c r="OG594" s="36"/>
      <c r="OH594" s="36"/>
      <c r="OI594" s="36"/>
      <c r="OJ594" s="36"/>
      <c r="OK594" s="36"/>
      <c r="OL594" s="36"/>
      <c r="OM594" s="36"/>
      <c r="ON594" s="36"/>
      <c r="OO594" s="36"/>
      <c r="OP594" s="36"/>
      <c r="OQ594" s="36"/>
      <c r="OR594" s="36"/>
      <c r="OS594" s="36"/>
      <c r="OT594" s="36"/>
      <c r="OU594" s="36"/>
      <c r="OV594" s="36"/>
      <c r="OW594" s="36"/>
      <c r="OX594" s="36"/>
    </row>
    <row r="595" spans="2:414" s="27" customFormat="1" ht="15.6">
      <c r="B595" s="51" t="s">
        <v>1098</v>
      </c>
      <c r="C595" s="27" t="s">
        <v>25</v>
      </c>
      <c r="D595" s="29" t="s">
        <v>105</v>
      </c>
      <c r="G595" s="49">
        <v>80</v>
      </c>
      <c r="H595" s="89">
        <v>26.109000000000002</v>
      </c>
      <c r="I595" s="38">
        <f t="shared" si="180"/>
        <v>2088.7200000000003</v>
      </c>
      <c r="K595" s="49">
        <v>80</v>
      </c>
      <c r="L595" s="90">
        <v>26.849599999999999</v>
      </c>
      <c r="M595" s="38">
        <f t="shared" si="181"/>
        <v>2147.9679999999998</v>
      </c>
      <c r="O595" s="49">
        <v>505</v>
      </c>
      <c r="P595" s="38">
        <v>26.728300000000001</v>
      </c>
      <c r="Q595" s="38">
        <f t="shared" si="182"/>
        <v>13497.791500000001</v>
      </c>
      <c r="R595" s="43">
        <f t="shared" si="179"/>
        <v>665</v>
      </c>
      <c r="S595" s="38">
        <f t="shared" si="183"/>
        <v>17734.479500000001</v>
      </c>
      <c r="T595" s="27">
        <v>240</v>
      </c>
      <c r="U595" s="52">
        <v>26.930700000000002</v>
      </c>
      <c r="V595" s="38">
        <f t="shared" si="176"/>
        <v>6463.3680000000004</v>
      </c>
      <c r="W595" s="52">
        <v>261</v>
      </c>
      <c r="X595" s="52">
        <v>26.56</v>
      </c>
      <c r="Y595" s="35">
        <f t="shared" si="174"/>
        <v>6932.16</v>
      </c>
      <c r="Z595" s="78"/>
      <c r="AF595" s="42">
        <f t="shared" si="177"/>
        <v>0</v>
      </c>
      <c r="AU595" s="100"/>
      <c r="AV595" s="35"/>
      <c r="AW595" s="78"/>
      <c r="AZ595" s="42">
        <f t="shared" si="178"/>
        <v>0</v>
      </c>
      <c r="BD595" s="38">
        <f t="shared" si="184"/>
        <v>0</v>
      </c>
      <c r="BH595" s="38">
        <f t="shared" si="185"/>
        <v>0</v>
      </c>
      <c r="BL595" s="38">
        <f t="shared" si="186"/>
        <v>0</v>
      </c>
      <c r="BR595" s="42">
        <f t="shared" si="187"/>
        <v>13395.528</v>
      </c>
      <c r="BS595" s="43">
        <f t="shared" si="188"/>
        <v>4338.951500000001</v>
      </c>
      <c r="BU595" s="36"/>
      <c r="BV595" s="36"/>
      <c r="BW595" s="36"/>
      <c r="BX595" s="36"/>
      <c r="BY595" s="36"/>
      <c r="BZ595" s="36"/>
      <c r="CA595" s="36"/>
      <c r="CB595" s="36"/>
      <c r="CC595" s="36"/>
      <c r="CD595" s="36"/>
      <c r="CE595" s="36"/>
      <c r="CF595" s="36"/>
      <c r="CG595" s="36"/>
      <c r="CH595" s="36"/>
      <c r="CI595" s="36"/>
      <c r="CJ595" s="36"/>
      <c r="CK595" s="36"/>
      <c r="CL595" s="36"/>
      <c r="CM595" s="36"/>
      <c r="CN595" s="36"/>
      <c r="CO595" s="36"/>
      <c r="CP595" s="36"/>
      <c r="CQ595" s="36"/>
      <c r="CR595" s="36"/>
      <c r="CS595" s="36"/>
      <c r="CT595" s="36"/>
      <c r="CU595" s="36"/>
      <c r="CV595" s="36"/>
      <c r="CW595" s="36"/>
      <c r="CX595" s="36"/>
      <c r="CY595" s="36"/>
      <c r="CZ595" s="36"/>
      <c r="DA595" s="36"/>
      <c r="DB595" s="36"/>
      <c r="DC595" s="36"/>
      <c r="DD595" s="36"/>
      <c r="DE595" s="36"/>
      <c r="DF595" s="36"/>
      <c r="DG595" s="36"/>
      <c r="DH595" s="36"/>
      <c r="DI595" s="36"/>
      <c r="DJ595" s="36"/>
      <c r="DK595" s="36"/>
      <c r="DL595" s="36"/>
      <c r="DM595" s="36"/>
      <c r="DN595" s="36"/>
      <c r="DO595" s="36"/>
      <c r="DP595" s="36"/>
      <c r="DQ595" s="36"/>
      <c r="DR595" s="36"/>
      <c r="DS595" s="36"/>
      <c r="DT595" s="36"/>
      <c r="DU595" s="36"/>
      <c r="DV595" s="36"/>
      <c r="DW595" s="36"/>
      <c r="DX595" s="36"/>
      <c r="DY595" s="36"/>
      <c r="DZ595" s="36"/>
      <c r="EA595" s="36"/>
      <c r="EB595" s="36"/>
      <c r="EC595" s="36"/>
      <c r="ED595" s="36"/>
      <c r="EE595" s="36"/>
      <c r="EF595" s="36"/>
      <c r="EG595" s="36"/>
      <c r="EH595" s="36"/>
      <c r="EI595" s="36"/>
      <c r="EJ595" s="36"/>
      <c r="EK595" s="36"/>
      <c r="EL595" s="36"/>
      <c r="EM595" s="36"/>
      <c r="EN595" s="36"/>
      <c r="EO595" s="36"/>
      <c r="EP595" s="36"/>
      <c r="EQ595" s="36"/>
      <c r="ER595" s="36"/>
      <c r="ES595" s="36"/>
      <c r="ET595" s="36"/>
      <c r="EU595" s="36"/>
      <c r="EV595" s="36"/>
      <c r="EW595" s="36"/>
      <c r="EX595" s="36"/>
      <c r="EY595" s="36"/>
      <c r="EZ595" s="36"/>
      <c r="FA595" s="36"/>
      <c r="FB595" s="36"/>
      <c r="FC595" s="36"/>
      <c r="FD595" s="36"/>
      <c r="FE595" s="36"/>
      <c r="FF595" s="36"/>
      <c r="FG595" s="36"/>
      <c r="FH595" s="36"/>
      <c r="FI595" s="36"/>
      <c r="FJ595" s="36"/>
      <c r="FK595" s="36"/>
      <c r="FL595" s="36"/>
      <c r="FM595" s="36"/>
      <c r="FN595" s="36"/>
      <c r="FO595" s="36"/>
      <c r="FP595" s="36"/>
      <c r="FQ595" s="36"/>
      <c r="FR595" s="36"/>
      <c r="FS595" s="36"/>
      <c r="FT595" s="36"/>
      <c r="FU595" s="36"/>
      <c r="FV595" s="36"/>
      <c r="FW595" s="36"/>
      <c r="FX595" s="36"/>
      <c r="FY595" s="36"/>
      <c r="FZ595" s="36"/>
      <c r="GA595" s="36"/>
      <c r="GB595" s="36"/>
      <c r="GC595" s="36"/>
      <c r="GD595" s="36"/>
      <c r="GE595" s="36"/>
      <c r="GF595" s="36"/>
      <c r="GG595" s="36"/>
      <c r="GH595" s="36"/>
      <c r="GI595" s="36"/>
      <c r="GJ595" s="36"/>
      <c r="GK595" s="36"/>
      <c r="GL595" s="36"/>
      <c r="GM595" s="36"/>
      <c r="GN595" s="36"/>
      <c r="GO595" s="36"/>
      <c r="GP595" s="36"/>
      <c r="GQ595" s="36"/>
      <c r="GR595" s="36"/>
      <c r="GS595" s="36"/>
      <c r="GT595" s="36"/>
      <c r="GU595" s="36"/>
      <c r="GV595" s="36"/>
      <c r="GW595" s="36"/>
      <c r="GX595" s="36"/>
      <c r="GY595" s="36"/>
      <c r="GZ595" s="36"/>
      <c r="HA595" s="36"/>
      <c r="HB595" s="36"/>
      <c r="HC595" s="36"/>
      <c r="HD595" s="36"/>
      <c r="HE595" s="36"/>
      <c r="HF595" s="36"/>
      <c r="HG595" s="36"/>
      <c r="HH595" s="36"/>
      <c r="HI595" s="36"/>
      <c r="HJ595" s="36"/>
      <c r="HK595" s="36"/>
      <c r="HL595" s="36"/>
      <c r="HM595" s="36"/>
      <c r="HN595" s="36"/>
      <c r="HO595" s="36"/>
      <c r="HP595" s="36"/>
      <c r="HQ595" s="36"/>
      <c r="HR595" s="36"/>
      <c r="HS595" s="36"/>
      <c r="HT595" s="36"/>
      <c r="HU595" s="36"/>
      <c r="HV595" s="36"/>
      <c r="HW595" s="36"/>
      <c r="HX595" s="36"/>
      <c r="HY595" s="36"/>
      <c r="HZ595" s="36"/>
      <c r="IA595" s="36"/>
      <c r="IB595" s="36"/>
      <c r="IC595" s="36"/>
      <c r="ID595" s="36"/>
      <c r="IE595" s="36"/>
      <c r="IF595" s="36"/>
      <c r="IG595" s="36"/>
      <c r="IH595" s="36"/>
      <c r="II595" s="36"/>
      <c r="IJ595" s="36"/>
      <c r="IK595" s="36"/>
      <c r="IL595" s="36"/>
      <c r="IM595" s="36"/>
      <c r="IN595" s="36"/>
      <c r="IO595" s="36"/>
      <c r="IP595" s="36"/>
      <c r="IQ595" s="36"/>
      <c r="IR595" s="36"/>
      <c r="IS595" s="36"/>
      <c r="IT595" s="36"/>
      <c r="IU595" s="36"/>
      <c r="IV595" s="36"/>
      <c r="IW595" s="36"/>
      <c r="IX595" s="36"/>
      <c r="IY595" s="36"/>
      <c r="IZ595" s="36"/>
      <c r="JA595" s="36"/>
      <c r="JB595" s="36"/>
      <c r="JC595" s="36"/>
      <c r="JD595" s="36"/>
      <c r="JE595" s="36"/>
      <c r="JF595" s="36"/>
      <c r="JG595" s="36"/>
      <c r="JH595" s="36"/>
      <c r="JI595" s="36"/>
      <c r="JJ595" s="36"/>
      <c r="JK595" s="36"/>
      <c r="JL595" s="36"/>
      <c r="JM595" s="36"/>
      <c r="JN595" s="36"/>
      <c r="JO595" s="36"/>
      <c r="JP595" s="36"/>
      <c r="JQ595" s="36"/>
      <c r="JR595" s="36"/>
      <c r="JS595" s="36"/>
      <c r="JT595" s="36"/>
      <c r="JU595" s="36"/>
      <c r="JV595" s="36"/>
      <c r="JW595" s="36"/>
      <c r="JX595" s="36"/>
      <c r="JY595" s="36"/>
      <c r="JZ595" s="36"/>
      <c r="KA595" s="36"/>
      <c r="KB595" s="36"/>
      <c r="KC595" s="36"/>
      <c r="KD595" s="36"/>
      <c r="KE595" s="36"/>
      <c r="KF595" s="36"/>
      <c r="KG595" s="36"/>
      <c r="KH595" s="36"/>
      <c r="KI595" s="36"/>
      <c r="KJ595" s="36"/>
      <c r="KK595" s="36"/>
      <c r="KL595" s="36"/>
      <c r="KM595" s="36"/>
      <c r="KN595" s="36"/>
      <c r="KO595" s="36"/>
      <c r="KP595" s="36"/>
      <c r="KQ595" s="36"/>
      <c r="KR595" s="36"/>
      <c r="KS595" s="36"/>
      <c r="KT595" s="36"/>
      <c r="KU595" s="36"/>
      <c r="KV595" s="36"/>
      <c r="KW595" s="36"/>
      <c r="KX595" s="36"/>
      <c r="KY595" s="36"/>
      <c r="KZ595" s="36"/>
      <c r="LA595" s="36"/>
      <c r="LB595" s="36"/>
      <c r="LC595" s="36"/>
      <c r="LD595" s="36"/>
      <c r="LE595" s="36"/>
      <c r="LF595" s="36"/>
      <c r="LG595" s="36"/>
      <c r="LH595" s="36"/>
      <c r="LI595" s="36"/>
      <c r="LJ595" s="36"/>
      <c r="LK595" s="36"/>
      <c r="LL595" s="36"/>
      <c r="LM595" s="36"/>
      <c r="LN595" s="36"/>
      <c r="LO595" s="36"/>
      <c r="LP595" s="36"/>
      <c r="LQ595" s="36"/>
      <c r="LR595" s="36"/>
      <c r="LS595" s="36"/>
      <c r="LT595" s="36"/>
      <c r="LU595" s="36"/>
      <c r="LV595" s="36"/>
      <c r="LW595" s="36"/>
      <c r="LX595" s="36"/>
      <c r="LY595" s="36"/>
      <c r="LZ595" s="36"/>
      <c r="MA595" s="36"/>
      <c r="MB595" s="36"/>
      <c r="MC595" s="36"/>
      <c r="MD595" s="36"/>
      <c r="ME595" s="36"/>
      <c r="MF595" s="36"/>
      <c r="MG595" s="36"/>
      <c r="MH595" s="36"/>
      <c r="MI595" s="36"/>
      <c r="MJ595" s="36"/>
      <c r="MK595" s="36"/>
      <c r="ML595" s="36"/>
      <c r="MM595" s="36"/>
      <c r="MN595" s="36"/>
      <c r="MO595" s="36"/>
      <c r="MP595" s="36"/>
      <c r="MQ595" s="36"/>
      <c r="MR595" s="36"/>
      <c r="MS595" s="36"/>
      <c r="MT595" s="36"/>
      <c r="MU595" s="36"/>
      <c r="MV595" s="36"/>
      <c r="MW595" s="36"/>
      <c r="MX595" s="36"/>
      <c r="MY595" s="36"/>
      <c r="MZ595" s="36"/>
      <c r="NA595" s="36"/>
      <c r="NB595" s="36"/>
      <c r="NC595" s="36"/>
      <c r="ND595" s="36"/>
      <c r="NE595" s="36"/>
      <c r="NF595" s="36"/>
      <c r="NG595" s="36"/>
      <c r="NH595" s="36"/>
      <c r="NI595" s="36"/>
      <c r="NJ595" s="36"/>
      <c r="NK595" s="36"/>
      <c r="NL595" s="36"/>
      <c r="NM595" s="36"/>
      <c r="NN595" s="36"/>
      <c r="NO595" s="36"/>
      <c r="NP595" s="36"/>
      <c r="NQ595" s="36"/>
      <c r="NR595" s="36"/>
      <c r="NS595" s="36"/>
      <c r="NT595" s="36"/>
      <c r="NU595" s="36"/>
      <c r="NV595" s="36"/>
      <c r="NW595" s="36"/>
      <c r="NX595" s="36"/>
      <c r="NY595" s="36"/>
      <c r="NZ595" s="36"/>
      <c r="OA595" s="36"/>
      <c r="OB595" s="36"/>
      <c r="OC595" s="36"/>
      <c r="OD595" s="36"/>
      <c r="OE595" s="36"/>
      <c r="OF595" s="36"/>
      <c r="OG595" s="36"/>
      <c r="OH595" s="36"/>
      <c r="OI595" s="36"/>
      <c r="OJ595" s="36"/>
      <c r="OK595" s="36"/>
      <c r="OL595" s="36"/>
      <c r="OM595" s="36"/>
      <c r="ON595" s="36"/>
      <c r="OO595" s="36"/>
      <c r="OP595" s="36"/>
      <c r="OQ595" s="36"/>
      <c r="OR595" s="36"/>
      <c r="OS595" s="36"/>
      <c r="OT595" s="36"/>
      <c r="OU595" s="36"/>
      <c r="OV595" s="36"/>
      <c r="OW595" s="36"/>
      <c r="OX595" s="36"/>
    </row>
    <row r="596" spans="2:414" s="27" customFormat="1" ht="15.6">
      <c r="B596" s="51" t="s">
        <v>1099</v>
      </c>
      <c r="C596" s="27" t="s">
        <v>479</v>
      </c>
      <c r="D596" s="29" t="s">
        <v>105</v>
      </c>
      <c r="G596" s="49">
        <v>80</v>
      </c>
      <c r="H596" s="89">
        <v>26.109000000000002</v>
      </c>
      <c r="I596" s="38">
        <f t="shared" si="180"/>
        <v>2088.7200000000003</v>
      </c>
      <c r="K596" s="49">
        <v>80</v>
      </c>
      <c r="L596" s="90">
        <v>26.849599999999999</v>
      </c>
      <c r="M596" s="38">
        <f t="shared" si="181"/>
        <v>2147.9679999999998</v>
      </c>
      <c r="O596" s="49">
        <v>505</v>
      </c>
      <c r="P596" s="38">
        <v>26.728300000000001</v>
      </c>
      <c r="Q596" s="38">
        <f t="shared" si="182"/>
        <v>13497.791500000001</v>
      </c>
      <c r="R596" s="43">
        <f t="shared" si="179"/>
        <v>665</v>
      </c>
      <c r="S596" s="38">
        <f t="shared" si="183"/>
        <v>17734.479500000001</v>
      </c>
      <c r="T596" s="27">
        <v>250</v>
      </c>
      <c r="U596" s="52">
        <v>26.766200000000001</v>
      </c>
      <c r="V596" s="38">
        <f t="shared" si="176"/>
        <v>6691.55</v>
      </c>
      <c r="W596" s="52">
        <v>510</v>
      </c>
      <c r="X596" s="52">
        <v>26.550999999999998</v>
      </c>
      <c r="Y596" s="35">
        <f t="shared" si="174"/>
        <v>13541.009999999998</v>
      </c>
      <c r="Z596" s="78"/>
      <c r="AF596" s="42">
        <f t="shared" si="177"/>
        <v>0</v>
      </c>
      <c r="AU596" s="100"/>
      <c r="AV596" s="35"/>
      <c r="AW596" s="78"/>
      <c r="AZ596" s="42">
        <f t="shared" si="178"/>
        <v>0</v>
      </c>
      <c r="BD596" s="38">
        <f t="shared" si="184"/>
        <v>0</v>
      </c>
      <c r="BH596" s="38">
        <f t="shared" si="185"/>
        <v>0</v>
      </c>
      <c r="BL596" s="38">
        <f t="shared" si="186"/>
        <v>0</v>
      </c>
      <c r="BR596" s="42">
        <f t="shared" si="187"/>
        <v>20232.559999999998</v>
      </c>
      <c r="BS596" s="43"/>
      <c r="BT596" s="27">
        <v>2498.08</v>
      </c>
      <c r="BU596" s="36"/>
      <c r="BV596" s="36"/>
      <c r="BW596" s="36"/>
      <c r="BX596" s="36"/>
      <c r="BY596" s="36"/>
      <c r="BZ596" s="36"/>
      <c r="CA596" s="36"/>
      <c r="CB596" s="36"/>
      <c r="CC596" s="36"/>
      <c r="CD596" s="36"/>
      <c r="CE596" s="36"/>
      <c r="CF596" s="36"/>
      <c r="CG596" s="36"/>
      <c r="CH596" s="36"/>
      <c r="CI596" s="36"/>
      <c r="CJ596" s="36"/>
      <c r="CK596" s="36"/>
      <c r="CL596" s="36"/>
      <c r="CM596" s="36"/>
      <c r="CN596" s="36"/>
      <c r="CO596" s="36"/>
      <c r="CP596" s="36"/>
      <c r="CQ596" s="36"/>
      <c r="CR596" s="36"/>
      <c r="CS596" s="36"/>
      <c r="CT596" s="36"/>
      <c r="CU596" s="36"/>
      <c r="CV596" s="36"/>
      <c r="CW596" s="36"/>
      <c r="CX596" s="36"/>
      <c r="CY596" s="36"/>
      <c r="CZ596" s="36"/>
      <c r="DA596" s="36"/>
      <c r="DB596" s="36"/>
      <c r="DC596" s="36"/>
      <c r="DD596" s="36"/>
      <c r="DE596" s="36"/>
      <c r="DF596" s="36"/>
      <c r="DG596" s="36"/>
      <c r="DH596" s="36"/>
      <c r="DI596" s="36"/>
      <c r="DJ596" s="36"/>
      <c r="DK596" s="36"/>
      <c r="DL596" s="36"/>
      <c r="DM596" s="36"/>
      <c r="DN596" s="36"/>
      <c r="DO596" s="36"/>
      <c r="DP596" s="36"/>
      <c r="DQ596" s="36"/>
      <c r="DR596" s="36"/>
      <c r="DS596" s="36"/>
      <c r="DT596" s="36"/>
      <c r="DU596" s="36"/>
      <c r="DV596" s="36"/>
      <c r="DW596" s="36"/>
      <c r="DX596" s="36"/>
      <c r="DY596" s="36"/>
      <c r="DZ596" s="36"/>
      <c r="EA596" s="36"/>
      <c r="EB596" s="36"/>
      <c r="EC596" s="36"/>
      <c r="ED596" s="36"/>
      <c r="EE596" s="36"/>
      <c r="EF596" s="36"/>
      <c r="EG596" s="36"/>
      <c r="EH596" s="36"/>
      <c r="EI596" s="36"/>
      <c r="EJ596" s="36"/>
      <c r="EK596" s="36"/>
      <c r="EL596" s="36"/>
      <c r="EM596" s="36"/>
      <c r="EN596" s="36"/>
      <c r="EO596" s="36"/>
      <c r="EP596" s="36"/>
      <c r="EQ596" s="36"/>
      <c r="ER596" s="36"/>
      <c r="ES596" s="36"/>
      <c r="ET596" s="36"/>
      <c r="EU596" s="36"/>
      <c r="EV596" s="36"/>
      <c r="EW596" s="36"/>
      <c r="EX596" s="36"/>
      <c r="EY596" s="36"/>
      <c r="EZ596" s="36"/>
      <c r="FA596" s="36"/>
      <c r="FB596" s="36"/>
      <c r="FC596" s="36"/>
      <c r="FD596" s="36"/>
      <c r="FE596" s="36"/>
      <c r="FF596" s="36"/>
      <c r="FG596" s="36"/>
      <c r="FH596" s="36"/>
      <c r="FI596" s="36"/>
      <c r="FJ596" s="36"/>
      <c r="FK596" s="36"/>
      <c r="FL596" s="36"/>
      <c r="FM596" s="36"/>
      <c r="FN596" s="36"/>
      <c r="FO596" s="36"/>
      <c r="FP596" s="36"/>
      <c r="FQ596" s="36"/>
      <c r="FR596" s="36"/>
      <c r="FS596" s="36"/>
      <c r="FT596" s="36"/>
      <c r="FU596" s="36"/>
      <c r="FV596" s="36"/>
      <c r="FW596" s="36"/>
      <c r="FX596" s="36"/>
      <c r="FY596" s="36"/>
      <c r="FZ596" s="36"/>
      <c r="GA596" s="36"/>
      <c r="GB596" s="36"/>
      <c r="GC596" s="36"/>
      <c r="GD596" s="36"/>
      <c r="GE596" s="36"/>
      <c r="GF596" s="36"/>
      <c r="GG596" s="36"/>
      <c r="GH596" s="36"/>
      <c r="GI596" s="36"/>
      <c r="GJ596" s="36"/>
      <c r="GK596" s="36"/>
      <c r="GL596" s="36"/>
      <c r="GM596" s="36"/>
      <c r="GN596" s="36"/>
      <c r="GO596" s="36"/>
      <c r="GP596" s="36"/>
      <c r="GQ596" s="36"/>
      <c r="GR596" s="36"/>
      <c r="GS596" s="36"/>
      <c r="GT596" s="36"/>
      <c r="GU596" s="36"/>
      <c r="GV596" s="36"/>
      <c r="GW596" s="36"/>
      <c r="GX596" s="36"/>
      <c r="GY596" s="36"/>
      <c r="GZ596" s="36"/>
      <c r="HA596" s="36"/>
      <c r="HB596" s="36"/>
      <c r="HC596" s="36"/>
      <c r="HD596" s="36"/>
      <c r="HE596" s="36"/>
      <c r="HF596" s="36"/>
      <c r="HG596" s="36"/>
      <c r="HH596" s="36"/>
      <c r="HI596" s="36"/>
      <c r="HJ596" s="36"/>
      <c r="HK596" s="36"/>
      <c r="HL596" s="36"/>
      <c r="HM596" s="36"/>
      <c r="HN596" s="36"/>
      <c r="HO596" s="36"/>
      <c r="HP596" s="36"/>
      <c r="HQ596" s="36"/>
      <c r="HR596" s="36"/>
      <c r="HS596" s="36"/>
      <c r="HT596" s="36"/>
      <c r="HU596" s="36"/>
      <c r="HV596" s="36"/>
      <c r="HW596" s="36"/>
      <c r="HX596" s="36"/>
      <c r="HY596" s="36"/>
      <c r="HZ596" s="36"/>
      <c r="IA596" s="36"/>
      <c r="IB596" s="36"/>
      <c r="IC596" s="36"/>
      <c r="ID596" s="36"/>
      <c r="IE596" s="36"/>
      <c r="IF596" s="36"/>
      <c r="IG596" s="36"/>
      <c r="IH596" s="36"/>
      <c r="II596" s="36"/>
      <c r="IJ596" s="36"/>
      <c r="IK596" s="36"/>
      <c r="IL596" s="36"/>
      <c r="IM596" s="36"/>
      <c r="IN596" s="36"/>
      <c r="IO596" s="36"/>
      <c r="IP596" s="36"/>
      <c r="IQ596" s="36"/>
      <c r="IR596" s="36"/>
      <c r="IS596" s="36"/>
      <c r="IT596" s="36"/>
      <c r="IU596" s="36"/>
      <c r="IV596" s="36"/>
      <c r="IW596" s="36"/>
      <c r="IX596" s="36"/>
      <c r="IY596" s="36"/>
      <c r="IZ596" s="36"/>
      <c r="JA596" s="36"/>
      <c r="JB596" s="36"/>
      <c r="JC596" s="36"/>
      <c r="JD596" s="36"/>
      <c r="JE596" s="36"/>
      <c r="JF596" s="36"/>
      <c r="JG596" s="36"/>
      <c r="JH596" s="36"/>
      <c r="JI596" s="36"/>
      <c r="JJ596" s="36"/>
      <c r="JK596" s="36"/>
      <c r="JL596" s="36"/>
      <c r="JM596" s="36"/>
      <c r="JN596" s="36"/>
      <c r="JO596" s="36"/>
      <c r="JP596" s="36"/>
      <c r="JQ596" s="36"/>
      <c r="JR596" s="36"/>
      <c r="JS596" s="36"/>
      <c r="JT596" s="36"/>
      <c r="JU596" s="36"/>
      <c r="JV596" s="36"/>
      <c r="JW596" s="36"/>
      <c r="JX596" s="36"/>
      <c r="JY596" s="36"/>
      <c r="JZ596" s="36"/>
      <c r="KA596" s="36"/>
      <c r="KB596" s="36"/>
      <c r="KC596" s="36"/>
      <c r="KD596" s="36"/>
      <c r="KE596" s="36"/>
      <c r="KF596" s="36"/>
      <c r="KG596" s="36"/>
      <c r="KH596" s="36"/>
      <c r="KI596" s="36"/>
      <c r="KJ596" s="36"/>
      <c r="KK596" s="36"/>
      <c r="KL596" s="36"/>
      <c r="KM596" s="36"/>
      <c r="KN596" s="36"/>
      <c r="KO596" s="36"/>
      <c r="KP596" s="36"/>
      <c r="KQ596" s="36"/>
      <c r="KR596" s="36"/>
      <c r="KS596" s="36"/>
      <c r="KT596" s="36"/>
      <c r="KU596" s="36"/>
      <c r="KV596" s="36"/>
      <c r="KW596" s="36"/>
      <c r="KX596" s="36"/>
      <c r="KY596" s="36"/>
      <c r="KZ596" s="36"/>
      <c r="LA596" s="36"/>
      <c r="LB596" s="36"/>
      <c r="LC596" s="36"/>
      <c r="LD596" s="36"/>
      <c r="LE596" s="36"/>
      <c r="LF596" s="36"/>
      <c r="LG596" s="36"/>
      <c r="LH596" s="36"/>
      <c r="LI596" s="36"/>
      <c r="LJ596" s="36"/>
      <c r="LK596" s="36"/>
      <c r="LL596" s="36"/>
      <c r="LM596" s="36"/>
      <c r="LN596" s="36"/>
      <c r="LO596" s="36"/>
      <c r="LP596" s="36"/>
      <c r="LQ596" s="36"/>
      <c r="LR596" s="36"/>
      <c r="LS596" s="36"/>
      <c r="LT596" s="36"/>
      <c r="LU596" s="36"/>
      <c r="LV596" s="36"/>
      <c r="LW596" s="36"/>
      <c r="LX596" s="36"/>
      <c r="LY596" s="36"/>
      <c r="LZ596" s="36"/>
      <c r="MA596" s="36"/>
      <c r="MB596" s="36"/>
      <c r="MC596" s="36"/>
      <c r="MD596" s="36"/>
      <c r="ME596" s="36"/>
      <c r="MF596" s="36"/>
      <c r="MG596" s="36"/>
      <c r="MH596" s="36"/>
      <c r="MI596" s="36"/>
      <c r="MJ596" s="36"/>
      <c r="MK596" s="36"/>
      <c r="ML596" s="36"/>
      <c r="MM596" s="36"/>
      <c r="MN596" s="36"/>
      <c r="MO596" s="36"/>
      <c r="MP596" s="36"/>
      <c r="MQ596" s="36"/>
      <c r="MR596" s="36"/>
      <c r="MS596" s="36"/>
      <c r="MT596" s="36"/>
      <c r="MU596" s="36"/>
      <c r="MV596" s="36"/>
      <c r="MW596" s="36"/>
      <c r="MX596" s="36"/>
      <c r="MY596" s="36"/>
      <c r="MZ596" s="36"/>
      <c r="NA596" s="36"/>
      <c r="NB596" s="36"/>
      <c r="NC596" s="36"/>
      <c r="ND596" s="36"/>
      <c r="NE596" s="36"/>
      <c r="NF596" s="36"/>
      <c r="NG596" s="36"/>
      <c r="NH596" s="36"/>
      <c r="NI596" s="36"/>
      <c r="NJ596" s="36"/>
      <c r="NK596" s="36"/>
      <c r="NL596" s="36"/>
      <c r="NM596" s="36"/>
      <c r="NN596" s="36"/>
      <c r="NO596" s="36"/>
      <c r="NP596" s="36"/>
      <c r="NQ596" s="36"/>
      <c r="NR596" s="36"/>
      <c r="NS596" s="36"/>
      <c r="NT596" s="36"/>
      <c r="NU596" s="36"/>
      <c r="NV596" s="36"/>
      <c r="NW596" s="36"/>
      <c r="NX596" s="36"/>
      <c r="NY596" s="36"/>
      <c r="NZ596" s="36"/>
      <c r="OA596" s="36"/>
      <c r="OB596" s="36"/>
      <c r="OC596" s="36"/>
      <c r="OD596" s="36"/>
      <c r="OE596" s="36"/>
      <c r="OF596" s="36"/>
      <c r="OG596" s="36"/>
      <c r="OH596" s="36"/>
      <c r="OI596" s="36"/>
      <c r="OJ596" s="36"/>
      <c r="OK596" s="36"/>
      <c r="OL596" s="36"/>
      <c r="OM596" s="36"/>
      <c r="ON596" s="36"/>
      <c r="OO596" s="36"/>
      <c r="OP596" s="36"/>
      <c r="OQ596" s="36"/>
      <c r="OR596" s="36"/>
      <c r="OS596" s="36"/>
      <c r="OT596" s="36"/>
      <c r="OU596" s="36"/>
      <c r="OV596" s="36"/>
      <c r="OW596" s="36"/>
      <c r="OX596" s="36"/>
    </row>
    <row r="597" spans="2:414" s="27" customFormat="1" ht="15.6">
      <c r="B597" s="51" t="s">
        <v>1100</v>
      </c>
      <c r="C597" s="27" t="s">
        <v>1101</v>
      </c>
      <c r="D597" s="29" t="s">
        <v>105</v>
      </c>
      <c r="G597" s="49">
        <v>80</v>
      </c>
      <c r="H597" s="89">
        <v>26.109000000000002</v>
      </c>
      <c r="I597" s="38">
        <f t="shared" si="180"/>
        <v>2088.7200000000003</v>
      </c>
      <c r="K597" s="49">
        <v>80</v>
      </c>
      <c r="L597" s="90">
        <v>26.849599999999999</v>
      </c>
      <c r="M597" s="38">
        <f t="shared" si="181"/>
        <v>2147.9679999999998</v>
      </c>
      <c r="O597" s="49">
        <v>505</v>
      </c>
      <c r="P597" s="38">
        <v>26.728300000000001</v>
      </c>
      <c r="Q597" s="38">
        <f t="shared" si="182"/>
        <v>13497.791500000001</v>
      </c>
      <c r="R597" s="43">
        <f t="shared" si="179"/>
        <v>665</v>
      </c>
      <c r="S597" s="38">
        <f t="shared" si="183"/>
        <v>17734.479500000001</v>
      </c>
      <c r="T597" s="27">
        <v>240</v>
      </c>
      <c r="U597" s="52">
        <v>26.150300000000001</v>
      </c>
      <c r="V597" s="38">
        <f t="shared" si="176"/>
        <v>6276.0720000000001</v>
      </c>
      <c r="W597" s="52">
        <v>505</v>
      </c>
      <c r="X597" s="52">
        <v>26.7683</v>
      </c>
      <c r="Y597" s="35">
        <f t="shared" si="174"/>
        <v>13517.9915</v>
      </c>
      <c r="Z597" s="78"/>
      <c r="AF597" s="42">
        <f t="shared" si="177"/>
        <v>0</v>
      </c>
      <c r="AU597" s="100"/>
      <c r="AV597" s="35"/>
      <c r="AW597" s="78"/>
      <c r="AZ597" s="42">
        <f t="shared" si="178"/>
        <v>0</v>
      </c>
      <c r="BD597" s="38">
        <f t="shared" si="184"/>
        <v>0</v>
      </c>
      <c r="BH597" s="38">
        <f t="shared" si="185"/>
        <v>0</v>
      </c>
      <c r="BL597" s="38">
        <f t="shared" si="186"/>
        <v>0</v>
      </c>
      <c r="BR597" s="42">
        <f t="shared" si="187"/>
        <v>19794.0635</v>
      </c>
      <c r="BS597" s="43"/>
      <c r="BT597" s="27">
        <v>2059.58</v>
      </c>
      <c r="BU597" s="36"/>
      <c r="BV597" s="36"/>
      <c r="BW597" s="36"/>
      <c r="BX597" s="36"/>
      <c r="BY597" s="36"/>
      <c r="BZ597" s="36"/>
      <c r="CA597" s="36"/>
      <c r="CB597" s="36"/>
      <c r="CC597" s="36"/>
      <c r="CD597" s="36"/>
      <c r="CE597" s="36"/>
      <c r="CF597" s="36"/>
      <c r="CG597" s="36"/>
      <c r="CH597" s="36"/>
      <c r="CI597" s="36"/>
      <c r="CJ597" s="36"/>
      <c r="CK597" s="36"/>
      <c r="CL597" s="36"/>
      <c r="CM597" s="36"/>
      <c r="CN597" s="36"/>
      <c r="CO597" s="36"/>
      <c r="CP597" s="36"/>
      <c r="CQ597" s="36"/>
      <c r="CR597" s="36"/>
      <c r="CS597" s="36"/>
      <c r="CT597" s="36"/>
      <c r="CU597" s="36"/>
      <c r="CV597" s="36"/>
      <c r="CW597" s="36"/>
      <c r="CX597" s="36"/>
      <c r="CY597" s="36"/>
      <c r="CZ597" s="36"/>
      <c r="DA597" s="36"/>
      <c r="DB597" s="36"/>
      <c r="DC597" s="36"/>
      <c r="DD597" s="36"/>
      <c r="DE597" s="36"/>
      <c r="DF597" s="36"/>
      <c r="DG597" s="36"/>
      <c r="DH597" s="36"/>
      <c r="DI597" s="36"/>
      <c r="DJ597" s="36"/>
      <c r="DK597" s="36"/>
      <c r="DL597" s="36"/>
      <c r="DM597" s="36"/>
      <c r="DN597" s="36"/>
      <c r="DO597" s="36"/>
      <c r="DP597" s="36"/>
      <c r="DQ597" s="36"/>
      <c r="DR597" s="36"/>
      <c r="DS597" s="36"/>
      <c r="DT597" s="36"/>
      <c r="DU597" s="36"/>
      <c r="DV597" s="36"/>
      <c r="DW597" s="36"/>
      <c r="DX597" s="36"/>
      <c r="DY597" s="36"/>
      <c r="DZ597" s="36"/>
      <c r="EA597" s="36"/>
      <c r="EB597" s="36"/>
      <c r="EC597" s="36"/>
      <c r="ED597" s="36"/>
      <c r="EE597" s="36"/>
      <c r="EF597" s="36"/>
      <c r="EG597" s="36"/>
      <c r="EH597" s="36"/>
      <c r="EI597" s="36"/>
      <c r="EJ597" s="36"/>
      <c r="EK597" s="36"/>
      <c r="EL597" s="36"/>
      <c r="EM597" s="36"/>
      <c r="EN597" s="36"/>
      <c r="EO597" s="36"/>
      <c r="EP597" s="36"/>
      <c r="EQ597" s="36"/>
      <c r="ER597" s="36"/>
      <c r="ES597" s="36"/>
      <c r="ET597" s="36"/>
      <c r="EU597" s="36"/>
      <c r="EV597" s="36"/>
      <c r="EW597" s="36"/>
      <c r="EX597" s="36"/>
      <c r="EY597" s="36"/>
      <c r="EZ597" s="36"/>
      <c r="FA597" s="36"/>
      <c r="FB597" s="36"/>
      <c r="FC597" s="36"/>
      <c r="FD597" s="36"/>
      <c r="FE597" s="36"/>
      <c r="FF597" s="36"/>
      <c r="FG597" s="36"/>
      <c r="FH597" s="36"/>
      <c r="FI597" s="36"/>
      <c r="FJ597" s="36"/>
      <c r="FK597" s="36"/>
      <c r="FL597" s="36"/>
      <c r="FM597" s="36"/>
      <c r="FN597" s="36"/>
      <c r="FO597" s="36"/>
      <c r="FP597" s="36"/>
      <c r="FQ597" s="36"/>
      <c r="FR597" s="36"/>
      <c r="FS597" s="36"/>
      <c r="FT597" s="36"/>
      <c r="FU597" s="36"/>
      <c r="FV597" s="36"/>
      <c r="FW597" s="36"/>
      <c r="FX597" s="36"/>
      <c r="FY597" s="36"/>
      <c r="FZ597" s="36"/>
      <c r="GA597" s="36"/>
      <c r="GB597" s="36"/>
      <c r="GC597" s="36"/>
      <c r="GD597" s="36"/>
      <c r="GE597" s="36"/>
      <c r="GF597" s="36"/>
      <c r="GG597" s="36"/>
      <c r="GH597" s="36"/>
      <c r="GI597" s="36"/>
      <c r="GJ597" s="36"/>
      <c r="GK597" s="36"/>
      <c r="GL597" s="36"/>
      <c r="GM597" s="36"/>
      <c r="GN597" s="36"/>
      <c r="GO597" s="36"/>
      <c r="GP597" s="36"/>
      <c r="GQ597" s="36"/>
      <c r="GR597" s="36"/>
      <c r="GS597" s="36"/>
      <c r="GT597" s="36"/>
      <c r="GU597" s="36"/>
      <c r="GV597" s="36"/>
      <c r="GW597" s="36"/>
      <c r="GX597" s="36"/>
      <c r="GY597" s="36"/>
      <c r="GZ597" s="36"/>
      <c r="HA597" s="36"/>
      <c r="HB597" s="36"/>
      <c r="HC597" s="36"/>
      <c r="HD597" s="36"/>
      <c r="HE597" s="36"/>
      <c r="HF597" s="36"/>
      <c r="HG597" s="36"/>
      <c r="HH597" s="36"/>
      <c r="HI597" s="36"/>
      <c r="HJ597" s="36"/>
      <c r="HK597" s="36"/>
      <c r="HL597" s="36"/>
      <c r="HM597" s="36"/>
      <c r="HN597" s="36"/>
      <c r="HO597" s="36"/>
      <c r="HP597" s="36"/>
      <c r="HQ597" s="36"/>
      <c r="HR597" s="36"/>
      <c r="HS597" s="36"/>
      <c r="HT597" s="36"/>
      <c r="HU597" s="36"/>
      <c r="HV597" s="36"/>
      <c r="HW597" s="36"/>
      <c r="HX597" s="36"/>
      <c r="HY597" s="36"/>
      <c r="HZ597" s="36"/>
      <c r="IA597" s="36"/>
      <c r="IB597" s="36"/>
      <c r="IC597" s="36"/>
      <c r="ID597" s="36"/>
      <c r="IE597" s="36"/>
      <c r="IF597" s="36"/>
      <c r="IG597" s="36"/>
      <c r="IH597" s="36"/>
      <c r="II597" s="36"/>
      <c r="IJ597" s="36"/>
      <c r="IK597" s="36"/>
      <c r="IL597" s="36"/>
      <c r="IM597" s="36"/>
      <c r="IN597" s="36"/>
      <c r="IO597" s="36"/>
      <c r="IP597" s="36"/>
      <c r="IQ597" s="36"/>
      <c r="IR597" s="36"/>
      <c r="IS597" s="36"/>
      <c r="IT597" s="36"/>
      <c r="IU597" s="36"/>
      <c r="IV597" s="36"/>
      <c r="IW597" s="36"/>
      <c r="IX597" s="36"/>
      <c r="IY597" s="36"/>
      <c r="IZ597" s="36"/>
      <c r="JA597" s="36"/>
      <c r="JB597" s="36"/>
      <c r="JC597" s="36"/>
      <c r="JD597" s="36"/>
      <c r="JE597" s="36"/>
      <c r="JF597" s="36"/>
      <c r="JG597" s="36"/>
      <c r="JH597" s="36"/>
      <c r="JI597" s="36"/>
      <c r="JJ597" s="36"/>
      <c r="JK597" s="36"/>
      <c r="JL597" s="36"/>
      <c r="JM597" s="36"/>
      <c r="JN597" s="36"/>
      <c r="JO597" s="36"/>
      <c r="JP597" s="36"/>
      <c r="JQ597" s="36"/>
      <c r="JR597" s="36"/>
      <c r="JS597" s="36"/>
      <c r="JT597" s="36"/>
      <c r="JU597" s="36"/>
      <c r="JV597" s="36"/>
      <c r="JW597" s="36"/>
      <c r="JX597" s="36"/>
      <c r="JY597" s="36"/>
      <c r="JZ597" s="36"/>
      <c r="KA597" s="36"/>
      <c r="KB597" s="36"/>
      <c r="KC597" s="36"/>
      <c r="KD597" s="36"/>
      <c r="KE597" s="36"/>
      <c r="KF597" s="36"/>
      <c r="KG597" s="36"/>
      <c r="KH597" s="36"/>
      <c r="KI597" s="36"/>
      <c r="KJ597" s="36"/>
      <c r="KK597" s="36"/>
      <c r="KL597" s="36"/>
      <c r="KM597" s="36"/>
      <c r="KN597" s="36"/>
      <c r="KO597" s="36"/>
      <c r="KP597" s="36"/>
      <c r="KQ597" s="36"/>
      <c r="KR597" s="36"/>
      <c r="KS597" s="36"/>
      <c r="KT597" s="36"/>
      <c r="KU597" s="36"/>
      <c r="KV597" s="36"/>
      <c r="KW597" s="36"/>
      <c r="KX597" s="36"/>
      <c r="KY597" s="36"/>
      <c r="KZ597" s="36"/>
      <c r="LA597" s="36"/>
      <c r="LB597" s="36"/>
      <c r="LC597" s="36"/>
      <c r="LD597" s="36"/>
      <c r="LE597" s="36"/>
      <c r="LF597" s="36"/>
      <c r="LG597" s="36"/>
      <c r="LH597" s="36"/>
      <c r="LI597" s="36"/>
      <c r="LJ597" s="36"/>
      <c r="LK597" s="36"/>
      <c r="LL597" s="36"/>
      <c r="LM597" s="36"/>
      <c r="LN597" s="36"/>
      <c r="LO597" s="36"/>
      <c r="LP597" s="36"/>
      <c r="LQ597" s="36"/>
      <c r="LR597" s="36"/>
      <c r="LS597" s="36"/>
      <c r="LT597" s="36"/>
      <c r="LU597" s="36"/>
      <c r="LV597" s="36"/>
      <c r="LW597" s="36"/>
      <c r="LX597" s="36"/>
      <c r="LY597" s="36"/>
      <c r="LZ597" s="36"/>
      <c r="MA597" s="36"/>
      <c r="MB597" s="36"/>
      <c r="MC597" s="36"/>
      <c r="MD597" s="36"/>
      <c r="ME597" s="36"/>
      <c r="MF597" s="36"/>
      <c r="MG597" s="36"/>
      <c r="MH597" s="36"/>
      <c r="MI597" s="36"/>
      <c r="MJ597" s="36"/>
      <c r="MK597" s="36"/>
      <c r="ML597" s="36"/>
      <c r="MM597" s="36"/>
      <c r="MN597" s="36"/>
      <c r="MO597" s="36"/>
      <c r="MP597" s="36"/>
      <c r="MQ597" s="36"/>
      <c r="MR597" s="36"/>
      <c r="MS597" s="36"/>
      <c r="MT597" s="36"/>
      <c r="MU597" s="36"/>
      <c r="MV597" s="36"/>
      <c r="MW597" s="36"/>
      <c r="MX597" s="36"/>
      <c r="MY597" s="36"/>
      <c r="MZ597" s="36"/>
      <c r="NA597" s="36"/>
      <c r="NB597" s="36"/>
      <c r="NC597" s="36"/>
      <c r="ND597" s="36"/>
      <c r="NE597" s="36"/>
      <c r="NF597" s="36"/>
      <c r="NG597" s="36"/>
      <c r="NH597" s="36"/>
      <c r="NI597" s="36"/>
      <c r="NJ597" s="36"/>
      <c r="NK597" s="36"/>
      <c r="NL597" s="36"/>
      <c r="NM597" s="36"/>
      <c r="NN597" s="36"/>
      <c r="NO597" s="36"/>
      <c r="NP597" s="36"/>
      <c r="NQ597" s="36"/>
      <c r="NR597" s="36"/>
      <c r="NS597" s="36"/>
      <c r="NT597" s="36"/>
      <c r="NU597" s="36"/>
      <c r="NV597" s="36"/>
      <c r="NW597" s="36"/>
      <c r="NX597" s="36"/>
      <c r="NY597" s="36"/>
      <c r="NZ597" s="36"/>
      <c r="OA597" s="36"/>
      <c r="OB597" s="36"/>
      <c r="OC597" s="36"/>
      <c r="OD597" s="36"/>
      <c r="OE597" s="36"/>
      <c r="OF597" s="36"/>
      <c r="OG597" s="36"/>
      <c r="OH597" s="36"/>
      <c r="OI597" s="36"/>
      <c r="OJ597" s="36"/>
      <c r="OK597" s="36"/>
      <c r="OL597" s="36"/>
      <c r="OM597" s="36"/>
      <c r="ON597" s="36"/>
      <c r="OO597" s="36"/>
      <c r="OP597" s="36"/>
      <c r="OQ597" s="36"/>
      <c r="OR597" s="36"/>
      <c r="OS597" s="36"/>
      <c r="OT597" s="36"/>
      <c r="OU597" s="36"/>
      <c r="OV597" s="36"/>
      <c r="OW597" s="36"/>
      <c r="OX597" s="36"/>
    </row>
    <row r="598" spans="2:414" s="27" customFormat="1" ht="15.6">
      <c r="B598" s="51" t="s">
        <v>1102</v>
      </c>
      <c r="C598" s="27" t="s">
        <v>25</v>
      </c>
      <c r="D598" s="29" t="s">
        <v>105</v>
      </c>
      <c r="G598" s="49">
        <v>80</v>
      </c>
      <c r="H598" s="89">
        <v>26.109000000000002</v>
      </c>
      <c r="I598" s="38">
        <f t="shared" si="180"/>
        <v>2088.7200000000003</v>
      </c>
      <c r="K598" s="49">
        <v>80</v>
      </c>
      <c r="L598" s="90">
        <v>26.849599999999999</v>
      </c>
      <c r="M598" s="38">
        <f t="shared" si="181"/>
        <v>2147.9679999999998</v>
      </c>
      <c r="O598" s="49">
        <v>505</v>
      </c>
      <c r="P598" s="38">
        <v>26.728300000000001</v>
      </c>
      <c r="Q598" s="38">
        <f t="shared" si="182"/>
        <v>13497.791500000001</v>
      </c>
      <c r="R598" s="43">
        <f t="shared" si="179"/>
        <v>665</v>
      </c>
      <c r="S598" s="38">
        <f t="shared" si="183"/>
        <v>17734.479500000001</v>
      </c>
      <c r="T598" s="27">
        <v>140</v>
      </c>
      <c r="U598" s="52">
        <v>26.552299999999999</v>
      </c>
      <c r="V598" s="38">
        <f t="shared" si="176"/>
        <v>3717.3219999999997</v>
      </c>
      <c r="W598" s="52">
        <v>195</v>
      </c>
      <c r="X598" s="52">
        <v>26.670400000000001</v>
      </c>
      <c r="Y598" s="35">
        <f t="shared" si="174"/>
        <v>5200.7280000000001</v>
      </c>
      <c r="Z598" s="78"/>
      <c r="AF598" s="42">
        <f t="shared" si="177"/>
        <v>0</v>
      </c>
      <c r="AU598" s="100"/>
      <c r="AV598" s="35"/>
      <c r="AW598" s="78"/>
      <c r="AZ598" s="42">
        <f t="shared" si="178"/>
        <v>0</v>
      </c>
      <c r="BD598" s="38">
        <f t="shared" si="184"/>
        <v>0</v>
      </c>
      <c r="BH598" s="38">
        <f t="shared" si="185"/>
        <v>0</v>
      </c>
      <c r="BL598" s="38">
        <f t="shared" si="186"/>
        <v>0</v>
      </c>
      <c r="BR598" s="42">
        <f t="shared" si="187"/>
        <v>8918.0499999999993</v>
      </c>
      <c r="BS598" s="43">
        <f t="shared" si="188"/>
        <v>8816.429500000002</v>
      </c>
      <c r="BU598" s="36"/>
      <c r="BV598" s="36"/>
      <c r="BW598" s="36"/>
      <c r="BX598" s="36"/>
      <c r="BY598" s="36"/>
      <c r="BZ598" s="36"/>
      <c r="CA598" s="36"/>
      <c r="CB598" s="36"/>
      <c r="CC598" s="36"/>
      <c r="CD598" s="36"/>
      <c r="CE598" s="36"/>
      <c r="CF598" s="36"/>
      <c r="CG598" s="36"/>
      <c r="CH598" s="36"/>
      <c r="CI598" s="36"/>
      <c r="CJ598" s="36"/>
      <c r="CK598" s="36"/>
      <c r="CL598" s="36"/>
      <c r="CM598" s="36"/>
      <c r="CN598" s="36"/>
      <c r="CO598" s="36"/>
      <c r="CP598" s="36"/>
      <c r="CQ598" s="36"/>
      <c r="CR598" s="36"/>
      <c r="CS598" s="36"/>
      <c r="CT598" s="36"/>
      <c r="CU598" s="36"/>
      <c r="CV598" s="36"/>
      <c r="CW598" s="36"/>
      <c r="CX598" s="36"/>
      <c r="CY598" s="36"/>
      <c r="CZ598" s="36"/>
      <c r="DA598" s="36"/>
      <c r="DB598" s="36"/>
      <c r="DC598" s="36"/>
      <c r="DD598" s="36"/>
      <c r="DE598" s="36"/>
      <c r="DF598" s="36"/>
      <c r="DG598" s="36"/>
      <c r="DH598" s="36"/>
      <c r="DI598" s="36"/>
      <c r="DJ598" s="36"/>
      <c r="DK598" s="36"/>
      <c r="DL598" s="36"/>
      <c r="DM598" s="36"/>
      <c r="DN598" s="36"/>
      <c r="DO598" s="36"/>
      <c r="DP598" s="36"/>
      <c r="DQ598" s="36"/>
      <c r="DR598" s="36"/>
      <c r="DS598" s="36"/>
      <c r="DT598" s="36"/>
      <c r="DU598" s="36"/>
      <c r="DV598" s="36"/>
      <c r="DW598" s="36"/>
      <c r="DX598" s="36"/>
      <c r="DY598" s="36"/>
      <c r="DZ598" s="36"/>
      <c r="EA598" s="36"/>
      <c r="EB598" s="36"/>
      <c r="EC598" s="36"/>
      <c r="ED598" s="36"/>
      <c r="EE598" s="36"/>
      <c r="EF598" s="36"/>
      <c r="EG598" s="36"/>
      <c r="EH598" s="36"/>
      <c r="EI598" s="36"/>
      <c r="EJ598" s="36"/>
      <c r="EK598" s="36"/>
      <c r="EL598" s="36"/>
      <c r="EM598" s="36"/>
      <c r="EN598" s="36"/>
      <c r="EO598" s="36"/>
      <c r="EP598" s="36"/>
      <c r="EQ598" s="36"/>
      <c r="ER598" s="36"/>
      <c r="ES598" s="36"/>
      <c r="ET598" s="36"/>
      <c r="EU598" s="36"/>
      <c r="EV598" s="36"/>
      <c r="EW598" s="36"/>
      <c r="EX598" s="36"/>
      <c r="EY598" s="36"/>
      <c r="EZ598" s="36"/>
      <c r="FA598" s="36"/>
      <c r="FB598" s="36"/>
      <c r="FC598" s="36"/>
      <c r="FD598" s="36"/>
      <c r="FE598" s="36"/>
      <c r="FF598" s="36"/>
      <c r="FG598" s="36"/>
      <c r="FH598" s="36"/>
      <c r="FI598" s="36"/>
      <c r="FJ598" s="36"/>
      <c r="FK598" s="36"/>
      <c r="FL598" s="36"/>
      <c r="FM598" s="36"/>
      <c r="FN598" s="36"/>
      <c r="FO598" s="36"/>
      <c r="FP598" s="36"/>
      <c r="FQ598" s="36"/>
      <c r="FR598" s="36"/>
      <c r="FS598" s="36"/>
      <c r="FT598" s="36"/>
      <c r="FU598" s="36"/>
      <c r="FV598" s="36"/>
      <c r="FW598" s="36"/>
      <c r="FX598" s="36"/>
      <c r="FY598" s="36"/>
      <c r="FZ598" s="36"/>
      <c r="GA598" s="36"/>
      <c r="GB598" s="36"/>
      <c r="GC598" s="36"/>
      <c r="GD598" s="36"/>
      <c r="GE598" s="36"/>
      <c r="GF598" s="36"/>
      <c r="GG598" s="36"/>
      <c r="GH598" s="36"/>
      <c r="GI598" s="36"/>
      <c r="GJ598" s="36"/>
      <c r="GK598" s="36"/>
      <c r="GL598" s="36"/>
      <c r="GM598" s="36"/>
      <c r="GN598" s="36"/>
      <c r="GO598" s="36"/>
      <c r="GP598" s="36"/>
      <c r="GQ598" s="36"/>
      <c r="GR598" s="36"/>
      <c r="GS598" s="36"/>
      <c r="GT598" s="36"/>
      <c r="GU598" s="36"/>
      <c r="GV598" s="36"/>
      <c r="GW598" s="36"/>
      <c r="GX598" s="36"/>
      <c r="GY598" s="36"/>
      <c r="GZ598" s="36"/>
      <c r="HA598" s="36"/>
      <c r="HB598" s="36"/>
      <c r="HC598" s="36"/>
      <c r="HD598" s="36"/>
      <c r="HE598" s="36"/>
      <c r="HF598" s="36"/>
      <c r="HG598" s="36"/>
      <c r="HH598" s="36"/>
      <c r="HI598" s="36"/>
      <c r="HJ598" s="36"/>
      <c r="HK598" s="36"/>
      <c r="HL598" s="36"/>
      <c r="HM598" s="36"/>
      <c r="HN598" s="36"/>
      <c r="HO598" s="36"/>
      <c r="HP598" s="36"/>
      <c r="HQ598" s="36"/>
      <c r="HR598" s="36"/>
      <c r="HS598" s="36"/>
      <c r="HT598" s="36"/>
      <c r="HU598" s="36"/>
      <c r="HV598" s="36"/>
      <c r="HW598" s="36"/>
      <c r="HX598" s="36"/>
      <c r="HY598" s="36"/>
      <c r="HZ598" s="36"/>
      <c r="IA598" s="36"/>
      <c r="IB598" s="36"/>
      <c r="IC598" s="36"/>
      <c r="ID598" s="36"/>
      <c r="IE598" s="36"/>
      <c r="IF598" s="36"/>
      <c r="IG598" s="36"/>
      <c r="IH598" s="36"/>
      <c r="II598" s="36"/>
      <c r="IJ598" s="36"/>
      <c r="IK598" s="36"/>
      <c r="IL598" s="36"/>
      <c r="IM598" s="36"/>
      <c r="IN598" s="36"/>
      <c r="IO598" s="36"/>
      <c r="IP598" s="36"/>
      <c r="IQ598" s="36"/>
      <c r="IR598" s="36"/>
      <c r="IS598" s="36"/>
      <c r="IT598" s="36"/>
      <c r="IU598" s="36"/>
      <c r="IV598" s="36"/>
      <c r="IW598" s="36"/>
      <c r="IX598" s="36"/>
      <c r="IY598" s="36"/>
      <c r="IZ598" s="36"/>
      <c r="JA598" s="36"/>
      <c r="JB598" s="36"/>
      <c r="JC598" s="36"/>
      <c r="JD598" s="36"/>
      <c r="JE598" s="36"/>
      <c r="JF598" s="36"/>
      <c r="JG598" s="36"/>
      <c r="JH598" s="36"/>
      <c r="JI598" s="36"/>
      <c r="JJ598" s="36"/>
      <c r="JK598" s="36"/>
      <c r="JL598" s="36"/>
      <c r="JM598" s="36"/>
      <c r="JN598" s="36"/>
      <c r="JO598" s="36"/>
      <c r="JP598" s="36"/>
      <c r="JQ598" s="36"/>
      <c r="JR598" s="36"/>
      <c r="JS598" s="36"/>
      <c r="JT598" s="36"/>
      <c r="JU598" s="36"/>
      <c r="JV598" s="36"/>
      <c r="JW598" s="36"/>
      <c r="JX598" s="36"/>
      <c r="JY598" s="36"/>
      <c r="JZ598" s="36"/>
      <c r="KA598" s="36"/>
      <c r="KB598" s="36"/>
      <c r="KC598" s="36"/>
      <c r="KD598" s="36"/>
      <c r="KE598" s="36"/>
      <c r="KF598" s="36"/>
      <c r="KG598" s="36"/>
      <c r="KH598" s="36"/>
      <c r="KI598" s="36"/>
      <c r="KJ598" s="36"/>
      <c r="KK598" s="36"/>
      <c r="KL598" s="36"/>
      <c r="KM598" s="36"/>
      <c r="KN598" s="36"/>
      <c r="KO598" s="36"/>
      <c r="KP598" s="36"/>
      <c r="KQ598" s="36"/>
      <c r="KR598" s="36"/>
      <c r="KS598" s="36"/>
      <c r="KT598" s="36"/>
      <c r="KU598" s="36"/>
      <c r="KV598" s="36"/>
      <c r="KW598" s="36"/>
      <c r="KX598" s="36"/>
      <c r="KY598" s="36"/>
      <c r="KZ598" s="36"/>
      <c r="LA598" s="36"/>
      <c r="LB598" s="36"/>
      <c r="LC598" s="36"/>
      <c r="LD598" s="36"/>
      <c r="LE598" s="36"/>
      <c r="LF598" s="36"/>
      <c r="LG598" s="36"/>
      <c r="LH598" s="36"/>
      <c r="LI598" s="36"/>
      <c r="LJ598" s="36"/>
      <c r="LK598" s="36"/>
      <c r="LL598" s="36"/>
      <c r="LM598" s="36"/>
      <c r="LN598" s="36"/>
      <c r="LO598" s="36"/>
      <c r="LP598" s="36"/>
      <c r="LQ598" s="36"/>
      <c r="LR598" s="36"/>
      <c r="LS598" s="36"/>
      <c r="LT598" s="36"/>
      <c r="LU598" s="36"/>
      <c r="LV598" s="36"/>
      <c r="LW598" s="36"/>
      <c r="LX598" s="36"/>
      <c r="LY598" s="36"/>
      <c r="LZ598" s="36"/>
      <c r="MA598" s="36"/>
      <c r="MB598" s="36"/>
      <c r="MC598" s="36"/>
      <c r="MD598" s="36"/>
      <c r="ME598" s="36"/>
      <c r="MF598" s="36"/>
      <c r="MG598" s="36"/>
      <c r="MH598" s="36"/>
      <c r="MI598" s="36"/>
      <c r="MJ598" s="36"/>
      <c r="MK598" s="36"/>
      <c r="ML598" s="36"/>
      <c r="MM598" s="36"/>
      <c r="MN598" s="36"/>
      <c r="MO598" s="36"/>
      <c r="MP598" s="36"/>
      <c r="MQ598" s="36"/>
      <c r="MR598" s="36"/>
      <c r="MS598" s="36"/>
      <c r="MT598" s="36"/>
      <c r="MU598" s="36"/>
      <c r="MV598" s="36"/>
      <c r="MW598" s="36"/>
      <c r="MX598" s="36"/>
      <c r="MY598" s="36"/>
      <c r="MZ598" s="36"/>
      <c r="NA598" s="36"/>
      <c r="NB598" s="36"/>
      <c r="NC598" s="36"/>
      <c r="ND598" s="36"/>
      <c r="NE598" s="36"/>
      <c r="NF598" s="36"/>
      <c r="NG598" s="36"/>
      <c r="NH598" s="36"/>
      <c r="NI598" s="36"/>
      <c r="NJ598" s="36"/>
      <c r="NK598" s="36"/>
      <c r="NL598" s="36"/>
      <c r="NM598" s="36"/>
      <c r="NN598" s="36"/>
      <c r="NO598" s="36"/>
      <c r="NP598" s="36"/>
      <c r="NQ598" s="36"/>
      <c r="NR598" s="36"/>
      <c r="NS598" s="36"/>
      <c r="NT598" s="36"/>
      <c r="NU598" s="36"/>
      <c r="NV598" s="36"/>
      <c r="NW598" s="36"/>
      <c r="NX598" s="36"/>
      <c r="NY598" s="36"/>
      <c r="NZ598" s="36"/>
      <c r="OA598" s="36"/>
      <c r="OB598" s="36"/>
      <c r="OC598" s="36"/>
      <c r="OD598" s="36"/>
      <c r="OE598" s="36"/>
      <c r="OF598" s="36"/>
      <c r="OG598" s="36"/>
      <c r="OH598" s="36"/>
      <c r="OI598" s="36"/>
      <c r="OJ598" s="36"/>
      <c r="OK598" s="36"/>
      <c r="OL598" s="36"/>
      <c r="OM598" s="36"/>
      <c r="ON598" s="36"/>
      <c r="OO598" s="36"/>
      <c r="OP598" s="36"/>
      <c r="OQ598" s="36"/>
      <c r="OR598" s="36"/>
      <c r="OS598" s="36"/>
      <c r="OT598" s="36"/>
      <c r="OU598" s="36"/>
      <c r="OV598" s="36"/>
      <c r="OW598" s="36"/>
      <c r="OX598" s="36"/>
    </row>
    <row r="599" spans="2:414" s="27" customFormat="1" ht="15.6">
      <c r="B599" s="51" t="s">
        <v>756</v>
      </c>
      <c r="C599" s="27" t="s">
        <v>757</v>
      </c>
      <c r="D599" s="29" t="s">
        <v>105</v>
      </c>
      <c r="G599" s="49">
        <v>80</v>
      </c>
      <c r="H599" s="89">
        <v>26.109000000000002</v>
      </c>
      <c r="I599" s="38">
        <f t="shared" si="180"/>
        <v>2088.7200000000003</v>
      </c>
      <c r="K599" s="49">
        <v>80</v>
      </c>
      <c r="L599" s="90">
        <v>26.849599999999999</v>
      </c>
      <c r="M599" s="38">
        <f t="shared" si="181"/>
        <v>2147.9679999999998</v>
      </c>
      <c r="O599" s="49">
        <v>505</v>
      </c>
      <c r="P599" s="38">
        <v>26.728300000000001</v>
      </c>
      <c r="Q599" s="38">
        <f t="shared" si="182"/>
        <v>13497.791500000001</v>
      </c>
      <c r="R599" s="43">
        <f t="shared" si="179"/>
        <v>665</v>
      </c>
      <c r="S599" s="38">
        <f t="shared" si="183"/>
        <v>17734.479500000001</v>
      </c>
      <c r="T599" s="27">
        <v>240</v>
      </c>
      <c r="U599" s="52">
        <v>26.786300000000001</v>
      </c>
      <c r="V599" s="38">
        <f t="shared" si="176"/>
        <v>6428.7120000000004</v>
      </c>
      <c r="W599" s="52">
        <v>290</v>
      </c>
      <c r="X599" s="52">
        <v>26.728300000000001</v>
      </c>
      <c r="Y599" s="35">
        <f t="shared" si="174"/>
        <v>7751.2070000000003</v>
      </c>
      <c r="Z599" s="78"/>
      <c r="AB599" s="32">
        <v>2727</v>
      </c>
      <c r="AF599" s="42">
        <f t="shared" si="177"/>
        <v>0</v>
      </c>
      <c r="AU599" s="100"/>
      <c r="AV599" s="35"/>
      <c r="AW599" s="78"/>
      <c r="AZ599" s="42">
        <f t="shared" si="178"/>
        <v>0</v>
      </c>
      <c r="BD599" s="38">
        <f t="shared" si="184"/>
        <v>0</v>
      </c>
      <c r="BH599" s="38">
        <f t="shared" si="185"/>
        <v>0</v>
      </c>
      <c r="BL599" s="38">
        <f t="shared" si="186"/>
        <v>0</v>
      </c>
      <c r="BR599" s="42">
        <f t="shared" si="187"/>
        <v>16906.919000000002</v>
      </c>
      <c r="BS599" s="43">
        <f t="shared" si="188"/>
        <v>827.56049999999959</v>
      </c>
      <c r="BU599" s="36"/>
      <c r="BV599" s="36"/>
      <c r="BW599" s="36"/>
      <c r="BX599" s="36"/>
      <c r="BY599" s="36"/>
      <c r="BZ599" s="36"/>
      <c r="CA599" s="36"/>
      <c r="CB599" s="36"/>
      <c r="CC599" s="36"/>
      <c r="CD599" s="36"/>
      <c r="CE599" s="36"/>
      <c r="CF599" s="36"/>
      <c r="CG599" s="36"/>
      <c r="CH599" s="36"/>
      <c r="CI599" s="36"/>
      <c r="CJ599" s="36"/>
      <c r="CK599" s="36"/>
      <c r="CL599" s="36"/>
      <c r="CM599" s="36"/>
      <c r="CN599" s="36"/>
      <c r="CO599" s="36"/>
      <c r="CP599" s="36"/>
      <c r="CQ599" s="36"/>
      <c r="CR599" s="36"/>
      <c r="CS599" s="36"/>
      <c r="CT599" s="36"/>
      <c r="CU599" s="36"/>
      <c r="CV599" s="36"/>
      <c r="CW599" s="36"/>
      <c r="CX599" s="36"/>
      <c r="CY599" s="36"/>
      <c r="CZ599" s="36"/>
      <c r="DA599" s="36"/>
      <c r="DB599" s="36"/>
      <c r="DC599" s="36"/>
      <c r="DD599" s="36"/>
      <c r="DE599" s="36"/>
      <c r="DF599" s="36"/>
      <c r="DG599" s="36"/>
      <c r="DH599" s="36"/>
      <c r="DI599" s="36"/>
      <c r="DJ599" s="36"/>
      <c r="DK599" s="36"/>
      <c r="DL599" s="36"/>
      <c r="DM599" s="36"/>
      <c r="DN599" s="36"/>
      <c r="DO599" s="36"/>
      <c r="DP599" s="36"/>
      <c r="DQ599" s="36"/>
      <c r="DR599" s="36"/>
      <c r="DS599" s="36"/>
      <c r="DT599" s="36"/>
      <c r="DU599" s="36"/>
      <c r="DV599" s="36"/>
      <c r="DW599" s="36"/>
      <c r="DX599" s="36"/>
      <c r="DY599" s="36"/>
      <c r="DZ599" s="36"/>
      <c r="EA599" s="36"/>
      <c r="EB599" s="36"/>
      <c r="EC599" s="36"/>
      <c r="ED599" s="36"/>
      <c r="EE599" s="36"/>
      <c r="EF599" s="36"/>
      <c r="EG599" s="36"/>
      <c r="EH599" s="36"/>
      <c r="EI599" s="36"/>
      <c r="EJ599" s="36"/>
      <c r="EK599" s="36"/>
      <c r="EL599" s="36"/>
      <c r="EM599" s="36"/>
      <c r="EN599" s="36"/>
      <c r="EO599" s="36"/>
      <c r="EP599" s="36"/>
      <c r="EQ599" s="36"/>
      <c r="ER599" s="36"/>
      <c r="ES599" s="36"/>
      <c r="ET599" s="36"/>
      <c r="EU599" s="36"/>
      <c r="EV599" s="36"/>
      <c r="EW599" s="36"/>
      <c r="EX599" s="36"/>
      <c r="EY599" s="36"/>
      <c r="EZ599" s="36"/>
      <c r="FA599" s="36"/>
      <c r="FB599" s="36"/>
      <c r="FC599" s="36"/>
      <c r="FD599" s="36"/>
      <c r="FE599" s="36"/>
      <c r="FF599" s="36"/>
      <c r="FG599" s="36"/>
      <c r="FH599" s="36"/>
      <c r="FI599" s="36"/>
      <c r="FJ599" s="36"/>
      <c r="FK599" s="36"/>
      <c r="FL599" s="36"/>
      <c r="FM599" s="36"/>
      <c r="FN599" s="36"/>
      <c r="FO599" s="36"/>
      <c r="FP599" s="36"/>
      <c r="FQ599" s="36"/>
      <c r="FR599" s="36"/>
      <c r="FS599" s="36"/>
      <c r="FT599" s="36"/>
      <c r="FU599" s="36"/>
      <c r="FV599" s="36"/>
      <c r="FW599" s="36"/>
      <c r="FX599" s="36"/>
      <c r="FY599" s="36"/>
      <c r="FZ599" s="36"/>
      <c r="GA599" s="36"/>
      <c r="GB599" s="36"/>
      <c r="GC599" s="36"/>
      <c r="GD599" s="36"/>
      <c r="GE599" s="36"/>
      <c r="GF599" s="36"/>
      <c r="GG599" s="36"/>
      <c r="GH599" s="36"/>
      <c r="GI599" s="36"/>
      <c r="GJ599" s="36"/>
      <c r="GK599" s="36"/>
      <c r="GL599" s="36"/>
      <c r="GM599" s="36"/>
      <c r="GN599" s="36"/>
      <c r="GO599" s="36"/>
      <c r="GP599" s="36"/>
      <c r="GQ599" s="36"/>
      <c r="GR599" s="36"/>
      <c r="GS599" s="36"/>
      <c r="GT599" s="36"/>
      <c r="GU599" s="36"/>
      <c r="GV599" s="36"/>
      <c r="GW599" s="36"/>
      <c r="GX599" s="36"/>
      <c r="GY599" s="36"/>
      <c r="GZ599" s="36"/>
      <c r="HA599" s="36"/>
      <c r="HB599" s="36"/>
      <c r="HC599" s="36"/>
      <c r="HD599" s="36"/>
      <c r="HE599" s="36"/>
      <c r="HF599" s="36"/>
      <c r="HG599" s="36"/>
      <c r="HH599" s="36"/>
      <c r="HI599" s="36"/>
      <c r="HJ599" s="36"/>
      <c r="HK599" s="36"/>
      <c r="HL599" s="36"/>
      <c r="HM599" s="36"/>
      <c r="HN599" s="36"/>
      <c r="HO599" s="36"/>
      <c r="HP599" s="36"/>
      <c r="HQ599" s="36"/>
      <c r="HR599" s="36"/>
      <c r="HS599" s="36"/>
      <c r="HT599" s="36"/>
      <c r="HU599" s="36"/>
      <c r="HV599" s="36"/>
      <c r="HW599" s="36"/>
      <c r="HX599" s="36"/>
      <c r="HY599" s="36"/>
      <c r="HZ599" s="36"/>
      <c r="IA599" s="36"/>
      <c r="IB599" s="36"/>
      <c r="IC599" s="36"/>
      <c r="ID599" s="36"/>
      <c r="IE599" s="36"/>
      <c r="IF599" s="36"/>
      <c r="IG599" s="36"/>
      <c r="IH599" s="36"/>
      <c r="II599" s="36"/>
      <c r="IJ599" s="36"/>
      <c r="IK599" s="36"/>
      <c r="IL599" s="36"/>
      <c r="IM599" s="36"/>
      <c r="IN599" s="36"/>
      <c r="IO599" s="36"/>
      <c r="IP599" s="36"/>
      <c r="IQ599" s="36"/>
      <c r="IR599" s="36"/>
      <c r="IS599" s="36"/>
      <c r="IT599" s="36"/>
      <c r="IU599" s="36"/>
      <c r="IV599" s="36"/>
      <c r="IW599" s="36"/>
      <c r="IX599" s="36"/>
      <c r="IY599" s="36"/>
      <c r="IZ599" s="36"/>
      <c r="JA599" s="36"/>
      <c r="JB599" s="36"/>
      <c r="JC599" s="36"/>
      <c r="JD599" s="36"/>
      <c r="JE599" s="36"/>
      <c r="JF599" s="36"/>
      <c r="JG599" s="36"/>
      <c r="JH599" s="36"/>
      <c r="JI599" s="36"/>
      <c r="JJ599" s="36"/>
      <c r="JK599" s="36"/>
      <c r="JL599" s="36"/>
      <c r="JM599" s="36"/>
      <c r="JN599" s="36"/>
      <c r="JO599" s="36"/>
      <c r="JP599" s="36"/>
      <c r="JQ599" s="36"/>
      <c r="JR599" s="36"/>
      <c r="JS599" s="36"/>
      <c r="JT599" s="36"/>
      <c r="JU599" s="36"/>
      <c r="JV599" s="36"/>
      <c r="JW599" s="36"/>
      <c r="JX599" s="36"/>
      <c r="JY599" s="36"/>
      <c r="JZ599" s="36"/>
      <c r="KA599" s="36"/>
      <c r="KB599" s="36"/>
      <c r="KC599" s="36"/>
      <c r="KD599" s="36"/>
      <c r="KE599" s="36"/>
      <c r="KF599" s="36"/>
      <c r="KG599" s="36"/>
      <c r="KH599" s="36"/>
      <c r="KI599" s="36"/>
      <c r="KJ599" s="36"/>
      <c r="KK599" s="36"/>
      <c r="KL599" s="36"/>
      <c r="KM599" s="36"/>
      <c r="KN599" s="36"/>
      <c r="KO599" s="36"/>
      <c r="KP599" s="36"/>
      <c r="KQ599" s="36"/>
      <c r="KR599" s="36"/>
      <c r="KS599" s="36"/>
      <c r="KT599" s="36"/>
      <c r="KU599" s="36"/>
      <c r="KV599" s="36"/>
      <c r="KW599" s="36"/>
      <c r="KX599" s="36"/>
      <c r="KY599" s="36"/>
      <c r="KZ599" s="36"/>
      <c r="LA599" s="36"/>
      <c r="LB599" s="36"/>
      <c r="LC599" s="36"/>
      <c r="LD599" s="36"/>
      <c r="LE599" s="36"/>
      <c r="LF599" s="36"/>
      <c r="LG599" s="36"/>
      <c r="LH599" s="36"/>
      <c r="LI599" s="36"/>
      <c r="LJ599" s="36"/>
      <c r="LK599" s="36"/>
      <c r="LL599" s="36"/>
      <c r="LM599" s="36"/>
      <c r="LN599" s="36"/>
      <c r="LO599" s="36"/>
      <c r="LP599" s="36"/>
      <c r="LQ599" s="36"/>
      <c r="LR599" s="36"/>
      <c r="LS599" s="36"/>
      <c r="LT599" s="36"/>
      <c r="LU599" s="36"/>
      <c r="LV599" s="36"/>
      <c r="LW599" s="36"/>
      <c r="LX599" s="36"/>
      <c r="LY599" s="36"/>
      <c r="LZ599" s="36"/>
      <c r="MA599" s="36"/>
      <c r="MB599" s="36"/>
      <c r="MC599" s="36"/>
      <c r="MD599" s="36"/>
      <c r="ME599" s="36"/>
      <c r="MF599" s="36"/>
      <c r="MG599" s="36"/>
      <c r="MH599" s="36"/>
      <c r="MI599" s="36"/>
      <c r="MJ599" s="36"/>
      <c r="MK599" s="36"/>
      <c r="ML599" s="36"/>
      <c r="MM599" s="36"/>
      <c r="MN599" s="36"/>
      <c r="MO599" s="36"/>
      <c r="MP599" s="36"/>
      <c r="MQ599" s="36"/>
      <c r="MR599" s="36"/>
      <c r="MS599" s="36"/>
      <c r="MT599" s="36"/>
      <c r="MU599" s="36"/>
      <c r="MV599" s="36"/>
      <c r="MW599" s="36"/>
      <c r="MX599" s="36"/>
      <c r="MY599" s="36"/>
      <c r="MZ599" s="36"/>
      <c r="NA599" s="36"/>
      <c r="NB599" s="36"/>
      <c r="NC599" s="36"/>
      <c r="ND599" s="36"/>
      <c r="NE599" s="36"/>
      <c r="NF599" s="36"/>
      <c r="NG599" s="36"/>
      <c r="NH599" s="36"/>
      <c r="NI599" s="36"/>
      <c r="NJ599" s="36"/>
      <c r="NK599" s="36"/>
      <c r="NL599" s="36"/>
      <c r="NM599" s="36"/>
      <c r="NN599" s="36"/>
      <c r="NO599" s="36"/>
      <c r="NP599" s="36"/>
      <c r="NQ599" s="36"/>
      <c r="NR599" s="36"/>
      <c r="NS599" s="36"/>
      <c r="NT599" s="36"/>
      <c r="NU599" s="36"/>
      <c r="NV599" s="36"/>
      <c r="NW599" s="36"/>
      <c r="NX599" s="36"/>
      <c r="NY599" s="36"/>
      <c r="NZ599" s="36"/>
      <c r="OA599" s="36"/>
      <c r="OB599" s="36"/>
      <c r="OC599" s="36"/>
      <c r="OD599" s="36"/>
      <c r="OE599" s="36"/>
      <c r="OF599" s="36"/>
      <c r="OG599" s="36"/>
      <c r="OH599" s="36"/>
      <c r="OI599" s="36"/>
      <c r="OJ599" s="36"/>
      <c r="OK599" s="36"/>
      <c r="OL599" s="36"/>
      <c r="OM599" s="36"/>
      <c r="ON599" s="36"/>
      <c r="OO599" s="36"/>
      <c r="OP599" s="36"/>
      <c r="OQ599" s="36"/>
      <c r="OR599" s="36"/>
      <c r="OS599" s="36"/>
      <c r="OT599" s="36"/>
      <c r="OU599" s="36"/>
      <c r="OV599" s="36"/>
      <c r="OW599" s="36"/>
      <c r="OX599" s="36"/>
    </row>
    <row r="600" spans="2:414" s="27" customFormat="1" ht="15.6">
      <c r="B600" s="51" t="s">
        <v>1103</v>
      </c>
      <c r="C600" s="27" t="s">
        <v>148</v>
      </c>
      <c r="D600" s="29" t="s">
        <v>105</v>
      </c>
      <c r="G600" s="49">
        <v>80</v>
      </c>
      <c r="H600" s="89">
        <v>26.109000000000002</v>
      </c>
      <c r="I600" s="38">
        <f t="shared" si="180"/>
        <v>2088.7200000000003</v>
      </c>
      <c r="K600" s="49">
        <v>80</v>
      </c>
      <c r="L600" s="90">
        <v>26.849599999999999</v>
      </c>
      <c r="M600" s="38">
        <f t="shared" si="181"/>
        <v>2147.9679999999998</v>
      </c>
      <c r="O600" s="49">
        <v>505</v>
      </c>
      <c r="P600" s="38">
        <v>26.728300000000001</v>
      </c>
      <c r="Q600" s="38">
        <f t="shared" si="182"/>
        <v>13497.791500000001</v>
      </c>
      <c r="R600" s="43">
        <f t="shared" si="179"/>
        <v>665</v>
      </c>
      <c r="S600" s="38">
        <f t="shared" si="183"/>
        <v>17734.479500000001</v>
      </c>
      <c r="T600" s="27">
        <v>240</v>
      </c>
      <c r="U600" s="52">
        <v>26.731200000000001</v>
      </c>
      <c r="V600" s="38">
        <f t="shared" si="176"/>
        <v>6415.4880000000003</v>
      </c>
      <c r="W600" s="52">
        <v>505</v>
      </c>
      <c r="X600" s="52">
        <v>26.73</v>
      </c>
      <c r="Y600" s="35">
        <f t="shared" ref="Y600:Y639" si="189">W600*X600</f>
        <v>13498.65</v>
      </c>
      <c r="Z600" s="78"/>
      <c r="AF600" s="42">
        <f t="shared" si="177"/>
        <v>0</v>
      </c>
      <c r="AU600" s="100"/>
      <c r="AV600" s="35"/>
      <c r="AW600" s="78"/>
      <c r="AZ600" s="42">
        <f t="shared" si="178"/>
        <v>0</v>
      </c>
      <c r="BD600" s="38">
        <f t="shared" si="184"/>
        <v>0</v>
      </c>
      <c r="BH600" s="38">
        <f t="shared" si="185"/>
        <v>0</v>
      </c>
      <c r="BL600" s="38">
        <f t="shared" si="186"/>
        <v>0</v>
      </c>
      <c r="BR600" s="42">
        <f t="shared" si="187"/>
        <v>19914.137999999999</v>
      </c>
      <c r="BS600" s="43"/>
      <c r="BT600" s="27">
        <v>2179.66</v>
      </c>
      <c r="BU600" s="36"/>
      <c r="BV600" s="36"/>
      <c r="BW600" s="36"/>
      <c r="BX600" s="36"/>
      <c r="BY600" s="36"/>
      <c r="BZ600" s="36"/>
      <c r="CA600" s="36"/>
      <c r="CB600" s="36"/>
      <c r="CC600" s="36"/>
      <c r="CD600" s="36"/>
      <c r="CE600" s="36"/>
      <c r="CF600" s="36"/>
      <c r="CG600" s="36"/>
      <c r="CH600" s="36"/>
      <c r="CI600" s="36"/>
      <c r="CJ600" s="36"/>
      <c r="CK600" s="36"/>
      <c r="CL600" s="36"/>
      <c r="CM600" s="36"/>
      <c r="CN600" s="36"/>
      <c r="CO600" s="36"/>
      <c r="CP600" s="36"/>
      <c r="CQ600" s="36"/>
      <c r="CR600" s="36"/>
      <c r="CS600" s="36"/>
      <c r="CT600" s="36"/>
      <c r="CU600" s="36"/>
      <c r="CV600" s="36"/>
      <c r="CW600" s="36"/>
      <c r="CX600" s="36"/>
      <c r="CY600" s="36"/>
      <c r="CZ600" s="36"/>
      <c r="DA600" s="36"/>
      <c r="DB600" s="36"/>
      <c r="DC600" s="36"/>
      <c r="DD600" s="36"/>
      <c r="DE600" s="36"/>
      <c r="DF600" s="36"/>
      <c r="DG600" s="36"/>
      <c r="DH600" s="36"/>
      <c r="DI600" s="36"/>
      <c r="DJ600" s="36"/>
      <c r="DK600" s="36"/>
      <c r="DL600" s="36"/>
      <c r="DM600" s="36"/>
      <c r="DN600" s="36"/>
      <c r="DO600" s="36"/>
      <c r="DP600" s="36"/>
      <c r="DQ600" s="36"/>
      <c r="DR600" s="36"/>
      <c r="DS600" s="36"/>
      <c r="DT600" s="36"/>
      <c r="DU600" s="36"/>
      <c r="DV600" s="36"/>
      <c r="DW600" s="36"/>
      <c r="DX600" s="36"/>
      <c r="DY600" s="36"/>
      <c r="DZ600" s="36"/>
      <c r="EA600" s="36"/>
      <c r="EB600" s="36"/>
      <c r="EC600" s="36"/>
      <c r="ED600" s="36"/>
      <c r="EE600" s="36"/>
      <c r="EF600" s="36"/>
      <c r="EG600" s="36"/>
      <c r="EH600" s="36"/>
      <c r="EI600" s="36"/>
      <c r="EJ600" s="36"/>
      <c r="EK600" s="36"/>
      <c r="EL600" s="36"/>
      <c r="EM600" s="36"/>
      <c r="EN600" s="36"/>
      <c r="EO600" s="36"/>
      <c r="EP600" s="36"/>
      <c r="EQ600" s="36"/>
      <c r="ER600" s="36"/>
      <c r="ES600" s="36"/>
      <c r="ET600" s="36"/>
      <c r="EU600" s="36"/>
      <c r="EV600" s="36"/>
      <c r="EW600" s="36"/>
      <c r="EX600" s="36"/>
      <c r="EY600" s="36"/>
      <c r="EZ600" s="36"/>
      <c r="FA600" s="36"/>
      <c r="FB600" s="36"/>
      <c r="FC600" s="36"/>
      <c r="FD600" s="36"/>
      <c r="FE600" s="36"/>
      <c r="FF600" s="36"/>
      <c r="FG600" s="36"/>
      <c r="FH600" s="36"/>
      <c r="FI600" s="36"/>
      <c r="FJ600" s="36"/>
      <c r="FK600" s="36"/>
      <c r="FL600" s="36"/>
      <c r="FM600" s="36"/>
      <c r="FN600" s="36"/>
      <c r="FO600" s="36"/>
      <c r="FP600" s="36"/>
      <c r="FQ600" s="36"/>
      <c r="FR600" s="36"/>
      <c r="FS600" s="36"/>
      <c r="FT600" s="36"/>
      <c r="FU600" s="36"/>
      <c r="FV600" s="36"/>
      <c r="FW600" s="36"/>
      <c r="FX600" s="36"/>
      <c r="FY600" s="36"/>
      <c r="FZ600" s="36"/>
      <c r="GA600" s="36"/>
      <c r="GB600" s="36"/>
      <c r="GC600" s="36"/>
      <c r="GD600" s="36"/>
      <c r="GE600" s="36"/>
      <c r="GF600" s="36"/>
      <c r="GG600" s="36"/>
      <c r="GH600" s="36"/>
      <c r="GI600" s="36"/>
      <c r="GJ600" s="36"/>
      <c r="GK600" s="36"/>
      <c r="GL600" s="36"/>
      <c r="GM600" s="36"/>
      <c r="GN600" s="36"/>
      <c r="GO600" s="36"/>
      <c r="GP600" s="36"/>
      <c r="GQ600" s="36"/>
      <c r="GR600" s="36"/>
      <c r="GS600" s="36"/>
      <c r="GT600" s="36"/>
      <c r="GU600" s="36"/>
      <c r="GV600" s="36"/>
      <c r="GW600" s="36"/>
      <c r="GX600" s="36"/>
      <c r="GY600" s="36"/>
      <c r="GZ600" s="36"/>
      <c r="HA600" s="36"/>
      <c r="HB600" s="36"/>
      <c r="HC600" s="36"/>
      <c r="HD600" s="36"/>
      <c r="HE600" s="36"/>
      <c r="HF600" s="36"/>
      <c r="HG600" s="36"/>
      <c r="HH600" s="36"/>
      <c r="HI600" s="36"/>
      <c r="HJ600" s="36"/>
      <c r="HK600" s="36"/>
      <c r="HL600" s="36"/>
      <c r="HM600" s="36"/>
      <c r="HN600" s="36"/>
      <c r="HO600" s="36"/>
      <c r="HP600" s="36"/>
      <c r="HQ600" s="36"/>
      <c r="HR600" s="36"/>
      <c r="HS600" s="36"/>
      <c r="HT600" s="36"/>
      <c r="HU600" s="36"/>
      <c r="HV600" s="36"/>
      <c r="HW600" s="36"/>
      <c r="HX600" s="36"/>
      <c r="HY600" s="36"/>
      <c r="HZ600" s="36"/>
      <c r="IA600" s="36"/>
      <c r="IB600" s="36"/>
      <c r="IC600" s="36"/>
      <c r="ID600" s="36"/>
      <c r="IE600" s="36"/>
      <c r="IF600" s="36"/>
      <c r="IG600" s="36"/>
      <c r="IH600" s="36"/>
      <c r="II600" s="36"/>
      <c r="IJ600" s="36"/>
      <c r="IK600" s="36"/>
      <c r="IL600" s="36"/>
      <c r="IM600" s="36"/>
      <c r="IN600" s="36"/>
      <c r="IO600" s="36"/>
      <c r="IP600" s="36"/>
      <c r="IQ600" s="36"/>
      <c r="IR600" s="36"/>
      <c r="IS600" s="36"/>
      <c r="IT600" s="36"/>
      <c r="IU600" s="36"/>
      <c r="IV600" s="36"/>
      <c r="IW600" s="36"/>
      <c r="IX600" s="36"/>
      <c r="IY600" s="36"/>
      <c r="IZ600" s="36"/>
      <c r="JA600" s="36"/>
      <c r="JB600" s="36"/>
      <c r="JC600" s="36"/>
      <c r="JD600" s="36"/>
      <c r="JE600" s="36"/>
      <c r="JF600" s="36"/>
      <c r="JG600" s="36"/>
      <c r="JH600" s="36"/>
      <c r="JI600" s="36"/>
      <c r="JJ600" s="36"/>
      <c r="JK600" s="36"/>
      <c r="JL600" s="36"/>
      <c r="JM600" s="36"/>
      <c r="JN600" s="36"/>
      <c r="JO600" s="36"/>
      <c r="JP600" s="36"/>
      <c r="JQ600" s="36"/>
      <c r="JR600" s="36"/>
      <c r="JS600" s="36"/>
      <c r="JT600" s="36"/>
      <c r="JU600" s="36"/>
      <c r="JV600" s="36"/>
      <c r="JW600" s="36"/>
      <c r="JX600" s="36"/>
      <c r="JY600" s="36"/>
      <c r="JZ600" s="36"/>
      <c r="KA600" s="36"/>
      <c r="KB600" s="36"/>
      <c r="KC600" s="36"/>
      <c r="KD600" s="36"/>
      <c r="KE600" s="36"/>
      <c r="KF600" s="36"/>
      <c r="KG600" s="36"/>
      <c r="KH600" s="36"/>
      <c r="KI600" s="36"/>
      <c r="KJ600" s="36"/>
      <c r="KK600" s="36"/>
      <c r="KL600" s="36"/>
      <c r="KM600" s="36"/>
      <c r="KN600" s="36"/>
      <c r="KO600" s="36"/>
      <c r="KP600" s="36"/>
      <c r="KQ600" s="36"/>
      <c r="KR600" s="36"/>
      <c r="KS600" s="36"/>
      <c r="KT600" s="36"/>
      <c r="KU600" s="36"/>
      <c r="KV600" s="36"/>
      <c r="KW600" s="36"/>
      <c r="KX600" s="36"/>
      <c r="KY600" s="36"/>
      <c r="KZ600" s="36"/>
      <c r="LA600" s="36"/>
      <c r="LB600" s="36"/>
      <c r="LC600" s="36"/>
      <c r="LD600" s="36"/>
      <c r="LE600" s="36"/>
      <c r="LF600" s="36"/>
      <c r="LG600" s="36"/>
      <c r="LH600" s="36"/>
      <c r="LI600" s="36"/>
      <c r="LJ600" s="36"/>
      <c r="LK600" s="36"/>
      <c r="LL600" s="36"/>
      <c r="LM600" s="36"/>
      <c r="LN600" s="36"/>
      <c r="LO600" s="36"/>
      <c r="LP600" s="36"/>
      <c r="LQ600" s="36"/>
      <c r="LR600" s="36"/>
      <c r="LS600" s="36"/>
      <c r="LT600" s="36"/>
      <c r="LU600" s="36"/>
      <c r="LV600" s="36"/>
      <c r="LW600" s="36"/>
      <c r="LX600" s="36"/>
      <c r="LY600" s="36"/>
      <c r="LZ600" s="36"/>
      <c r="MA600" s="36"/>
      <c r="MB600" s="36"/>
      <c r="MC600" s="36"/>
      <c r="MD600" s="36"/>
      <c r="ME600" s="36"/>
      <c r="MF600" s="36"/>
      <c r="MG600" s="36"/>
      <c r="MH600" s="36"/>
      <c r="MI600" s="36"/>
      <c r="MJ600" s="36"/>
      <c r="MK600" s="36"/>
      <c r="ML600" s="36"/>
      <c r="MM600" s="36"/>
      <c r="MN600" s="36"/>
      <c r="MO600" s="36"/>
      <c r="MP600" s="36"/>
      <c r="MQ600" s="36"/>
      <c r="MR600" s="36"/>
      <c r="MS600" s="36"/>
      <c r="MT600" s="36"/>
      <c r="MU600" s="36"/>
      <c r="MV600" s="36"/>
      <c r="MW600" s="36"/>
      <c r="MX600" s="36"/>
      <c r="MY600" s="36"/>
      <c r="MZ600" s="36"/>
      <c r="NA600" s="36"/>
      <c r="NB600" s="36"/>
      <c r="NC600" s="36"/>
      <c r="ND600" s="36"/>
      <c r="NE600" s="36"/>
      <c r="NF600" s="36"/>
      <c r="NG600" s="36"/>
      <c r="NH600" s="36"/>
      <c r="NI600" s="36"/>
      <c r="NJ600" s="36"/>
      <c r="NK600" s="36"/>
      <c r="NL600" s="36"/>
      <c r="NM600" s="36"/>
      <c r="NN600" s="36"/>
      <c r="NO600" s="36"/>
      <c r="NP600" s="36"/>
      <c r="NQ600" s="36"/>
      <c r="NR600" s="36"/>
      <c r="NS600" s="36"/>
      <c r="NT600" s="36"/>
      <c r="NU600" s="36"/>
      <c r="NV600" s="36"/>
      <c r="NW600" s="36"/>
      <c r="NX600" s="36"/>
      <c r="NY600" s="36"/>
      <c r="NZ600" s="36"/>
      <c r="OA600" s="36"/>
      <c r="OB600" s="36"/>
      <c r="OC600" s="36"/>
      <c r="OD600" s="36"/>
      <c r="OE600" s="36"/>
      <c r="OF600" s="36"/>
      <c r="OG600" s="36"/>
      <c r="OH600" s="36"/>
      <c r="OI600" s="36"/>
      <c r="OJ600" s="36"/>
      <c r="OK600" s="36"/>
      <c r="OL600" s="36"/>
      <c r="OM600" s="36"/>
      <c r="ON600" s="36"/>
      <c r="OO600" s="36"/>
      <c r="OP600" s="36"/>
      <c r="OQ600" s="36"/>
      <c r="OR600" s="36"/>
      <c r="OS600" s="36"/>
      <c r="OT600" s="36"/>
      <c r="OU600" s="36"/>
      <c r="OV600" s="36"/>
      <c r="OW600" s="36"/>
      <c r="OX600" s="36"/>
    </row>
    <row r="601" spans="2:414" s="27" customFormat="1" ht="15.6">
      <c r="B601" s="51" t="s">
        <v>1104</v>
      </c>
      <c r="C601" s="27" t="s">
        <v>572</v>
      </c>
      <c r="D601" s="29" t="s">
        <v>105</v>
      </c>
      <c r="G601" s="49">
        <v>80</v>
      </c>
      <c r="H601" s="89">
        <v>26.109000000000002</v>
      </c>
      <c r="I601" s="38">
        <f t="shared" si="180"/>
        <v>2088.7200000000003</v>
      </c>
      <c r="K601" s="49">
        <v>80</v>
      </c>
      <c r="L601" s="90">
        <v>26.849599999999999</v>
      </c>
      <c r="M601" s="38">
        <f t="shared" si="181"/>
        <v>2147.9679999999998</v>
      </c>
      <c r="O601" s="49">
        <v>505</v>
      </c>
      <c r="P601" s="38">
        <v>26.728300000000001</v>
      </c>
      <c r="Q601" s="38">
        <f t="shared" si="182"/>
        <v>13497.791500000001</v>
      </c>
      <c r="R601" s="43">
        <f t="shared" si="179"/>
        <v>665</v>
      </c>
      <c r="S601" s="38">
        <f t="shared" si="183"/>
        <v>17734.479500000001</v>
      </c>
      <c r="T601" s="27">
        <v>240</v>
      </c>
      <c r="U601" s="52">
        <v>26.73</v>
      </c>
      <c r="V601" s="38">
        <f t="shared" ref="V601:V639" si="190">T601*U601</f>
        <v>6415.2</v>
      </c>
      <c r="W601" s="52">
        <v>505</v>
      </c>
      <c r="X601" s="52">
        <v>26.728300000000001</v>
      </c>
      <c r="Y601" s="35">
        <f t="shared" si="189"/>
        <v>13497.791500000001</v>
      </c>
      <c r="Z601" s="78"/>
      <c r="AF601" s="42">
        <f t="shared" si="177"/>
        <v>0</v>
      </c>
      <c r="AU601" s="100"/>
      <c r="AV601" s="35"/>
      <c r="AW601" s="78"/>
      <c r="AZ601" s="42">
        <f t="shared" si="178"/>
        <v>0</v>
      </c>
      <c r="BD601" s="38">
        <f t="shared" si="184"/>
        <v>0</v>
      </c>
      <c r="BH601" s="38">
        <f t="shared" si="185"/>
        <v>0</v>
      </c>
      <c r="BL601" s="38">
        <f t="shared" si="186"/>
        <v>0</v>
      </c>
      <c r="BR601" s="42">
        <f t="shared" si="187"/>
        <v>19912.9915</v>
      </c>
      <c r="BS601" s="43"/>
      <c r="BT601" s="27">
        <v>2178.5100000000002</v>
      </c>
      <c r="BU601" s="36"/>
      <c r="BV601" s="36"/>
      <c r="BW601" s="36"/>
      <c r="BX601" s="36"/>
      <c r="BY601" s="36"/>
      <c r="BZ601" s="36"/>
      <c r="CA601" s="36"/>
      <c r="CB601" s="36"/>
      <c r="CC601" s="36"/>
      <c r="CD601" s="36"/>
      <c r="CE601" s="36"/>
      <c r="CF601" s="36"/>
      <c r="CG601" s="36"/>
      <c r="CH601" s="36"/>
      <c r="CI601" s="36"/>
      <c r="CJ601" s="36"/>
      <c r="CK601" s="36"/>
      <c r="CL601" s="36"/>
      <c r="CM601" s="36"/>
      <c r="CN601" s="36"/>
      <c r="CO601" s="36"/>
      <c r="CP601" s="36"/>
      <c r="CQ601" s="36"/>
      <c r="CR601" s="36"/>
      <c r="CS601" s="36"/>
      <c r="CT601" s="36"/>
      <c r="CU601" s="36"/>
      <c r="CV601" s="36"/>
      <c r="CW601" s="36"/>
      <c r="CX601" s="36"/>
      <c r="CY601" s="36"/>
      <c r="CZ601" s="36"/>
      <c r="DA601" s="36"/>
      <c r="DB601" s="36"/>
      <c r="DC601" s="36"/>
      <c r="DD601" s="36"/>
      <c r="DE601" s="36"/>
      <c r="DF601" s="36"/>
      <c r="DG601" s="36"/>
      <c r="DH601" s="36"/>
      <c r="DI601" s="36"/>
      <c r="DJ601" s="36"/>
      <c r="DK601" s="36"/>
      <c r="DL601" s="36"/>
      <c r="DM601" s="36"/>
      <c r="DN601" s="36"/>
      <c r="DO601" s="36"/>
      <c r="DP601" s="36"/>
      <c r="DQ601" s="36"/>
      <c r="DR601" s="36"/>
      <c r="DS601" s="36"/>
      <c r="DT601" s="36"/>
      <c r="DU601" s="36"/>
      <c r="DV601" s="36"/>
      <c r="DW601" s="36"/>
      <c r="DX601" s="36"/>
      <c r="DY601" s="36"/>
      <c r="DZ601" s="36"/>
      <c r="EA601" s="36"/>
      <c r="EB601" s="36"/>
      <c r="EC601" s="36"/>
      <c r="ED601" s="36"/>
      <c r="EE601" s="36"/>
      <c r="EF601" s="36"/>
      <c r="EG601" s="36"/>
      <c r="EH601" s="36"/>
      <c r="EI601" s="36"/>
      <c r="EJ601" s="36"/>
      <c r="EK601" s="36"/>
      <c r="EL601" s="36"/>
      <c r="EM601" s="36"/>
      <c r="EN601" s="36"/>
      <c r="EO601" s="36"/>
      <c r="EP601" s="36"/>
      <c r="EQ601" s="36"/>
      <c r="ER601" s="36"/>
      <c r="ES601" s="36"/>
      <c r="ET601" s="36"/>
      <c r="EU601" s="36"/>
      <c r="EV601" s="36"/>
      <c r="EW601" s="36"/>
      <c r="EX601" s="36"/>
      <c r="EY601" s="36"/>
      <c r="EZ601" s="36"/>
      <c r="FA601" s="36"/>
      <c r="FB601" s="36"/>
      <c r="FC601" s="36"/>
      <c r="FD601" s="36"/>
      <c r="FE601" s="36"/>
      <c r="FF601" s="36"/>
      <c r="FG601" s="36"/>
      <c r="FH601" s="36"/>
      <c r="FI601" s="36"/>
      <c r="FJ601" s="36"/>
      <c r="FK601" s="36"/>
      <c r="FL601" s="36"/>
      <c r="FM601" s="36"/>
      <c r="FN601" s="36"/>
      <c r="FO601" s="36"/>
      <c r="FP601" s="36"/>
      <c r="FQ601" s="36"/>
      <c r="FR601" s="36"/>
      <c r="FS601" s="36"/>
      <c r="FT601" s="36"/>
      <c r="FU601" s="36"/>
      <c r="FV601" s="36"/>
      <c r="FW601" s="36"/>
      <c r="FX601" s="36"/>
      <c r="FY601" s="36"/>
      <c r="FZ601" s="36"/>
      <c r="GA601" s="36"/>
      <c r="GB601" s="36"/>
      <c r="GC601" s="36"/>
      <c r="GD601" s="36"/>
      <c r="GE601" s="36"/>
      <c r="GF601" s="36"/>
      <c r="GG601" s="36"/>
      <c r="GH601" s="36"/>
      <c r="GI601" s="36"/>
      <c r="GJ601" s="36"/>
      <c r="GK601" s="36"/>
      <c r="GL601" s="36"/>
      <c r="GM601" s="36"/>
      <c r="GN601" s="36"/>
      <c r="GO601" s="36"/>
      <c r="GP601" s="36"/>
      <c r="GQ601" s="36"/>
      <c r="GR601" s="36"/>
      <c r="GS601" s="36"/>
      <c r="GT601" s="36"/>
      <c r="GU601" s="36"/>
      <c r="GV601" s="36"/>
      <c r="GW601" s="36"/>
      <c r="GX601" s="36"/>
      <c r="GY601" s="36"/>
      <c r="GZ601" s="36"/>
      <c r="HA601" s="36"/>
      <c r="HB601" s="36"/>
      <c r="HC601" s="36"/>
      <c r="HD601" s="36"/>
      <c r="HE601" s="36"/>
      <c r="HF601" s="36"/>
      <c r="HG601" s="36"/>
      <c r="HH601" s="36"/>
      <c r="HI601" s="36"/>
      <c r="HJ601" s="36"/>
      <c r="HK601" s="36"/>
      <c r="HL601" s="36"/>
      <c r="HM601" s="36"/>
      <c r="HN601" s="36"/>
      <c r="HO601" s="36"/>
      <c r="HP601" s="36"/>
      <c r="HQ601" s="36"/>
      <c r="HR601" s="36"/>
      <c r="HS601" s="36"/>
      <c r="HT601" s="36"/>
      <c r="HU601" s="36"/>
      <c r="HV601" s="36"/>
      <c r="HW601" s="36"/>
      <c r="HX601" s="36"/>
      <c r="HY601" s="36"/>
      <c r="HZ601" s="36"/>
      <c r="IA601" s="36"/>
      <c r="IB601" s="36"/>
      <c r="IC601" s="36"/>
      <c r="ID601" s="36"/>
      <c r="IE601" s="36"/>
      <c r="IF601" s="36"/>
      <c r="IG601" s="36"/>
      <c r="IH601" s="36"/>
      <c r="II601" s="36"/>
      <c r="IJ601" s="36"/>
      <c r="IK601" s="36"/>
      <c r="IL601" s="36"/>
      <c r="IM601" s="36"/>
      <c r="IN601" s="36"/>
      <c r="IO601" s="36"/>
      <c r="IP601" s="36"/>
      <c r="IQ601" s="36"/>
      <c r="IR601" s="36"/>
      <c r="IS601" s="36"/>
      <c r="IT601" s="36"/>
      <c r="IU601" s="36"/>
      <c r="IV601" s="36"/>
      <c r="IW601" s="36"/>
      <c r="IX601" s="36"/>
      <c r="IY601" s="36"/>
      <c r="IZ601" s="36"/>
      <c r="JA601" s="36"/>
      <c r="JB601" s="36"/>
      <c r="JC601" s="36"/>
      <c r="JD601" s="36"/>
      <c r="JE601" s="36"/>
      <c r="JF601" s="36"/>
      <c r="JG601" s="36"/>
      <c r="JH601" s="36"/>
      <c r="JI601" s="36"/>
      <c r="JJ601" s="36"/>
      <c r="JK601" s="36"/>
      <c r="JL601" s="36"/>
      <c r="JM601" s="36"/>
      <c r="JN601" s="36"/>
      <c r="JO601" s="36"/>
      <c r="JP601" s="36"/>
      <c r="JQ601" s="36"/>
      <c r="JR601" s="36"/>
      <c r="JS601" s="36"/>
      <c r="JT601" s="36"/>
      <c r="JU601" s="36"/>
      <c r="JV601" s="36"/>
      <c r="JW601" s="36"/>
      <c r="JX601" s="36"/>
      <c r="JY601" s="36"/>
      <c r="JZ601" s="36"/>
      <c r="KA601" s="36"/>
      <c r="KB601" s="36"/>
      <c r="KC601" s="36"/>
      <c r="KD601" s="36"/>
      <c r="KE601" s="36"/>
      <c r="KF601" s="36"/>
      <c r="KG601" s="36"/>
      <c r="KH601" s="36"/>
      <c r="KI601" s="36"/>
      <c r="KJ601" s="36"/>
      <c r="KK601" s="36"/>
      <c r="KL601" s="36"/>
      <c r="KM601" s="36"/>
      <c r="KN601" s="36"/>
      <c r="KO601" s="36"/>
      <c r="KP601" s="36"/>
      <c r="KQ601" s="36"/>
      <c r="KR601" s="36"/>
      <c r="KS601" s="36"/>
      <c r="KT601" s="36"/>
      <c r="KU601" s="36"/>
      <c r="KV601" s="36"/>
      <c r="KW601" s="36"/>
      <c r="KX601" s="36"/>
      <c r="KY601" s="36"/>
      <c r="KZ601" s="36"/>
      <c r="LA601" s="36"/>
      <c r="LB601" s="36"/>
      <c r="LC601" s="36"/>
      <c r="LD601" s="36"/>
      <c r="LE601" s="36"/>
      <c r="LF601" s="36"/>
      <c r="LG601" s="36"/>
      <c r="LH601" s="36"/>
      <c r="LI601" s="36"/>
      <c r="LJ601" s="36"/>
      <c r="LK601" s="36"/>
      <c r="LL601" s="36"/>
      <c r="LM601" s="36"/>
      <c r="LN601" s="36"/>
      <c r="LO601" s="36"/>
      <c r="LP601" s="36"/>
      <c r="LQ601" s="36"/>
      <c r="LR601" s="36"/>
      <c r="LS601" s="36"/>
      <c r="LT601" s="36"/>
      <c r="LU601" s="36"/>
      <c r="LV601" s="36"/>
      <c r="LW601" s="36"/>
      <c r="LX601" s="36"/>
      <c r="LY601" s="36"/>
      <c r="LZ601" s="36"/>
      <c r="MA601" s="36"/>
      <c r="MB601" s="36"/>
      <c r="MC601" s="36"/>
      <c r="MD601" s="36"/>
      <c r="ME601" s="36"/>
      <c r="MF601" s="36"/>
      <c r="MG601" s="36"/>
      <c r="MH601" s="36"/>
      <c r="MI601" s="36"/>
      <c r="MJ601" s="36"/>
      <c r="MK601" s="36"/>
      <c r="ML601" s="36"/>
      <c r="MM601" s="36"/>
      <c r="MN601" s="36"/>
      <c r="MO601" s="36"/>
      <c r="MP601" s="36"/>
      <c r="MQ601" s="36"/>
      <c r="MR601" s="36"/>
      <c r="MS601" s="36"/>
      <c r="MT601" s="36"/>
      <c r="MU601" s="36"/>
      <c r="MV601" s="36"/>
      <c r="MW601" s="36"/>
      <c r="MX601" s="36"/>
      <c r="MY601" s="36"/>
      <c r="MZ601" s="36"/>
      <c r="NA601" s="36"/>
      <c r="NB601" s="36"/>
      <c r="NC601" s="36"/>
      <c r="ND601" s="36"/>
      <c r="NE601" s="36"/>
      <c r="NF601" s="36"/>
      <c r="NG601" s="36"/>
      <c r="NH601" s="36"/>
      <c r="NI601" s="36"/>
      <c r="NJ601" s="36"/>
      <c r="NK601" s="36"/>
      <c r="NL601" s="36"/>
      <c r="NM601" s="36"/>
      <c r="NN601" s="36"/>
      <c r="NO601" s="36"/>
      <c r="NP601" s="36"/>
      <c r="NQ601" s="36"/>
      <c r="NR601" s="36"/>
      <c r="NS601" s="36"/>
      <c r="NT601" s="36"/>
      <c r="NU601" s="36"/>
      <c r="NV601" s="36"/>
      <c r="NW601" s="36"/>
      <c r="NX601" s="36"/>
      <c r="NY601" s="36"/>
      <c r="NZ601" s="36"/>
      <c r="OA601" s="36"/>
      <c r="OB601" s="36"/>
      <c r="OC601" s="36"/>
      <c r="OD601" s="36"/>
      <c r="OE601" s="36"/>
      <c r="OF601" s="36"/>
      <c r="OG601" s="36"/>
      <c r="OH601" s="36"/>
      <c r="OI601" s="36"/>
      <c r="OJ601" s="36"/>
      <c r="OK601" s="36"/>
      <c r="OL601" s="36"/>
      <c r="OM601" s="36"/>
      <c r="ON601" s="36"/>
      <c r="OO601" s="36"/>
      <c r="OP601" s="36"/>
      <c r="OQ601" s="36"/>
      <c r="OR601" s="36"/>
      <c r="OS601" s="36"/>
      <c r="OT601" s="36"/>
      <c r="OU601" s="36"/>
      <c r="OV601" s="36"/>
      <c r="OW601" s="36"/>
      <c r="OX601" s="36"/>
    </row>
    <row r="602" spans="2:414" s="27" customFormat="1" ht="15.6">
      <c r="B602" s="51" t="s">
        <v>1105</v>
      </c>
      <c r="C602" s="27" t="s">
        <v>1106</v>
      </c>
      <c r="D602" s="29" t="s">
        <v>105</v>
      </c>
      <c r="G602" s="49">
        <v>80</v>
      </c>
      <c r="H602" s="89">
        <v>26.109000000000002</v>
      </c>
      <c r="I602" s="38">
        <f t="shared" si="180"/>
        <v>2088.7200000000003</v>
      </c>
      <c r="K602" s="49">
        <v>80</v>
      </c>
      <c r="L602" s="90">
        <v>26.849599999999999</v>
      </c>
      <c r="M602" s="38">
        <f t="shared" si="181"/>
        <v>2147.9679999999998</v>
      </c>
      <c r="O602" s="49">
        <v>505</v>
      </c>
      <c r="P602" s="38">
        <v>26.728300000000001</v>
      </c>
      <c r="Q602" s="38">
        <f t="shared" si="182"/>
        <v>13497.791500000001</v>
      </c>
      <c r="R602" s="43">
        <f t="shared" si="179"/>
        <v>665</v>
      </c>
      <c r="S602" s="38">
        <f t="shared" si="183"/>
        <v>17734.479500000001</v>
      </c>
      <c r="T602" s="27">
        <v>240</v>
      </c>
      <c r="U602" s="52">
        <v>26.15</v>
      </c>
      <c r="V602" s="38">
        <f t="shared" si="190"/>
        <v>6276</v>
      </c>
      <c r="W602" s="52">
        <v>185</v>
      </c>
      <c r="X602" s="52">
        <v>26.67</v>
      </c>
      <c r="Y602" s="35">
        <f t="shared" si="189"/>
        <v>4933.9500000000007</v>
      </c>
      <c r="Z602" s="78"/>
      <c r="AF602" s="42">
        <f t="shared" si="177"/>
        <v>0</v>
      </c>
      <c r="AU602" s="100"/>
      <c r="AV602" s="35"/>
      <c r="AW602" s="78"/>
      <c r="AZ602" s="42">
        <f t="shared" si="178"/>
        <v>0</v>
      </c>
      <c r="BD602" s="38">
        <f t="shared" si="184"/>
        <v>0</v>
      </c>
      <c r="BH602" s="38">
        <f t="shared" si="185"/>
        <v>0</v>
      </c>
      <c r="BL602" s="38">
        <f t="shared" si="186"/>
        <v>0</v>
      </c>
      <c r="BR602" s="42">
        <f t="shared" si="187"/>
        <v>11209.95</v>
      </c>
      <c r="BS602" s="43">
        <f t="shared" si="188"/>
        <v>6524.5295000000006</v>
      </c>
      <c r="BU602" s="36"/>
      <c r="BV602" s="36"/>
      <c r="BW602" s="36"/>
      <c r="BX602" s="36"/>
      <c r="BY602" s="36"/>
      <c r="BZ602" s="36"/>
      <c r="CA602" s="36"/>
      <c r="CB602" s="36"/>
      <c r="CC602" s="36"/>
      <c r="CD602" s="36"/>
      <c r="CE602" s="36"/>
      <c r="CF602" s="36"/>
      <c r="CG602" s="36"/>
      <c r="CH602" s="36"/>
      <c r="CI602" s="36"/>
      <c r="CJ602" s="36"/>
      <c r="CK602" s="36"/>
      <c r="CL602" s="36"/>
      <c r="CM602" s="36"/>
      <c r="CN602" s="36"/>
      <c r="CO602" s="36"/>
      <c r="CP602" s="36"/>
      <c r="CQ602" s="36"/>
      <c r="CR602" s="36"/>
      <c r="CS602" s="36"/>
      <c r="CT602" s="36"/>
      <c r="CU602" s="36"/>
      <c r="CV602" s="36"/>
      <c r="CW602" s="36"/>
      <c r="CX602" s="36"/>
      <c r="CY602" s="36"/>
      <c r="CZ602" s="36"/>
      <c r="DA602" s="36"/>
      <c r="DB602" s="36"/>
      <c r="DC602" s="36"/>
      <c r="DD602" s="36"/>
      <c r="DE602" s="36"/>
      <c r="DF602" s="36"/>
      <c r="DG602" s="36"/>
      <c r="DH602" s="36"/>
      <c r="DI602" s="36"/>
      <c r="DJ602" s="36"/>
      <c r="DK602" s="36"/>
      <c r="DL602" s="36"/>
      <c r="DM602" s="36"/>
      <c r="DN602" s="36"/>
      <c r="DO602" s="36"/>
      <c r="DP602" s="36"/>
      <c r="DQ602" s="36"/>
      <c r="DR602" s="36"/>
      <c r="DS602" s="36"/>
      <c r="DT602" s="36"/>
      <c r="DU602" s="36"/>
      <c r="DV602" s="36"/>
      <c r="DW602" s="36"/>
      <c r="DX602" s="36"/>
      <c r="DY602" s="36"/>
      <c r="DZ602" s="36"/>
      <c r="EA602" s="36"/>
      <c r="EB602" s="36"/>
      <c r="EC602" s="36"/>
      <c r="ED602" s="36"/>
      <c r="EE602" s="36"/>
      <c r="EF602" s="36"/>
      <c r="EG602" s="36"/>
      <c r="EH602" s="36"/>
      <c r="EI602" s="36"/>
      <c r="EJ602" s="36"/>
      <c r="EK602" s="36"/>
      <c r="EL602" s="36"/>
      <c r="EM602" s="36"/>
      <c r="EN602" s="36"/>
      <c r="EO602" s="36"/>
      <c r="EP602" s="36"/>
      <c r="EQ602" s="36"/>
      <c r="ER602" s="36"/>
      <c r="ES602" s="36"/>
      <c r="ET602" s="36"/>
      <c r="EU602" s="36"/>
      <c r="EV602" s="36"/>
      <c r="EW602" s="36"/>
      <c r="EX602" s="36"/>
      <c r="EY602" s="36"/>
      <c r="EZ602" s="36"/>
      <c r="FA602" s="36"/>
      <c r="FB602" s="36"/>
      <c r="FC602" s="36"/>
      <c r="FD602" s="36"/>
      <c r="FE602" s="36"/>
      <c r="FF602" s="36"/>
      <c r="FG602" s="36"/>
      <c r="FH602" s="36"/>
      <c r="FI602" s="36"/>
      <c r="FJ602" s="36"/>
      <c r="FK602" s="36"/>
      <c r="FL602" s="36"/>
      <c r="FM602" s="36"/>
      <c r="FN602" s="36"/>
      <c r="FO602" s="36"/>
      <c r="FP602" s="36"/>
      <c r="FQ602" s="36"/>
      <c r="FR602" s="36"/>
      <c r="FS602" s="36"/>
      <c r="FT602" s="36"/>
      <c r="FU602" s="36"/>
      <c r="FV602" s="36"/>
      <c r="FW602" s="36"/>
      <c r="FX602" s="36"/>
      <c r="FY602" s="36"/>
      <c r="FZ602" s="36"/>
      <c r="GA602" s="36"/>
      <c r="GB602" s="36"/>
      <c r="GC602" s="36"/>
      <c r="GD602" s="36"/>
      <c r="GE602" s="36"/>
      <c r="GF602" s="36"/>
      <c r="GG602" s="36"/>
      <c r="GH602" s="36"/>
      <c r="GI602" s="36"/>
      <c r="GJ602" s="36"/>
      <c r="GK602" s="36"/>
      <c r="GL602" s="36"/>
      <c r="GM602" s="36"/>
      <c r="GN602" s="36"/>
      <c r="GO602" s="36"/>
      <c r="GP602" s="36"/>
      <c r="GQ602" s="36"/>
      <c r="GR602" s="36"/>
      <c r="GS602" s="36"/>
      <c r="GT602" s="36"/>
      <c r="GU602" s="36"/>
      <c r="GV602" s="36"/>
      <c r="GW602" s="36"/>
      <c r="GX602" s="36"/>
      <c r="GY602" s="36"/>
      <c r="GZ602" s="36"/>
      <c r="HA602" s="36"/>
      <c r="HB602" s="36"/>
      <c r="HC602" s="36"/>
      <c r="HD602" s="36"/>
      <c r="HE602" s="36"/>
      <c r="HF602" s="36"/>
      <c r="HG602" s="36"/>
      <c r="HH602" s="36"/>
      <c r="HI602" s="36"/>
      <c r="HJ602" s="36"/>
      <c r="HK602" s="36"/>
      <c r="HL602" s="36"/>
      <c r="HM602" s="36"/>
      <c r="HN602" s="36"/>
      <c r="HO602" s="36"/>
      <c r="HP602" s="36"/>
      <c r="HQ602" s="36"/>
      <c r="HR602" s="36"/>
      <c r="HS602" s="36"/>
      <c r="HT602" s="36"/>
      <c r="HU602" s="36"/>
      <c r="HV602" s="36"/>
      <c r="HW602" s="36"/>
      <c r="HX602" s="36"/>
      <c r="HY602" s="36"/>
      <c r="HZ602" s="36"/>
      <c r="IA602" s="36"/>
      <c r="IB602" s="36"/>
      <c r="IC602" s="36"/>
      <c r="ID602" s="36"/>
      <c r="IE602" s="36"/>
      <c r="IF602" s="36"/>
      <c r="IG602" s="36"/>
      <c r="IH602" s="36"/>
      <c r="II602" s="36"/>
      <c r="IJ602" s="36"/>
      <c r="IK602" s="36"/>
      <c r="IL602" s="36"/>
      <c r="IM602" s="36"/>
      <c r="IN602" s="36"/>
      <c r="IO602" s="36"/>
      <c r="IP602" s="36"/>
      <c r="IQ602" s="36"/>
      <c r="IR602" s="36"/>
      <c r="IS602" s="36"/>
      <c r="IT602" s="36"/>
      <c r="IU602" s="36"/>
      <c r="IV602" s="36"/>
      <c r="IW602" s="36"/>
      <c r="IX602" s="36"/>
      <c r="IY602" s="36"/>
      <c r="IZ602" s="36"/>
      <c r="JA602" s="36"/>
      <c r="JB602" s="36"/>
      <c r="JC602" s="36"/>
      <c r="JD602" s="36"/>
      <c r="JE602" s="36"/>
      <c r="JF602" s="36"/>
      <c r="JG602" s="36"/>
      <c r="JH602" s="36"/>
      <c r="JI602" s="36"/>
      <c r="JJ602" s="36"/>
      <c r="JK602" s="36"/>
      <c r="JL602" s="36"/>
      <c r="JM602" s="36"/>
      <c r="JN602" s="36"/>
      <c r="JO602" s="36"/>
      <c r="JP602" s="36"/>
      <c r="JQ602" s="36"/>
      <c r="JR602" s="36"/>
      <c r="JS602" s="36"/>
      <c r="JT602" s="36"/>
      <c r="JU602" s="36"/>
      <c r="JV602" s="36"/>
      <c r="JW602" s="36"/>
      <c r="JX602" s="36"/>
      <c r="JY602" s="36"/>
      <c r="JZ602" s="36"/>
      <c r="KA602" s="36"/>
      <c r="KB602" s="36"/>
      <c r="KC602" s="36"/>
      <c r="KD602" s="36"/>
      <c r="KE602" s="36"/>
      <c r="KF602" s="36"/>
      <c r="KG602" s="36"/>
      <c r="KH602" s="36"/>
      <c r="KI602" s="36"/>
      <c r="KJ602" s="36"/>
      <c r="KK602" s="36"/>
      <c r="KL602" s="36"/>
      <c r="KM602" s="36"/>
      <c r="KN602" s="36"/>
      <c r="KO602" s="36"/>
      <c r="KP602" s="36"/>
      <c r="KQ602" s="36"/>
      <c r="KR602" s="36"/>
      <c r="KS602" s="36"/>
      <c r="KT602" s="36"/>
      <c r="KU602" s="36"/>
      <c r="KV602" s="36"/>
      <c r="KW602" s="36"/>
      <c r="KX602" s="36"/>
      <c r="KY602" s="36"/>
      <c r="KZ602" s="36"/>
      <c r="LA602" s="36"/>
      <c r="LB602" s="36"/>
      <c r="LC602" s="36"/>
      <c r="LD602" s="36"/>
      <c r="LE602" s="36"/>
      <c r="LF602" s="36"/>
      <c r="LG602" s="36"/>
      <c r="LH602" s="36"/>
      <c r="LI602" s="36"/>
      <c r="LJ602" s="36"/>
      <c r="LK602" s="36"/>
      <c r="LL602" s="36"/>
      <c r="LM602" s="36"/>
      <c r="LN602" s="36"/>
      <c r="LO602" s="36"/>
      <c r="LP602" s="36"/>
      <c r="LQ602" s="36"/>
      <c r="LR602" s="36"/>
      <c r="LS602" s="36"/>
      <c r="LT602" s="36"/>
      <c r="LU602" s="36"/>
      <c r="LV602" s="36"/>
      <c r="LW602" s="36"/>
      <c r="LX602" s="36"/>
      <c r="LY602" s="36"/>
      <c r="LZ602" s="36"/>
      <c r="MA602" s="36"/>
      <c r="MB602" s="36"/>
      <c r="MC602" s="36"/>
      <c r="MD602" s="36"/>
      <c r="ME602" s="36"/>
      <c r="MF602" s="36"/>
      <c r="MG602" s="36"/>
      <c r="MH602" s="36"/>
      <c r="MI602" s="36"/>
      <c r="MJ602" s="36"/>
      <c r="MK602" s="36"/>
      <c r="ML602" s="36"/>
      <c r="MM602" s="36"/>
      <c r="MN602" s="36"/>
      <c r="MO602" s="36"/>
      <c r="MP602" s="36"/>
      <c r="MQ602" s="36"/>
      <c r="MR602" s="36"/>
      <c r="MS602" s="36"/>
      <c r="MT602" s="36"/>
      <c r="MU602" s="36"/>
      <c r="MV602" s="36"/>
      <c r="MW602" s="36"/>
      <c r="MX602" s="36"/>
      <c r="MY602" s="36"/>
      <c r="MZ602" s="36"/>
      <c r="NA602" s="36"/>
      <c r="NB602" s="36"/>
      <c r="NC602" s="36"/>
      <c r="ND602" s="36"/>
      <c r="NE602" s="36"/>
      <c r="NF602" s="36"/>
      <c r="NG602" s="36"/>
      <c r="NH602" s="36"/>
      <c r="NI602" s="36"/>
      <c r="NJ602" s="36"/>
      <c r="NK602" s="36"/>
      <c r="NL602" s="36"/>
      <c r="NM602" s="36"/>
      <c r="NN602" s="36"/>
      <c r="NO602" s="36"/>
      <c r="NP602" s="36"/>
      <c r="NQ602" s="36"/>
      <c r="NR602" s="36"/>
      <c r="NS602" s="36"/>
      <c r="NT602" s="36"/>
      <c r="NU602" s="36"/>
      <c r="NV602" s="36"/>
      <c r="NW602" s="36"/>
      <c r="NX602" s="36"/>
      <c r="NY602" s="36"/>
      <c r="NZ602" s="36"/>
      <c r="OA602" s="36"/>
      <c r="OB602" s="36"/>
      <c r="OC602" s="36"/>
      <c r="OD602" s="36"/>
      <c r="OE602" s="36"/>
      <c r="OF602" s="36"/>
      <c r="OG602" s="36"/>
      <c r="OH602" s="36"/>
      <c r="OI602" s="36"/>
      <c r="OJ602" s="36"/>
      <c r="OK602" s="36"/>
      <c r="OL602" s="36"/>
      <c r="OM602" s="36"/>
      <c r="ON602" s="36"/>
      <c r="OO602" s="36"/>
      <c r="OP602" s="36"/>
      <c r="OQ602" s="36"/>
      <c r="OR602" s="36"/>
      <c r="OS602" s="36"/>
      <c r="OT602" s="36"/>
      <c r="OU602" s="36"/>
      <c r="OV602" s="36"/>
      <c r="OW602" s="36"/>
      <c r="OX602" s="36"/>
    </row>
    <row r="603" spans="2:414" s="27" customFormat="1" ht="15.6">
      <c r="B603" s="51" t="s">
        <v>1107</v>
      </c>
      <c r="C603" s="27" t="s">
        <v>286</v>
      </c>
      <c r="D603" s="29" t="s">
        <v>105</v>
      </c>
      <c r="G603" s="49">
        <v>80</v>
      </c>
      <c r="H603" s="89">
        <v>26.109000000000002</v>
      </c>
      <c r="I603" s="38">
        <f t="shared" si="180"/>
        <v>2088.7200000000003</v>
      </c>
      <c r="K603" s="49">
        <v>80</v>
      </c>
      <c r="L603" s="90">
        <v>26.849599999999999</v>
      </c>
      <c r="M603" s="38">
        <f t="shared" si="181"/>
        <v>2147.9679999999998</v>
      </c>
      <c r="O603" s="49">
        <v>505</v>
      </c>
      <c r="P603" s="38">
        <v>26.728300000000001</v>
      </c>
      <c r="Q603" s="38">
        <f t="shared" si="182"/>
        <v>13497.791500000001</v>
      </c>
      <c r="R603" s="43">
        <f t="shared" si="179"/>
        <v>665</v>
      </c>
      <c r="S603" s="38">
        <f t="shared" si="183"/>
        <v>17734.479500000001</v>
      </c>
      <c r="T603" s="27">
        <v>240</v>
      </c>
      <c r="U603" s="52">
        <v>26.55</v>
      </c>
      <c r="V603" s="38">
        <f t="shared" si="190"/>
        <v>6372</v>
      </c>
      <c r="W603" s="52">
        <v>85</v>
      </c>
      <c r="X603" s="52">
        <v>26.68</v>
      </c>
      <c r="Y603" s="35">
        <f t="shared" si="189"/>
        <v>2267.8000000000002</v>
      </c>
      <c r="Z603" s="78"/>
      <c r="AF603" s="42">
        <f t="shared" si="177"/>
        <v>0</v>
      </c>
      <c r="AU603" s="100"/>
      <c r="AV603" s="35"/>
      <c r="AW603" s="78"/>
      <c r="AZ603" s="42">
        <f t="shared" si="178"/>
        <v>0</v>
      </c>
      <c r="BD603" s="38">
        <f t="shared" si="184"/>
        <v>0</v>
      </c>
      <c r="BH603" s="38">
        <f t="shared" si="185"/>
        <v>0</v>
      </c>
      <c r="BL603" s="38">
        <f t="shared" si="186"/>
        <v>0</v>
      </c>
      <c r="BR603" s="42">
        <f t="shared" si="187"/>
        <v>8639.7999999999993</v>
      </c>
      <c r="BS603" s="43">
        <f t="shared" si="188"/>
        <v>9094.679500000002</v>
      </c>
      <c r="BU603" s="36"/>
      <c r="BV603" s="36"/>
      <c r="BW603" s="36"/>
      <c r="BX603" s="36"/>
      <c r="BY603" s="36"/>
      <c r="BZ603" s="36"/>
      <c r="CA603" s="36"/>
      <c r="CB603" s="36"/>
      <c r="CC603" s="36"/>
      <c r="CD603" s="36"/>
      <c r="CE603" s="36"/>
      <c r="CF603" s="36"/>
      <c r="CG603" s="36"/>
      <c r="CH603" s="36"/>
      <c r="CI603" s="36"/>
      <c r="CJ603" s="36"/>
      <c r="CK603" s="36"/>
      <c r="CL603" s="36"/>
      <c r="CM603" s="36"/>
      <c r="CN603" s="36"/>
      <c r="CO603" s="36"/>
      <c r="CP603" s="36"/>
      <c r="CQ603" s="36"/>
      <c r="CR603" s="36"/>
      <c r="CS603" s="36"/>
      <c r="CT603" s="36"/>
      <c r="CU603" s="36"/>
      <c r="CV603" s="36"/>
      <c r="CW603" s="36"/>
      <c r="CX603" s="36"/>
      <c r="CY603" s="36"/>
      <c r="CZ603" s="36"/>
      <c r="DA603" s="36"/>
      <c r="DB603" s="36"/>
      <c r="DC603" s="36"/>
      <c r="DD603" s="36"/>
      <c r="DE603" s="36"/>
      <c r="DF603" s="36"/>
      <c r="DG603" s="36"/>
      <c r="DH603" s="36"/>
      <c r="DI603" s="36"/>
      <c r="DJ603" s="36"/>
      <c r="DK603" s="36"/>
      <c r="DL603" s="36"/>
      <c r="DM603" s="36"/>
      <c r="DN603" s="36"/>
      <c r="DO603" s="36"/>
      <c r="DP603" s="36"/>
      <c r="DQ603" s="36"/>
      <c r="DR603" s="36"/>
      <c r="DS603" s="36"/>
      <c r="DT603" s="36"/>
      <c r="DU603" s="36"/>
      <c r="DV603" s="36"/>
      <c r="DW603" s="36"/>
      <c r="DX603" s="36"/>
      <c r="DY603" s="36"/>
      <c r="DZ603" s="36"/>
      <c r="EA603" s="36"/>
      <c r="EB603" s="36"/>
      <c r="EC603" s="36"/>
      <c r="ED603" s="36"/>
      <c r="EE603" s="36"/>
      <c r="EF603" s="36"/>
      <c r="EG603" s="36"/>
      <c r="EH603" s="36"/>
      <c r="EI603" s="36"/>
      <c r="EJ603" s="36"/>
      <c r="EK603" s="36"/>
      <c r="EL603" s="36"/>
      <c r="EM603" s="36"/>
      <c r="EN603" s="36"/>
      <c r="EO603" s="36"/>
      <c r="EP603" s="36"/>
      <c r="EQ603" s="36"/>
      <c r="ER603" s="36"/>
      <c r="ES603" s="36"/>
      <c r="ET603" s="36"/>
      <c r="EU603" s="36"/>
      <c r="EV603" s="36"/>
      <c r="EW603" s="36"/>
      <c r="EX603" s="36"/>
      <c r="EY603" s="36"/>
      <c r="EZ603" s="36"/>
      <c r="FA603" s="36"/>
      <c r="FB603" s="36"/>
      <c r="FC603" s="36"/>
      <c r="FD603" s="36"/>
      <c r="FE603" s="36"/>
      <c r="FF603" s="36"/>
      <c r="FG603" s="36"/>
      <c r="FH603" s="36"/>
      <c r="FI603" s="36"/>
      <c r="FJ603" s="36"/>
      <c r="FK603" s="36"/>
      <c r="FL603" s="36"/>
      <c r="FM603" s="36"/>
      <c r="FN603" s="36"/>
      <c r="FO603" s="36"/>
      <c r="FP603" s="36"/>
      <c r="FQ603" s="36"/>
      <c r="FR603" s="36"/>
      <c r="FS603" s="36"/>
      <c r="FT603" s="36"/>
      <c r="FU603" s="36"/>
      <c r="FV603" s="36"/>
      <c r="FW603" s="36"/>
      <c r="FX603" s="36"/>
      <c r="FY603" s="36"/>
      <c r="FZ603" s="36"/>
      <c r="GA603" s="36"/>
      <c r="GB603" s="36"/>
      <c r="GC603" s="36"/>
      <c r="GD603" s="36"/>
      <c r="GE603" s="36"/>
      <c r="GF603" s="36"/>
      <c r="GG603" s="36"/>
      <c r="GH603" s="36"/>
      <c r="GI603" s="36"/>
      <c r="GJ603" s="36"/>
      <c r="GK603" s="36"/>
      <c r="GL603" s="36"/>
      <c r="GM603" s="36"/>
      <c r="GN603" s="36"/>
      <c r="GO603" s="36"/>
      <c r="GP603" s="36"/>
      <c r="GQ603" s="36"/>
      <c r="GR603" s="36"/>
      <c r="GS603" s="36"/>
      <c r="GT603" s="36"/>
      <c r="GU603" s="36"/>
      <c r="GV603" s="36"/>
      <c r="GW603" s="36"/>
      <c r="GX603" s="36"/>
      <c r="GY603" s="36"/>
      <c r="GZ603" s="36"/>
      <c r="HA603" s="36"/>
      <c r="HB603" s="36"/>
      <c r="HC603" s="36"/>
      <c r="HD603" s="36"/>
      <c r="HE603" s="36"/>
      <c r="HF603" s="36"/>
      <c r="HG603" s="36"/>
      <c r="HH603" s="36"/>
      <c r="HI603" s="36"/>
      <c r="HJ603" s="36"/>
      <c r="HK603" s="36"/>
      <c r="HL603" s="36"/>
      <c r="HM603" s="36"/>
      <c r="HN603" s="36"/>
      <c r="HO603" s="36"/>
      <c r="HP603" s="36"/>
      <c r="HQ603" s="36"/>
      <c r="HR603" s="36"/>
      <c r="HS603" s="36"/>
      <c r="HT603" s="36"/>
      <c r="HU603" s="36"/>
      <c r="HV603" s="36"/>
      <c r="HW603" s="36"/>
      <c r="HX603" s="36"/>
      <c r="HY603" s="36"/>
      <c r="HZ603" s="36"/>
      <c r="IA603" s="36"/>
      <c r="IB603" s="36"/>
      <c r="IC603" s="36"/>
      <c r="ID603" s="36"/>
      <c r="IE603" s="36"/>
      <c r="IF603" s="36"/>
      <c r="IG603" s="36"/>
      <c r="IH603" s="36"/>
      <c r="II603" s="36"/>
      <c r="IJ603" s="36"/>
      <c r="IK603" s="36"/>
      <c r="IL603" s="36"/>
      <c r="IM603" s="36"/>
      <c r="IN603" s="36"/>
      <c r="IO603" s="36"/>
      <c r="IP603" s="36"/>
      <c r="IQ603" s="36"/>
      <c r="IR603" s="36"/>
      <c r="IS603" s="36"/>
      <c r="IT603" s="36"/>
      <c r="IU603" s="36"/>
      <c r="IV603" s="36"/>
      <c r="IW603" s="36"/>
      <c r="IX603" s="36"/>
      <c r="IY603" s="36"/>
      <c r="IZ603" s="36"/>
      <c r="JA603" s="36"/>
      <c r="JB603" s="36"/>
      <c r="JC603" s="36"/>
      <c r="JD603" s="36"/>
      <c r="JE603" s="36"/>
      <c r="JF603" s="36"/>
      <c r="JG603" s="36"/>
      <c r="JH603" s="36"/>
      <c r="JI603" s="36"/>
      <c r="JJ603" s="36"/>
      <c r="JK603" s="36"/>
      <c r="JL603" s="36"/>
      <c r="JM603" s="36"/>
      <c r="JN603" s="36"/>
      <c r="JO603" s="36"/>
      <c r="JP603" s="36"/>
      <c r="JQ603" s="36"/>
      <c r="JR603" s="36"/>
      <c r="JS603" s="36"/>
      <c r="JT603" s="36"/>
      <c r="JU603" s="36"/>
      <c r="JV603" s="36"/>
      <c r="JW603" s="36"/>
      <c r="JX603" s="36"/>
      <c r="JY603" s="36"/>
      <c r="JZ603" s="36"/>
      <c r="KA603" s="36"/>
      <c r="KB603" s="36"/>
      <c r="KC603" s="36"/>
      <c r="KD603" s="36"/>
      <c r="KE603" s="36"/>
      <c r="KF603" s="36"/>
      <c r="KG603" s="36"/>
      <c r="KH603" s="36"/>
      <c r="KI603" s="36"/>
      <c r="KJ603" s="36"/>
      <c r="KK603" s="36"/>
      <c r="KL603" s="36"/>
      <c r="KM603" s="36"/>
      <c r="KN603" s="36"/>
      <c r="KO603" s="36"/>
      <c r="KP603" s="36"/>
      <c r="KQ603" s="36"/>
      <c r="KR603" s="36"/>
      <c r="KS603" s="36"/>
      <c r="KT603" s="36"/>
      <c r="KU603" s="36"/>
      <c r="KV603" s="36"/>
      <c r="KW603" s="36"/>
      <c r="KX603" s="36"/>
      <c r="KY603" s="36"/>
      <c r="KZ603" s="36"/>
      <c r="LA603" s="36"/>
      <c r="LB603" s="36"/>
      <c r="LC603" s="36"/>
      <c r="LD603" s="36"/>
      <c r="LE603" s="36"/>
      <c r="LF603" s="36"/>
      <c r="LG603" s="36"/>
      <c r="LH603" s="36"/>
      <c r="LI603" s="36"/>
      <c r="LJ603" s="36"/>
      <c r="LK603" s="36"/>
      <c r="LL603" s="36"/>
      <c r="LM603" s="36"/>
      <c r="LN603" s="36"/>
      <c r="LO603" s="36"/>
      <c r="LP603" s="36"/>
      <c r="LQ603" s="36"/>
      <c r="LR603" s="36"/>
      <c r="LS603" s="36"/>
      <c r="LT603" s="36"/>
      <c r="LU603" s="36"/>
      <c r="LV603" s="36"/>
      <c r="LW603" s="36"/>
      <c r="LX603" s="36"/>
      <c r="LY603" s="36"/>
      <c r="LZ603" s="36"/>
      <c r="MA603" s="36"/>
      <c r="MB603" s="36"/>
      <c r="MC603" s="36"/>
      <c r="MD603" s="36"/>
      <c r="ME603" s="36"/>
      <c r="MF603" s="36"/>
      <c r="MG603" s="36"/>
      <c r="MH603" s="36"/>
      <c r="MI603" s="36"/>
      <c r="MJ603" s="36"/>
      <c r="MK603" s="36"/>
      <c r="ML603" s="36"/>
      <c r="MM603" s="36"/>
      <c r="MN603" s="36"/>
      <c r="MO603" s="36"/>
      <c r="MP603" s="36"/>
      <c r="MQ603" s="36"/>
      <c r="MR603" s="36"/>
      <c r="MS603" s="36"/>
      <c r="MT603" s="36"/>
      <c r="MU603" s="36"/>
      <c r="MV603" s="36"/>
      <c r="MW603" s="36"/>
      <c r="MX603" s="36"/>
      <c r="MY603" s="36"/>
      <c r="MZ603" s="36"/>
      <c r="NA603" s="36"/>
      <c r="NB603" s="36"/>
      <c r="NC603" s="36"/>
      <c r="ND603" s="36"/>
      <c r="NE603" s="36"/>
      <c r="NF603" s="36"/>
      <c r="NG603" s="36"/>
      <c r="NH603" s="36"/>
      <c r="NI603" s="36"/>
      <c r="NJ603" s="36"/>
      <c r="NK603" s="36"/>
      <c r="NL603" s="36"/>
      <c r="NM603" s="36"/>
      <c r="NN603" s="36"/>
      <c r="NO603" s="36"/>
      <c r="NP603" s="36"/>
      <c r="NQ603" s="36"/>
      <c r="NR603" s="36"/>
      <c r="NS603" s="36"/>
      <c r="NT603" s="36"/>
      <c r="NU603" s="36"/>
      <c r="NV603" s="36"/>
      <c r="NW603" s="36"/>
      <c r="NX603" s="36"/>
      <c r="NY603" s="36"/>
      <c r="NZ603" s="36"/>
      <c r="OA603" s="36"/>
      <c r="OB603" s="36"/>
      <c r="OC603" s="36"/>
      <c r="OD603" s="36"/>
      <c r="OE603" s="36"/>
      <c r="OF603" s="36"/>
      <c r="OG603" s="36"/>
      <c r="OH603" s="36"/>
      <c r="OI603" s="36"/>
      <c r="OJ603" s="36"/>
      <c r="OK603" s="36"/>
      <c r="OL603" s="36"/>
      <c r="OM603" s="36"/>
      <c r="ON603" s="36"/>
      <c r="OO603" s="36"/>
      <c r="OP603" s="36"/>
      <c r="OQ603" s="36"/>
      <c r="OR603" s="36"/>
      <c r="OS603" s="36"/>
      <c r="OT603" s="36"/>
      <c r="OU603" s="36"/>
      <c r="OV603" s="36"/>
      <c r="OW603" s="36"/>
      <c r="OX603" s="36"/>
    </row>
    <row r="604" spans="2:414" s="27" customFormat="1" ht="15.6">
      <c r="B604" s="51" t="s">
        <v>336</v>
      </c>
      <c r="C604" s="27" t="s">
        <v>1108</v>
      </c>
      <c r="D604" s="29" t="s">
        <v>105</v>
      </c>
      <c r="G604" s="49">
        <v>80</v>
      </c>
      <c r="H604" s="89">
        <v>26.109000000000002</v>
      </c>
      <c r="I604" s="38">
        <f t="shared" si="180"/>
        <v>2088.7200000000003</v>
      </c>
      <c r="K604" s="49">
        <v>80</v>
      </c>
      <c r="L604" s="90">
        <v>26.849599999999999</v>
      </c>
      <c r="M604" s="38">
        <f t="shared" si="181"/>
        <v>2147.9679999999998</v>
      </c>
      <c r="O604" s="49">
        <v>505</v>
      </c>
      <c r="P604" s="38">
        <v>26.728300000000001</v>
      </c>
      <c r="Q604" s="38">
        <f t="shared" si="182"/>
        <v>13497.791500000001</v>
      </c>
      <c r="R604" s="43">
        <f t="shared" si="179"/>
        <v>665</v>
      </c>
      <c r="S604" s="38">
        <f t="shared" si="183"/>
        <v>17734.479500000001</v>
      </c>
      <c r="T604" s="27">
        <v>240</v>
      </c>
      <c r="U604" s="52">
        <v>26.771999999999998</v>
      </c>
      <c r="V604" s="38">
        <f t="shared" si="190"/>
        <v>6425.28</v>
      </c>
      <c r="W604" s="52">
        <v>505</v>
      </c>
      <c r="X604" s="52">
        <v>26.766200000000001</v>
      </c>
      <c r="Y604" s="35">
        <f t="shared" si="189"/>
        <v>13516.931</v>
      </c>
      <c r="Z604" s="78"/>
      <c r="AF604" s="42">
        <f t="shared" si="177"/>
        <v>0</v>
      </c>
      <c r="AU604" s="100"/>
      <c r="AV604" s="35"/>
      <c r="AW604" s="78"/>
      <c r="AZ604" s="42">
        <f t="shared" si="178"/>
        <v>0</v>
      </c>
      <c r="BD604" s="38">
        <f t="shared" si="184"/>
        <v>0</v>
      </c>
      <c r="BH604" s="38">
        <f t="shared" si="185"/>
        <v>0</v>
      </c>
      <c r="BL604" s="38">
        <f t="shared" si="186"/>
        <v>0</v>
      </c>
      <c r="BR604" s="42">
        <f t="shared" si="187"/>
        <v>19942.210999999999</v>
      </c>
      <c r="BS604" s="43"/>
      <c r="BT604" s="27">
        <v>2207.73</v>
      </c>
      <c r="BU604" s="36"/>
      <c r="BV604" s="36"/>
      <c r="BW604" s="36"/>
      <c r="BX604" s="36"/>
      <c r="BY604" s="36"/>
      <c r="BZ604" s="36"/>
      <c r="CA604" s="36"/>
      <c r="CB604" s="36"/>
      <c r="CC604" s="36"/>
      <c r="CD604" s="36"/>
      <c r="CE604" s="36"/>
      <c r="CF604" s="36"/>
      <c r="CG604" s="36"/>
      <c r="CH604" s="36"/>
      <c r="CI604" s="36"/>
      <c r="CJ604" s="36"/>
      <c r="CK604" s="36"/>
      <c r="CL604" s="36"/>
      <c r="CM604" s="36"/>
      <c r="CN604" s="36"/>
      <c r="CO604" s="36"/>
      <c r="CP604" s="36"/>
      <c r="CQ604" s="36"/>
      <c r="CR604" s="36"/>
      <c r="CS604" s="36"/>
      <c r="CT604" s="36"/>
      <c r="CU604" s="36"/>
      <c r="CV604" s="36"/>
      <c r="CW604" s="36"/>
      <c r="CX604" s="36"/>
      <c r="CY604" s="36"/>
      <c r="CZ604" s="36"/>
      <c r="DA604" s="36"/>
      <c r="DB604" s="36"/>
      <c r="DC604" s="36"/>
      <c r="DD604" s="36"/>
      <c r="DE604" s="36"/>
      <c r="DF604" s="36"/>
      <c r="DG604" s="36"/>
      <c r="DH604" s="36"/>
      <c r="DI604" s="36"/>
      <c r="DJ604" s="36"/>
      <c r="DK604" s="36"/>
      <c r="DL604" s="36"/>
      <c r="DM604" s="36"/>
      <c r="DN604" s="36"/>
      <c r="DO604" s="36"/>
      <c r="DP604" s="36"/>
      <c r="DQ604" s="36"/>
      <c r="DR604" s="36"/>
      <c r="DS604" s="36"/>
      <c r="DT604" s="36"/>
      <c r="DU604" s="36"/>
      <c r="DV604" s="36"/>
      <c r="DW604" s="36"/>
      <c r="DX604" s="36"/>
      <c r="DY604" s="36"/>
      <c r="DZ604" s="36"/>
      <c r="EA604" s="36"/>
      <c r="EB604" s="36"/>
      <c r="EC604" s="36"/>
      <c r="ED604" s="36"/>
      <c r="EE604" s="36"/>
      <c r="EF604" s="36"/>
      <c r="EG604" s="36"/>
      <c r="EH604" s="36"/>
      <c r="EI604" s="36"/>
      <c r="EJ604" s="36"/>
      <c r="EK604" s="36"/>
      <c r="EL604" s="36"/>
      <c r="EM604" s="36"/>
      <c r="EN604" s="36"/>
      <c r="EO604" s="36"/>
      <c r="EP604" s="36"/>
      <c r="EQ604" s="36"/>
      <c r="ER604" s="36"/>
      <c r="ES604" s="36"/>
      <c r="ET604" s="36"/>
      <c r="EU604" s="36"/>
      <c r="EV604" s="36"/>
      <c r="EW604" s="36"/>
      <c r="EX604" s="36"/>
      <c r="EY604" s="36"/>
      <c r="EZ604" s="36"/>
      <c r="FA604" s="36"/>
      <c r="FB604" s="36"/>
      <c r="FC604" s="36"/>
      <c r="FD604" s="36"/>
      <c r="FE604" s="36"/>
      <c r="FF604" s="36"/>
      <c r="FG604" s="36"/>
      <c r="FH604" s="36"/>
      <c r="FI604" s="36"/>
      <c r="FJ604" s="36"/>
      <c r="FK604" s="36"/>
      <c r="FL604" s="36"/>
      <c r="FM604" s="36"/>
      <c r="FN604" s="36"/>
      <c r="FO604" s="36"/>
      <c r="FP604" s="36"/>
      <c r="FQ604" s="36"/>
      <c r="FR604" s="36"/>
      <c r="FS604" s="36"/>
      <c r="FT604" s="36"/>
      <c r="FU604" s="36"/>
      <c r="FV604" s="36"/>
      <c r="FW604" s="36"/>
      <c r="FX604" s="36"/>
      <c r="FY604" s="36"/>
      <c r="FZ604" s="36"/>
      <c r="GA604" s="36"/>
      <c r="GB604" s="36"/>
      <c r="GC604" s="36"/>
      <c r="GD604" s="36"/>
      <c r="GE604" s="36"/>
      <c r="GF604" s="36"/>
      <c r="GG604" s="36"/>
      <c r="GH604" s="36"/>
      <c r="GI604" s="36"/>
      <c r="GJ604" s="36"/>
      <c r="GK604" s="36"/>
      <c r="GL604" s="36"/>
      <c r="GM604" s="36"/>
      <c r="GN604" s="36"/>
      <c r="GO604" s="36"/>
      <c r="GP604" s="36"/>
      <c r="GQ604" s="36"/>
      <c r="GR604" s="36"/>
      <c r="GS604" s="36"/>
      <c r="GT604" s="36"/>
      <c r="GU604" s="36"/>
      <c r="GV604" s="36"/>
      <c r="GW604" s="36"/>
      <c r="GX604" s="36"/>
      <c r="GY604" s="36"/>
      <c r="GZ604" s="36"/>
      <c r="HA604" s="36"/>
      <c r="HB604" s="36"/>
      <c r="HC604" s="36"/>
      <c r="HD604" s="36"/>
      <c r="HE604" s="36"/>
      <c r="HF604" s="36"/>
      <c r="HG604" s="36"/>
      <c r="HH604" s="36"/>
      <c r="HI604" s="36"/>
      <c r="HJ604" s="36"/>
      <c r="HK604" s="36"/>
      <c r="HL604" s="36"/>
      <c r="HM604" s="36"/>
      <c r="HN604" s="36"/>
      <c r="HO604" s="36"/>
      <c r="HP604" s="36"/>
      <c r="HQ604" s="36"/>
      <c r="HR604" s="36"/>
      <c r="HS604" s="36"/>
      <c r="HT604" s="36"/>
      <c r="HU604" s="36"/>
      <c r="HV604" s="36"/>
      <c r="HW604" s="36"/>
      <c r="HX604" s="36"/>
      <c r="HY604" s="36"/>
      <c r="HZ604" s="36"/>
      <c r="IA604" s="36"/>
      <c r="IB604" s="36"/>
      <c r="IC604" s="36"/>
      <c r="ID604" s="36"/>
      <c r="IE604" s="36"/>
      <c r="IF604" s="36"/>
      <c r="IG604" s="36"/>
      <c r="IH604" s="36"/>
      <c r="II604" s="36"/>
      <c r="IJ604" s="36"/>
      <c r="IK604" s="36"/>
      <c r="IL604" s="36"/>
      <c r="IM604" s="36"/>
      <c r="IN604" s="36"/>
      <c r="IO604" s="36"/>
      <c r="IP604" s="36"/>
      <c r="IQ604" s="36"/>
      <c r="IR604" s="36"/>
      <c r="IS604" s="36"/>
      <c r="IT604" s="36"/>
      <c r="IU604" s="36"/>
      <c r="IV604" s="36"/>
      <c r="IW604" s="36"/>
      <c r="IX604" s="36"/>
      <c r="IY604" s="36"/>
      <c r="IZ604" s="36"/>
      <c r="JA604" s="36"/>
      <c r="JB604" s="36"/>
      <c r="JC604" s="36"/>
      <c r="JD604" s="36"/>
      <c r="JE604" s="36"/>
      <c r="JF604" s="36"/>
      <c r="JG604" s="36"/>
      <c r="JH604" s="36"/>
      <c r="JI604" s="36"/>
      <c r="JJ604" s="36"/>
      <c r="JK604" s="36"/>
      <c r="JL604" s="36"/>
      <c r="JM604" s="36"/>
      <c r="JN604" s="36"/>
      <c r="JO604" s="36"/>
      <c r="JP604" s="36"/>
      <c r="JQ604" s="36"/>
      <c r="JR604" s="36"/>
      <c r="JS604" s="36"/>
      <c r="JT604" s="36"/>
      <c r="JU604" s="36"/>
      <c r="JV604" s="36"/>
      <c r="JW604" s="36"/>
      <c r="JX604" s="36"/>
      <c r="JY604" s="36"/>
      <c r="JZ604" s="36"/>
      <c r="KA604" s="36"/>
      <c r="KB604" s="36"/>
      <c r="KC604" s="36"/>
      <c r="KD604" s="36"/>
      <c r="KE604" s="36"/>
      <c r="KF604" s="36"/>
      <c r="KG604" s="36"/>
      <c r="KH604" s="36"/>
      <c r="KI604" s="36"/>
      <c r="KJ604" s="36"/>
      <c r="KK604" s="36"/>
      <c r="KL604" s="36"/>
      <c r="KM604" s="36"/>
      <c r="KN604" s="36"/>
      <c r="KO604" s="36"/>
      <c r="KP604" s="36"/>
      <c r="KQ604" s="36"/>
      <c r="KR604" s="36"/>
      <c r="KS604" s="36"/>
      <c r="KT604" s="36"/>
      <c r="KU604" s="36"/>
      <c r="KV604" s="36"/>
      <c r="KW604" s="36"/>
      <c r="KX604" s="36"/>
      <c r="KY604" s="36"/>
      <c r="KZ604" s="36"/>
      <c r="LA604" s="36"/>
      <c r="LB604" s="36"/>
      <c r="LC604" s="36"/>
      <c r="LD604" s="36"/>
      <c r="LE604" s="36"/>
      <c r="LF604" s="36"/>
      <c r="LG604" s="36"/>
      <c r="LH604" s="36"/>
      <c r="LI604" s="36"/>
      <c r="LJ604" s="36"/>
      <c r="LK604" s="36"/>
      <c r="LL604" s="36"/>
      <c r="LM604" s="36"/>
      <c r="LN604" s="36"/>
      <c r="LO604" s="36"/>
      <c r="LP604" s="36"/>
      <c r="LQ604" s="36"/>
      <c r="LR604" s="36"/>
      <c r="LS604" s="36"/>
      <c r="LT604" s="36"/>
      <c r="LU604" s="36"/>
      <c r="LV604" s="36"/>
      <c r="LW604" s="36"/>
      <c r="LX604" s="36"/>
      <c r="LY604" s="36"/>
      <c r="LZ604" s="36"/>
      <c r="MA604" s="36"/>
      <c r="MB604" s="36"/>
      <c r="MC604" s="36"/>
      <c r="MD604" s="36"/>
      <c r="ME604" s="36"/>
      <c r="MF604" s="36"/>
      <c r="MG604" s="36"/>
      <c r="MH604" s="36"/>
      <c r="MI604" s="36"/>
      <c r="MJ604" s="36"/>
      <c r="MK604" s="36"/>
      <c r="ML604" s="36"/>
      <c r="MM604" s="36"/>
      <c r="MN604" s="36"/>
      <c r="MO604" s="36"/>
      <c r="MP604" s="36"/>
      <c r="MQ604" s="36"/>
      <c r="MR604" s="36"/>
      <c r="MS604" s="36"/>
      <c r="MT604" s="36"/>
      <c r="MU604" s="36"/>
      <c r="MV604" s="36"/>
      <c r="MW604" s="36"/>
      <c r="MX604" s="36"/>
      <c r="MY604" s="36"/>
      <c r="MZ604" s="36"/>
      <c r="NA604" s="36"/>
      <c r="NB604" s="36"/>
      <c r="NC604" s="36"/>
      <c r="ND604" s="36"/>
      <c r="NE604" s="36"/>
      <c r="NF604" s="36"/>
      <c r="NG604" s="36"/>
      <c r="NH604" s="36"/>
      <c r="NI604" s="36"/>
      <c r="NJ604" s="36"/>
      <c r="NK604" s="36"/>
      <c r="NL604" s="36"/>
      <c r="NM604" s="36"/>
      <c r="NN604" s="36"/>
      <c r="NO604" s="36"/>
      <c r="NP604" s="36"/>
      <c r="NQ604" s="36"/>
      <c r="NR604" s="36"/>
      <c r="NS604" s="36"/>
      <c r="NT604" s="36"/>
      <c r="NU604" s="36"/>
      <c r="NV604" s="36"/>
      <c r="NW604" s="36"/>
      <c r="NX604" s="36"/>
      <c r="NY604" s="36"/>
      <c r="NZ604" s="36"/>
      <c r="OA604" s="36"/>
      <c r="OB604" s="36"/>
      <c r="OC604" s="36"/>
      <c r="OD604" s="36"/>
      <c r="OE604" s="36"/>
      <c r="OF604" s="36"/>
      <c r="OG604" s="36"/>
      <c r="OH604" s="36"/>
      <c r="OI604" s="36"/>
      <c r="OJ604" s="36"/>
      <c r="OK604" s="36"/>
      <c r="OL604" s="36"/>
      <c r="OM604" s="36"/>
      <c r="ON604" s="36"/>
      <c r="OO604" s="36"/>
      <c r="OP604" s="36"/>
      <c r="OQ604" s="36"/>
      <c r="OR604" s="36"/>
      <c r="OS604" s="36"/>
      <c r="OT604" s="36"/>
      <c r="OU604" s="36"/>
      <c r="OV604" s="36"/>
      <c r="OW604" s="36"/>
      <c r="OX604" s="36"/>
    </row>
    <row r="605" spans="2:414" s="27" customFormat="1" ht="15.6">
      <c r="B605" s="51" t="s">
        <v>892</v>
      </c>
      <c r="C605" s="27" t="s">
        <v>737</v>
      </c>
      <c r="D605" s="29" t="s">
        <v>105</v>
      </c>
      <c r="G605" s="49">
        <v>80</v>
      </c>
      <c r="H605" s="89">
        <v>26.109000000000002</v>
      </c>
      <c r="I605" s="38">
        <f t="shared" si="180"/>
        <v>2088.7200000000003</v>
      </c>
      <c r="K605" s="49">
        <v>80</v>
      </c>
      <c r="L605" s="90">
        <v>26.849599999999999</v>
      </c>
      <c r="M605" s="38">
        <f t="shared" si="181"/>
        <v>2147.9679999999998</v>
      </c>
      <c r="O605" s="49">
        <v>505</v>
      </c>
      <c r="P605" s="38">
        <v>26.728300000000001</v>
      </c>
      <c r="Q605" s="38">
        <f t="shared" si="182"/>
        <v>13497.791500000001</v>
      </c>
      <c r="R605" s="43">
        <f t="shared" si="179"/>
        <v>665</v>
      </c>
      <c r="S605" s="38">
        <f t="shared" si="183"/>
        <v>17734.479500000001</v>
      </c>
      <c r="T605" s="27">
        <v>240</v>
      </c>
      <c r="U605" s="52">
        <v>26.689900000000002</v>
      </c>
      <c r="V605" s="38">
        <f t="shared" si="190"/>
        <v>6405.576</v>
      </c>
      <c r="W605" s="52">
        <v>505</v>
      </c>
      <c r="X605" s="52">
        <v>26.569800000000001</v>
      </c>
      <c r="Y605" s="35">
        <f t="shared" si="189"/>
        <v>13417.749</v>
      </c>
      <c r="Z605" s="78"/>
      <c r="AF605" s="42">
        <f t="shared" si="177"/>
        <v>0</v>
      </c>
      <c r="AU605" s="100"/>
      <c r="AV605" s="35"/>
      <c r="AW605" s="78"/>
      <c r="AZ605" s="42">
        <f t="shared" si="178"/>
        <v>0</v>
      </c>
      <c r="BD605" s="38">
        <f t="shared" si="184"/>
        <v>0</v>
      </c>
      <c r="BH605" s="38">
        <f t="shared" si="185"/>
        <v>0</v>
      </c>
      <c r="BL605" s="38">
        <f t="shared" si="186"/>
        <v>0</v>
      </c>
      <c r="BR605" s="42">
        <f t="shared" si="187"/>
        <v>19823.325000000001</v>
      </c>
      <c r="BS605" s="43"/>
      <c r="BT605" s="27">
        <v>2088.85</v>
      </c>
      <c r="BU605" s="36"/>
      <c r="BV605" s="36"/>
      <c r="BW605" s="36"/>
      <c r="BX605" s="36"/>
      <c r="BY605" s="36"/>
      <c r="BZ605" s="36"/>
      <c r="CA605" s="36"/>
      <c r="CB605" s="36"/>
      <c r="CC605" s="36"/>
      <c r="CD605" s="36"/>
      <c r="CE605" s="36"/>
      <c r="CF605" s="36"/>
      <c r="CG605" s="36"/>
      <c r="CH605" s="36"/>
      <c r="CI605" s="36"/>
      <c r="CJ605" s="36"/>
      <c r="CK605" s="36"/>
      <c r="CL605" s="36"/>
      <c r="CM605" s="36"/>
      <c r="CN605" s="36"/>
      <c r="CO605" s="36"/>
      <c r="CP605" s="36"/>
      <c r="CQ605" s="36"/>
      <c r="CR605" s="36"/>
      <c r="CS605" s="36"/>
      <c r="CT605" s="36"/>
      <c r="CU605" s="36"/>
      <c r="CV605" s="36"/>
      <c r="CW605" s="36"/>
      <c r="CX605" s="36"/>
      <c r="CY605" s="36"/>
      <c r="CZ605" s="36"/>
      <c r="DA605" s="36"/>
      <c r="DB605" s="36"/>
      <c r="DC605" s="36"/>
      <c r="DD605" s="36"/>
      <c r="DE605" s="36"/>
      <c r="DF605" s="36"/>
      <c r="DG605" s="36"/>
      <c r="DH605" s="36"/>
      <c r="DI605" s="36"/>
      <c r="DJ605" s="36"/>
      <c r="DK605" s="36"/>
      <c r="DL605" s="36"/>
      <c r="DM605" s="36"/>
      <c r="DN605" s="36"/>
      <c r="DO605" s="36"/>
      <c r="DP605" s="36"/>
      <c r="DQ605" s="36"/>
      <c r="DR605" s="36"/>
      <c r="DS605" s="36"/>
      <c r="DT605" s="36"/>
      <c r="DU605" s="36"/>
      <c r="DV605" s="36"/>
      <c r="DW605" s="36"/>
      <c r="DX605" s="36"/>
      <c r="DY605" s="36"/>
      <c r="DZ605" s="36"/>
      <c r="EA605" s="36"/>
      <c r="EB605" s="36"/>
      <c r="EC605" s="36"/>
      <c r="ED605" s="36"/>
      <c r="EE605" s="36"/>
      <c r="EF605" s="36"/>
      <c r="EG605" s="36"/>
      <c r="EH605" s="36"/>
      <c r="EI605" s="36"/>
      <c r="EJ605" s="36"/>
      <c r="EK605" s="36"/>
      <c r="EL605" s="36"/>
      <c r="EM605" s="36"/>
      <c r="EN605" s="36"/>
      <c r="EO605" s="36"/>
      <c r="EP605" s="36"/>
      <c r="EQ605" s="36"/>
      <c r="ER605" s="36"/>
      <c r="ES605" s="36"/>
      <c r="ET605" s="36"/>
      <c r="EU605" s="36"/>
      <c r="EV605" s="36"/>
      <c r="EW605" s="36"/>
      <c r="EX605" s="36"/>
      <c r="EY605" s="36"/>
      <c r="EZ605" s="36"/>
      <c r="FA605" s="36"/>
      <c r="FB605" s="36"/>
      <c r="FC605" s="36"/>
      <c r="FD605" s="36"/>
      <c r="FE605" s="36"/>
      <c r="FF605" s="36"/>
      <c r="FG605" s="36"/>
      <c r="FH605" s="36"/>
      <c r="FI605" s="36"/>
      <c r="FJ605" s="36"/>
      <c r="FK605" s="36"/>
      <c r="FL605" s="36"/>
      <c r="FM605" s="36"/>
      <c r="FN605" s="36"/>
      <c r="FO605" s="36"/>
      <c r="FP605" s="36"/>
      <c r="FQ605" s="36"/>
      <c r="FR605" s="36"/>
      <c r="FS605" s="36"/>
      <c r="FT605" s="36"/>
      <c r="FU605" s="36"/>
      <c r="FV605" s="36"/>
      <c r="FW605" s="36"/>
      <c r="FX605" s="36"/>
      <c r="FY605" s="36"/>
      <c r="FZ605" s="36"/>
      <c r="GA605" s="36"/>
      <c r="GB605" s="36"/>
      <c r="GC605" s="36"/>
      <c r="GD605" s="36"/>
      <c r="GE605" s="36"/>
      <c r="GF605" s="36"/>
      <c r="GG605" s="36"/>
      <c r="GH605" s="36"/>
      <c r="GI605" s="36"/>
      <c r="GJ605" s="36"/>
      <c r="GK605" s="36"/>
      <c r="GL605" s="36"/>
      <c r="GM605" s="36"/>
      <c r="GN605" s="36"/>
      <c r="GO605" s="36"/>
      <c r="GP605" s="36"/>
      <c r="GQ605" s="36"/>
      <c r="GR605" s="36"/>
      <c r="GS605" s="36"/>
      <c r="GT605" s="36"/>
      <c r="GU605" s="36"/>
      <c r="GV605" s="36"/>
      <c r="GW605" s="36"/>
      <c r="GX605" s="36"/>
      <c r="GY605" s="36"/>
      <c r="GZ605" s="36"/>
      <c r="HA605" s="36"/>
      <c r="HB605" s="36"/>
      <c r="HC605" s="36"/>
      <c r="HD605" s="36"/>
      <c r="HE605" s="36"/>
      <c r="HF605" s="36"/>
      <c r="HG605" s="36"/>
      <c r="HH605" s="36"/>
      <c r="HI605" s="36"/>
      <c r="HJ605" s="36"/>
      <c r="HK605" s="36"/>
      <c r="HL605" s="36"/>
      <c r="HM605" s="36"/>
      <c r="HN605" s="36"/>
      <c r="HO605" s="36"/>
      <c r="HP605" s="36"/>
      <c r="HQ605" s="36"/>
      <c r="HR605" s="36"/>
      <c r="HS605" s="36"/>
      <c r="HT605" s="36"/>
      <c r="HU605" s="36"/>
      <c r="HV605" s="36"/>
      <c r="HW605" s="36"/>
      <c r="HX605" s="36"/>
      <c r="HY605" s="36"/>
      <c r="HZ605" s="36"/>
      <c r="IA605" s="36"/>
      <c r="IB605" s="36"/>
      <c r="IC605" s="36"/>
      <c r="ID605" s="36"/>
      <c r="IE605" s="36"/>
      <c r="IF605" s="36"/>
      <c r="IG605" s="36"/>
      <c r="IH605" s="36"/>
      <c r="II605" s="36"/>
      <c r="IJ605" s="36"/>
      <c r="IK605" s="36"/>
      <c r="IL605" s="36"/>
      <c r="IM605" s="36"/>
      <c r="IN605" s="36"/>
      <c r="IO605" s="36"/>
      <c r="IP605" s="36"/>
      <c r="IQ605" s="36"/>
      <c r="IR605" s="36"/>
      <c r="IS605" s="36"/>
      <c r="IT605" s="36"/>
      <c r="IU605" s="36"/>
      <c r="IV605" s="36"/>
      <c r="IW605" s="36"/>
      <c r="IX605" s="36"/>
      <c r="IY605" s="36"/>
      <c r="IZ605" s="36"/>
      <c r="JA605" s="36"/>
      <c r="JB605" s="36"/>
      <c r="JC605" s="36"/>
      <c r="JD605" s="36"/>
      <c r="JE605" s="36"/>
      <c r="JF605" s="36"/>
      <c r="JG605" s="36"/>
      <c r="JH605" s="36"/>
      <c r="JI605" s="36"/>
      <c r="JJ605" s="36"/>
      <c r="JK605" s="36"/>
      <c r="JL605" s="36"/>
      <c r="JM605" s="36"/>
      <c r="JN605" s="36"/>
      <c r="JO605" s="36"/>
      <c r="JP605" s="36"/>
      <c r="JQ605" s="36"/>
      <c r="JR605" s="36"/>
      <c r="JS605" s="36"/>
      <c r="JT605" s="36"/>
      <c r="JU605" s="36"/>
      <c r="JV605" s="36"/>
      <c r="JW605" s="36"/>
      <c r="JX605" s="36"/>
      <c r="JY605" s="36"/>
      <c r="JZ605" s="36"/>
      <c r="KA605" s="36"/>
      <c r="KB605" s="36"/>
      <c r="KC605" s="36"/>
      <c r="KD605" s="36"/>
      <c r="KE605" s="36"/>
      <c r="KF605" s="36"/>
      <c r="KG605" s="36"/>
      <c r="KH605" s="36"/>
      <c r="KI605" s="36"/>
      <c r="KJ605" s="36"/>
      <c r="KK605" s="36"/>
      <c r="KL605" s="36"/>
      <c r="KM605" s="36"/>
      <c r="KN605" s="36"/>
      <c r="KO605" s="36"/>
      <c r="KP605" s="36"/>
      <c r="KQ605" s="36"/>
      <c r="KR605" s="36"/>
      <c r="KS605" s="36"/>
      <c r="KT605" s="36"/>
      <c r="KU605" s="36"/>
      <c r="KV605" s="36"/>
      <c r="KW605" s="36"/>
      <c r="KX605" s="36"/>
      <c r="KY605" s="36"/>
      <c r="KZ605" s="36"/>
      <c r="LA605" s="36"/>
      <c r="LB605" s="36"/>
      <c r="LC605" s="36"/>
      <c r="LD605" s="36"/>
      <c r="LE605" s="36"/>
      <c r="LF605" s="36"/>
      <c r="LG605" s="36"/>
      <c r="LH605" s="36"/>
      <c r="LI605" s="36"/>
      <c r="LJ605" s="36"/>
      <c r="LK605" s="36"/>
      <c r="LL605" s="36"/>
      <c r="LM605" s="36"/>
      <c r="LN605" s="36"/>
      <c r="LO605" s="36"/>
      <c r="LP605" s="36"/>
      <c r="LQ605" s="36"/>
      <c r="LR605" s="36"/>
      <c r="LS605" s="36"/>
      <c r="LT605" s="36"/>
      <c r="LU605" s="36"/>
      <c r="LV605" s="36"/>
      <c r="LW605" s="36"/>
      <c r="LX605" s="36"/>
      <c r="LY605" s="36"/>
      <c r="LZ605" s="36"/>
      <c r="MA605" s="36"/>
      <c r="MB605" s="36"/>
      <c r="MC605" s="36"/>
      <c r="MD605" s="36"/>
      <c r="ME605" s="36"/>
      <c r="MF605" s="36"/>
      <c r="MG605" s="36"/>
      <c r="MH605" s="36"/>
      <c r="MI605" s="36"/>
      <c r="MJ605" s="36"/>
      <c r="MK605" s="36"/>
      <c r="ML605" s="36"/>
      <c r="MM605" s="36"/>
      <c r="MN605" s="36"/>
      <c r="MO605" s="36"/>
      <c r="MP605" s="36"/>
      <c r="MQ605" s="36"/>
      <c r="MR605" s="36"/>
      <c r="MS605" s="36"/>
      <c r="MT605" s="36"/>
      <c r="MU605" s="36"/>
      <c r="MV605" s="36"/>
      <c r="MW605" s="36"/>
      <c r="MX605" s="36"/>
      <c r="MY605" s="36"/>
      <c r="MZ605" s="36"/>
      <c r="NA605" s="36"/>
      <c r="NB605" s="36"/>
      <c r="NC605" s="36"/>
      <c r="ND605" s="36"/>
      <c r="NE605" s="36"/>
      <c r="NF605" s="36"/>
      <c r="NG605" s="36"/>
      <c r="NH605" s="36"/>
      <c r="NI605" s="36"/>
      <c r="NJ605" s="36"/>
      <c r="NK605" s="36"/>
      <c r="NL605" s="36"/>
      <c r="NM605" s="36"/>
      <c r="NN605" s="36"/>
      <c r="NO605" s="36"/>
      <c r="NP605" s="36"/>
      <c r="NQ605" s="36"/>
      <c r="NR605" s="36"/>
      <c r="NS605" s="36"/>
      <c r="NT605" s="36"/>
      <c r="NU605" s="36"/>
      <c r="NV605" s="36"/>
      <c r="NW605" s="36"/>
      <c r="NX605" s="36"/>
      <c r="NY605" s="36"/>
      <c r="NZ605" s="36"/>
      <c r="OA605" s="36"/>
      <c r="OB605" s="36"/>
      <c r="OC605" s="36"/>
      <c r="OD605" s="36"/>
      <c r="OE605" s="36"/>
      <c r="OF605" s="36"/>
      <c r="OG605" s="36"/>
      <c r="OH605" s="36"/>
      <c r="OI605" s="36"/>
      <c r="OJ605" s="36"/>
      <c r="OK605" s="36"/>
      <c r="OL605" s="36"/>
      <c r="OM605" s="36"/>
      <c r="ON605" s="36"/>
      <c r="OO605" s="36"/>
      <c r="OP605" s="36"/>
      <c r="OQ605" s="36"/>
      <c r="OR605" s="36"/>
      <c r="OS605" s="36"/>
      <c r="OT605" s="36"/>
      <c r="OU605" s="36"/>
      <c r="OV605" s="36"/>
      <c r="OW605" s="36"/>
      <c r="OX605" s="36"/>
    </row>
    <row r="606" spans="2:414" s="27" customFormat="1" ht="15.6">
      <c r="B606" s="51" t="s">
        <v>821</v>
      </c>
      <c r="C606" s="27" t="s">
        <v>822</v>
      </c>
      <c r="D606" s="29" t="s">
        <v>105</v>
      </c>
      <c r="G606" s="49">
        <v>80</v>
      </c>
      <c r="H606" s="89">
        <v>26.109000000000002</v>
      </c>
      <c r="I606" s="38">
        <f t="shared" si="180"/>
        <v>2088.7200000000003</v>
      </c>
      <c r="K606" s="49">
        <v>80</v>
      </c>
      <c r="L606" s="90">
        <v>26.849599999999999</v>
      </c>
      <c r="M606" s="38">
        <f t="shared" si="181"/>
        <v>2147.9679999999998</v>
      </c>
      <c r="O606" s="49">
        <v>505</v>
      </c>
      <c r="P606" s="38">
        <v>26.728300000000001</v>
      </c>
      <c r="Q606" s="38">
        <f t="shared" si="182"/>
        <v>13497.791500000001</v>
      </c>
      <c r="R606" s="43">
        <f t="shared" si="179"/>
        <v>665</v>
      </c>
      <c r="S606" s="38">
        <f t="shared" si="183"/>
        <v>17734.479500000001</v>
      </c>
      <c r="T606" s="27">
        <v>240</v>
      </c>
      <c r="U606" s="52">
        <v>26.677399999999999</v>
      </c>
      <c r="V606" s="38">
        <f t="shared" si="190"/>
        <v>6402.576</v>
      </c>
      <c r="W606" s="52">
        <v>505</v>
      </c>
      <c r="X606" s="52">
        <v>26.68</v>
      </c>
      <c r="Y606" s="35">
        <f t="shared" si="189"/>
        <v>13473.4</v>
      </c>
      <c r="Z606" s="78"/>
      <c r="AF606" s="42">
        <f t="shared" si="177"/>
        <v>0</v>
      </c>
      <c r="AU606" s="100"/>
      <c r="AV606" s="35"/>
      <c r="AW606" s="78"/>
      <c r="AZ606" s="42">
        <f t="shared" si="178"/>
        <v>0</v>
      </c>
      <c r="BD606" s="38">
        <f t="shared" si="184"/>
        <v>0</v>
      </c>
      <c r="BH606" s="38">
        <f t="shared" si="185"/>
        <v>0</v>
      </c>
      <c r="BL606" s="38">
        <f t="shared" si="186"/>
        <v>0</v>
      </c>
      <c r="BR606" s="42">
        <f t="shared" si="187"/>
        <v>19875.975999999999</v>
      </c>
      <c r="BS606" s="43"/>
      <c r="BT606" s="27">
        <v>2141.5</v>
      </c>
      <c r="BU606" s="36"/>
      <c r="BV606" s="36"/>
      <c r="BW606" s="36"/>
      <c r="BX606" s="36"/>
      <c r="BY606" s="36"/>
      <c r="BZ606" s="36"/>
      <c r="CA606" s="36"/>
      <c r="CB606" s="36"/>
      <c r="CC606" s="36"/>
      <c r="CD606" s="36"/>
      <c r="CE606" s="36"/>
      <c r="CF606" s="36"/>
      <c r="CG606" s="36"/>
      <c r="CH606" s="36"/>
      <c r="CI606" s="36"/>
      <c r="CJ606" s="36"/>
      <c r="CK606" s="36"/>
      <c r="CL606" s="36"/>
      <c r="CM606" s="36"/>
      <c r="CN606" s="36"/>
      <c r="CO606" s="36"/>
      <c r="CP606" s="36"/>
      <c r="CQ606" s="36"/>
      <c r="CR606" s="36"/>
      <c r="CS606" s="36"/>
      <c r="CT606" s="36"/>
      <c r="CU606" s="36"/>
      <c r="CV606" s="36"/>
      <c r="CW606" s="36"/>
      <c r="CX606" s="36"/>
      <c r="CY606" s="36"/>
      <c r="CZ606" s="36"/>
      <c r="DA606" s="36"/>
      <c r="DB606" s="36"/>
      <c r="DC606" s="36"/>
      <c r="DD606" s="36"/>
      <c r="DE606" s="36"/>
      <c r="DF606" s="36"/>
      <c r="DG606" s="36"/>
      <c r="DH606" s="36"/>
      <c r="DI606" s="36"/>
      <c r="DJ606" s="36"/>
      <c r="DK606" s="36"/>
      <c r="DL606" s="36"/>
      <c r="DM606" s="36"/>
      <c r="DN606" s="36"/>
      <c r="DO606" s="36"/>
      <c r="DP606" s="36"/>
      <c r="DQ606" s="36"/>
      <c r="DR606" s="36"/>
      <c r="DS606" s="36"/>
      <c r="DT606" s="36"/>
      <c r="DU606" s="36"/>
      <c r="DV606" s="36"/>
      <c r="DW606" s="36"/>
      <c r="DX606" s="36"/>
      <c r="DY606" s="36"/>
      <c r="DZ606" s="36"/>
      <c r="EA606" s="36"/>
      <c r="EB606" s="36"/>
      <c r="EC606" s="36"/>
      <c r="ED606" s="36"/>
      <c r="EE606" s="36"/>
      <c r="EF606" s="36"/>
      <c r="EG606" s="36"/>
      <c r="EH606" s="36"/>
      <c r="EI606" s="36"/>
      <c r="EJ606" s="36"/>
      <c r="EK606" s="36"/>
      <c r="EL606" s="36"/>
      <c r="EM606" s="36"/>
      <c r="EN606" s="36"/>
      <c r="EO606" s="36"/>
      <c r="EP606" s="36"/>
      <c r="EQ606" s="36"/>
      <c r="ER606" s="36"/>
      <c r="ES606" s="36"/>
      <c r="ET606" s="36"/>
      <c r="EU606" s="36"/>
      <c r="EV606" s="36"/>
      <c r="EW606" s="36"/>
      <c r="EX606" s="36"/>
      <c r="EY606" s="36"/>
      <c r="EZ606" s="36"/>
      <c r="FA606" s="36"/>
      <c r="FB606" s="36"/>
      <c r="FC606" s="36"/>
      <c r="FD606" s="36"/>
      <c r="FE606" s="36"/>
      <c r="FF606" s="36"/>
      <c r="FG606" s="36"/>
      <c r="FH606" s="36"/>
      <c r="FI606" s="36"/>
      <c r="FJ606" s="36"/>
      <c r="FK606" s="36"/>
      <c r="FL606" s="36"/>
      <c r="FM606" s="36"/>
      <c r="FN606" s="36"/>
      <c r="FO606" s="36"/>
      <c r="FP606" s="36"/>
      <c r="FQ606" s="36"/>
      <c r="FR606" s="36"/>
      <c r="FS606" s="36"/>
      <c r="FT606" s="36"/>
      <c r="FU606" s="36"/>
      <c r="FV606" s="36"/>
      <c r="FW606" s="36"/>
      <c r="FX606" s="36"/>
      <c r="FY606" s="36"/>
      <c r="FZ606" s="36"/>
      <c r="GA606" s="36"/>
      <c r="GB606" s="36"/>
      <c r="GC606" s="36"/>
      <c r="GD606" s="36"/>
      <c r="GE606" s="36"/>
      <c r="GF606" s="36"/>
      <c r="GG606" s="36"/>
      <c r="GH606" s="36"/>
      <c r="GI606" s="36"/>
      <c r="GJ606" s="36"/>
      <c r="GK606" s="36"/>
      <c r="GL606" s="36"/>
      <c r="GM606" s="36"/>
      <c r="GN606" s="36"/>
      <c r="GO606" s="36"/>
      <c r="GP606" s="36"/>
      <c r="GQ606" s="36"/>
      <c r="GR606" s="36"/>
      <c r="GS606" s="36"/>
      <c r="GT606" s="36"/>
      <c r="GU606" s="36"/>
      <c r="GV606" s="36"/>
      <c r="GW606" s="36"/>
      <c r="GX606" s="36"/>
      <c r="GY606" s="36"/>
      <c r="GZ606" s="36"/>
      <c r="HA606" s="36"/>
      <c r="HB606" s="36"/>
      <c r="HC606" s="36"/>
      <c r="HD606" s="36"/>
      <c r="HE606" s="36"/>
      <c r="HF606" s="36"/>
      <c r="HG606" s="36"/>
      <c r="HH606" s="36"/>
      <c r="HI606" s="36"/>
      <c r="HJ606" s="36"/>
      <c r="HK606" s="36"/>
      <c r="HL606" s="36"/>
      <c r="HM606" s="36"/>
      <c r="HN606" s="36"/>
      <c r="HO606" s="36"/>
      <c r="HP606" s="36"/>
      <c r="HQ606" s="36"/>
      <c r="HR606" s="36"/>
      <c r="HS606" s="36"/>
      <c r="HT606" s="36"/>
      <c r="HU606" s="36"/>
      <c r="HV606" s="36"/>
      <c r="HW606" s="36"/>
      <c r="HX606" s="36"/>
      <c r="HY606" s="36"/>
      <c r="HZ606" s="36"/>
      <c r="IA606" s="36"/>
      <c r="IB606" s="36"/>
      <c r="IC606" s="36"/>
      <c r="ID606" s="36"/>
      <c r="IE606" s="36"/>
      <c r="IF606" s="36"/>
      <c r="IG606" s="36"/>
      <c r="IH606" s="36"/>
      <c r="II606" s="36"/>
      <c r="IJ606" s="36"/>
      <c r="IK606" s="36"/>
      <c r="IL606" s="36"/>
      <c r="IM606" s="36"/>
      <c r="IN606" s="36"/>
      <c r="IO606" s="36"/>
      <c r="IP606" s="36"/>
      <c r="IQ606" s="36"/>
      <c r="IR606" s="36"/>
      <c r="IS606" s="36"/>
      <c r="IT606" s="36"/>
      <c r="IU606" s="36"/>
      <c r="IV606" s="36"/>
      <c r="IW606" s="36"/>
      <c r="IX606" s="36"/>
      <c r="IY606" s="36"/>
      <c r="IZ606" s="36"/>
      <c r="JA606" s="36"/>
      <c r="JB606" s="36"/>
      <c r="JC606" s="36"/>
      <c r="JD606" s="36"/>
      <c r="JE606" s="36"/>
      <c r="JF606" s="36"/>
      <c r="JG606" s="36"/>
      <c r="JH606" s="36"/>
      <c r="JI606" s="36"/>
      <c r="JJ606" s="36"/>
      <c r="JK606" s="36"/>
      <c r="JL606" s="36"/>
      <c r="JM606" s="36"/>
      <c r="JN606" s="36"/>
      <c r="JO606" s="36"/>
      <c r="JP606" s="36"/>
      <c r="JQ606" s="36"/>
      <c r="JR606" s="36"/>
      <c r="JS606" s="36"/>
      <c r="JT606" s="36"/>
      <c r="JU606" s="36"/>
      <c r="JV606" s="36"/>
      <c r="JW606" s="36"/>
      <c r="JX606" s="36"/>
      <c r="JY606" s="36"/>
      <c r="JZ606" s="36"/>
      <c r="KA606" s="36"/>
      <c r="KB606" s="36"/>
      <c r="KC606" s="36"/>
      <c r="KD606" s="36"/>
      <c r="KE606" s="36"/>
      <c r="KF606" s="36"/>
      <c r="KG606" s="36"/>
      <c r="KH606" s="36"/>
      <c r="KI606" s="36"/>
      <c r="KJ606" s="36"/>
      <c r="KK606" s="36"/>
      <c r="KL606" s="36"/>
      <c r="KM606" s="36"/>
      <c r="KN606" s="36"/>
      <c r="KO606" s="36"/>
      <c r="KP606" s="36"/>
      <c r="KQ606" s="36"/>
      <c r="KR606" s="36"/>
      <c r="KS606" s="36"/>
      <c r="KT606" s="36"/>
      <c r="KU606" s="36"/>
      <c r="KV606" s="36"/>
      <c r="KW606" s="36"/>
      <c r="KX606" s="36"/>
      <c r="KY606" s="36"/>
      <c r="KZ606" s="36"/>
      <c r="LA606" s="36"/>
      <c r="LB606" s="36"/>
      <c r="LC606" s="36"/>
      <c r="LD606" s="36"/>
      <c r="LE606" s="36"/>
      <c r="LF606" s="36"/>
      <c r="LG606" s="36"/>
      <c r="LH606" s="36"/>
      <c r="LI606" s="36"/>
      <c r="LJ606" s="36"/>
      <c r="LK606" s="36"/>
      <c r="LL606" s="36"/>
      <c r="LM606" s="36"/>
      <c r="LN606" s="36"/>
      <c r="LO606" s="36"/>
      <c r="LP606" s="36"/>
      <c r="LQ606" s="36"/>
      <c r="LR606" s="36"/>
      <c r="LS606" s="36"/>
      <c r="LT606" s="36"/>
      <c r="LU606" s="36"/>
      <c r="LV606" s="36"/>
      <c r="LW606" s="36"/>
      <c r="LX606" s="36"/>
      <c r="LY606" s="36"/>
      <c r="LZ606" s="36"/>
      <c r="MA606" s="36"/>
      <c r="MB606" s="36"/>
      <c r="MC606" s="36"/>
      <c r="MD606" s="36"/>
      <c r="ME606" s="36"/>
      <c r="MF606" s="36"/>
      <c r="MG606" s="36"/>
      <c r="MH606" s="36"/>
      <c r="MI606" s="36"/>
      <c r="MJ606" s="36"/>
      <c r="MK606" s="36"/>
      <c r="ML606" s="36"/>
      <c r="MM606" s="36"/>
      <c r="MN606" s="36"/>
      <c r="MO606" s="36"/>
      <c r="MP606" s="36"/>
      <c r="MQ606" s="36"/>
      <c r="MR606" s="36"/>
      <c r="MS606" s="36"/>
      <c r="MT606" s="36"/>
      <c r="MU606" s="36"/>
      <c r="MV606" s="36"/>
      <c r="MW606" s="36"/>
      <c r="MX606" s="36"/>
      <c r="MY606" s="36"/>
      <c r="MZ606" s="36"/>
      <c r="NA606" s="36"/>
      <c r="NB606" s="36"/>
      <c r="NC606" s="36"/>
      <c r="ND606" s="36"/>
      <c r="NE606" s="36"/>
      <c r="NF606" s="36"/>
      <c r="NG606" s="36"/>
      <c r="NH606" s="36"/>
      <c r="NI606" s="36"/>
      <c r="NJ606" s="36"/>
      <c r="NK606" s="36"/>
      <c r="NL606" s="36"/>
      <c r="NM606" s="36"/>
      <c r="NN606" s="36"/>
      <c r="NO606" s="36"/>
      <c r="NP606" s="36"/>
      <c r="NQ606" s="36"/>
      <c r="NR606" s="36"/>
      <c r="NS606" s="36"/>
      <c r="NT606" s="36"/>
      <c r="NU606" s="36"/>
      <c r="NV606" s="36"/>
      <c r="NW606" s="36"/>
      <c r="NX606" s="36"/>
      <c r="NY606" s="36"/>
      <c r="NZ606" s="36"/>
      <c r="OA606" s="36"/>
      <c r="OB606" s="36"/>
      <c r="OC606" s="36"/>
      <c r="OD606" s="36"/>
      <c r="OE606" s="36"/>
      <c r="OF606" s="36"/>
      <c r="OG606" s="36"/>
      <c r="OH606" s="36"/>
      <c r="OI606" s="36"/>
      <c r="OJ606" s="36"/>
      <c r="OK606" s="36"/>
      <c r="OL606" s="36"/>
      <c r="OM606" s="36"/>
      <c r="ON606" s="36"/>
      <c r="OO606" s="36"/>
      <c r="OP606" s="36"/>
      <c r="OQ606" s="36"/>
      <c r="OR606" s="36"/>
      <c r="OS606" s="36"/>
      <c r="OT606" s="36"/>
      <c r="OU606" s="36"/>
      <c r="OV606" s="36"/>
      <c r="OW606" s="36"/>
      <c r="OX606" s="36"/>
    </row>
    <row r="607" spans="2:414" s="27" customFormat="1" ht="15.6">
      <c r="B607" s="51" t="s">
        <v>769</v>
      </c>
      <c r="C607" s="27" t="s">
        <v>770</v>
      </c>
      <c r="D607" s="29" t="s">
        <v>105</v>
      </c>
      <c r="G607" s="49">
        <v>80</v>
      </c>
      <c r="H607" s="89">
        <v>26.109000000000002</v>
      </c>
      <c r="I607" s="38">
        <f t="shared" si="180"/>
        <v>2088.7200000000003</v>
      </c>
      <c r="K607" s="49">
        <v>80</v>
      </c>
      <c r="L607" s="90">
        <v>26.849599999999999</v>
      </c>
      <c r="M607" s="38">
        <f t="shared" si="181"/>
        <v>2147.9679999999998</v>
      </c>
      <c r="O607" s="49">
        <v>505</v>
      </c>
      <c r="P607" s="38">
        <v>26.728300000000001</v>
      </c>
      <c r="Q607" s="38">
        <f t="shared" si="182"/>
        <v>13497.791500000001</v>
      </c>
      <c r="R607" s="43">
        <f t="shared" si="179"/>
        <v>665</v>
      </c>
      <c r="S607" s="38">
        <f t="shared" si="183"/>
        <v>17734.479500000001</v>
      </c>
      <c r="T607" s="27">
        <v>240</v>
      </c>
      <c r="U607" s="52">
        <v>26.713999999999999</v>
      </c>
      <c r="V607" s="38">
        <f t="shared" si="190"/>
        <v>6411.36</v>
      </c>
      <c r="W607" s="52">
        <v>505</v>
      </c>
      <c r="X607" s="52">
        <v>26.7165</v>
      </c>
      <c r="Y607" s="35">
        <f t="shared" si="189"/>
        <v>13491.8325</v>
      </c>
      <c r="Z607" s="78"/>
      <c r="AF607" s="42">
        <f t="shared" si="177"/>
        <v>0</v>
      </c>
      <c r="AU607" s="100"/>
      <c r="AV607" s="35"/>
      <c r="AW607" s="78"/>
      <c r="AZ607" s="42">
        <f t="shared" si="178"/>
        <v>0</v>
      </c>
      <c r="BD607" s="38">
        <f t="shared" si="184"/>
        <v>0</v>
      </c>
      <c r="BH607" s="38">
        <f t="shared" si="185"/>
        <v>0</v>
      </c>
      <c r="BL607" s="38">
        <f t="shared" si="186"/>
        <v>0</v>
      </c>
      <c r="BR607" s="42">
        <f t="shared" si="187"/>
        <v>19903.192500000001</v>
      </c>
      <c r="BS607" s="43"/>
      <c r="BT607" s="27">
        <v>2168.71</v>
      </c>
      <c r="BU607" s="36"/>
      <c r="BV607" s="36"/>
      <c r="BW607" s="36"/>
      <c r="BX607" s="36"/>
      <c r="BY607" s="36"/>
      <c r="BZ607" s="36"/>
      <c r="CA607" s="36"/>
      <c r="CB607" s="36"/>
      <c r="CC607" s="36"/>
      <c r="CD607" s="36"/>
      <c r="CE607" s="36"/>
      <c r="CF607" s="36"/>
      <c r="CG607" s="36"/>
      <c r="CH607" s="36"/>
      <c r="CI607" s="36"/>
      <c r="CJ607" s="36"/>
      <c r="CK607" s="36"/>
      <c r="CL607" s="36"/>
      <c r="CM607" s="36"/>
      <c r="CN607" s="36"/>
      <c r="CO607" s="36"/>
      <c r="CP607" s="36"/>
      <c r="CQ607" s="36"/>
      <c r="CR607" s="36"/>
      <c r="CS607" s="36"/>
      <c r="CT607" s="36"/>
      <c r="CU607" s="36"/>
      <c r="CV607" s="36"/>
      <c r="CW607" s="36"/>
      <c r="CX607" s="36"/>
      <c r="CY607" s="36"/>
      <c r="CZ607" s="36"/>
      <c r="DA607" s="36"/>
      <c r="DB607" s="36"/>
      <c r="DC607" s="36"/>
      <c r="DD607" s="36"/>
      <c r="DE607" s="36"/>
      <c r="DF607" s="36"/>
      <c r="DG607" s="36"/>
      <c r="DH607" s="36"/>
      <c r="DI607" s="36"/>
      <c r="DJ607" s="36"/>
      <c r="DK607" s="36"/>
      <c r="DL607" s="36"/>
      <c r="DM607" s="36"/>
      <c r="DN607" s="36"/>
      <c r="DO607" s="36"/>
      <c r="DP607" s="36"/>
      <c r="DQ607" s="36"/>
      <c r="DR607" s="36"/>
      <c r="DS607" s="36"/>
      <c r="DT607" s="36"/>
      <c r="DU607" s="36"/>
      <c r="DV607" s="36"/>
      <c r="DW607" s="36"/>
      <c r="DX607" s="36"/>
      <c r="DY607" s="36"/>
      <c r="DZ607" s="36"/>
      <c r="EA607" s="36"/>
      <c r="EB607" s="36"/>
      <c r="EC607" s="36"/>
      <c r="ED607" s="36"/>
      <c r="EE607" s="36"/>
      <c r="EF607" s="36"/>
      <c r="EG607" s="36"/>
      <c r="EH607" s="36"/>
      <c r="EI607" s="36"/>
      <c r="EJ607" s="36"/>
      <c r="EK607" s="36"/>
      <c r="EL607" s="36"/>
      <c r="EM607" s="36"/>
      <c r="EN607" s="36"/>
      <c r="EO607" s="36"/>
      <c r="EP607" s="36"/>
      <c r="EQ607" s="36"/>
      <c r="ER607" s="36"/>
      <c r="ES607" s="36"/>
      <c r="ET607" s="36"/>
      <c r="EU607" s="36"/>
      <c r="EV607" s="36"/>
      <c r="EW607" s="36"/>
      <c r="EX607" s="36"/>
      <c r="EY607" s="36"/>
      <c r="EZ607" s="36"/>
      <c r="FA607" s="36"/>
      <c r="FB607" s="36"/>
      <c r="FC607" s="36"/>
      <c r="FD607" s="36"/>
      <c r="FE607" s="36"/>
      <c r="FF607" s="36"/>
      <c r="FG607" s="36"/>
      <c r="FH607" s="36"/>
      <c r="FI607" s="36"/>
      <c r="FJ607" s="36"/>
      <c r="FK607" s="36"/>
      <c r="FL607" s="36"/>
      <c r="FM607" s="36"/>
      <c r="FN607" s="36"/>
      <c r="FO607" s="36"/>
      <c r="FP607" s="36"/>
      <c r="FQ607" s="36"/>
      <c r="FR607" s="36"/>
      <c r="FS607" s="36"/>
      <c r="FT607" s="36"/>
      <c r="FU607" s="36"/>
      <c r="FV607" s="36"/>
      <c r="FW607" s="36"/>
      <c r="FX607" s="36"/>
      <c r="FY607" s="36"/>
      <c r="FZ607" s="36"/>
      <c r="GA607" s="36"/>
      <c r="GB607" s="36"/>
      <c r="GC607" s="36"/>
      <c r="GD607" s="36"/>
      <c r="GE607" s="36"/>
      <c r="GF607" s="36"/>
      <c r="GG607" s="36"/>
      <c r="GH607" s="36"/>
      <c r="GI607" s="36"/>
      <c r="GJ607" s="36"/>
      <c r="GK607" s="36"/>
      <c r="GL607" s="36"/>
      <c r="GM607" s="36"/>
      <c r="GN607" s="36"/>
      <c r="GO607" s="36"/>
      <c r="GP607" s="36"/>
      <c r="GQ607" s="36"/>
      <c r="GR607" s="36"/>
      <c r="GS607" s="36"/>
      <c r="GT607" s="36"/>
      <c r="GU607" s="36"/>
      <c r="GV607" s="36"/>
      <c r="GW607" s="36"/>
      <c r="GX607" s="36"/>
      <c r="GY607" s="36"/>
      <c r="GZ607" s="36"/>
      <c r="HA607" s="36"/>
      <c r="HB607" s="36"/>
      <c r="HC607" s="36"/>
      <c r="HD607" s="36"/>
      <c r="HE607" s="36"/>
      <c r="HF607" s="36"/>
      <c r="HG607" s="36"/>
      <c r="HH607" s="36"/>
      <c r="HI607" s="36"/>
      <c r="HJ607" s="36"/>
      <c r="HK607" s="36"/>
      <c r="HL607" s="36"/>
      <c r="HM607" s="36"/>
      <c r="HN607" s="36"/>
      <c r="HO607" s="36"/>
      <c r="HP607" s="36"/>
      <c r="HQ607" s="36"/>
      <c r="HR607" s="36"/>
      <c r="HS607" s="36"/>
      <c r="HT607" s="36"/>
      <c r="HU607" s="36"/>
      <c r="HV607" s="36"/>
      <c r="HW607" s="36"/>
      <c r="HX607" s="36"/>
      <c r="HY607" s="36"/>
      <c r="HZ607" s="36"/>
      <c r="IA607" s="36"/>
      <c r="IB607" s="36"/>
      <c r="IC607" s="36"/>
      <c r="ID607" s="36"/>
      <c r="IE607" s="36"/>
      <c r="IF607" s="36"/>
      <c r="IG607" s="36"/>
      <c r="IH607" s="36"/>
      <c r="II607" s="36"/>
      <c r="IJ607" s="36"/>
      <c r="IK607" s="36"/>
      <c r="IL607" s="36"/>
      <c r="IM607" s="36"/>
      <c r="IN607" s="36"/>
      <c r="IO607" s="36"/>
      <c r="IP607" s="36"/>
      <c r="IQ607" s="36"/>
      <c r="IR607" s="36"/>
      <c r="IS607" s="36"/>
      <c r="IT607" s="36"/>
      <c r="IU607" s="36"/>
      <c r="IV607" s="36"/>
      <c r="IW607" s="36"/>
      <c r="IX607" s="36"/>
      <c r="IY607" s="36"/>
      <c r="IZ607" s="36"/>
      <c r="JA607" s="36"/>
      <c r="JB607" s="36"/>
      <c r="JC607" s="36"/>
      <c r="JD607" s="36"/>
      <c r="JE607" s="36"/>
      <c r="JF607" s="36"/>
      <c r="JG607" s="36"/>
      <c r="JH607" s="36"/>
      <c r="JI607" s="36"/>
      <c r="JJ607" s="36"/>
      <c r="JK607" s="36"/>
      <c r="JL607" s="36"/>
      <c r="JM607" s="36"/>
      <c r="JN607" s="36"/>
      <c r="JO607" s="36"/>
      <c r="JP607" s="36"/>
      <c r="JQ607" s="36"/>
      <c r="JR607" s="36"/>
      <c r="JS607" s="36"/>
      <c r="JT607" s="36"/>
      <c r="JU607" s="36"/>
      <c r="JV607" s="36"/>
      <c r="JW607" s="36"/>
      <c r="JX607" s="36"/>
      <c r="JY607" s="36"/>
      <c r="JZ607" s="36"/>
      <c r="KA607" s="36"/>
      <c r="KB607" s="36"/>
      <c r="KC607" s="36"/>
      <c r="KD607" s="36"/>
      <c r="KE607" s="36"/>
      <c r="KF607" s="36"/>
      <c r="KG607" s="36"/>
      <c r="KH607" s="36"/>
      <c r="KI607" s="36"/>
      <c r="KJ607" s="36"/>
      <c r="KK607" s="36"/>
      <c r="KL607" s="36"/>
      <c r="KM607" s="36"/>
      <c r="KN607" s="36"/>
      <c r="KO607" s="36"/>
      <c r="KP607" s="36"/>
      <c r="KQ607" s="36"/>
      <c r="KR607" s="36"/>
      <c r="KS607" s="36"/>
      <c r="KT607" s="36"/>
      <c r="KU607" s="36"/>
      <c r="KV607" s="36"/>
      <c r="KW607" s="36"/>
      <c r="KX607" s="36"/>
      <c r="KY607" s="36"/>
      <c r="KZ607" s="36"/>
      <c r="LA607" s="36"/>
      <c r="LB607" s="36"/>
      <c r="LC607" s="36"/>
      <c r="LD607" s="36"/>
      <c r="LE607" s="36"/>
      <c r="LF607" s="36"/>
      <c r="LG607" s="36"/>
      <c r="LH607" s="36"/>
      <c r="LI607" s="36"/>
      <c r="LJ607" s="36"/>
      <c r="LK607" s="36"/>
      <c r="LL607" s="36"/>
      <c r="LM607" s="36"/>
      <c r="LN607" s="36"/>
      <c r="LO607" s="36"/>
      <c r="LP607" s="36"/>
      <c r="LQ607" s="36"/>
      <c r="LR607" s="36"/>
      <c r="LS607" s="36"/>
      <c r="LT607" s="36"/>
      <c r="LU607" s="36"/>
      <c r="LV607" s="36"/>
      <c r="LW607" s="36"/>
      <c r="LX607" s="36"/>
      <c r="LY607" s="36"/>
      <c r="LZ607" s="36"/>
      <c r="MA607" s="36"/>
      <c r="MB607" s="36"/>
      <c r="MC607" s="36"/>
      <c r="MD607" s="36"/>
      <c r="ME607" s="36"/>
      <c r="MF607" s="36"/>
      <c r="MG607" s="36"/>
      <c r="MH607" s="36"/>
      <c r="MI607" s="36"/>
      <c r="MJ607" s="36"/>
      <c r="MK607" s="36"/>
      <c r="ML607" s="36"/>
      <c r="MM607" s="36"/>
      <c r="MN607" s="36"/>
      <c r="MO607" s="36"/>
      <c r="MP607" s="36"/>
      <c r="MQ607" s="36"/>
      <c r="MR607" s="36"/>
      <c r="MS607" s="36"/>
      <c r="MT607" s="36"/>
      <c r="MU607" s="36"/>
      <c r="MV607" s="36"/>
      <c r="MW607" s="36"/>
      <c r="MX607" s="36"/>
      <c r="MY607" s="36"/>
      <c r="MZ607" s="36"/>
      <c r="NA607" s="36"/>
      <c r="NB607" s="36"/>
      <c r="NC607" s="36"/>
      <c r="ND607" s="36"/>
      <c r="NE607" s="36"/>
      <c r="NF607" s="36"/>
      <c r="NG607" s="36"/>
      <c r="NH607" s="36"/>
      <c r="NI607" s="36"/>
      <c r="NJ607" s="36"/>
      <c r="NK607" s="36"/>
      <c r="NL607" s="36"/>
      <c r="NM607" s="36"/>
      <c r="NN607" s="36"/>
      <c r="NO607" s="36"/>
      <c r="NP607" s="36"/>
      <c r="NQ607" s="36"/>
      <c r="NR607" s="36"/>
      <c r="NS607" s="36"/>
      <c r="NT607" s="36"/>
      <c r="NU607" s="36"/>
      <c r="NV607" s="36"/>
      <c r="NW607" s="36"/>
      <c r="NX607" s="36"/>
      <c r="NY607" s="36"/>
      <c r="NZ607" s="36"/>
      <c r="OA607" s="36"/>
      <c r="OB607" s="36"/>
      <c r="OC607" s="36"/>
      <c r="OD607" s="36"/>
      <c r="OE607" s="36"/>
      <c r="OF607" s="36"/>
      <c r="OG607" s="36"/>
      <c r="OH607" s="36"/>
      <c r="OI607" s="36"/>
      <c r="OJ607" s="36"/>
      <c r="OK607" s="36"/>
      <c r="OL607" s="36"/>
      <c r="OM607" s="36"/>
      <c r="ON607" s="36"/>
      <c r="OO607" s="36"/>
      <c r="OP607" s="36"/>
      <c r="OQ607" s="36"/>
      <c r="OR607" s="36"/>
      <c r="OS607" s="36"/>
      <c r="OT607" s="36"/>
      <c r="OU607" s="36"/>
      <c r="OV607" s="36"/>
      <c r="OW607" s="36"/>
      <c r="OX607" s="36"/>
    </row>
    <row r="608" spans="2:414" s="27" customFormat="1" ht="15.6">
      <c r="B608" s="51" t="s">
        <v>1109</v>
      </c>
      <c r="C608" s="27" t="s">
        <v>19</v>
      </c>
      <c r="D608" s="29" t="s">
        <v>105</v>
      </c>
      <c r="G608" s="49">
        <v>80</v>
      </c>
      <c r="H608" s="89">
        <v>26.109000000000002</v>
      </c>
      <c r="I608" s="38">
        <f t="shared" si="180"/>
        <v>2088.7200000000003</v>
      </c>
      <c r="K608" s="49">
        <v>80</v>
      </c>
      <c r="L608" s="90">
        <v>26.849599999999999</v>
      </c>
      <c r="M608" s="38">
        <f t="shared" si="181"/>
        <v>2147.9679999999998</v>
      </c>
      <c r="O608" s="49">
        <v>505</v>
      </c>
      <c r="P608" s="38">
        <v>26.728300000000001</v>
      </c>
      <c r="Q608" s="38">
        <f t="shared" si="182"/>
        <v>13497.791500000001</v>
      </c>
      <c r="R608" s="43">
        <f t="shared" si="179"/>
        <v>665</v>
      </c>
      <c r="S608" s="38">
        <f t="shared" si="183"/>
        <v>17734.479500000001</v>
      </c>
      <c r="T608" s="27">
        <v>240</v>
      </c>
      <c r="U608" s="52">
        <v>26.728300000000001</v>
      </c>
      <c r="V608" s="38">
        <f t="shared" si="190"/>
        <v>6414.7920000000004</v>
      </c>
      <c r="W608" s="52">
        <v>505</v>
      </c>
      <c r="X608" s="52">
        <v>26.73</v>
      </c>
      <c r="Y608" s="35">
        <f t="shared" si="189"/>
        <v>13498.65</v>
      </c>
      <c r="Z608" s="78"/>
      <c r="AF608" s="42">
        <f t="shared" si="177"/>
        <v>0</v>
      </c>
      <c r="AU608" s="100"/>
      <c r="AV608" s="35"/>
      <c r="AW608" s="78"/>
      <c r="AZ608" s="42">
        <f t="shared" si="178"/>
        <v>0</v>
      </c>
      <c r="BD608" s="38">
        <f t="shared" si="184"/>
        <v>0</v>
      </c>
      <c r="BH608" s="38">
        <f t="shared" si="185"/>
        <v>0</v>
      </c>
      <c r="BL608" s="38">
        <f t="shared" si="186"/>
        <v>0</v>
      </c>
      <c r="BR608" s="42">
        <f t="shared" si="187"/>
        <v>19913.441999999999</v>
      </c>
      <c r="BS608" s="43"/>
      <c r="BT608" s="27">
        <v>2178.96</v>
      </c>
      <c r="BU608" s="36"/>
      <c r="BV608" s="36"/>
      <c r="BW608" s="36"/>
      <c r="BX608" s="36"/>
      <c r="BY608" s="36"/>
      <c r="BZ608" s="36"/>
      <c r="CA608" s="36"/>
      <c r="CB608" s="36"/>
      <c r="CC608" s="36"/>
      <c r="CD608" s="36"/>
      <c r="CE608" s="36"/>
      <c r="CF608" s="36"/>
      <c r="CG608" s="36"/>
      <c r="CH608" s="36"/>
      <c r="CI608" s="36"/>
      <c r="CJ608" s="36"/>
      <c r="CK608" s="36"/>
      <c r="CL608" s="36"/>
      <c r="CM608" s="36"/>
      <c r="CN608" s="36"/>
      <c r="CO608" s="36"/>
      <c r="CP608" s="36"/>
      <c r="CQ608" s="36"/>
      <c r="CR608" s="36"/>
      <c r="CS608" s="36"/>
      <c r="CT608" s="36"/>
      <c r="CU608" s="36"/>
      <c r="CV608" s="36"/>
      <c r="CW608" s="36"/>
      <c r="CX608" s="36"/>
      <c r="CY608" s="36"/>
      <c r="CZ608" s="36"/>
      <c r="DA608" s="36"/>
      <c r="DB608" s="36"/>
      <c r="DC608" s="36"/>
      <c r="DD608" s="36"/>
      <c r="DE608" s="36"/>
      <c r="DF608" s="36"/>
      <c r="DG608" s="36"/>
      <c r="DH608" s="36"/>
      <c r="DI608" s="36"/>
      <c r="DJ608" s="36"/>
      <c r="DK608" s="36"/>
      <c r="DL608" s="36"/>
      <c r="DM608" s="36"/>
      <c r="DN608" s="36"/>
      <c r="DO608" s="36"/>
      <c r="DP608" s="36"/>
      <c r="DQ608" s="36"/>
      <c r="DR608" s="36"/>
      <c r="DS608" s="36"/>
      <c r="DT608" s="36"/>
      <c r="DU608" s="36"/>
      <c r="DV608" s="36"/>
      <c r="DW608" s="36"/>
      <c r="DX608" s="36"/>
      <c r="DY608" s="36"/>
      <c r="DZ608" s="36"/>
      <c r="EA608" s="36"/>
      <c r="EB608" s="36"/>
      <c r="EC608" s="36"/>
      <c r="ED608" s="36"/>
      <c r="EE608" s="36"/>
      <c r="EF608" s="36"/>
      <c r="EG608" s="36"/>
      <c r="EH608" s="36"/>
      <c r="EI608" s="36"/>
      <c r="EJ608" s="36"/>
      <c r="EK608" s="36"/>
      <c r="EL608" s="36"/>
      <c r="EM608" s="36"/>
      <c r="EN608" s="36"/>
      <c r="EO608" s="36"/>
      <c r="EP608" s="36"/>
      <c r="EQ608" s="36"/>
      <c r="ER608" s="36"/>
      <c r="ES608" s="36"/>
      <c r="ET608" s="36"/>
      <c r="EU608" s="36"/>
      <c r="EV608" s="36"/>
      <c r="EW608" s="36"/>
      <c r="EX608" s="36"/>
      <c r="EY608" s="36"/>
      <c r="EZ608" s="36"/>
      <c r="FA608" s="36"/>
      <c r="FB608" s="36"/>
      <c r="FC608" s="36"/>
      <c r="FD608" s="36"/>
      <c r="FE608" s="36"/>
      <c r="FF608" s="36"/>
      <c r="FG608" s="36"/>
      <c r="FH608" s="36"/>
      <c r="FI608" s="36"/>
      <c r="FJ608" s="36"/>
      <c r="FK608" s="36"/>
      <c r="FL608" s="36"/>
      <c r="FM608" s="36"/>
      <c r="FN608" s="36"/>
      <c r="FO608" s="36"/>
      <c r="FP608" s="36"/>
      <c r="FQ608" s="36"/>
      <c r="FR608" s="36"/>
      <c r="FS608" s="36"/>
      <c r="FT608" s="36"/>
      <c r="FU608" s="36"/>
      <c r="FV608" s="36"/>
      <c r="FW608" s="36"/>
      <c r="FX608" s="36"/>
      <c r="FY608" s="36"/>
      <c r="FZ608" s="36"/>
      <c r="GA608" s="36"/>
      <c r="GB608" s="36"/>
      <c r="GC608" s="36"/>
      <c r="GD608" s="36"/>
      <c r="GE608" s="36"/>
      <c r="GF608" s="36"/>
      <c r="GG608" s="36"/>
      <c r="GH608" s="36"/>
      <c r="GI608" s="36"/>
      <c r="GJ608" s="36"/>
      <c r="GK608" s="36"/>
      <c r="GL608" s="36"/>
      <c r="GM608" s="36"/>
      <c r="GN608" s="36"/>
      <c r="GO608" s="36"/>
      <c r="GP608" s="36"/>
      <c r="GQ608" s="36"/>
      <c r="GR608" s="36"/>
      <c r="GS608" s="36"/>
      <c r="GT608" s="36"/>
      <c r="GU608" s="36"/>
      <c r="GV608" s="36"/>
      <c r="GW608" s="36"/>
      <c r="GX608" s="36"/>
      <c r="GY608" s="36"/>
      <c r="GZ608" s="36"/>
      <c r="HA608" s="36"/>
      <c r="HB608" s="36"/>
      <c r="HC608" s="36"/>
      <c r="HD608" s="36"/>
      <c r="HE608" s="36"/>
      <c r="HF608" s="36"/>
      <c r="HG608" s="36"/>
      <c r="HH608" s="36"/>
      <c r="HI608" s="36"/>
      <c r="HJ608" s="36"/>
      <c r="HK608" s="36"/>
      <c r="HL608" s="36"/>
      <c r="HM608" s="36"/>
      <c r="HN608" s="36"/>
      <c r="HO608" s="36"/>
      <c r="HP608" s="36"/>
      <c r="HQ608" s="36"/>
      <c r="HR608" s="36"/>
      <c r="HS608" s="36"/>
      <c r="HT608" s="36"/>
      <c r="HU608" s="36"/>
      <c r="HV608" s="36"/>
      <c r="HW608" s="36"/>
      <c r="HX608" s="36"/>
      <c r="HY608" s="36"/>
      <c r="HZ608" s="36"/>
      <c r="IA608" s="36"/>
      <c r="IB608" s="36"/>
      <c r="IC608" s="36"/>
      <c r="ID608" s="36"/>
      <c r="IE608" s="36"/>
      <c r="IF608" s="36"/>
      <c r="IG608" s="36"/>
      <c r="IH608" s="36"/>
      <c r="II608" s="36"/>
      <c r="IJ608" s="36"/>
      <c r="IK608" s="36"/>
      <c r="IL608" s="36"/>
      <c r="IM608" s="36"/>
      <c r="IN608" s="36"/>
      <c r="IO608" s="36"/>
      <c r="IP608" s="36"/>
      <c r="IQ608" s="36"/>
      <c r="IR608" s="36"/>
      <c r="IS608" s="36"/>
      <c r="IT608" s="36"/>
      <c r="IU608" s="36"/>
      <c r="IV608" s="36"/>
      <c r="IW608" s="36"/>
      <c r="IX608" s="36"/>
      <c r="IY608" s="36"/>
      <c r="IZ608" s="36"/>
      <c r="JA608" s="36"/>
      <c r="JB608" s="36"/>
      <c r="JC608" s="36"/>
      <c r="JD608" s="36"/>
      <c r="JE608" s="36"/>
      <c r="JF608" s="36"/>
      <c r="JG608" s="36"/>
      <c r="JH608" s="36"/>
      <c r="JI608" s="36"/>
      <c r="JJ608" s="36"/>
      <c r="JK608" s="36"/>
      <c r="JL608" s="36"/>
      <c r="JM608" s="36"/>
      <c r="JN608" s="36"/>
      <c r="JO608" s="36"/>
      <c r="JP608" s="36"/>
      <c r="JQ608" s="36"/>
      <c r="JR608" s="36"/>
      <c r="JS608" s="36"/>
      <c r="JT608" s="36"/>
      <c r="JU608" s="36"/>
      <c r="JV608" s="36"/>
      <c r="JW608" s="36"/>
      <c r="JX608" s="36"/>
      <c r="JY608" s="36"/>
      <c r="JZ608" s="36"/>
      <c r="KA608" s="36"/>
      <c r="KB608" s="36"/>
      <c r="KC608" s="36"/>
      <c r="KD608" s="36"/>
      <c r="KE608" s="36"/>
      <c r="KF608" s="36"/>
      <c r="KG608" s="36"/>
      <c r="KH608" s="36"/>
      <c r="KI608" s="36"/>
      <c r="KJ608" s="36"/>
      <c r="KK608" s="36"/>
      <c r="KL608" s="36"/>
      <c r="KM608" s="36"/>
      <c r="KN608" s="36"/>
      <c r="KO608" s="36"/>
      <c r="KP608" s="36"/>
      <c r="KQ608" s="36"/>
      <c r="KR608" s="36"/>
      <c r="KS608" s="36"/>
      <c r="KT608" s="36"/>
      <c r="KU608" s="36"/>
      <c r="KV608" s="36"/>
      <c r="KW608" s="36"/>
      <c r="KX608" s="36"/>
      <c r="KY608" s="36"/>
      <c r="KZ608" s="36"/>
      <c r="LA608" s="36"/>
      <c r="LB608" s="36"/>
      <c r="LC608" s="36"/>
      <c r="LD608" s="36"/>
      <c r="LE608" s="36"/>
      <c r="LF608" s="36"/>
      <c r="LG608" s="36"/>
      <c r="LH608" s="36"/>
      <c r="LI608" s="36"/>
      <c r="LJ608" s="36"/>
      <c r="LK608" s="36"/>
      <c r="LL608" s="36"/>
      <c r="LM608" s="36"/>
      <c r="LN608" s="36"/>
      <c r="LO608" s="36"/>
      <c r="LP608" s="36"/>
      <c r="LQ608" s="36"/>
      <c r="LR608" s="36"/>
      <c r="LS608" s="36"/>
      <c r="LT608" s="36"/>
      <c r="LU608" s="36"/>
      <c r="LV608" s="36"/>
      <c r="LW608" s="36"/>
      <c r="LX608" s="36"/>
      <c r="LY608" s="36"/>
      <c r="LZ608" s="36"/>
      <c r="MA608" s="36"/>
      <c r="MB608" s="36"/>
      <c r="MC608" s="36"/>
      <c r="MD608" s="36"/>
      <c r="ME608" s="36"/>
      <c r="MF608" s="36"/>
      <c r="MG608" s="36"/>
      <c r="MH608" s="36"/>
      <c r="MI608" s="36"/>
      <c r="MJ608" s="36"/>
      <c r="MK608" s="36"/>
      <c r="ML608" s="36"/>
      <c r="MM608" s="36"/>
      <c r="MN608" s="36"/>
      <c r="MO608" s="36"/>
      <c r="MP608" s="36"/>
      <c r="MQ608" s="36"/>
      <c r="MR608" s="36"/>
      <c r="MS608" s="36"/>
      <c r="MT608" s="36"/>
      <c r="MU608" s="36"/>
      <c r="MV608" s="36"/>
      <c r="MW608" s="36"/>
      <c r="MX608" s="36"/>
      <c r="MY608" s="36"/>
      <c r="MZ608" s="36"/>
      <c r="NA608" s="36"/>
      <c r="NB608" s="36"/>
      <c r="NC608" s="36"/>
      <c r="ND608" s="36"/>
      <c r="NE608" s="36"/>
      <c r="NF608" s="36"/>
      <c r="NG608" s="36"/>
      <c r="NH608" s="36"/>
      <c r="NI608" s="36"/>
      <c r="NJ608" s="36"/>
      <c r="NK608" s="36"/>
      <c r="NL608" s="36"/>
      <c r="NM608" s="36"/>
      <c r="NN608" s="36"/>
      <c r="NO608" s="36"/>
      <c r="NP608" s="36"/>
      <c r="NQ608" s="36"/>
      <c r="NR608" s="36"/>
      <c r="NS608" s="36"/>
      <c r="NT608" s="36"/>
      <c r="NU608" s="36"/>
      <c r="NV608" s="36"/>
      <c r="NW608" s="36"/>
      <c r="NX608" s="36"/>
      <c r="NY608" s="36"/>
      <c r="NZ608" s="36"/>
      <c r="OA608" s="36"/>
      <c r="OB608" s="36"/>
      <c r="OC608" s="36"/>
      <c r="OD608" s="36"/>
      <c r="OE608" s="36"/>
      <c r="OF608" s="36"/>
      <c r="OG608" s="36"/>
      <c r="OH608" s="36"/>
      <c r="OI608" s="36"/>
      <c r="OJ608" s="36"/>
      <c r="OK608" s="36"/>
      <c r="OL608" s="36"/>
      <c r="OM608" s="36"/>
      <c r="ON608" s="36"/>
      <c r="OO608" s="36"/>
      <c r="OP608" s="36"/>
      <c r="OQ608" s="36"/>
      <c r="OR608" s="36"/>
      <c r="OS608" s="36"/>
      <c r="OT608" s="36"/>
      <c r="OU608" s="36"/>
      <c r="OV608" s="36"/>
      <c r="OW608" s="36"/>
      <c r="OX608" s="36"/>
    </row>
    <row r="609" spans="2:414" s="27" customFormat="1" ht="15.6">
      <c r="B609" s="51" t="s">
        <v>1110</v>
      </c>
      <c r="C609" s="27" t="s">
        <v>1111</v>
      </c>
      <c r="D609" s="29" t="s">
        <v>105</v>
      </c>
      <c r="G609" s="49">
        <v>80</v>
      </c>
      <c r="H609" s="89">
        <v>26.109000000000002</v>
      </c>
      <c r="I609" s="38">
        <f t="shared" si="180"/>
        <v>2088.7200000000003</v>
      </c>
      <c r="K609" s="49">
        <v>80</v>
      </c>
      <c r="L609" s="90">
        <v>26.849599999999999</v>
      </c>
      <c r="M609" s="38">
        <f t="shared" si="181"/>
        <v>2147.9679999999998</v>
      </c>
      <c r="O609" s="49">
        <v>505</v>
      </c>
      <c r="P609" s="38">
        <v>26.728300000000001</v>
      </c>
      <c r="Q609" s="38">
        <f t="shared" si="182"/>
        <v>13497.791500000001</v>
      </c>
      <c r="R609" s="43">
        <f t="shared" si="179"/>
        <v>665</v>
      </c>
      <c r="S609" s="38">
        <f t="shared" si="183"/>
        <v>17734.479500000001</v>
      </c>
      <c r="V609" s="38">
        <f t="shared" si="190"/>
        <v>0</v>
      </c>
      <c r="W609" s="52">
        <v>85</v>
      </c>
      <c r="X609" s="52">
        <v>26.72</v>
      </c>
      <c r="Y609" s="35">
        <f t="shared" si="189"/>
        <v>2271.1999999999998</v>
      </c>
      <c r="Z609" s="78"/>
      <c r="AF609" s="42">
        <f t="shared" si="177"/>
        <v>0</v>
      </c>
      <c r="AU609" s="100"/>
      <c r="AV609" s="35"/>
      <c r="AW609" s="78"/>
      <c r="AZ609" s="42">
        <f t="shared" si="178"/>
        <v>0</v>
      </c>
      <c r="BD609" s="38">
        <f t="shared" si="184"/>
        <v>0</v>
      </c>
      <c r="BH609" s="38">
        <f t="shared" si="185"/>
        <v>0</v>
      </c>
      <c r="BL609" s="38">
        <f t="shared" si="186"/>
        <v>0</v>
      </c>
      <c r="BR609" s="42">
        <f t="shared" si="187"/>
        <v>2271.1999999999998</v>
      </c>
      <c r="BS609" s="43">
        <f t="shared" si="188"/>
        <v>15463.279500000001</v>
      </c>
      <c r="BU609" s="36"/>
      <c r="BV609" s="36"/>
      <c r="BW609" s="36"/>
      <c r="BX609" s="36"/>
      <c r="BY609" s="36"/>
      <c r="BZ609" s="36"/>
      <c r="CA609" s="36"/>
      <c r="CB609" s="36"/>
      <c r="CC609" s="36"/>
      <c r="CD609" s="36"/>
      <c r="CE609" s="36"/>
      <c r="CF609" s="36"/>
      <c r="CG609" s="36"/>
      <c r="CH609" s="36"/>
      <c r="CI609" s="36"/>
      <c r="CJ609" s="36"/>
      <c r="CK609" s="36"/>
      <c r="CL609" s="36"/>
      <c r="CM609" s="36"/>
      <c r="CN609" s="36"/>
      <c r="CO609" s="36"/>
      <c r="CP609" s="36"/>
      <c r="CQ609" s="36"/>
      <c r="CR609" s="36"/>
      <c r="CS609" s="36"/>
      <c r="CT609" s="36"/>
      <c r="CU609" s="36"/>
      <c r="CV609" s="36"/>
      <c r="CW609" s="36"/>
      <c r="CX609" s="36"/>
      <c r="CY609" s="36"/>
      <c r="CZ609" s="36"/>
      <c r="DA609" s="36"/>
      <c r="DB609" s="36"/>
      <c r="DC609" s="36"/>
      <c r="DD609" s="36"/>
      <c r="DE609" s="36"/>
      <c r="DF609" s="36"/>
      <c r="DG609" s="36"/>
      <c r="DH609" s="36"/>
      <c r="DI609" s="36"/>
      <c r="DJ609" s="36"/>
      <c r="DK609" s="36"/>
      <c r="DL609" s="36"/>
      <c r="DM609" s="36"/>
      <c r="DN609" s="36"/>
      <c r="DO609" s="36"/>
      <c r="DP609" s="36"/>
      <c r="DQ609" s="36"/>
      <c r="DR609" s="36"/>
      <c r="DS609" s="36"/>
      <c r="DT609" s="36"/>
      <c r="DU609" s="36"/>
      <c r="DV609" s="36"/>
      <c r="DW609" s="36"/>
      <c r="DX609" s="36"/>
      <c r="DY609" s="36"/>
      <c r="DZ609" s="36"/>
      <c r="EA609" s="36"/>
      <c r="EB609" s="36"/>
      <c r="EC609" s="36"/>
      <c r="ED609" s="36"/>
      <c r="EE609" s="36"/>
      <c r="EF609" s="36"/>
      <c r="EG609" s="36"/>
      <c r="EH609" s="36"/>
      <c r="EI609" s="36"/>
      <c r="EJ609" s="36"/>
      <c r="EK609" s="36"/>
      <c r="EL609" s="36"/>
      <c r="EM609" s="36"/>
      <c r="EN609" s="36"/>
      <c r="EO609" s="36"/>
      <c r="EP609" s="36"/>
      <c r="EQ609" s="36"/>
      <c r="ER609" s="36"/>
      <c r="ES609" s="36"/>
      <c r="ET609" s="36"/>
      <c r="EU609" s="36"/>
      <c r="EV609" s="36"/>
      <c r="EW609" s="36"/>
      <c r="EX609" s="36"/>
      <c r="EY609" s="36"/>
      <c r="EZ609" s="36"/>
      <c r="FA609" s="36"/>
      <c r="FB609" s="36"/>
      <c r="FC609" s="36"/>
      <c r="FD609" s="36"/>
      <c r="FE609" s="36"/>
      <c r="FF609" s="36"/>
      <c r="FG609" s="36"/>
      <c r="FH609" s="36"/>
      <c r="FI609" s="36"/>
      <c r="FJ609" s="36"/>
      <c r="FK609" s="36"/>
      <c r="FL609" s="36"/>
      <c r="FM609" s="36"/>
      <c r="FN609" s="36"/>
      <c r="FO609" s="36"/>
      <c r="FP609" s="36"/>
      <c r="FQ609" s="36"/>
      <c r="FR609" s="36"/>
      <c r="FS609" s="36"/>
      <c r="FT609" s="36"/>
      <c r="FU609" s="36"/>
      <c r="FV609" s="36"/>
      <c r="FW609" s="36"/>
      <c r="FX609" s="36"/>
      <c r="FY609" s="36"/>
      <c r="FZ609" s="36"/>
      <c r="GA609" s="36"/>
      <c r="GB609" s="36"/>
      <c r="GC609" s="36"/>
      <c r="GD609" s="36"/>
      <c r="GE609" s="36"/>
      <c r="GF609" s="36"/>
      <c r="GG609" s="36"/>
      <c r="GH609" s="36"/>
      <c r="GI609" s="36"/>
      <c r="GJ609" s="36"/>
      <c r="GK609" s="36"/>
      <c r="GL609" s="36"/>
      <c r="GM609" s="36"/>
      <c r="GN609" s="36"/>
      <c r="GO609" s="36"/>
      <c r="GP609" s="36"/>
      <c r="GQ609" s="36"/>
      <c r="GR609" s="36"/>
      <c r="GS609" s="36"/>
      <c r="GT609" s="36"/>
      <c r="GU609" s="36"/>
      <c r="GV609" s="36"/>
      <c r="GW609" s="36"/>
      <c r="GX609" s="36"/>
      <c r="GY609" s="36"/>
      <c r="GZ609" s="36"/>
      <c r="HA609" s="36"/>
      <c r="HB609" s="36"/>
      <c r="HC609" s="36"/>
      <c r="HD609" s="36"/>
      <c r="HE609" s="36"/>
      <c r="HF609" s="36"/>
      <c r="HG609" s="36"/>
      <c r="HH609" s="36"/>
      <c r="HI609" s="36"/>
      <c r="HJ609" s="36"/>
      <c r="HK609" s="36"/>
      <c r="HL609" s="36"/>
      <c r="HM609" s="36"/>
      <c r="HN609" s="36"/>
      <c r="HO609" s="36"/>
      <c r="HP609" s="36"/>
      <c r="HQ609" s="36"/>
      <c r="HR609" s="36"/>
      <c r="HS609" s="36"/>
      <c r="HT609" s="36"/>
      <c r="HU609" s="36"/>
      <c r="HV609" s="36"/>
      <c r="HW609" s="36"/>
      <c r="HX609" s="36"/>
      <c r="HY609" s="36"/>
      <c r="HZ609" s="36"/>
      <c r="IA609" s="36"/>
      <c r="IB609" s="36"/>
      <c r="IC609" s="36"/>
      <c r="ID609" s="36"/>
      <c r="IE609" s="36"/>
      <c r="IF609" s="36"/>
      <c r="IG609" s="36"/>
      <c r="IH609" s="36"/>
      <c r="II609" s="36"/>
      <c r="IJ609" s="36"/>
      <c r="IK609" s="36"/>
      <c r="IL609" s="36"/>
      <c r="IM609" s="36"/>
      <c r="IN609" s="36"/>
      <c r="IO609" s="36"/>
      <c r="IP609" s="36"/>
      <c r="IQ609" s="36"/>
      <c r="IR609" s="36"/>
      <c r="IS609" s="36"/>
      <c r="IT609" s="36"/>
      <c r="IU609" s="36"/>
      <c r="IV609" s="36"/>
      <c r="IW609" s="36"/>
      <c r="IX609" s="36"/>
      <c r="IY609" s="36"/>
      <c r="IZ609" s="36"/>
      <c r="JA609" s="36"/>
      <c r="JB609" s="36"/>
      <c r="JC609" s="36"/>
      <c r="JD609" s="36"/>
      <c r="JE609" s="36"/>
      <c r="JF609" s="36"/>
      <c r="JG609" s="36"/>
      <c r="JH609" s="36"/>
      <c r="JI609" s="36"/>
      <c r="JJ609" s="36"/>
      <c r="JK609" s="36"/>
      <c r="JL609" s="36"/>
      <c r="JM609" s="36"/>
      <c r="JN609" s="36"/>
      <c r="JO609" s="36"/>
      <c r="JP609" s="36"/>
      <c r="JQ609" s="36"/>
      <c r="JR609" s="36"/>
      <c r="JS609" s="36"/>
      <c r="JT609" s="36"/>
      <c r="JU609" s="36"/>
      <c r="JV609" s="36"/>
      <c r="JW609" s="36"/>
      <c r="JX609" s="36"/>
      <c r="JY609" s="36"/>
      <c r="JZ609" s="36"/>
      <c r="KA609" s="36"/>
      <c r="KB609" s="36"/>
      <c r="KC609" s="36"/>
      <c r="KD609" s="36"/>
      <c r="KE609" s="36"/>
      <c r="KF609" s="36"/>
      <c r="KG609" s="36"/>
      <c r="KH609" s="36"/>
      <c r="KI609" s="36"/>
      <c r="KJ609" s="36"/>
      <c r="KK609" s="36"/>
      <c r="KL609" s="36"/>
      <c r="KM609" s="36"/>
      <c r="KN609" s="36"/>
      <c r="KO609" s="36"/>
      <c r="KP609" s="36"/>
      <c r="KQ609" s="36"/>
      <c r="KR609" s="36"/>
      <c r="KS609" s="36"/>
      <c r="KT609" s="36"/>
      <c r="KU609" s="36"/>
      <c r="KV609" s="36"/>
      <c r="KW609" s="36"/>
      <c r="KX609" s="36"/>
      <c r="KY609" s="36"/>
      <c r="KZ609" s="36"/>
      <c r="LA609" s="36"/>
      <c r="LB609" s="36"/>
      <c r="LC609" s="36"/>
      <c r="LD609" s="36"/>
      <c r="LE609" s="36"/>
      <c r="LF609" s="36"/>
      <c r="LG609" s="36"/>
      <c r="LH609" s="36"/>
      <c r="LI609" s="36"/>
      <c r="LJ609" s="36"/>
      <c r="LK609" s="36"/>
      <c r="LL609" s="36"/>
      <c r="LM609" s="36"/>
      <c r="LN609" s="36"/>
      <c r="LO609" s="36"/>
      <c r="LP609" s="36"/>
      <c r="LQ609" s="36"/>
      <c r="LR609" s="36"/>
      <c r="LS609" s="36"/>
      <c r="LT609" s="36"/>
      <c r="LU609" s="36"/>
      <c r="LV609" s="36"/>
      <c r="LW609" s="36"/>
      <c r="LX609" s="36"/>
      <c r="LY609" s="36"/>
      <c r="LZ609" s="36"/>
      <c r="MA609" s="36"/>
      <c r="MB609" s="36"/>
      <c r="MC609" s="36"/>
      <c r="MD609" s="36"/>
      <c r="ME609" s="36"/>
      <c r="MF609" s="36"/>
      <c r="MG609" s="36"/>
      <c r="MH609" s="36"/>
      <c r="MI609" s="36"/>
      <c r="MJ609" s="36"/>
      <c r="MK609" s="36"/>
      <c r="ML609" s="36"/>
      <c r="MM609" s="36"/>
      <c r="MN609" s="36"/>
      <c r="MO609" s="36"/>
      <c r="MP609" s="36"/>
      <c r="MQ609" s="36"/>
      <c r="MR609" s="36"/>
      <c r="MS609" s="36"/>
      <c r="MT609" s="36"/>
      <c r="MU609" s="36"/>
      <c r="MV609" s="36"/>
      <c r="MW609" s="36"/>
      <c r="MX609" s="36"/>
      <c r="MY609" s="36"/>
      <c r="MZ609" s="36"/>
      <c r="NA609" s="36"/>
      <c r="NB609" s="36"/>
      <c r="NC609" s="36"/>
      <c r="ND609" s="36"/>
      <c r="NE609" s="36"/>
      <c r="NF609" s="36"/>
      <c r="NG609" s="36"/>
      <c r="NH609" s="36"/>
      <c r="NI609" s="36"/>
      <c r="NJ609" s="36"/>
      <c r="NK609" s="36"/>
      <c r="NL609" s="36"/>
      <c r="NM609" s="36"/>
      <c r="NN609" s="36"/>
      <c r="NO609" s="36"/>
      <c r="NP609" s="36"/>
      <c r="NQ609" s="36"/>
      <c r="NR609" s="36"/>
      <c r="NS609" s="36"/>
      <c r="NT609" s="36"/>
      <c r="NU609" s="36"/>
      <c r="NV609" s="36"/>
      <c r="NW609" s="36"/>
      <c r="NX609" s="36"/>
      <c r="NY609" s="36"/>
      <c r="NZ609" s="36"/>
      <c r="OA609" s="36"/>
      <c r="OB609" s="36"/>
      <c r="OC609" s="36"/>
      <c r="OD609" s="36"/>
      <c r="OE609" s="36"/>
      <c r="OF609" s="36"/>
      <c r="OG609" s="36"/>
      <c r="OH609" s="36"/>
      <c r="OI609" s="36"/>
      <c r="OJ609" s="36"/>
      <c r="OK609" s="36"/>
      <c r="OL609" s="36"/>
      <c r="OM609" s="36"/>
      <c r="ON609" s="36"/>
      <c r="OO609" s="36"/>
      <c r="OP609" s="36"/>
      <c r="OQ609" s="36"/>
      <c r="OR609" s="36"/>
      <c r="OS609" s="36"/>
      <c r="OT609" s="36"/>
      <c r="OU609" s="36"/>
      <c r="OV609" s="36"/>
      <c r="OW609" s="36"/>
      <c r="OX609" s="36"/>
    </row>
    <row r="610" spans="2:414" s="27" customFormat="1" ht="15.6">
      <c r="B610" s="51" t="s">
        <v>840</v>
      </c>
      <c r="C610" s="27" t="s">
        <v>153</v>
      </c>
      <c r="D610" s="29" t="s">
        <v>105</v>
      </c>
      <c r="G610" s="49">
        <v>80</v>
      </c>
      <c r="H610" s="89">
        <v>26.109000000000002</v>
      </c>
      <c r="I610" s="38">
        <f t="shared" si="180"/>
        <v>2088.7200000000003</v>
      </c>
      <c r="K610" s="49">
        <v>80</v>
      </c>
      <c r="L610" s="90">
        <v>26.849599999999999</v>
      </c>
      <c r="M610" s="38">
        <f t="shared" si="181"/>
        <v>2147.9679999999998</v>
      </c>
      <c r="O610" s="49">
        <v>505</v>
      </c>
      <c r="P610" s="38">
        <v>26.728300000000001</v>
      </c>
      <c r="Q610" s="38">
        <f t="shared" si="182"/>
        <v>13497.791500000001</v>
      </c>
      <c r="R610" s="43">
        <f t="shared" si="179"/>
        <v>665</v>
      </c>
      <c r="S610" s="38">
        <f t="shared" si="183"/>
        <v>17734.479500000001</v>
      </c>
      <c r="T610" s="27">
        <v>240</v>
      </c>
      <c r="U610" s="52">
        <v>26.68</v>
      </c>
      <c r="V610" s="38">
        <f t="shared" si="190"/>
        <v>6403.2</v>
      </c>
      <c r="W610" s="52">
        <v>505</v>
      </c>
      <c r="X610" s="52">
        <v>26.67</v>
      </c>
      <c r="Y610" s="35">
        <f t="shared" si="189"/>
        <v>13468.35</v>
      </c>
      <c r="Z610" s="78"/>
      <c r="AF610" s="42">
        <f t="shared" si="177"/>
        <v>0</v>
      </c>
      <c r="AU610" s="100"/>
      <c r="AV610" s="35"/>
      <c r="AW610" s="78"/>
      <c r="AZ610" s="42">
        <f t="shared" si="178"/>
        <v>0</v>
      </c>
      <c r="BD610" s="38">
        <f t="shared" si="184"/>
        <v>0</v>
      </c>
      <c r="BH610" s="38">
        <f t="shared" si="185"/>
        <v>0</v>
      </c>
      <c r="BL610" s="38">
        <f t="shared" si="186"/>
        <v>0</v>
      </c>
      <c r="BR610" s="42">
        <f t="shared" si="187"/>
        <v>19871.55</v>
      </c>
      <c r="BS610" s="43"/>
      <c r="BT610" s="27">
        <v>2137.0700000000002</v>
      </c>
      <c r="BU610" s="36"/>
      <c r="BV610" s="36"/>
      <c r="BW610" s="36"/>
      <c r="BX610" s="36"/>
      <c r="BY610" s="36"/>
      <c r="BZ610" s="36"/>
      <c r="CA610" s="36"/>
      <c r="CB610" s="36"/>
      <c r="CC610" s="36"/>
      <c r="CD610" s="36"/>
      <c r="CE610" s="36"/>
      <c r="CF610" s="36"/>
      <c r="CG610" s="36"/>
      <c r="CH610" s="36"/>
      <c r="CI610" s="36"/>
      <c r="CJ610" s="36"/>
      <c r="CK610" s="36"/>
      <c r="CL610" s="36"/>
      <c r="CM610" s="36"/>
      <c r="CN610" s="36"/>
      <c r="CO610" s="36"/>
      <c r="CP610" s="36"/>
      <c r="CQ610" s="36"/>
      <c r="CR610" s="36"/>
      <c r="CS610" s="36"/>
      <c r="CT610" s="36"/>
      <c r="CU610" s="36"/>
      <c r="CV610" s="36"/>
      <c r="CW610" s="36"/>
      <c r="CX610" s="36"/>
      <c r="CY610" s="36"/>
      <c r="CZ610" s="36"/>
      <c r="DA610" s="36"/>
      <c r="DB610" s="36"/>
      <c r="DC610" s="36"/>
      <c r="DD610" s="36"/>
      <c r="DE610" s="36"/>
      <c r="DF610" s="36"/>
      <c r="DG610" s="36"/>
      <c r="DH610" s="36"/>
      <c r="DI610" s="36"/>
      <c r="DJ610" s="36"/>
      <c r="DK610" s="36"/>
      <c r="DL610" s="36"/>
      <c r="DM610" s="36"/>
      <c r="DN610" s="36"/>
      <c r="DO610" s="36"/>
      <c r="DP610" s="36"/>
      <c r="DQ610" s="36"/>
      <c r="DR610" s="36"/>
      <c r="DS610" s="36"/>
      <c r="DT610" s="36"/>
      <c r="DU610" s="36"/>
      <c r="DV610" s="36"/>
      <c r="DW610" s="36"/>
      <c r="DX610" s="36"/>
      <c r="DY610" s="36"/>
      <c r="DZ610" s="36"/>
      <c r="EA610" s="36"/>
      <c r="EB610" s="36"/>
      <c r="EC610" s="36"/>
      <c r="ED610" s="36"/>
      <c r="EE610" s="36"/>
      <c r="EF610" s="36"/>
      <c r="EG610" s="36"/>
      <c r="EH610" s="36"/>
      <c r="EI610" s="36"/>
      <c r="EJ610" s="36"/>
      <c r="EK610" s="36"/>
      <c r="EL610" s="36"/>
      <c r="EM610" s="36"/>
      <c r="EN610" s="36"/>
      <c r="EO610" s="36"/>
      <c r="EP610" s="36"/>
      <c r="EQ610" s="36"/>
      <c r="ER610" s="36"/>
      <c r="ES610" s="36"/>
      <c r="ET610" s="36"/>
      <c r="EU610" s="36"/>
      <c r="EV610" s="36"/>
      <c r="EW610" s="36"/>
      <c r="EX610" s="36"/>
      <c r="EY610" s="36"/>
      <c r="EZ610" s="36"/>
      <c r="FA610" s="36"/>
      <c r="FB610" s="36"/>
      <c r="FC610" s="36"/>
      <c r="FD610" s="36"/>
      <c r="FE610" s="36"/>
      <c r="FF610" s="36"/>
      <c r="FG610" s="36"/>
      <c r="FH610" s="36"/>
      <c r="FI610" s="36"/>
      <c r="FJ610" s="36"/>
      <c r="FK610" s="36"/>
      <c r="FL610" s="36"/>
      <c r="FM610" s="36"/>
      <c r="FN610" s="36"/>
      <c r="FO610" s="36"/>
      <c r="FP610" s="36"/>
      <c r="FQ610" s="36"/>
      <c r="FR610" s="36"/>
      <c r="FS610" s="36"/>
      <c r="FT610" s="36"/>
      <c r="FU610" s="36"/>
      <c r="FV610" s="36"/>
      <c r="FW610" s="36"/>
      <c r="FX610" s="36"/>
      <c r="FY610" s="36"/>
      <c r="FZ610" s="36"/>
      <c r="GA610" s="36"/>
      <c r="GB610" s="36"/>
      <c r="GC610" s="36"/>
      <c r="GD610" s="36"/>
      <c r="GE610" s="36"/>
      <c r="GF610" s="36"/>
      <c r="GG610" s="36"/>
      <c r="GH610" s="36"/>
      <c r="GI610" s="36"/>
      <c r="GJ610" s="36"/>
      <c r="GK610" s="36"/>
      <c r="GL610" s="36"/>
      <c r="GM610" s="36"/>
      <c r="GN610" s="36"/>
      <c r="GO610" s="36"/>
      <c r="GP610" s="36"/>
      <c r="GQ610" s="36"/>
      <c r="GR610" s="36"/>
      <c r="GS610" s="36"/>
      <c r="GT610" s="36"/>
      <c r="GU610" s="36"/>
      <c r="GV610" s="36"/>
      <c r="GW610" s="36"/>
      <c r="GX610" s="36"/>
      <c r="GY610" s="36"/>
      <c r="GZ610" s="36"/>
      <c r="HA610" s="36"/>
      <c r="HB610" s="36"/>
      <c r="HC610" s="36"/>
      <c r="HD610" s="36"/>
      <c r="HE610" s="36"/>
      <c r="HF610" s="36"/>
      <c r="HG610" s="36"/>
      <c r="HH610" s="36"/>
      <c r="HI610" s="36"/>
      <c r="HJ610" s="36"/>
      <c r="HK610" s="36"/>
      <c r="HL610" s="36"/>
      <c r="HM610" s="36"/>
      <c r="HN610" s="36"/>
      <c r="HO610" s="36"/>
      <c r="HP610" s="36"/>
      <c r="HQ610" s="36"/>
      <c r="HR610" s="36"/>
      <c r="HS610" s="36"/>
      <c r="HT610" s="36"/>
      <c r="HU610" s="36"/>
      <c r="HV610" s="36"/>
      <c r="HW610" s="36"/>
      <c r="HX610" s="36"/>
      <c r="HY610" s="36"/>
      <c r="HZ610" s="36"/>
      <c r="IA610" s="36"/>
      <c r="IB610" s="36"/>
      <c r="IC610" s="36"/>
      <c r="ID610" s="36"/>
      <c r="IE610" s="36"/>
      <c r="IF610" s="36"/>
      <c r="IG610" s="36"/>
      <c r="IH610" s="36"/>
      <c r="II610" s="36"/>
      <c r="IJ610" s="36"/>
      <c r="IK610" s="36"/>
      <c r="IL610" s="36"/>
      <c r="IM610" s="36"/>
      <c r="IN610" s="36"/>
      <c r="IO610" s="36"/>
      <c r="IP610" s="36"/>
      <c r="IQ610" s="36"/>
      <c r="IR610" s="36"/>
      <c r="IS610" s="36"/>
      <c r="IT610" s="36"/>
      <c r="IU610" s="36"/>
      <c r="IV610" s="36"/>
      <c r="IW610" s="36"/>
      <c r="IX610" s="36"/>
      <c r="IY610" s="36"/>
      <c r="IZ610" s="36"/>
      <c r="JA610" s="36"/>
      <c r="JB610" s="36"/>
      <c r="JC610" s="36"/>
      <c r="JD610" s="36"/>
      <c r="JE610" s="36"/>
      <c r="JF610" s="36"/>
      <c r="JG610" s="36"/>
      <c r="JH610" s="36"/>
      <c r="JI610" s="36"/>
      <c r="JJ610" s="36"/>
      <c r="JK610" s="36"/>
      <c r="JL610" s="36"/>
      <c r="JM610" s="36"/>
      <c r="JN610" s="36"/>
      <c r="JO610" s="36"/>
      <c r="JP610" s="36"/>
      <c r="JQ610" s="36"/>
      <c r="JR610" s="36"/>
      <c r="JS610" s="36"/>
      <c r="JT610" s="36"/>
      <c r="JU610" s="36"/>
      <c r="JV610" s="36"/>
      <c r="JW610" s="36"/>
      <c r="JX610" s="36"/>
      <c r="JY610" s="36"/>
      <c r="JZ610" s="36"/>
      <c r="KA610" s="36"/>
      <c r="KB610" s="36"/>
      <c r="KC610" s="36"/>
      <c r="KD610" s="36"/>
      <c r="KE610" s="36"/>
      <c r="KF610" s="36"/>
      <c r="KG610" s="36"/>
      <c r="KH610" s="36"/>
      <c r="KI610" s="36"/>
      <c r="KJ610" s="36"/>
      <c r="KK610" s="36"/>
      <c r="KL610" s="36"/>
      <c r="KM610" s="36"/>
      <c r="KN610" s="36"/>
      <c r="KO610" s="36"/>
      <c r="KP610" s="36"/>
      <c r="KQ610" s="36"/>
      <c r="KR610" s="36"/>
      <c r="KS610" s="36"/>
      <c r="KT610" s="36"/>
      <c r="KU610" s="36"/>
      <c r="KV610" s="36"/>
      <c r="KW610" s="36"/>
      <c r="KX610" s="36"/>
      <c r="KY610" s="36"/>
      <c r="KZ610" s="36"/>
      <c r="LA610" s="36"/>
      <c r="LB610" s="36"/>
      <c r="LC610" s="36"/>
      <c r="LD610" s="36"/>
      <c r="LE610" s="36"/>
      <c r="LF610" s="36"/>
      <c r="LG610" s="36"/>
      <c r="LH610" s="36"/>
      <c r="LI610" s="36"/>
      <c r="LJ610" s="36"/>
      <c r="LK610" s="36"/>
      <c r="LL610" s="36"/>
      <c r="LM610" s="36"/>
      <c r="LN610" s="36"/>
      <c r="LO610" s="36"/>
      <c r="LP610" s="36"/>
      <c r="LQ610" s="36"/>
      <c r="LR610" s="36"/>
      <c r="LS610" s="36"/>
      <c r="LT610" s="36"/>
      <c r="LU610" s="36"/>
      <c r="LV610" s="36"/>
      <c r="LW610" s="36"/>
      <c r="LX610" s="36"/>
      <c r="LY610" s="36"/>
      <c r="LZ610" s="36"/>
      <c r="MA610" s="36"/>
      <c r="MB610" s="36"/>
      <c r="MC610" s="36"/>
      <c r="MD610" s="36"/>
      <c r="ME610" s="36"/>
      <c r="MF610" s="36"/>
      <c r="MG610" s="36"/>
      <c r="MH610" s="36"/>
      <c r="MI610" s="36"/>
      <c r="MJ610" s="36"/>
      <c r="MK610" s="36"/>
      <c r="ML610" s="36"/>
      <c r="MM610" s="36"/>
      <c r="MN610" s="36"/>
      <c r="MO610" s="36"/>
      <c r="MP610" s="36"/>
      <c r="MQ610" s="36"/>
      <c r="MR610" s="36"/>
      <c r="MS610" s="36"/>
      <c r="MT610" s="36"/>
      <c r="MU610" s="36"/>
      <c r="MV610" s="36"/>
      <c r="MW610" s="36"/>
      <c r="MX610" s="36"/>
      <c r="MY610" s="36"/>
      <c r="MZ610" s="36"/>
      <c r="NA610" s="36"/>
      <c r="NB610" s="36"/>
      <c r="NC610" s="36"/>
      <c r="ND610" s="36"/>
      <c r="NE610" s="36"/>
      <c r="NF610" s="36"/>
      <c r="NG610" s="36"/>
      <c r="NH610" s="36"/>
      <c r="NI610" s="36"/>
      <c r="NJ610" s="36"/>
      <c r="NK610" s="36"/>
      <c r="NL610" s="36"/>
      <c r="NM610" s="36"/>
      <c r="NN610" s="36"/>
      <c r="NO610" s="36"/>
      <c r="NP610" s="36"/>
      <c r="NQ610" s="36"/>
      <c r="NR610" s="36"/>
      <c r="NS610" s="36"/>
      <c r="NT610" s="36"/>
      <c r="NU610" s="36"/>
      <c r="NV610" s="36"/>
      <c r="NW610" s="36"/>
      <c r="NX610" s="36"/>
      <c r="NY610" s="36"/>
      <c r="NZ610" s="36"/>
      <c r="OA610" s="36"/>
      <c r="OB610" s="36"/>
      <c r="OC610" s="36"/>
      <c r="OD610" s="36"/>
      <c r="OE610" s="36"/>
      <c r="OF610" s="36"/>
      <c r="OG610" s="36"/>
      <c r="OH610" s="36"/>
      <c r="OI610" s="36"/>
      <c r="OJ610" s="36"/>
      <c r="OK610" s="36"/>
      <c r="OL610" s="36"/>
      <c r="OM610" s="36"/>
      <c r="ON610" s="36"/>
      <c r="OO610" s="36"/>
      <c r="OP610" s="36"/>
      <c r="OQ610" s="36"/>
      <c r="OR610" s="36"/>
      <c r="OS610" s="36"/>
      <c r="OT610" s="36"/>
      <c r="OU610" s="36"/>
      <c r="OV610" s="36"/>
      <c r="OW610" s="36"/>
      <c r="OX610" s="36"/>
    </row>
    <row r="611" spans="2:414" s="27" customFormat="1" ht="15.6">
      <c r="B611" s="51" t="s">
        <v>864</v>
      </c>
      <c r="C611" s="27" t="s">
        <v>625</v>
      </c>
      <c r="D611" s="29" t="s">
        <v>105</v>
      </c>
      <c r="G611" s="49">
        <v>80</v>
      </c>
      <c r="H611" s="89">
        <v>26.109000000000002</v>
      </c>
      <c r="I611" s="38">
        <f t="shared" si="180"/>
        <v>2088.7200000000003</v>
      </c>
      <c r="K611" s="49">
        <v>80</v>
      </c>
      <c r="L611" s="90">
        <v>26.849599999999999</v>
      </c>
      <c r="M611" s="38">
        <f t="shared" si="181"/>
        <v>2147.9679999999998</v>
      </c>
      <c r="O611" s="49">
        <v>505</v>
      </c>
      <c r="P611" s="38">
        <v>26.728300000000001</v>
      </c>
      <c r="Q611" s="38">
        <f t="shared" si="182"/>
        <v>13497.791500000001</v>
      </c>
      <c r="R611" s="43">
        <f t="shared" si="179"/>
        <v>665</v>
      </c>
      <c r="S611" s="38">
        <f t="shared" si="183"/>
        <v>17734.479500000001</v>
      </c>
      <c r="T611" s="27">
        <v>240</v>
      </c>
      <c r="U611" s="52">
        <v>26.68</v>
      </c>
      <c r="V611" s="38">
        <f t="shared" si="190"/>
        <v>6403.2</v>
      </c>
      <c r="W611" s="52">
        <v>505</v>
      </c>
      <c r="X611" s="52">
        <v>26.68</v>
      </c>
      <c r="Y611" s="35">
        <f t="shared" si="189"/>
        <v>13473.4</v>
      </c>
      <c r="Z611" s="78"/>
      <c r="AF611" s="42">
        <f t="shared" si="177"/>
        <v>0</v>
      </c>
      <c r="AU611" s="100"/>
      <c r="AV611" s="35"/>
      <c r="AW611" s="78"/>
      <c r="AZ611" s="42">
        <f t="shared" si="178"/>
        <v>0</v>
      </c>
      <c r="BD611" s="38">
        <f t="shared" si="184"/>
        <v>0</v>
      </c>
      <c r="BH611" s="38">
        <f t="shared" si="185"/>
        <v>0</v>
      </c>
      <c r="BL611" s="38">
        <f t="shared" si="186"/>
        <v>0</v>
      </c>
      <c r="BR611" s="42">
        <f t="shared" si="187"/>
        <v>19876.599999999999</v>
      </c>
      <c r="BS611" s="43"/>
      <c r="BT611" s="27">
        <v>2142.12</v>
      </c>
      <c r="BU611" s="36"/>
      <c r="BV611" s="36"/>
      <c r="BW611" s="36"/>
      <c r="BX611" s="36"/>
      <c r="BY611" s="36"/>
      <c r="BZ611" s="36"/>
      <c r="CA611" s="36"/>
      <c r="CB611" s="36"/>
      <c r="CC611" s="36"/>
      <c r="CD611" s="36"/>
      <c r="CE611" s="36"/>
      <c r="CF611" s="36"/>
      <c r="CG611" s="36"/>
      <c r="CH611" s="36"/>
      <c r="CI611" s="36"/>
      <c r="CJ611" s="36"/>
      <c r="CK611" s="36"/>
      <c r="CL611" s="36"/>
      <c r="CM611" s="36"/>
      <c r="CN611" s="36"/>
      <c r="CO611" s="36"/>
      <c r="CP611" s="36"/>
      <c r="CQ611" s="36"/>
      <c r="CR611" s="36"/>
      <c r="CS611" s="36"/>
      <c r="CT611" s="36"/>
      <c r="CU611" s="36"/>
      <c r="CV611" s="36"/>
      <c r="CW611" s="36"/>
      <c r="CX611" s="36"/>
      <c r="CY611" s="36"/>
      <c r="CZ611" s="36"/>
      <c r="DA611" s="36"/>
      <c r="DB611" s="36"/>
      <c r="DC611" s="36"/>
      <c r="DD611" s="36"/>
      <c r="DE611" s="36"/>
      <c r="DF611" s="36"/>
      <c r="DG611" s="36"/>
      <c r="DH611" s="36"/>
      <c r="DI611" s="36"/>
      <c r="DJ611" s="36"/>
      <c r="DK611" s="36"/>
      <c r="DL611" s="36"/>
      <c r="DM611" s="36"/>
      <c r="DN611" s="36"/>
      <c r="DO611" s="36"/>
      <c r="DP611" s="36"/>
      <c r="DQ611" s="36"/>
      <c r="DR611" s="36"/>
      <c r="DS611" s="36"/>
      <c r="DT611" s="36"/>
      <c r="DU611" s="36"/>
      <c r="DV611" s="36"/>
      <c r="DW611" s="36"/>
      <c r="DX611" s="36"/>
      <c r="DY611" s="36"/>
      <c r="DZ611" s="36"/>
      <c r="EA611" s="36"/>
      <c r="EB611" s="36"/>
      <c r="EC611" s="36"/>
      <c r="ED611" s="36"/>
      <c r="EE611" s="36"/>
      <c r="EF611" s="36"/>
      <c r="EG611" s="36"/>
      <c r="EH611" s="36"/>
      <c r="EI611" s="36"/>
      <c r="EJ611" s="36"/>
      <c r="EK611" s="36"/>
      <c r="EL611" s="36"/>
      <c r="EM611" s="36"/>
      <c r="EN611" s="36"/>
      <c r="EO611" s="36"/>
      <c r="EP611" s="36"/>
      <c r="EQ611" s="36"/>
      <c r="ER611" s="36"/>
      <c r="ES611" s="36"/>
      <c r="ET611" s="36"/>
      <c r="EU611" s="36"/>
      <c r="EV611" s="36"/>
      <c r="EW611" s="36"/>
      <c r="EX611" s="36"/>
      <c r="EY611" s="36"/>
      <c r="EZ611" s="36"/>
      <c r="FA611" s="36"/>
      <c r="FB611" s="36"/>
      <c r="FC611" s="36"/>
      <c r="FD611" s="36"/>
      <c r="FE611" s="36"/>
      <c r="FF611" s="36"/>
      <c r="FG611" s="36"/>
      <c r="FH611" s="36"/>
      <c r="FI611" s="36"/>
      <c r="FJ611" s="36"/>
      <c r="FK611" s="36"/>
      <c r="FL611" s="36"/>
      <c r="FM611" s="36"/>
      <c r="FN611" s="36"/>
      <c r="FO611" s="36"/>
      <c r="FP611" s="36"/>
      <c r="FQ611" s="36"/>
      <c r="FR611" s="36"/>
      <c r="FS611" s="36"/>
      <c r="FT611" s="36"/>
      <c r="FU611" s="36"/>
      <c r="FV611" s="36"/>
      <c r="FW611" s="36"/>
      <c r="FX611" s="36"/>
      <c r="FY611" s="36"/>
      <c r="FZ611" s="36"/>
      <c r="GA611" s="36"/>
      <c r="GB611" s="36"/>
      <c r="GC611" s="36"/>
      <c r="GD611" s="36"/>
      <c r="GE611" s="36"/>
      <c r="GF611" s="36"/>
      <c r="GG611" s="36"/>
      <c r="GH611" s="36"/>
      <c r="GI611" s="36"/>
      <c r="GJ611" s="36"/>
      <c r="GK611" s="36"/>
      <c r="GL611" s="36"/>
      <c r="GM611" s="36"/>
      <c r="GN611" s="36"/>
      <c r="GO611" s="36"/>
      <c r="GP611" s="36"/>
      <c r="GQ611" s="36"/>
      <c r="GR611" s="36"/>
      <c r="GS611" s="36"/>
      <c r="GT611" s="36"/>
      <c r="GU611" s="36"/>
      <c r="GV611" s="36"/>
      <c r="GW611" s="36"/>
      <c r="GX611" s="36"/>
      <c r="GY611" s="36"/>
      <c r="GZ611" s="36"/>
      <c r="HA611" s="36"/>
      <c r="HB611" s="36"/>
      <c r="HC611" s="36"/>
      <c r="HD611" s="36"/>
      <c r="HE611" s="36"/>
      <c r="HF611" s="36"/>
      <c r="HG611" s="36"/>
      <c r="HH611" s="36"/>
      <c r="HI611" s="36"/>
      <c r="HJ611" s="36"/>
      <c r="HK611" s="36"/>
      <c r="HL611" s="36"/>
      <c r="HM611" s="36"/>
      <c r="HN611" s="36"/>
      <c r="HO611" s="36"/>
      <c r="HP611" s="36"/>
      <c r="HQ611" s="36"/>
      <c r="HR611" s="36"/>
      <c r="HS611" s="36"/>
      <c r="HT611" s="36"/>
      <c r="HU611" s="36"/>
      <c r="HV611" s="36"/>
      <c r="HW611" s="36"/>
      <c r="HX611" s="36"/>
      <c r="HY611" s="36"/>
      <c r="HZ611" s="36"/>
      <c r="IA611" s="36"/>
      <c r="IB611" s="36"/>
      <c r="IC611" s="36"/>
      <c r="ID611" s="36"/>
      <c r="IE611" s="36"/>
      <c r="IF611" s="36"/>
      <c r="IG611" s="36"/>
      <c r="IH611" s="36"/>
      <c r="II611" s="36"/>
      <c r="IJ611" s="36"/>
      <c r="IK611" s="36"/>
      <c r="IL611" s="36"/>
      <c r="IM611" s="36"/>
      <c r="IN611" s="36"/>
      <c r="IO611" s="36"/>
      <c r="IP611" s="36"/>
      <c r="IQ611" s="36"/>
      <c r="IR611" s="36"/>
      <c r="IS611" s="36"/>
      <c r="IT611" s="36"/>
      <c r="IU611" s="36"/>
      <c r="IV611" s="36"/>
      <c r="IW611" s="36"/>
      <c r="IX611" s="36"/>
      <c r="IY611" s="36"/>
      <c r="IZ611" s="36"/>
      <c r="JA611" s="36"/>
      <c r="JB611" s="36"/>
      <c r="JC611" s="36"/>
      <c r="JD611" s="36"/>
      <c r="JE611" s="36"/>
      <c r="JF611" s="36"/>
      <c r="JG611" s="36"/>
      <c r="JH611" s="36"/>
      <c r="JI611" s="36"/>
      <c r="JJ611" s="36"/>
      <c r="JK611" s="36"/>
      <c r="JL611" s="36"/>
      <c r="JM611" s="36"/>
      <c r="JN611" s="36"/>
      <c r="JO611" s="36"/>
      <c r="JP611" s="36"/>
      <c r="JQ611" s="36"/>
      <c r="JR611" s="36"/>
      <c r="JS611" s="36"/>
      <c r="JT611" s="36"/>
      <c r="JU611" s="36"/>
      <c r="JV611" s="36"/>
      <c r="JW611" s="36"/>
      <c r="JX611" s="36"/>
      <c r="JY611" s="36"/>
      <c r="JZ611" s="36"/>
      <c r="KA611" s="36"/>
      <c r="KB611" s="36"/>
      <c r="KC611" s="36"/>
      <c r="KD611" s="36"/>
      <c r="KE611" s="36"/>
      <c r="KF611" s="36"/>
      <c r="KG611" s="36"/>
      <c r="KH611" s="36"/>
      <c r="KI611" s="36"/>
      <c r="KJ611" s="36"/>
      <c r="KK611" s="36"/>
      <c r="KL611" s="36"/>
      <c r="KM611" s="36"/>
      <c r="KN611" s="36"/>
      <c r="KO611" s="36"/>
      <c r="KP611" s="36"/>
      <c r="KQ611" s="36"/>
      <c r="KR611" s="36"/>
      <c r="KS611" s="36"/>
      <c r="KT611" s="36"/>
      <c r="KU611" s="36"/>
      <c r="KV611" s="36"/>
      <c r="KW611" s="36"/>
      <c r="KX611" s="36"/>
      <c r="KY611" s="36"/>
      <c r="KZ611" s="36"/>
      <c r="LA611" s="36"/>
      <c r="LB611" s="36"/>
      <c r="LC611" s="36"/>
      <c r="LD611" s="36"/>
      <c r="LE611" s="36"/>
      <c r="LF611" s="36"/>
      <c r="LG611" s="36"/>
      <c r="LH611" s="36"/>
      <c r="LI611" s="36"/>
      <c r="LJ611" s="36"/>
      <c r="LK611" s="36"/>
      <c r="LL611" s="36"/>
      <c r="LM611" s="36"/>
      <c r="LN611" s="36"/>
      <c r="LO611" s="36"/>
      <c r="LP611" s="36"/>
      <c r="LQ611" s="36"/>
      <c r="LR611" s="36"/>
      <c r="LS611" s="36"/>
      <c r="LT611" s="36"/>
      <c r="LU611" s="36"/>
      <c r="LV611" s="36"/>
      <c r="LW611" s="36"/>
      <c r="LX611" s="36"/>
      <c r="LY611" s="36"/>
      <c r="LZ611" s="36"/>
      <c r="MA611" s="36"/>
      <c r="MB611" s="36"/>
      <c r="MC611" s="36"/>
      <c r="MD611" s="36"/>
      <c r="ME611" s="36"/>
      <c r="MF611" s="36"/>
      <c r="MG611" s="36"/>
      <c r="MH611" s="36"/>
      <c r="MI611" s="36"/>
      <c r="MJ611" s="36"/>
      <c r="MK611" s="36"/>
      <c r="ML611" s="36"/>
      <c r="MM611" s="36"/>
      <c r="MN611" s="36"/>
      <c r="MO611" s="36"/>
      <c r="MP611" s="36"/>
      <c r="MQ611" s="36"/>
      <c r="MR611" s="36"/>
      <c r="MS611" s="36"/>
      <c r="MT611" s="36"/>
      <c r="MU611" s="36"/>
      <c r="MV611" s="36"/>
      <c r="MW611" s="36"/>
      <c r="MX611" s="36"/>
      <c r="MY611" s="36"/>
      <c r="MZ611" s="36"/>
      <c r="NA611" s="36"/>
      <c r="NB611" s="36"/>
      <c r="NC611" s="36"/>
      <c r="ND611" s="36"/>
      <c r="NE611" s="36"/>
      <c r="NF611" s="36"/>
      <c r="NG611" s="36"/>
      <c r="NH611" s="36"/>
      <c r="NI611" s="36"/>
      <c r="NJ611" s="36"/>
      <c r="NK611" s="36"/>
      <c r="NL611" s="36"/>
      <c r="NM611" s="36"/>
      <c r="NN611" s="36"/>
      <c r="NO611" s="36"/>
      <c r="NP611" s="36"/>
      <c r="NQ611" s="36"/>
      <c r="NR611" s="36"/>
      <c r="NS611" s="36"/>
      <c r="NT611" s="36"/>
      <c r="NU611" s="36"/>
      <c r="NV611" s="36"/>
      <c r="NW611" s="36"/>
      <c r="NX611" s="36"/>
      <c r="NY611" s="36"/>
      <c r="NZ611" s="36"/>
      <c r="OA611" s="36"/>
      <c r="OB611" s="36"/>
      <c r="OC611" s="36"/>
      <c r="OD611" s="36"/>
      <c r="OE611" s="36"/>
      <c r="OF611" s="36"/>
      <c r="OG611" s="36"/>
      <c r="OH611" s="36"/>
      <c r="OI611" s="36"/>
      <c r="OJ611" s="36"/>
      <c r="OK611" s="36"/>
      <c r="OL611" s="36"/>
      <c r="OM611" s="36"/>
      <c r="ON611" s="36"/>
      <c r="OO611" s="36"/>
      <c r="OP611" s="36"/>
      <c r="OQ611" s="36"/>
      <c r="OR611" s="36"/>
      <c r="OS611" s="36"/>
      <c r="OT611" s="36"/>
      <c r="OU611" s="36"/>
      <c r="OV611" s="36"/>
      <c r="OW611" s="36"/>
      <c r="OX611" s="36"/>
    </row>
    <row r="612" spans="2:414" s="27" customFormat="1" ht="15.6">
      <c r="B612" s="51" t="s">
        <v>878</v>
      </c>
      <c r="C612" s="27" t="s">
        <v>852</v>
      </c>
      <c r="D612" s="29" t="s">
        <v>105</v>
      </c>
      <c r="G612" s="49">
        <v>80</v>
      </c>
      <c r="H612" s="89">
        <v>26.109000000000002</v>
      </c>
      <c r="I612" s="38">
        <f t="shared" si="180"/>
        <v>2088.7200000000003</v>
      </c>
      <c r="K612" s="49">
        <v>80</v>
      </c>
      <c r="L612" s="90">
        <v>26.849599999999999</v>
      </c>
      <c r="M612" s="38">
        <f t="shared" si="181"/>
        <v>2147.9679999999998</v>
      </c>
      <c r="O612" s="49">
        <v>505</v>
      </c>
      <c r="P612" s="38">
        <v>26.728300000000001</v>
      </c>
      <c r="Q612" s="38">
        <f t="shared" si="182"/>
        <v>13497.791500000001</v>
      </c>
      <c r="R612" s="43">
        <f t="shared" si="179"/>
        <v>665</v>
      </c>
      <c r="S612" s="38">
        <f t="shared" si="183"/>
        <v>17734.479500000001</v>
      </c>
      <c r="T612" s="27">
        <v>240</v>
      </c>
      <c r="U612" s="52">
        <v>26.68</v>
      </c>
      <c r="V612" s="38">
        <f t="shared" si="190"/>
        <v>6403.2</v>
      </c>
      <c r="W612" s="52">
        <v>505</v>
      </c>
      <c r="X612" s="52">
        <v>26.564699999999998</v>
      </c>
      <c r="Y612" s="35">
        <f t="shared" si="189"/>
        <v>13415.173499999999</v>
      </c>
      <c r="Z612" s="78"/>
      <c r="AF612" s="42">
        <f t="shared" si="177"/>
        <v>0</v>
      </c>
      <c r="AU612" s="100"/>
      <c r="AV612" s="35"/>
      <c r="AW612" s="78"/>
      <c r="AZ612" s="42">
        <f t="shared" si="178"/>
        <v>0</v>
      </c>
      <c r="BD612" s="38">
        <f t="shared" si="184"/>
        <v>0</v>
      </c>
      <c r="BH612" s="38">
        <f t="shared" si="185"/>
        <v>0</v>
      </c>
      <c r="BL612" s="38">
        <f t="shared" si="186"/>
        <v>0</v>
      </c>
      <c r="BR612" s="42">
        <f t="shared" si="187"/>
        <v>19818.373499999998</v>
      </c>
      <c r="BS612" s="43"/>
      <c r="BT612" s="27">
        <v>2083.89</v>
      </c>
      <c r="BU612" s="36"/>
      <c r="BV612" s="36"/>
      <c r="BW612" s="36"/>
      <c r="BX612" s="36"/>
      <c r="BY612" s="36"/>
      <c r="BZ612" s="36"/>
      <c r="CA612" s="36"/>
      <c r="CB612" s="36"/>
      <c r="CC612" s="36"/>
      <c r="CD612" s="36"/>
      <c r="CE612" s="36"/>
      <c r="CF612" s="36"/>
      <c r="CG612" s="36"/>
      <c r="CH612" s="36"/>
      <c r="CI612" s="36"/>
      <c r="CJ612" s="36"/>
      <c r="CK612" s="36"/>
      <c r="CL612" s="36"/>
      <c r="CM612" s="36"/>
      <c r="CN612" s="36"/>
      <c r="CO612" s="36"/>
      <c r="CP612" s="36"/>
      <c r="CQ612" s="36"/>
      <c r="CR612" s="36"/>
      <c r="CS612" s="36"/>
      <c r="CT612" s="36"/>
      <c r="CU612" s="36"/>
      <c r="CV612" s="36"/>
      <c r="CW612" s="36"/>
      <c r="CX612" s="36"/>
      <c r="CY612" s="36"/>
      <c r="CZ612" s="36"/>
      <c r="DA612" s="36"/>
      <c r="DB612" s="36"/>
      <c r="DC612" s="36"/>
      <c r="DD612" s="36"/>
      <c r="DE612" s="36"/>
      <c r="DF612" s="36"/>
      <c r="DG612" s="36"/>
      <c r="DH612" s="36"/>
      <c r="DI612" s="36"/>
      <c r="DJ612" s="36"/>
      <c r="DK612" s="36"/>
      <c r="DL612" s="36"/>
      <c r="DM612" s="36"/>
      <c r="DN612" s="36"/>
      <c r="DO612" s="36"/>
      <c r="DP612" s="36"/>
      <c r="DQ612" s="36"/>
      <c r="DR612" s="36"/>
      <c r="DS612" s="36"/>
      <c r="DT612" s="36"/>
      <c r="DU612" s="36"/>
      <c r="DV612" s="36"/>
      <c r="DW612" s="36"/>
      <c r="DX612" s="36"/>
      <c r="DY612" s="36"/>
      <c r="DZ612" s="36"/>
      <c r="EA612" s="36"/>
      <c r="EB612" s="36"/>
      <c r="EC612" s="36"/>
      <c r="ED612" s="36"/>
      <c r="EE612" s="36"/>
      <c r="EF612" s="36"/>
      <c r="EG612" s="36"/>
      <c r="EH612" s="36"/>
      <c r="EI612" s="36"/>
      <c r="EJ612" s="36"/>
      <c r="EK612" s="36"/>
      <c r="EL612" s="36"/>
      <c r="EM612" s="36"/>
      <c r="EN612" s="36"/>
      <c r="EO612" s="36"/>
      <c r="EP612" s="36"/>
      <c r="EQ612" s="36"/>
      <c r="ER612" s="36"/>
      <c r="ES612" s="36"/>
      <c r="ET612" s="36"/>
      <c r="EU612" s="36"/>
      <c r="EV612" s="36"/>
      <c r="EW612" s="36"/>
      <c r="EX612" s="36"/>
      <c r="EY612" s="36"/>
      <c r="EZ612" s="36"/>
      <c r="FA612" s="36"/>
      <c r="FB612" s="36"/>
      <c r="FC612" s="36"/>
      <c r="FD612" s="36"/>
      <c r="FE612" s="36"/>
      <c r="FF612" s="36"/>
      <c r="FG612" s="36"/>
      <c r="FH612" s="36"/>
      <c r="FI612" s="36"/>
      <c r="FJ612" s="36"/>
      <c r="FK612" s="36"/>
      <c r="FL612" s="36"/>
      <c r="FM612" s="36"/>
      <c r="FN612" s="36"/>
      <c r="FO612" s="36"/>
      <c r="FP612" s="36"/>
      <c r="FQ612" s="36"/>
      <c r="FR612" s="36"/>
      <c r="FS612" s="36"/>
      <c r="FT612" s="36"/>
      <c r="FU612" s="36"/>
      <c r="FV612" s="36"/>
      <c r="FW612" s="36"/>
      <c r="FX612" s="36"/>
      <c r="FY612" s="36"/>
      <c r="FZ612" s="36"/>
      <c r="GA612" s="36"/>
      <c r="GB612" s="36"/>
      <c r="GC612" s="36"/>
      <c r="GD612" s="36"/>
      <c r="GE612" s="36"/>
      <c r="GF612" s="36"/>
      <c r="GG612" s="36"/>
      <c r="GH612" s="36"/>
      <c r="GI612" s="36"/>
      <c r="GJ612" s="36"/>
      <c r="GK612" s="36"/>
      <c r="GL612" s="36"/>
      <c r="GM612" s="36"/>
      <c r="GN612" s="36"/>
      <c r="GO612" s="36"/>
      <c r="GP612" s="36"/>
      <c r="GQ612" s="36"/>
      <c r="GR612" s="36"/>
      <c r="GS612" s="36"/>
      <c r="GT612" s="36"/>
      <c r="GU612" s="36"/>
      <c r="GV612" s="36"/>
      <c r="GW612" s="36"/>
      <c r="GX612" s="36"/>
      <c r="GY612" s="36"/>
      <c r="GZ612" s="36"/>
      <c r="HA612" s="36"/>
      <c r="HB612" s="36"/>
      <c r="HC612" s="36"/>
      <c r="HD612" s="36"/>
      <c r="HE612" s="36"/>
      <c r="HF612" s="36"/>
      <c r="HG612" s="36"/>
      <c r="HH612" s="36"/>
      <c r="HI612" s="36"/>
      <c r="HJ612" s="36"/>
      <c r="HK612" s="36"/>
      <c r="HL612" s="36"/>
      <c r="HM612" s="36"/>
      <c r="HN612" s="36"/>
      <c r="HO612" s="36"/>
      <c r="HP612" s="36"/>
      <c r="HQ612" s="36"/>
      <c r="HR612" s="36"/>
      <c r="HS612" s="36"/>
      <c r="HT612" s="36"/>
      <c r="HU612" s="36"/>
      <c r="HV612" s="36"/>
      <c r="HW612" s="36"/>
      <c r="HX612" s="36"/>
      <c r="HY612" s="36"/>
      <c r="HZ612" s="36"/>
      <c r="IA612" s="36"/>
      <c r="IB612" s="36"/>
      <c r="IC612" s="36"/>
      <c r="ID612" s="36"/>
      <c r="IE612" s="36"/>
      <c r="IF612" s="36"/>
      <c r="IG612" s="36"/>
      <c r="IH612" s="36"/>
      <c r="II612" s="36"/>
      <c r="IJ612" s="36"/>
      <c r="IK612" s="36"/>
      <c r="IL612" s="36"/>
      <c r="IM612" s="36"/>
      <c r="IN612" s="36"/>
      <c r="IO612" s="36"/>
      <c r="IP612" s="36"/>
      <c r="IQ612" s="36"/>
      <c r="IR612" s="36"/>
      <c r="IS612" s="36"/>
      <c r="IT612" s="36"/>
      <c r="IU612" s="36"/>
      <c r="IV612" s="36"/>
      <c r="IW612" s="36"/>
      <c r="IX612" s="36"/>
      <c r="IY612" s="36"/>
      <c r="IZ612" s="36"/>
      <c r="JA612" s="36"/>
      <c r="JB612" s="36"/>
      <c r="JC612" s="36"/>
      <c r="JD612" s="36"/>
      <c r="JE612" s="36"/>
      <c r="JF612" s="36"/>
      <c r="JG612" s="36"/>
      <c r="JH612" s="36"/>
      <c r="JI612" s="36"/>
      <c r="JJ612" s="36"/>
      <c r="JK612" s="36"/>
      <c r="JL612" s="36"/>
      <c r="JM612" s="36"/>
      <c r="JN612" s="36"/>
      <c r="JO612" s="36"/>
      <c r="JP612" s="36"/>
      <c r="JQ612" s="36"/>
      <c r="JR612" s="36"/>
      <c r="JS612" s="36"/>
      <c r="JT612" s="36"/>
      <c r="JU612" s="36"/>
      <c r="JV612" s="36"/>
      <c r="JW612" s="36"/>
      <c r="JX612" s="36"/>
      <c r="JY612" s="36"/>
      <c r="JZ612" s="36"/>
      <c r="KA612" s="36"/>
      <c r="KB612" s="36"/>
      <c r="KC612" s="36"/>
      <c r="KD612" s="36"/>
      <c r="KE612" s="36"/>
      <c r="KF612" s="36"/>
      <c r="KG612" s="36"/>
      <c r="KH612" s="36"/>
      <c r="KI612" s="36"/>
      <c r="KJ612" s="36"/>
      <c r="KK612" s="36"/>
      <c r="KL612" s="36"/>
      <c r="KM612" s="36"/>
      <c r="KN612" s="36"/>
      <c r="KO612" s="36"/>
      <c r="KP612" s="36"/>
      <c r="KQ612" s="36"/>
      <c r="KR612" s="36"/>
      <c r="KS612" s="36"/>
      <c r="KT612" s="36"/>
      <c r="KU612" s="36"/>
      <c r="KV612" s="36"/>
      <c r="KW612" s="36"/>
      <c r="KX612" s="36"/>
      <c r="KY612" s="36"/>
      <c r="KZ612" s="36"/>
      <c r="LA612" s="36"/>
      <c r="LB612" s="36"/>
      <c r="LC612" s="36"/>
      <c r="LD612" s="36"/>
      <c r="LE612" s="36"/>
      <c r="LF612" s="36"/>
      <c r="LG612" s="36"/>
      <c r="LH612" s="36"/>
      <c r="LI612" s="36"/>
      <c r="LJ612" s="36"/>
      <c r="LK612" s="36"/>
      <c r="LL612" s="36"/>
      <c r="LM612" s="36"/>
      <c r="LN612" s="36"/>
      <c r="LO612" s="36"/>
      <c r="LP612" s="36"/>
      <c r="LQ612" s="36"/>
      <c r="LR612" s="36"/>
      <c r="LS612" s="36"/>
      <c r="LT612" s="36"/>
      <c r="LU612" s="36"/>
      <c r="LV612" s="36"/>
      <c r="LW612" s="36"/>
      <c r="LX612" s="36"/>
      <c r="LY612" s="36"/>
      <c r="LZ612" s="36"/>
      <c r="MA612" s="36"/>
      <c r="MB612" s="36"/>
      <c r="MC612" s="36"/>
      <c r="MD612" s="36"/>
      <c r="ME612" s="36"/>
      <c r="MF612" s="36"/>
      <c r="MG612" s="36"/>
      <c r="MH612" s="36"/>
      <c r="MI612" s="36"/>
      <c r="MJ612" s="36"/>
      <c r="MK612" s="36"/>
      <c r="ML612" s="36"/>
      <c r="MM612" s="36"/>
      <c r="MN612" s="36"/>
      <c r="MO612" s="36"/>
      <c r="MP612" s="36"/>
      <c r="MQ612" s="36"/>
      <c r="MR612" s="36"/>
      <c r="MS612" s="36"/>
      <c r="MT612" s="36"/>
      <c r="MU612" s="36"/>
      <c r="MV612" s="36"/>
      <c r="MW612" s="36"/>
      <c r="MX612" s="36"/>
      <c r="MY612" s="36"/>
      <c r="MZ612" s="36"/>
      <c r="NA612" s="36"/>
      <c r="NB612" s="36"/>
      <c r="NC612" s="36"/>
      <c r="ND612" s="36"/>
      <c r="NE612" s="36"/>
      <c r="NF612" s="36"/>
      <c r="NG612" s="36"/>
      <c r="NH612" s="36"/>
      <c r="NI612" s="36"/>
      <c r="NJ612" s="36"/>
      <c r="NK612" s="36"/>
      <c r="NL612" s="36"/>
      <c r="NM612" s="36"/>
      <c r="NN612" s="36"/>
      <c r="NO612" s="36"/>
      <c r="NP612" s="36"/>
      <c r="NQ612" s="36"/>
      <c r="NR612" s="36"/>
      <c r="NS612" s="36"/>
      <c r="NT612" s="36"/>
      <c r="NU612" s="36"/>
      <c r="NV612" s="36"/>
      <c r="NW612" s="36"/>
      <c r="NX612" s="36"/>
      <c r="NY612" s="36"/>
      <c r="NZ612" s="36"/>
      <c r="OA612" s="36"/>
      <c r="OB612" s="36"/>
      <c r="OC612" s="36"/>
      <c r="OD612" s="36"/>
      <c r="OE612" s="36"/>
      <c r="OF612" s="36"/>
      <c r="OG612" s="36"/>
      <c r="OH612" s="36"/>
      <c r="OI612" s="36"/>
      <c r="OJ612" s="36"/>
      <c r="OK612" s="36"/>
      <c r="OL612" s="36"/>
      <c r="OM612" s="36"/>
      <c r="ON612" s="36"/>
      <c r="OO612" s="36"/>
      <c r="OP612" s="36"/>
      <c r="OQ612" s="36"/>
      <c r="OR612" s="36"/>
      <c r="OS612" s="36"/>
      <c r="OT612" s="36"/>
      <c r="OU612" s="36"/>
      <c r="OV612" s="36"/>
      <c r="OW612" s="36"/>
      <c r="OX612" s="36"/>
    </row>
    <row r="613" spans="2:414" s="27" customFormat="1" ht="15.6">
      <c r="B613" s="51" t="s">
        <v>788</v>
      </c>
      <c r="C613" s="27" t="s">
        <v>282</v>
      </c>
      <c r="D613" s="29" t="s">
        <v>105</v>
      </c>
      <c r="G613" s="49">
        <v>80</v>
      </c>
      <c r="H613" s="89">
        <v>26.109000000000002</v>
      </c>
      <c r="I613" s="38">
        <f t="shared" si="180"/>
        <v>2088.7200000000003</v>
      </c>
      <c r="K613" s="49">
        <v>80</v>
      </c>
      <c r="L613" s="90">
        <v>26.849599999999999</v>
      </c>
      <c r="M613" s="38">
        <f t="shared" si="181"/>
        <v>2147.9679999999998</v>
      </c>
      <c r="O613" s="49">
        <v>505</v>
      </c>
      <c r="P613" s="38">
        <v>26.728300000000001</v>
      </c>
      <c r="Q613" s="38">
        <f t="shared" si="182"/>
        <v>13497.791500000001</v>
      </c>
      <c r="R613" s="43">
        <f t="shared" si="179"/>
        <v>665</v>
      </c>
      <c r="S613" s="38">
        <f t="shared" si="183"/>
        <v>17734.479500000001</v>
      </c>
      <c r="T613" s="27">
        <v>240</v>
      </c>
      <c r="U613" s="52">
        <v>26.68</v>
      </c>
      <c r="V613" s="38">
        <f t="shared" si="190"/>
        <v>6403.2</v>
      </c>
      <c r="W613" s="52">
        <v>505</v>
      </c>
      <c r="X613" s="52">
        <v>26.766200000000001</v>
      </c>
      <c r="Y613" s="35">
        <f t="shared" si="189"/>
        <v>13516.931</v>
      </c>
      <c r="Z613" s="78"/>
      <c r="AF613" s="42">
        <f t="shared" ref="AF613:AF636" si="191">AD613*AE613</f>
        <v>0</v>
      </c>
      <c r="AU613" s="100"/>
      <c r="AV613" s="35"/>
      <c r="AW613" s="78"/>
      <c r="AZ613" s="42">
        <f t="shared" si="178"/>
        <v>0</v>
      </c>
      <c r="BD613" s="38">
        <f t="shared" si="184"/>
        <v>0</v>
      </c>
      <c r="BH613" s="38">
        <f t="shared" si="185"/>
        <v>0</v>
      </c>
      <c r="BL613" s="38">
        <f t="shared" si="186"/>
        <v>0</v>
      </c>
      <c r="BR613" s="42">
        <f t="shared" si="187"/>
        <v>19920.131000000001</v>
      </c>
      <c r="BS613" s="43"/>
      <c r="BT613" s="27">
        <v>2185.65</v>
      </c>
      <c r="BU613" s="36"/>
      <c r="BV613" s="36"/>
      <c r="BW613" s="36"/>
      <c r="BX613" s="36"/>
      <c r="BY613" s="36"/>
      <c r="BZ613" s="36"/>
      <c r="CA613" s="36"/>
      <c r="CB613" s="36"/>
      <c r="CC613" s="36"/>
      <c r="CD613" s="36"/>
      <c r="CE613" s="36"/>
      <c r="CF613" s="36"/>
      <c r="CG613" s="36"/>
      <c r="CH613" s="36"/>
      <c r="CI613" s="36"/>
      <c r="CJ613" s="36"/>
      <c r="CK613" s="36"/>
      <c r="CL613" s="36"/>
      <c r="CM613" s="36"/>
      <c r="CN613" s="36"/>
      <c r="CO613" s="36"/>
      <c r="CP613" s="36"/>
      <c r="CQ613" s="36"/>
      <c r="CR613" s="36"/>
      <c r="CS613" s="36"/>
      <c r="CT613" s="36"/>
      <c r="CU613" s="36"/>
      <c r="CV613" s="36"/>
      <c r="CW613" s="36"/>
      <c r="CX613" s="36"/>
      <c r="CY613" s="36"/>
      <c r="CZ613" s="36"/>
      <c r="DA613" s="36"/>
      <c r="DB613" s="36"/>
      <c r="DC613" s="36"/>
      <c r="DD613" s="36"/>
      <c r="DE613" s="36"/>
      <c r="DF613" s="36"/>
      <c r="DG613" s="36"/>
      <c r="DH613" s="36"/>
      <c r="DI613" s="36"/>
      <c r="DJ613" s="36"/>
      <c r="DK613" s="36"/>
      <c r="DL613" s="36"/>
      <c r="DM613" s="36"/>
      <c r="DN613" s="36"/>
      <c r="DO613" s="36"/>
      <c r="DP613" s="36"/>
      <c r="DQ613" s="36"/>
      <c r="DR613" s="36"/>
      <c r="DS613" s="36"/>
      <c r="DT613" s="36"/>
      <c r="DU613" s="36"/>
      <c r="DV613" s="36"/>
      <c r="DW613" s="36"/>
      <c r="DX613" s="36"/>
      <c r="DY613" s="36"/>
      <c r="DZ613" s="36"/>
      <c r="EA613" s="36"/>
      <c r="EB613" s="36"/>
      <c r="EC613" s="36"/>
      <c r="ED613" s="36"/>
      <c r="EE613" s="36"/>
      <c r="EF613" s="36"/>
      <c r="EG613" s="36"/>
      <c r="EH613" s="36"/>
      <c r="EI613" s="36"/>
      <c r="EJ613" s="36"/>
      <c r="EK613" s="36"/>
      <c r="EL613" s="36"/>
      <c r="EM613" s="36"/>
      <c r="EN613" s="36"/>
      <c r="EO613" s="36"/>
      <c r="EP613" s="36"/>
      <c r="EQ613" s="36"/>
      <c r="ER613" s="36"/>
      <c r="ES613" s="36"/>
      <c r="ET613" s="36"/>
      <c r="EU613" s="36"/>
      <c r="EV613" s="36"/>
      <c r="EW613" s="36"/>
      <c r="EX613" s="36"/>
      <c r="EY613" s="36"/>
      <c r="EZ613" s="36"/>
      <c r="FA613" s="36"/>
      <c r="FB613" s="36"/>
      <c r="FC613" s="36"/>
      <c r="FD613" s="36"/>
      <c r="FE613" s="36"/>
      <c r="FF613" s="36"/>
      <c r="FG613" s="36"/>
      <c r="FH613" s="36"/>
      <c r="FI613" s="36"/>
      <c r="FJ613" s="36"/>
      <c r="FK613" s="36"/>
      <c r="FL613" s="36"/>
      <c r="FM613" s="36"/>
      <c r="FN613" s="36"/>
      <c r="FO613" s="36"/>
      <c r="FP613" s="36"/>
      <c r="FQ613" s="36"/>
      <c r="FR613" s="36"/>
      <c r="FS613" s="36"/>
      <c r="FT613" s="36"/>
      <c r="FU613" s="36"/>
      <c r="FV613" s="36"/>
      <c r="FW613" s="36"/>
      <c r="FX613" s="36"/>
      <c r="FY613" s="36"/>
      <c r="FZ613" s="36"/>
      <c r="GA613" s="36"/>
      <c r="GB613" s="36"/>
      <c r="GC613" s="36"/>
      <c r="GD613" s="36"/>
      <c r="GE613" s="36"/>
      <c r="GF613" s="36"/>
      <c r="GG613" s="36"/>
      <c r="GH613" s="36"/>
      <c r="GI613" s="36"/>
      <c r="GJ613" s="36"/>
      <c r="GK613" s="36"/>
      <c r="GL613" s="36"/>
      <c r="GM613" s="36"/>
      <c r="GN613" s="36"/>
      <c r="GO613" s="36"/>
      <c r="GP613" s="36"/>
      <c r="GQ613" s="36"/>
      <c r="GR613" s="36"/>
      <c r="GS613" s="36"/>
      <c r="GT613" s="36"/>
      <c r="GU613" s="36"/>
      <c r="GV613" s="36"/>
      <c r="GW613" s="36"/>
      <c r="GX613" s="36"/>
      <c r="GY613" s="36"/>
      <c r="GZ613" s="36"/>
      <c r="HA613" s="36"/>
      <c r="HB613" s="36"/>
      <c r="HC613" s="36"/>
      <c r="HD613" s="36"/>
      <c r="HE613" s="36"/>
      <c r="HF613" s="36"/>
      <c r="HG613" s="36"/>
      <c r="HH613" s="36"/>
      <c r="HI613" s="36"/>
      <c r="HJ613" s="36"/>
      <c r="HK613" s="36"/>
      <c r="HL613" s="36"/>
      <c r="HM613" s="36"/>
      <c r="HN613" s="36"/>
      <c r="HO613" s="36"/>
      <c r="HP613" s="36"/>
      <c r="HQ613" s="36"/>
      <c r="HR613" s="36"/>
      <c r="HS613" s="36"/>
      <c r="HT613" s="36"/>
      <c r="HU613" s="36"/>
      <c r="HV613" s="36"/>
      <c r="HW613" s="36"/>
      <c r="HX613" s="36"/>
      <c r="HY613" s="36"/>
      <c r="HZ613" s="36"/>
      <c r="IA613" s="36"/>
      <c r="IB613" s="36"/>
      <c r="IC613" s="36"/>
      <c r="ID613" s="36"/>
      <c r="IE613" s="36"/>
      <c r="IF613" s="36"/>
      <c r="IG613" s="36"/>
      <c r="IH613" s="36"/>
      <c r="II613" s="36"/>
      <c r="IJ613" s="36"/>
      <c r="IK613" s="36"/>
      <c r="IL613" s="36"/>
      <c r="IM613" s="36"/>
      <c r="IN613" s="36"/>
      <c r="IO613" s="36"/>
      <c r="IP613" s="36"/>
      <c r="IQ613" s="36"/>
      <c r="IR613" s="36"/>
      <c r="IS613" s="36"/>
      <c r="IT613" s="36"/>
      <c r="IU613" s="36"/>
      <c r="IV613" s="36"/>
      <c r="IW613" s="36"/>
      <c r="IX613" s="36"/>
      <c r="IY613" s="36"/>
      <c r="IZ613" s="36"/>
      <c r="JA613" s="36"/>
      <c r="JB613" s="36"/>
      <c r="JC613" s="36"/>
      <c r="JD613" s="36"/>
      <c r="JE613" s="36"/>
      <c r="JF613" s="36"/>
      <c r="JG613" s="36"/>
      <c r="JH613" s="36"/>
      <c r="JI613" s="36"/>
      <c r="JJ613" s="36"/>
      <c r="JK613" s="36"/>
      <c r="JL613" s="36"/>
      <c r="JM613" s="36"/>
      <c r="JN613" s="36"/>
      <c r="JO613" s="36"/>
      <c r="JP613" s="36"/>
      <c r="JQ613" s="36"/>
      <c r="JR613" s="36"/>
      <c r="JS613" s="36"/>
      <c r="JT613" s="36"/>
      <c r="JU613" s="36"/>
      <c r="JV613" s="36"/>
      <c r="JW613" s="36"/>
      <c r="JX613" s="36"/>
      <c r="JY613" s="36"/>
      <c r="JZ613" s="36"/>
      <c r="KA613" s="36"/>
      <c r="KB613" s="36"/>
      <c r="KC613" s="36"/>
      <c r="KD613" s="36"/>
      <c r="KE613" s="36"/>
      <c r="KF613" s="36"/>
      <c r="KG613" s="36"/>
      <c r="KH613" s="36"/>
      <c r="KI613" s="36"/>
      <c r="KJ613" s="36"/>
      <c r="KK613" s="36"/>
      <c r="KL613" s="36"/>
      <c r="KM613" s="36"/>
      <c r="KN613" s="36"/>
      <c r="KO613" s="36"/>
      <c r="KP613" s="36"/>
      <c r="KQ613" s="36"/>
      <c r="KR613" s="36"/>
      <c r="KS613" s="36"/>
      <c r="KT613" s="36"/>
      <c r="KU613" s="36"/>
      <c r="KV613" s="36"/>
      <c r="KW613" s="36"/>
      <c r="KX613" s="36"/>
      <c r="KY613" s="36"/>
      <c r="KZ613" s="36"/>
      <c r="LA613" s="36"/>
      <c r="LB613" s="36"/>
      <c r="LC613" s="36"/>
      <c r="LD613" s="36"/>
      <c r="LE613" s="36"/>
      <c r="LF613" s="36"/>
      <c r="LG613" s="36"/>
      <c r="LH613" s="36"/>
      <c r="LI613" s="36"/>
      <c r="LJ613" s="36"/>
      <c r="LK613" s="36"/>
      <c r="LL613" s="36"/>
      <c r="LM613" s="36"/>
      <c r="LN613" s="36"/>
      <c r="LO613" s="36"/>
      <c r="LP613" s="36"/>
      <c r="LQ613" s="36"/>
      <c r="LR613" s="36"/>
      <c r="LS613" s="36"/>
      <c r="LT613" s="36"/>
      <c r="LU613" s="36"/>
      <c r="LV613" s="36"/>
      <c r="LW613" s="36"/>
      <c r="LX613" s="36"/>
      <c r="LY613" s="36"/>
      <c r="LZ613" s="36"/>
      <c r="MA613" s="36"/>
      <c r="MB613" s="36"/>
      <c r="MC613" s="36"/>
      <c r="MD613" s="36"/>
      <c r="ME613" s="36"/>
      <c r="MF613" s="36"/>
      <c r="MG613" s="36"/>
      <c r="MH613" s="36"/>
      <c r="MI613" s="36"/>
      <c r="MJ613" s="36"/>
      <c r="MK613" s="36"/>
      <c r="ML613" s="36"/>
      <c r="MM613" s="36"/>
      <c r="MN613" s="36"/>
      <c r="MO613" s="36"/>
      <c r="MP613" s="36"/>
      <c r="MQ613" s="36"/>
      <c r="MR613" s="36"/>
      <c r="MS613" s="36"/>
      <c r="MT613" s="36"/>
      <c r="MU613" s="36"/>
      <c r="MV613" s="36"/>
      <c r="MW613" s="36"/>
      <c r="MX613" s="36"/>
      <c r="MY613" s="36"/>
      <c r="MZ613" s="36"/>
      <c r="NA613" s="36"/>
      <c r="NB613" s="36"/>
      <c r="NC613" s="36"/>
      <c r="ND613" s="36"/>
      <c r="NE613" s="36"/>
      <c r="NF613" s="36"/>
      <c r="NG613" s="36"/>
      <c r="NH613" s="36"/>
      <c r="NI613" s="36"/>
      <c r="NJ613" s="36"/>
      <c r="NK613" s="36"/>
      <c r="NL613" s="36"/>
      <c r="NM613" s="36"/>
      <c r="NN613" s="36"/>
      <c r="NO613" s="36"/>
      <c r="NP613" s="36"/>
      <c r="NQ613" s="36"/>
      <c r="NR613" s="36"/>
      <c r="NS613" s="36"/>
      <c r="NT613" s="36"/>
      <c r="NU613" s="36"/>
      <c r="NV613" s="36"/>
      <c r="NW613" s="36"/>
      <c r="NX613" s="36"/>
      <c r="NY613" s="36"/>
      <c r="NZ613" s="36"/>
      <c r="OA613" s="36"/>
      <c r="OB613" s="36"/>
      <c r="OC613" s="36"/>
      <c r="OD613" s="36"/>
      <c r="OE613" s="36"/>
      <c r="OF613" s="36"/>
      <c r="OG613" s="36"/>
      <c r="OH613" s="36"/>
      <c r="OI613" s="36"/>
      <c r="OJ613" s="36"/>
      <c r="OK613" s="36"/>
      <c r="OL613" s="36"/>
      <c r="OM613" s="36"/>
      <c r="ON613" s="36"/>
      <c r="OO613" s="36"/>
      <c r="OP613" s="36"/>
      <c r="OQ613" s="36"/>
      <c r="OR613" s="36"/>
      <c r="OS613" s="36"/>
      <c r="OT613" s="36"/>
      <c r="OU613" s="36"/>
      <c r="OV613" s="36"/>
      <c r="OW613" s="36"/>
      <c r="OX613" s="36"/>
    </row>
    <row r="614" spans="2:414" s="27" customFormat="1" ht="15.6">
      <c r="B614" s="51" t="s">
        <v>1112</v>
      </c>
      <c r="C614" s="27" t="s">
        <v>157</v>
      </c>
      <c r="D614" s="29" t="s">
        <v>105</v>
      </c>
      <c r="G614" s="49">
        <v>80</v>
      </c>
      <c r="H614" s="89">
        <v>26.109000000000002</v>
      </c>
      <c r="I614" s="38">
        <f t="shared" si="180"/>
        <v>2088.7200000000003</v>
      </c>
      <c r="K614" s="49">
        <v>80</v>
      </c>
      <c r="L614" s="90">
        <v>26.849599999999999</v>
      </c>
      <c r="M614" s="38">
        <f t="shared" si="181"/>
        <v>2147.9679999999998</v>
      </c>
      <c r="O614" s="49">
        <v>505</v>
      </c>
      <c r="P614" s="38">
        <v>26.728300000000001</v>
      </c>
      <c r="Q614" s="38">
        <f t="shared" si="182"/>
        <v>13497.791500000001</v>
      </c>
      <c r="R614" s="43">
        <f t="shared" si="179"/>
        <v>665</v>
      </c>
      <c r="S614" s="38">
        <f t="shared" si="183"/>
        <v>17734.479500000001</v>
      </c>
      <c r="T614" s="27">
        <v>240</v>
      </c>
      <c r="U614" s="52">
        <v>26.194800000000001</v>
      </c>
      <c r="V614" s="38">
        <f t="shared" si="190"/>
        <v>6286.7520000000004</v>
      </c>
      <c r="W614" s="52">
        <v>505</v>
      </c>
      <c r="X614" s="52">
        <v>26.728999999999999</v>
      </c>
      <c r="Y614" s="35">
        <f t="shared" si="189"/>
        <v>13498.145</v>
      </c>
      <c r="Z614" s="78"/>
      <c r="AF614" s="42">
        <f t="shared" si="191"/>
        <v>0</v>
      </c>
      <c r="AU614" s="100"/>
      <c r="AV614" s="35"/>
      <c r="AW614" s="78"/>
      <c r="AZ614" s="42">
        <f t="shared" si="178"/>
        <v>0</v>
      </c>
      <c r="BD614" s="38">
        <f t="shared" si="184"/>
        <v>0</v>
      </c>
      <c r="BH614" s="38">
        <f t="shared" si="185"/>
        <v>0</v>
      </c>
      <c r="BL614" s="38">
        <f t="shared" si="186"/>
        <v>0</v>
      </c>
      <c r="BR614" s="42">
        <f t="shared" si="187"/>
        <v>19784.897000000001</v>
      </c>
      <c r="BS614" s="43"/>
      <c r="BT614" s="27">
        <v>2050.42</v>
      </c>
      <c r="BU614" s="36"/>
      <c r="BV614" s="36"/>
      <c r="BW614" s="36"/>
      <c r="BX614" s="36"/>
      <c r="BY614" s="36"/>
      <c r="BZ614" s="36"/>
      <c r="CA614" s="36"/>
      <c r="CB614" s="36"/>
      <c r="CC614" s="36"/>
      <c r="CD614" s="36"/>
      <c r="CE614" s="36"/>
      <c r="CF614" s="36"/>
      <c r="CG614" s="36"/>
      <c r="CH614" s="36"/>
      <c r="CI614" s="36"/>
      <c r="CJ614" s="36"/>
      <c r="CK614" s="36"/>
      <c r="CL614" s="36"/>
      <c r="CM614" s="36"/>
      <c r="CN614" s="36"/>
      <c r="CO614" s="36"/>
      <c r="CP614" s="36"/>
      <c r="CQ614" s="36"/>
      <c r="CR614" s="36"/>
      <c r="CS614" s="36"/>
      <c r="CT614" s="36"/>
      <c r="CU614" s="36"/>
      <c r="CV614" s="36"/>
      <c r="CW614" s="36"/>
      <c r="CX614" s="36"/>
      <c r="CY614" s="36"/>
      <c r="CZ614" s="36"/>
      <c r="DA614" s="36"/>
      <c r="DB614" s="36"/>
      <c r="DC614" s="36"/>
      <c r="DD614" s="36"/>
      <c r="DE614" s="36"/>
      <c r="DF614" s="36"/>
      <c r="DG614" s="36"/>
      <c r="DH614" s="36"/>
      <c r="DI614" s="36"/>
      <c r="DJ614" s="36"/>
      <c r="DK614" s="36"/>
      <c r="DL614" s="36"/>
      <c r="DM614" s="36"/>
      <c r="DN614" s="36"/>
      <c r="DO614" s="36"/>
      <c r="DP614" s="36"/>
      <c r="DQ614" s="36"/>
      <c r="DR614" s="36"/>
      <c r="DS614" s="36"/>
      <c r="DT614" s="36"/>
      <c r="DU614" s="36"/>
      <c r="DV614" s="36"/>
      <c r="DW614" s="36"/>
      <c r="DX614" s="36"/>
      <c r="DY614" s="36"/>
      <c r="DZ614" s="36"/>
      <c r="EA614" s="36"/>
      <c r="EB614" s="36"/>
      <c r="EC614" s="36"/>
      <c r="ED614" s="36"/>
      <c r="EE614" s="36"/>
      <c r="EF614" s="36"/>
      <c r="EG614" s="36"/>
      <c r="EH614" s="36"/>
      <c r="EI614" s="36"/>
      <c r="EJ614" s="36"/>
      <c r="EK614" s="36"/>
      <c r="EL614" s="36"/>
      <c r="EM614" s="36"/>
      <c r="EN614" s="36"/>
      <c r="EO614" s="36"/>
      <c r="EP614" s="36"/>
      <c r="EQ614" s="36"/>
      <c r="ER614" s="36"/>
      <c r="ES614" s="36"/>
      <c r="ET614" s="36"/>
      <c r="EU614" s="36"/>
      <c r="EV614" s="36"/>
      <c r="EW614" s="36"/>
      <c r="EX614" s="36"/>
      <c r="EY614" s="36"/>
      <c r="EZ614" s="36"/>
      <c r="FA614" s="36"/>
      <c r="FB614" s="36"/>
      <c r="FC614" s="36"/>
      <c r="FD614" s="36"/>
      <c r="FE614" s="36"/>
      <c r="FF614" s="36"/>
      <c r="FG614" s="36"/>
      <c r="FH614" s="36"/>
      <c r="FI614" s="36"/>
      <c r="FJ614" s="36"/>
      <c r="FK614" s="36"/>
      <c r="FL614" s="36"/>
      <c r="FM614" s="36"/>
      <c r="FN614" s="36"/>
      <c r="FO614" s="36"/>
      <c r="FP614" s="36"/>
      <c r="FQ614" s="36"/>
      <c r="FR614" s="36"/>
      <c r="FS614" s="36"/>
      <c r="FT614" s="36"/>
      <c r="FU614" s="36"/>
      <c r="FV614" s="36"/>
      <c r="FW614" s="36"/>
      <c r="FX614" s="36"/>
      <c r="FY614" s="36"/>
      <c r="FZ614" s="36"/>
      <c r="GA614" s="36"/>
      <c r="GB614" s="36"/>
      <c r="GC614" s="36"/>
      <c r="GD614" s="36"/>
      <c r="GE614" s="36"/>
      <c r="GF614" s="36"/>
      <c r="GG614" s="36"/>
      <c r="GH614" s="36"/>
      <c r="GI614" s="36"/>
      <c r="GJ614" s="36"/>
      <c r="GK614" s="36"/>
      <c r="GL614" s="36"/>
      <c r="GM614" s="36"/>
      <c r="GN614" s="36"/>
      <c r="GO614" s="36"/>
      <c r="GP614" s="36"/>
      <c r="GQ614" s="36"/>
      <c r="GR614" s="36"/>
      <c r="GS614" s="36"/>
      <c r="GT614" s="36"/>
      <c r="GU614" s="36"/>
      <c r="GV614" s="36"/>
      <c r="GW614" s="36"/>
      <c r="GX614" s="36"/>
      <c r="GY614" s="36"/>
      <c r="GZ614" s="36"/>
      <c r="HA614" s="36"/>
      <c r="HB614" s="36"/>
      <c r="HC614" s="36"/>
      <c r="HD614" s="36"/>
      <c r="HE614" s="36"/>
      <c r="HF614" s="36"/>
      <c r="HG614" s="36"/>
      <c r="HH614" s="36"/>
      <c r="HI614" s="36"/>
      <c r="HJ614" s="36"/>
      <c r="HK614" s="36"/>
      <c r="HL614" s="36"/>
      <c r="HM614" s="36"/>
      <c r="HN614" s="36"/>
      <c r="HO614" s="36"/>
      <c r="HP614" s="36"/>
      <c r="HQ614" s="36"/>
      <c r="HR614" s="36"/>
      <c r="HS614" s="36"/>
      <c r="HT614" s="36"/>
      <c r="HU614" s="36"/>
      <c r="HV614" s="36"/>
      <c r="HW614" s="36"/>
      <c r="HX614" s="36"/>
      <c r="HY614" s="36"/>
      <c r="HZ614" s="36"/>
      <c r="IA614" s="36"/>
      <c r="IB614" s="36"/>
      <c r="IC614" s="36"/>
      <c r="ID614" s="36"/>
      <c r="IE614" s="36"/>
      <c r="IF614" s="36"/>
      <c r="IG614" s="36"/>
      <c r="IH614" s="36"/>
      <c r="II614" s="36"/>
      <c r="IJ614" s="36"/>
      <c r="IK614" s="36"/>
      <c r="IL614" s="36"/>
      <c r="IM614" s="36"/>
      <c r="IN614" s="36"/>
      <c r="IO614" s="36"/>
      <c r="IP614" s="36"/>
      <c r="IQ614" s="36"/>
      <c r="IR614" s="36"/>
      <c r="IS614" s="36"/>
      <c r="IT614" s="36"/>
      <c r="IU614" s="36"/>
      <c r="IV614" s="36"/>
      <c r="IW614" s="36"/>
      <c r="IX614" s="36"/>
      <c r="IY614" s="36"/>
      <c r="IZ614" s="36"/>
      <c r="JA614" s="36"/>
      <c r="JB614" s="36"/>
      <c r="JC614" s="36"/>
      <c r="JD614" s="36"/>
      <c r="JE614" s="36"/>
      <c r="JF614" s="36"/>
      <c r="JG614" s="36"/>
      <c r="JH614" s="36"/>
      <c r="JI614" s="36"/>
      <c r="JJ614" s="36"/>
      <c r="JK614" s="36"/>
      <c r="JL614" s="36"/>
      <c r="JM614" s="36"/>
      <c r="JN614" s="36"/>
      <c r="JO614" s="36"/>
      <c r="JP614" s="36"/>
      <c r="JQ614" s="36"/>
      <c r="JR614" s="36"/>
      <c r="JS614" s="36"/>
      <c r="JT614" s="36"/>
      <c r="JU614" s="36"/>
      <c r="JV614" s="36"/>
      <c r="JW614" s="36"/>
      <c r="JX614" s="36"/>
      <c r="JY614" s="36"/>
      <c r="JZ614" s="36"/>
      <c r="KA614" s="36"/>
      <c r="KB614" s="36"/>
      <c r="KC614" s="36"/>
      <c r="KD614" s="36"/>
      <c r="KE614" s="36"/>
      <c r="KF614" s="36"/>
      <c r="KG614" s="36"/>
      <c r="KH614" s="36"/>
      <c r="KI614" s="36"/>
      <c r="KJ614" s="36"/>
      <c r="KK614" s="36"/>
      <c r="KL614" s="36"/>
      <c r="KM614" s="36"/>
      <c r="KN614" s="36"/>
      <c r="KO614" s="36"/>
      <c r="KP614" s="36"/>
      <c r="KQ614" s="36"/>
      <c r="KR614" s="36"/>
      <c r="KS614" s="36"/>
      <c r="KT614" s="36"/>
      <c r="KU614" s="36"/>
      <c r="KV614" s="36"/>
      <c r="KW614" s="36"/>
      <c r="KX614" s="36"/>
      <c r="KY614" s="36"/>
      <c r="KZ614" s="36"/>
      <c r="LA614" s="36"/>
      <c r="LB614" s="36"/>
      <c r="LC614" s="36"/>
      <c r="LD614" s="36"/>
      <c r="LE614" s="36"/>
      <c r="LF614" s="36"/>
      <c r="LG614" s="36"/>
      <c r="LH614" s="36"/>
      <c r="LI614" s="36"/>
      <c r="LJ614" s="36"/>
      <c r="LK614" s="36"/>
      <c r="LL614" s="36"/>
      <c r="LM614" s="36"/>
      <c r="LN614" s="36"/>
      <c r="LO614" s="36"/>
      <c r="LP614" s="36"/>
      <c r="LQ614" s="36"/>
      <c r="LR614" s="36"/>
      <c r="LS614" s="36"/>
      <c r="LT614" s="36"/>
      <c r="LU614" s="36"/>
      <c r="LV614" s="36"/>
      <c r="LW614" s="36"/>
      <c r="LX614" s="36"/>
      <c r="LY614" s="36"/>
      <c r="LZ614" s="36"/>
      <c r="MA614" s="36"/>
      <c r="MB614" s="36"/>
      <c r="MC614" s="36"/>
      <c r="MD614" s="36"/>
      <c r="ME614" s="36"/>
      <c r="MF614" s="36"/>
      <c r="MG614" s="36"/>
      <c r="MH614" s="36"/>
      <c r="MI614" s="36"/>
      <c r="MJ614" s="36"/>
      <c r="MK614" s="36"/>
      <c r="ML614" s="36"/>
      <c r="MM614" s="36"/>
      <c r="MN614" s="36"/>
      <c r="MO614" s="36"/>
      <c r="MP614" s="36"/>
      <c r="MQ614" s="36"/>
      <c r="MR614" s="36"/>
      <c r="MS614" s="36"/>
      <c r="MT614" s="36"/>
      <c r="MU614" s="36"/>
      <c r="MV614" s="36"/>
      <c r="MW614" s="36"/>
      <c r="MX614" s="36"/>
      <c r="MY614" s="36"/>
      <c r="MZ614" s="36"/>
      <c r="NA614" s="36"/>
      <c r="NB614" s="36"/>
      <c r="NC614" s="36"/>
      <c r="ND614" s="36"/>
      <c r="NE614" s="36"/>
      <c r="NF614" s="36"/>
      <c r="NG614" s="36"/>
      <c r="NH614" s="36"/>
      <c r="NI614" s="36"/>
      <c r="NJ614" s="36"/>
      <c r="NK614" s="36"/>
      <c r="NL614" s="36"/>
      <c r="NM614" s="36"/>
      <c r="NN614" s="36"/>
      <c r="NO614" s="36"/>
      <c r="NP614" s="36"/>
      <c r="NQ614" s="36"/>
      <c r="NR614" s="36"/>
      <c r="NS614" s="36"/>
      <c r="NT614" s="36"/>
      <c r="NU614" s="36"/>
      <c r="NV614" s="36"/>
      <c r="NW614" s="36"/>
      <c r="NX614" s="36"/>
      <c r="NY614" s="36"/>
      <c r="NZ614" s="36"/>
      <c r="OA614" s="36"/>
      <c r="OB614" s="36"/>
      <c r="OC614" s="36"/>
      <c r="OD614" s="36"/>
      <c r="OE614" s="36"/>
      <c r="OF614" s="36"/>
      <c r="OG614" s="36"/>
      <c r="OH614" s="36"/>
      <c r="OI614" s="36"/>
      <c r="OJ614" s="36"/>
      <c r="OK614" s="36"/>
      <c r="OL614" s="36"/>
      <c r="OM614" s="36"/>
      <c r="ON614" s="36"/>
      <c r="OO614" s="36"/>
      <c r="OP614" s="36"/>
      <c r="OQ614" s="36"/>
      <c r="OR614" s="36"/>
      <c r="OS614" s="36"/>
      <c r="OT614" s="36"/>
      <c r="OU614" s="36"/>
      <c r="OV614" s="36"/>
      <c r="OW614" s="36"/>
      <c r="OX614" s="36"/>
    </row>
    <row r="615" spans="2:414" s="27" customFormat="1" ht="15.6">
      <c r="B615" s="51" t="s">
        <v>1113</v>
      </c>
      <c r="C615" s="27" t="s">
        <v>654</v>
      </c>
      <c r="D615" s="29" t="s">
        <v>105</v>
      </c>
      <c r="G615" s="49">
        <v>80</v>
      </c>
      <c r="H615" s="89">
        <v>26.109000000000002</v>
      </c>
      <c r="I615" s="38">
        <f t="shared" si="180"/>
        <v>2088.7200000000003</v>
      </c>
      <c r="K615" s="49">
        <v>80</v>
      </c>
      <c r="L615" s="90">
        <v>26.849599999999999</v>
      </c>
      <c r="M615" s="38">
        <f t="shared" si="181"/>
        <v>2147.9679999999998</v>
      </c>
      <c r="O615" s="49">
        <v>505</v>
      </c>
      <c r="P615" s="38">
        <v>26.728300000000001</v>
      </c>
      <c r="Q615" s="38">
        <f t="shared" si="182"/>
        <v>13497.791500000001</v>
      </c>
      <c r="R615" s="43">
        <f t="shared" si="179"/>
        <v>665</v>
      </c>
      <c r="S615" s="38">
        <f t="shared" si="183"/>
        <v>17734.479500000001</v>
      </c>
      <c r="T615" s="27">
        <v>240</v>
      </c>
      <c r="U615" s="52">
        <v>26.728300000000001</v>
      </c>
      <c r="V615" s="38">
        <f t="shared" si="190"/>
        <v>6414.7920000000004</v>
      </c>
      <c r="W615" s="52">
        <v>505</v>
      </c>
      <c r="X615" s="52">
        <v>26.728300000000001</v>
      </c>
      <c r="Y615" s="35">
        <f t="shared" si="189"/>
        <v>13497.791500000001</v>
      </c>
      <c r="Z615" s="78"/>
      <c r="AF615" s="42">
        <f t="shared" si="191"/>
        <v>0</v>
      </c>
      <c r="AU615" s="100"/>
      <c r="AV615" s="35"/>
      <c r="AW615" s="78"/>
      <c r="AZ615" s="42">
        <f t="shared" si="178"/>
        <v>0</v>
      </c>
      <c r="BD615" s="38">
        <f t="shared" si="184"/>
        <v>0</v>
      </c>
      <c r="BH615" s="38">
        <f t="shared" si="185"/>
        <v>0</v>
      </c>
      <c r="BL615" s="38">
        <f t="shared" si="186"/>
        <v>0</v>
      </c>
      <c r="BR615" s="42">
        <f t="shared" si="187"/>
        <v>19912.583500000001</v>
      </c>
      <c r="BS615" s="43"/>
      <c r="BT615" s="27">
        <v>2178.1</v>
      </c>
      <c r="BU615" s="36"/>
      <c r="BV615" s="36"/>
      <c r="BW615" s="36"/>
      <c r="BX615" s="36"/>
      <c r="BY615" s="36"/>
      <c r="BZ615" s="36"/>
      <c r="CA615" s="36"/>
      <c r="CB615" s="36"/>
      <c r="CC615" s="36"/>
      <c r="CD615" s="36"/>
      <c r="CE615" s="36"/>
      <c r="CF615" s="36"/>
      <c r="CG615" s="36"/>
      <c r="CH615" s="36"/>
      <c r="CI615" s="36"/>
      <c r="CJ615" s="36"/>
      <c r="CK615" s="36"/>
      <c r="CL615" s="36"/>
      <c r="CM615" s="36"/>
      <c r="CN615" s="36"/>
      <c r="CO615" s="36"/>
      <c r="CP615" s="36"/>
      <c r="CQ615" s="36"/>
      <c r="CR615" s="36"/>
      <c r="CS615" s="36"/>
      <c r="CT615" s="36"/>
      <c r="CU615" s="36"/>
      <c r="CV615" s="36"/>
      <c r="CW615" s="36"/>
      <c r="CX615" s="36"/>
      <c r="CY615" s="36"/>
      <c r="CZ615" s="36"/>
      <c r="DA615" s="36"/>
      <c r="DB615" s="36"/>
      <c r="DC615" s="36"/>
      <c r="DD615" s="36"/>
      <c r="DE615" s="36"/>
      <c r="DF615" s="36"/>
      <c r="DG615" s="36"/>
      <c r="DH615" s="36"/>
      <c r="DI615" s="36"/>
      <c r="DJ615" s="36"/>
      <c r="DK615" s="36"/>
      <c r="DL615" s="36"/>
      <c r="DM615" s="36"/>
      <c r="DN615" s="36"/>
      <c r="DO615" s="36"/>
      <c r="DP615" s="36"/>
      <c r="DQ615" s="36"/>
      <c r="DR615" s="36"/>
      <c r="DS615" s="36"/>
      <c r="DT615" s="36"/>
      <c r="DU615" s="36"/>
      <c r="DV615" s="36"/>
      <c r="DW615" s="36"/>
      <c r="DX615" s="36"/>
      <c r="DY615" s="36"/>
      <c r="DZ615" s="36"/>
      <c r="EA615" s="36"/>
      <c r="EB615" s="36"/>
      <c r="EC615" s="36"/>
      <c r="ED615" s="36"/>
      <c r="EE615" s="36"/>
      <c r="EF615" s="36"/>
      <c r="EG615" s="36"/>
      <c r="EH615" s="36"/>
      <c r="EI615" s="36"/>
      <c r="EJ615" s="36"/>
      <c r="EK615" s="36"/>
      <c r="EL615" s="36"/>
      <c r="EM615" s="36"/>
      <c r="EN615" s="36"/>
      <c r="EO615" s="36"/>
      <c r="EP615" s="36"/>
      <c r="EQ615" s="36"/>
      <c r="ER615" s="36"/>
      <c r="ES615" s="36"/>
      <c r="ET615" s="36"/>
      <c r="EU615" s="36"/>
      <c r="EV615" s="36"/>
      <c r="EW615" s="36"/>
      <c r="EX615" s="36"/>
      <c r="EY615" s="36"/>
      <c r="EZ615" s="36"/>
      <c r="FA615" s="36"/>
      <c r="FB615" s="36"/>
      <c r="FC615" s="36"/>
      <c r="FD615" s="36"/>
      <c r="FE615" s="36"/>
      <c r="FF615" s="36"/>
      <c r="FG615" s="36"/>
      <c r="FH615" s="36"/>
      <c r="FI615" s="36"/>
      <c r="FJ615" s="36"/>
      <c r="FK615" s="36"/>
      <c r="FL615" s="36"/>
      <c r="FM615" s="36"/>
      <c r="FN615" s="36"/>
      <c r="FO615" s="36"/>
      <c r="FP615" s="36"/>
      <c r="FQ615" s="36"/>
      <c r="FR615" s="36"/>
      <c r="FS615" s="36"/>
      <c r="FT615" s="36"/>
      <c r="FU615" s="36"/>
      <c r="FV615" s="36"/>
      <c r="FW615" s="36"/>
      <c r="FX615" s="36"/>
      <c r="FY615" s="36"/>
      <c r="FZ615" s="36"/>
      <c r="GA615" s="36"/>
      <c r="GB615" s="36"/>
      <c r="GC615" s="36"/>
      <c r="GD615" s="36"/>
      <c r="GE615" s="36"/>
      <c r="GF615" s="36"/>
      <c r="GG615" s="36"/>
      <c r="GH615" s="36"/>
      <c r="GI615" s="36"/>
      <c r="GJ615" s="36"/>
      <c r="GK615" s="36"/>
      <c r="GL615" s="36"/>
      <c r="GM615" s="36"/>
      <c r="GN615" s="36"/>
      <c r="GO615" s="36"/>
      <c r="GP615" s="36"/>
      <c r="GQ615" s="36"/>
      <c r="GR615" s="36"/>
      <c r="GS615" s="36"/>
      <c r="GT615" s="36"/>
      <c r="GU615" s="36"/>
      <c r="GV615" s="36"/>
      <c r="GW615" s="36"/>
      <c r="GX615" s="36"/>
      <c r="GY615" s="36"/>
      <c r="GZ615" s="36"/>
      <c r="HA615" s="36"/>
      <c r="HB615" s="36"/>
      <c r="HC615" s="36"/>
      <c r="HD615" s="36"/>
      <c r="HE615" s="36"/>
      <c r="HF615" s="36"/>
      <c r="HG615" s="36"/>
      <c r="HH615" s="36"/>
      <c r="HI615" s="36"/>
      <c r="HJ615" s="36"/>
      <c r="HK615" s="36"/>
      <c r="HL615" s="36"/>
      <c r="HM615" s="36"/>
      <c r="HN615" s="36"/>
      <c r="HO615" s="36"/>
      <c r="HP615" s="36"/>
      <c r="HQ615" s="36"/>
      <c r="HR615" s="36"/>
      <c r="HS615" s="36"/>
      <c r="HT615" s="36"/>
      <c r="HU615" s="36"/>
      <c r="HV615" s="36"/>
      <c r="HW615" s="36"/>
      <c r="HX615" s="36"/>
      <c r="HY615" s="36"/>
      <c r="HZ615" s="36"/>
      <c r="IA615" s="36"/>
      <c r="IB615" s="36"/>
      <c r="IC615" s="36"/>
      <c r="ID615" s="36"/>
      <c r="IE615" s="36"/>
      <c r="IF615" s="36"/>
      <c r="IG615" s="36"/>
      <c r="IH615" s="36"/>
      <c r="II615" s="36"/>
      <c r="IJ615" s="36"/>
      <c r="IK615" s="36"/>
      <c r="IL615" s="36"/>
      <c r="IM615" s="36"/>
      <c r="IN615" s="36"/>
      <c r="IO615" s="36"/>
      <c r="IP615" s="36"/>
      <c r="IQ615" s="36"/>
      <c r="IR615" s="36"/>
      <c r="IS615" s="36"/>
      <c r="IT615" s="36"/>
      <c r="IU615" s="36"/>
      <c r="IV615" s="36"/>
      <c r="IW615" s="36"/>
      <c r="IX615" s="36"/>
      <c r="IY615" s="36"/>
      <c r="IZ615" s="36"/>
      <c r="JA615" s="36"/>
      <c r="JB615" s="36"/>
      <c r="JC615" s="36"/>
      <c r="JD615" s="36"/>
      <c r="JE615" s="36"/>
      <c r="JF615" s="36"/>
      <c r="JG615" s="36"/>
      <c r="JH615" s="36"/>
      <c r="JI615" s="36"/>
      <c r="JJ615" s="36"/>
      <c r="JK615" s="36"/>
      <c r="JL615" s="36"/>
      <c r="JM615" s="36"/>
      <c r="JN615" s="36"/>
      <c r="JO615" s="36"/>
      <c r="JP615" s="36"/>
      <c r="JQ615" s="36"/>
      <c r="JR615" s="36"/>
      <c r="JS615" s="36"/>
      <c r="JT615" s="36"/>
      <c r="JU615" s="36"/>
      <c r="JV615" s="36"/>
      <c r="JW615" s="36"/>
      <c r="JX615" s="36"/>
      <c r="JY615" s="36"/>
      <c r="JZ615" s="36"/>
      <c r="KA615" s="36"/>
      <c r="KB615" s="36"/>
      <c r="KC615" s="36"/>
      <c r="KD615" s="36"/>
      <c r="KE615" s="36"/>
      <c r="KF615" s="36"/>
      <c r="KG615" s="36"/>
      <c r="KH615" s="36"/>
      <c r="KI615" s="36"/>
      <c r="KJ615" s="36"/>
      <c r="KK615" s="36"/>
      <c r="KL615" s="36"/>
      <c r="KM615" s="36"/>
      <c r="KN615" s="36"/>
      <c r="KO615" s="36"/>
      <c r="KP615" s="36"/>
      <c r="KQ615" s="36"/>
      <c r="KR615" s="36"/>
      <c r="KS615" s="36"/>
      <c r="KT615" s="36"/>
      <c r="KU615" s="36"/>
      <c r="KV615" s="36"/>
      <c r="KW615" s="36"/>
      <c r="KX615" s="36"/>
      <c r="KY615" s="36"/>
      <c r="KZ615" s="36"/>
      <c r="LA615" s="36"/>
      <c r="LB615" s="36"/>
      <c r="LC615" s="36"/>
      <c r="LD615" s="36"/>
      <c r="LE615" s="36"/>
      <c r="LF615" s="36"/>
      <c r="LG615" s="36"/>
      <c r="LH615" s="36"/>
      <c r="LI615" s="36"/>
      <c r="LJ615" s="36"/>
      <c r="LK615" s="36"/>
      <c r="LL615" s="36"/>
      <c r="LM615" s="36"/>
      <c r="LN615" s="36"/>
      <c r="LO615" s="36"/>
      <c r="LP615" s="36"/>
      <c r="LQ615" s="36"/>
      <c r="LR615" s="36"/>
      <c r="LS615" s="36"/>
      <c r="LT615" s="36"/>
      <c r="LU615" s="36"/>
      <c r="LV615" s="36"/>
      <c r="LW615" s="36"/>
      <c r="LX615" s="36"/>
      <c r="LY615" s="36"/>
      <c r="LZ615" s="36"/>
      <c r="MA615" s="36"/>
      <c r="MB615" s="36"/>
      <c r="MC615" s="36"/>
      <c r="MD615" s="36"/>
      <c r="ME615" s="36"/>
      <c r="MF615" s="36"/>
      <c r="MG615" s="36"/>
      <c r="MH615" s="36"/>
      <c r="MI615" s="36"/>
      <c r="MJ615" s="36"/>
      <c r="MK615" s="36"/>
      <c r="ML615" s="36"/>
      <c r="MM615" s="36"/>
      <c r="MN615" s="36"/>
      <c r="MO615" s="36"/>
      <c r="MP615" s="36"/>
      <c r="MQ615" s="36"/>
      <c r="MR615" s="36"/>
      <c r="MS615" s="36"/>
      <c r="MT615" s="36"/>
      <c r="MU615" s="36"/>
      <c r="MV615" s="36"/>
      <c r="MW615" s="36"/>
      <c r="MX615" s="36"/>
      <c r="MY615" s="36"/>
      <c r="MZ615" s="36"/>
      <c r="NA615" s="36"/>
      <c r="NB615" s="36"/>
      <c r="NC615" s="36"/>
      <c r="ND615" s="36"/>
      <c r="NE615" s="36"/>
      <c r="NF615" s="36"/>
      <c r="NG615" s="36"/>
      <c r="NH615" s="36"/>
      <c r="NI615" s="36"/>
      <c r="NJ615" s="36"/>
      <c r="NK615" s="36"/>
      <c r="NL615" s="36"/>
      <c r="NM615" s="36"/>
      <c r="NN615" s="36"/>
      <c r="NO615" s="36"/>
      <c r="NP615" s="36"/>
      <c r="NQ615" s="36"/>
      <c r="NR615" s="36"/>
      <c r="NS615" s="36"/>
      <c r="NT615" s="36"/>
      <c r="NU615" s="36"/>
      <c r="NV615" s="36"/>
      <c r="NW615" s="36"/>
      <c r="NX615" s="36"/>
      <c r="NY615" s="36"/>
      <c r="NZ615" s="36"/>
      <c r="OA615" s="36"/>
      <c r="OB615" s="36"/>
      <c r="OC615" s="36"/>
      <c r="OD615" s="36"/>
      <c r="OE615" s="36"/>
      <c r="OF615" s="36"/>
      <c r="OG615" s="36"/>
      <c r="OH615" s="36"/>
      <c r="OI615" s="36"/>
      <c r="OJ615" s="36"/>
      <c r="OK615" s="36"/>
      <c r="OL615" s="36"/>
      <c r="OM615" s="36"/>
      <c r="ON615" s="36"/>
      <c r="OO615" s="36"/>
      <c r="OP615" s="36"/>
      <c r="OQ615" s="36"/>
      <c r="OR615" s="36"/>
      <c r="OS615" s="36"/>
      <c r="OT615" s="36"/>
      <c r="OU615" s="36"/>
      <c r="OV615" s="36"/>
      <c r="OW615" s="36"/>
      <c r="OX615" s="36"/>
    </row>
    <row r="616" spans="2:414" s="27" customFormat="1" ht="15.6">
      <c r="B616" s="51" t="s">
        <v>1114</v>
      </c>
      <c r="C616" s="27" t="s">
        <v>860</v>
      </c>
      <c r="D616" s="29" t="s">
        <v>105</v>
      </c>
      <c r="G616" s="49">
        <v>80</v>
      </c>
      <c r="H616" s="89">
        <v>26.109000000000002</v>
      </c>
      <c r="I616" s="38">
        <f t="shared" si="180"/>
        <v>2088.7200000000003</v>
      </c>
      <c r="K616" s="49">
        <v>80</v>
      </c>
      <c r="L616" s="90">
        <v>26.849599999999999</v>
      </c>
      <c r="M616" s="38">
        <f t="shared" si="181"/>
        <v>2147.9679999999998</v>
      </c>
      <c r="O616" s="49">
        <v>505</v>
      </c>
      <c r="P616" s="38">
        <v>26.728300000000001</v>
      </c>
      <c r="Q616" s="38">
        <f t="shared" si="182"/>
        <v>13497.791500000001</v>
      </c>
      <c r="R616" s="43">
        <f t="shared" si="179"/>
        <v>665</v>
      </c>
      <c r="S616" s="38">
        <f t="shared" si="183"/>
        <v>17734.479500000001</v>
      </c>
      <c r="T616" s="27">
        <v>240</v>
      </c>
      <c r="U616" s="52">
        <v>26.57</v>
      </c>
      <c r="V616" s="38">
        <f t="shared" si="190"/>
        <v>6376.8</v>
      </c>
      <c r="W616" s="52">
        <v>505</v>
      </c>
      <c r="X616" s="52">
        <v>26.5715</v>
      </c>
      <c r="Y616" s="35">
        <f t="shared" si="189"/>
        <v>13418.6075</v>
      </c>
      <c r="Z616" s="78"/>
      <c r="AF616" s="42">
        <f t="shared" si="191"/>
        <v>0</v>
      </c>
      <c r="AU616" s="100"/>
      <c r="AV616" s="35"/>
      <c r="AW616" s="78"/>
      <c r="AZ616" s="42">
        <f t="shared" si="178"/>
        <v>0</v>
      </c>
      <c r="BD616" s="38">
        <f t="shared" si="184"/>
        <v>0</v>
      </c>
      <c r="BH616" s="38">
        <f t="shared" si="185"/>
        <v>0</v>
      </c>
      <c r="BL616" s="38">
        <f t="shared" si="186"/>
        <v>0</v>
      </c>
      <c r="BR616" s="42">
        <f t="shared" si="187"/>
        <v>19795.407500000001</v>
      </c>
      <c r="BS616" s="43"/>
      <c r="BT616" s="27">
        <v>2060.9299999999998</v>
      </c>
      <c r="BU616" s="36"/>
      <c r="BV616" s="36"/>
      <c r="BW616" s="36"/>
      <c r="BX616" s="36"/>
      <c r="BY616" s="36"/>
      <c r="BZ616" s="36"/>
      <c r="CA616" s="36"/>
      <c r="CB616" s="36"/>
      <c r="CC616" s="36"/>
      <c r="CD616" s="36"/>
      <c r="CE616" s="36"/>
      <c r="CF616" s="36"/>
      <c r="CG616" s="36"/>
      <c r="CH616" s="36"/>
      <c r="CI616" s="36"/>
      <c r="CJ616" s="36"/>
      <c r="CK616" s="36"/>
      <c r="CL616" s="36"/>
      <c r="CM616" s="36"/>
      <c r="CN616" s="36"/>
      <c r="CO616" s="36"/>
      <c r="CP616" s="36"/>
      <c r="CQ616" s="36"/>
      <c r="CR616" s="36"/>
      <c r="CS616" s="36"/>
      <c r="CT616" s="36"/>
      <c r="CU616" s="36"/>
      <c r="CV616" s="36"/>
      <c r="CW616" s="36"/>
      <c r="CX616" s="36"/>
      <c r="CY616" s="36"/>
      <c r="CZ616" s="36"/>
      <c r="DA616" s="36"/>
      <c r="DB616" s="36"/>
      <c r="DC616" s="36"/>
      <c r="DD616" s="36"/>
      <c r="DE616" s="36"/>
      <c r="DF616" s="36"/>
      <c r="DG616" s="36"/>
      <c r="DH616" s="36"/>
      <c r="DI616" s="36"/>
      <c r="DJ616" s="36"/>
      <c r="DK616" s="36"/>
      <c r="DL616" s="36"/>
      <c r="DM616" s="36"/>
      <c r="DN616" s="36"/>
      <c r="DO616" s="36"/>
      <c r="DP616" s="36"/>
      <c r="DQ616" s="36"/>
      <c r="DR616" s="36"/>
      <c r="DS616" s="36"/>
      <c r="DT616" s="36"/>
      <c r="DU616" s="36"/>
      <c r="DV616" s="36"/>
      <c r="DW616" s="36"/>
      <c r="DX616" s="36"/>
      <c r="DY616" s="36"/>
      <c r="DZ616" s="36"/>
      <c r="EA616" s="36"/>
      <c r="EB616" s="36"/>
      <c r="EC616" s="36"/>
      <c r="ED616" s="36"/>
      <c r="EE616" s="36"/>
      <c r="EF616" s="36"/>
      <c r="EG616" s="36"/>
      <c r="EH616" s="36"/>
      <c r="EI616" s="36"/>
      <c r="EJ616" s="36"/>
      <c r="EK616" s="36"/>
      <c r="EL616" s="36"/>
      <c r="EM616" s="36"/>
      <c r="EN616" s="36"/>
      <c r="EO616" s="36"/>
      <c r="EP616" s="36"/>
      <c r="EQ616" s="36"/>
      <c r="ER616" s="36"/>
      <c r="ES616" s="36"/>
      <c r="ET616" s="36"/>
      <c r="EU616" s="36"/>
      <c r="EV616" s="36"/>
      <c r="EW616" s="36"/>
      <c r="EX616" s="36"/>
      <c r="EY616" s="36"/>
      <c r="EZ616" s="36"/>
      <c r="FA616" s="36"/>
      <c r="FB616" s="36"/>
      <c r="FC616" s="36"/>
      <c r="FD616" s="36"/>
      <c r="FE616" s="36"/>
      <c r="FF616" s="36"/>
      <c r="FG616" s="36"/>
      <c r="FH616" s="36"/>
      <c r="FI616" s="36"/>
      <c r="FJ616" s="36"/>
      <c r="FK616" s="36"/>
      <c r="FL616" s="36"/>
      <c r="FM616" s="36"/>
      <c r="FN616" s="36"/>
      <c r="FO616" s="36"/>
      <c r="FP616" s="36"/>
      <c r="FQ616" s="36"/>
      <c r="FR616" s="36"/>
      <c r="FS616" s="36"/>
      <c r="FT616" s="36"/>
      <c r="FU616" s="36"/>
      <c r="FV616" s="36"/>
      <c r="FW616" s="36"/>
      <c r="FX616" s="36"/>
      <c r="FY616" s="36"/>
      <c r="FZ616" s="36"/>
      <c r="GA616" s="36"/>
      <c r="GB616" s="36"/>
      <c r="GC616" s="36"/>
      <c r="GD616" s="36"/>
      <c r="GE616" s="36"/>
      <c r="GF616" s="36"/>
      <c r="GG616" s="36"/>
      <c r="GH616" s="36"/>
      <c r="GI616" s="36"/>
      <c r="GJ616" s="36"/>
      <c r="GK616" s="36"/>
      <c r="GL616" s="36"/>
      <c r="GM616" s="36"/>
      <c r="GN616" s="36"/>
      <c r="GO616" s="36"/>
      <c r="GP616" s="36"/>
      <c r="GQ616" s="36"/>
      <c r="GR616" s="36"/>
      <c r="GS616" s="36"/>
      <c r="GT616" s="36"/>
      <c r="GU616" s="36"/>
      <c r="GV616" s="36"/>
      <c r="GW616" s="36"/>
      <c r="GX616" s="36"/>
      <c r="GY616" s="36"/>
      <c r="GZ616" s="36"/>
      <c r="HA616" s="36"/>
      <c r="HB616" s="36"/>
      <c r="HC616" s="36"/>
      <c r="HD616" s="36"/>
      <c r="HE616" s="36"/>
      <c r="HF616" s="36"/>
      <c r="HG616" s="36"/>
      <c r="HH616" s="36"/>
      <c r="HI616" s="36"/>
      <c r="HJ616" s="36"/>
      <c r="HK616" s="36"/>
      <c r="HL616" s="36"/>
      <c r="HM616" s="36"/>
      <c r="HN616" s="36"/>
      <c r="HO616" s="36"/>
      <c r="HP616" s="36"/>
      <c r="HQ616" s="36"/>
      <c r="HR616" s="36"/>
      <c r="HS616" s="36"/>
      <c r="HT616" s="36"/>
      <c r="HU616" s="36"/>
      <c r="HV616" s="36"/>
      <c r="HW616" s="36"/>
      <c r="HX616" s="36"/>
      <c r="HY616" s="36"/>
      <c r="HZ616" s="36"/>
      <c r="IA616" s="36"/>
      <c r="IB616" s="36"/>
      <c r="IC616" s="36"/>
      <c r="ID616" s="36"/>
      <c r="IE616" s="36"/>
      <c r="IF616" s="36"/>
      <c r="IG616" s="36"/>
      <c r="IH616" s="36"/>
      <c r="II616" s="36"/>
      <c r="IJ616" s="36"/>
      <c r="IK616" s="36"/>
      <c r="IL616" s="36"/>
      <c r="IM616" s="36"/>
      <c r="IN616" s="36"/>
      <c r="IO616" s="36"/>
      <c r="IP616" s="36"/>
      <c r="IQ616" s="36"/>
      <c r="IR616" s="36"/>
      <c r="IS616" s="36"/>
      <c r="IT616" s="36"/>
      <c r="IU616" s="36"/>
      <c r="IV616" s="36"/>
      <c r="IW616" s="36"/>
      <c r="IX616" s="36"/>
      <c r="IY616" s="36"/>
      <c r="IZ616" s="36"/>
      <c r="JA616" s="36"/>
      <c r="JB616" s="36"/>
      <c r="JC616" s="36"/>
      <c r="JD616" s="36"/>
      <c r="JE616" s="36"/>
      <c r="JF616" s="36"/>
      <c r="JG616" s="36"/>
      <c r="JH616" s="36"/>
      <c r="JI616" s="36"/>
      <c r="JJ616" s="36"/>
      <c r="JK616" s="36"/>
      <c r="JL616" s="36"/>
      <c r="JM616" s="36"/>
      <c r="JN616" s="36"/>
      <c r="JO616" s="36"/>
      <c r="JP616" s="36"/>
      <c r="JQ616" s="36"/>
      <c r="JR616" s="36"/>
      <c r="JS616" s="36"/>
      <c r="JT616" s="36"/>
      <c r="JU616" s="36"/>
      <c r="JV616" s="36"/>
      <c r="JW616" s="36"/>
      <c r="JX616" s="36"/>
      <c r="JY616" s="36"/>
      <c r="JZ616" s="36"/>
      <c r="KA616" s="36"/>
      <c r="KB616" s="36"/>
      <c r="KC616" s="36"/>
      <c r="KD616" s="36"/>
      <c r="KE616" s="36"/>
      <c r="KF616" s="36"/>
      <c r="KG616" s="36"/>
      <c r="KH616" s="36"/>
      <c r="KI616" s="36"/>
      <c r="KJ616" s="36"/>
      <c r="KK616" s="36"/>
      <c r="KL616" s="36"/>
      <c r="KM616" s="36"/>
      <c r="KN616" s="36"/>
      <c r="KO616" s="36"/>
      <c r="KP616" s="36"/>
      <c r="KQ616" s="36"/>
      <c r="KR616" s="36"/>
      <c r="KS616" s="36"/>
      <c r="KT616" s="36"/>
      <c r="KU616" s="36"/>
      <c r="KV616" s="36"/>
      <c r="KW616" s="36"/>
      <c r="KX616" s="36"/>
      <c r="KY616" s="36"/>
      <c r="KZ616" s="36"/>
      <c r="LA616" s="36"/>
      <c r="LB616" s="36"/>
      <c r="LC616" s="36"/>
      <c r="LD616" s="36"/>
      <c r="LE616" s="36"/>
      <c r="LF616" s="36"/>
      <c r="LG616" s="36"/>
      <c r="LH616" s="36"/>
      <c r="LI616" s="36"/>
      <c r="LJ616" s="36"/>
      <c r="LK616" s="36"/>
      <c r="LL616" s="36"/>
      <c r="LM616" s="36"/>
      <c r="LN616" s="36"/>
      <c r="LO616" s="36"/>
      <c r="LP616" s="36"/>
      <c r="LQ616" s="36"/>
      <c r="LR616" s="36"/>
      <c r="LS616" s="36"/>
      <c r="LT616" s="36"/>
      <c r="LU616" s="36"/>
      <c r="LV616" s="36"/>
      <c r="LW616" s="36"/>
      <c r="LX616" s="36"/>
      <c r="LY616" s="36"/>
      <c r="LZ616" s="36"/>
      <c r="MA616" s="36"/>
      <c r="MB616" s="36"/>
      <c r="MC616" s="36"/>
      <c r="MD616" s="36"/>
      <c r="ME616" s="36"/>
      <c r="MF616" s="36"/>
      <c r="MG616" s="36"/>
      <c r="MH616" s="36"/>
      <c r="MI616" s="36"/>
      <c r="MJ616" s="36"/>
      <c r="MK616" s="36"/>
      <c r="ML616" s="36"/>
      <c r="MM616" s="36"/>
      <c r="MN616" s="36"/>
      <c r="MO616" s="36"/>
      <c r="MP616" s="36"/>
      <c r="MQ616" s="36"/>
      <c r="MR616" s="36"/>
      <c r="MS616" s="36"/>
      <c r="MT616" s="36"/>
      <c r="MU616" s="36"/>
      <c r="MV616" s="36"/>
      <c r="MW616" s="36"/>
      <c r="MX616" s="36"/>
      <c r="MY616" s="36"/>
      <c r="MZ616" s="36"/>
      <c r="NA616" s="36"/>
      <c r="NB616" s="36"/>
      <c r="NC616" s="36"/>
      <c r="ND616" s="36"/>
      <c r="NE616" s="36"/>
      <c r="NF616" s="36"/>
      <c r="NG616" s="36"/>
      <c r="NH616" s="36"/>
      <c r="NI616" s="36"/>
      <c r="NJ616" s="36"/>
      <c r="NK616" s="36"/>
      <c r="NL616" s="36"/>
      <c r="NM616" s="36"/>
      <c r="NN616" s="36"/>
      <c r="NO616" s="36"/>
      <c r="NP616" s="36"/>
      <c r="NQ616" s="36"/>
      <c r="NR616" s="36"/>
      <c r="NS616" s="36"/>
      <c r="NT616" s="36"/>
      <c r="NU616" s="36"/>
      <c r="NV616" s="36"/>
      <c r="NW616" s="36"/>
      <c r="NX616" s="36"/>
      <c r="NY616" s="36"/>
      <c r="NZ616" s="36"/>
      <c r="OA616" s="36"/>
      <c r="OB616" s="36"/>
      <c r="OC616" s="36"/>
      <c r="OD616" s="36"/>
      <c r="OE616" s="36"/>
      <c r="OF616" s="36"/>
      <c r="OG616" s="36"/>
      <c r="OH616" s="36"/>
      <c r="OI616" s="36"/>
      <c r="OJ616" s="36"/>
      <c r="OK616" s="36"/>
      <c r="OL616" s="36"/>
      <c r="OM616" s="36"/>
      <c r="ON616" s="36"/>
      <c r="OO616" s="36"/>
      <c r="OP616" s="36"/>
      <c r="OQ616" s="36"/>
      <c r="OR616" s="36"/>
      <c r="OS616" s="36"/>
      <c r="OT616" s="36"/>
      <c r="OU616" s="36"/>
      <c r="OV616" s="36"/>
      <c r="OW616" s="36"/>
      <c r="OX616" s="36"/>
    </row>
    <row r="617" spans="2:414" s="27" customFormat="1" ht="15.6">
      <c r="B617" s="51" t="s">
        <v>894</v>
      </c>
      <c r="C617" s="27" t="s">
        <v>44</v>
      </c>
      <c r="D617" s="29" t="s">
        <v>105</v>
      </c>
      <c r="G617" s="49">
        <v>80</v>
      </c>
      <c r="H617" s="89">
        <v>26.109000000000002</v>
      </c>
      <c r="I617" s="38">
        <f t="shared" si="180"/>
        <v>2088.7200000000003</v>
      </c>
      <c r="K617" s="49">
        <v>80</v>
      </c>
      <c r="L617" s="90">
        <v>26.849599999999999</v>
      </c>
      <c r="M617" s="38">
        <f t="shared" si="181"/>
        <v>2147.9679999999998</v>
      </c>
      <c r="O617" s="49">
        <v>505</v>
      </c>
      <c r="P617" s="38">
        <v>26.728300000000001</v>
      </c>
      <c r="Q617" s="38">
        <f t="shared" si="182"/>
        <v>13497.791500000001</v>
      </c>
      <c r="R617" s="43">
        <f t="shared" si="179"/>
        <v>665</v>
      </c>
      <c r="S617" s="38">
        <f t="shared" si="183"/>
        <v>17734.479500000001</v>
      </c>
      <c r="T617" s="27">
        <v>160</v>
      </c>
      <c r="U617" s="52">
        <v>26.57</v>
      </c>
      <c r="V617" s="38">
        <f t="shared" si="190"/>
        <v>4251.2</v>
      </c>
      <c r="W617" s="52">
        <v>155</v>
      </c>
      <c r="X617" s="52">
        <v>26.655899999999999</v>
      </c>
      <c r="Y617" s="35">
        <f t="shared" si="189"/>
        <v>4131.6644999999999</v>
      </c>
      <c r="Z617" s="78"/>
      <c r="AF617" s="42">
        <f t="shared" si="191"/>
        <v>0</v>
      </c>
      <c r="AU617" s="100"/>
      <c r="AV617" s="35"/>
      <c r="AW617" s="78"/>
      <c r="AZ617" s="42">
        <f t="shared" si="178"/>
        <v>0</v>
      </c>
      <c r="BD617" s="38">
        <f t="shared" si="184"/>
        <v>0</v>
      </c>
      <c r="BH617" s="38">
        <f t="shared" si="185"/>
        <v>0</v>
      </c>
      <c r="BL617" s="38">
        <f t="shared" si="186"/>
        <v>0</v>
      </c>
      <c r="BR617" s="42">
        <f t="shared" si="187"/>
        <v>8382.8644999999997</v>
      </c>
      <c r="BS617" s="43">
        <f t="shared" si="188"/>
        <v>9351.6150000000016</v>
      </c>
      <c r="BU617" s="36"/>
      <c r="BV617" s="36"/>
      <c r="BW617" s="36"/>
      <c r="BX617" s="36"/>
      <c r="BY617" s="36"/>
      <c r="BZ617" s="36"/>
      <c r="CA617" s="36"/>
      <c r="CB617" s="36"/>
      <c r="CC617" s="36"/>
      <c r="CD617" s="36"/>
      <c r="CE617" s="36"/>
      <c r="CF617" s="36"/>
      <c r="CG617" s="36"/>
      <c r="CH617" s="36"/>
      <c r="CI617" s="36"/>
      <c r="CJ617" s="36"/>
      <c r="CK617" s="36"/>
      <c r="CL617" s="36"/>
      <c r="CM617" s="36"/>
      <c r="CN617" s="36"/>
      <c r="CO617" s="36"/>
      <c r="CP617" s="36"/>
      <c r="CQ617" s="36"/>
      <c r="CR617" s="36"/>
      <c r="CS617" s="36"/>
      <c r="CT617" s="36"/>
      <c r="CU617" s="36"/>
      <c r="CV617" s="36"/>
      <c r="CW617" s="36"/>
      <c r="CX617" s="36"/>
      <c r="CY617" s="36"/>
      <c r="CZ617" s="36"/>
      <c r="DA617" s="36"/>
      <c r="DB617" s="36"/>
      <c r="DC617" s="36"/>
      <c r="DD617" s="36"/>
      <c r="DE617" s="36"/>
      <c r="DF617" s="36"/>
      <c r="DG617" s="36"/>
      <c r="DH617" s="36"/>
      <c r="DI617" s="36"/>
      <c r="DJ617" s="36"/>
      <c r="DK617" s="36"/>
      <c r="DL617" s="36"/>
      <c r="DM617" s="36"/>
      <c r="DN617" s="36"/>
      <c r="DO617" s="36"/>
      <c r="DP617" s="36"/>
      <c r="DQ617" s="36"/>
      <c r="DR617" s="36"/>
      <c r="DS617" s="36"/>
      <c r="DT617" s="36"/>
      <c r="DU617" s="36"/>
      <c r="DV617" s="36"/>
      <c r="DW617" s="36"/>
      <c r="DX617" s="36"/>
      <c r="DY617" s="36"/>
      <c r="DZ617" s="36"/>
      <c r="EA617" s="36"/>
      <c r="EB617" s="36"/>
      <c r="EC617" s="36"/>
      <c r="ED617" s="36"/>
      <c r="EE617" s="36"/>
      <c r="EF617" s="36"/>
      <c r="EG617" s="36"/>
      <c r="EH617" s="36"/>
      <c r="EI617" s="36"/>
      <c r="EJ617" s="36"/>
      <c r="EK617" s="36"/>
      <c r="EL617" s="36"/>
      <c r="EM617" s="36"/>
      <c r="EN617" s="36"/>
      <c r="EO617" s="36"/>
      <c r="EP617" s="36"/>
      <c r="EQ617" s="36"/>
      <c r="ER617" s="36"/>
      <c r="ES617" s="36"/>
      <c r="ET617" s="36"/>
      <c r="EU617" s="36"/>
      <c r="EV617" s="36"/>
      <c r="EW617" s="36"/>
      <c r="EX617" s="36"/>
      <c r="EY617" s="36"/>
      <c r="EZ617" s="36"/>
      <c r="FA617" s="36"/>
      <c r="FB617" s="36"/>
      <c r="FC617" s="36"/>
      <c r="FD617" s="36"/>
      <c r="FE617" s="36"/>
      <c r="FF617" s="36"/>
      <c r="FG617" s="36"/>
      <c r="FH617" s="36"/>
      <c r="FI617" s="36"/>
      <c r="FJ617" s="36"/>
      <c r="FK617" s="36"/>
      <c r="FL617" s="36"/>
      <c r="FM617" s="36"/>
      <c r="FN617" s="36"/>
      <c r="FO617" s="36"/>
      <c r="FP617" s="36"/>
      <c r="FQ617" s="36"/>
      <c r="FR617" s="36"/>
      <c r="FS617" s="36"/>
      <c r="FT617" s="36"/>
      <c r="FU617" s="36"/>
      <c r="FV617" s="36"/>
      <c r="FW617" s="36"/>
      <c r="FX617" s="36"/>
      <c r="FY617" s="36"/>
      <c r="FZ617" s="36"/>
      <c r="GA617" s="36"/>
      <c r="GB617" s="36"/>
      <c r="GC617" s="36"/>
      <c r="GD617" s="36"/>
      <c r="GE617" s="36"/>
      <c r="GF617" s="36"/>
      <c r="GG617" s="36"/>
      <c r="GH617" s="36"/>
      <c r="GI617" s="36"/>
      <c r="GJ617" s="36"/>
      <c r="GK617" s="36"/>
      <c r="GL617" s="36"/>
      <c r="GM617" s="36"/>
      <c r="GN617" s="36"/>
      <c r="GO617" s="36"/>
      <c r="GP617" s="36"/>
      <c r="GQ617" s="36"/>
      <c r="GR617" s="36"/>
      <c r="GS617" s="36"/>
      <c r="GT617" s="36"/>
      <c r="GU617" s="36"/>
      <c r="GV617" s="36"/>
      <c r="GW617" s="36"/>
      <c r="GX617" s="36"/>
      <c r="GY617" s="36"/>
      <c r="GZ617" s="36"/>
      <c r="HA617" s="36"/>
      <c r="HB617" s="36"/>
      <c r="HC617" s="36"/>
      <c r="HD617" s="36"/>
      <c r="HE617" s="36"/>
      <c r="HF617" s="36"/>
      <c r="HG617" s="36"/>
      <c r="HH617" s="36"/>
      <c r="HI617" s="36"/>
      <c r="HJ617" s="36"/>
      <c r="HK617" s="36"/>
      <c r="HL617" s="36"/>
      <c r="HM617" s="36"/>
      <c r="HN617" s="36"/>
      <c r="HO617" s="36"/>
      <c r="HP617" s="36"/>
      <c r="HQ617" s="36"/>
      <c r="HR617" s="36"/>
      <c r="HS617" s="36"/>
      <c r="HT617" s="36"/>
      <c r="HU617" s="36"/>
      <c r="HV617" s="36"/>
      <c r="HW617" s="36"/>
      <c r="HX617" s="36"/>
      <c r="HY617" s="36"/>
      <c r="HZ617" s="36"/>
      <c r="IA617" s="36"/>
      <c r="IB617" s="36"/>
      <c r="IC617" s="36"/>
      <c r="ID617" s="36"/>
      <c r="IE617" s="36"/>
      <c r="IF617" s="36"/>
      <c r="IG617" s="36"/>
      <c r="IH617" s="36"/>
      <c r="II617" s="36"/>
      <c r="IJ617" s="36"/>
      <c r="IK617" s="36"/>
      <c r="IL617" s="36"/>
      <c r="IM617" s="36"/>
      <c r="IN617" s="36"/>
      <c r="IO617" s="36"/>
      <c r="IP617" s="36"/>
      <c r="IQ617" s="36"/>
      <c r="IR617" s="36"/>
      <c r="IS617" s="36"/>
      <c r="IT617" s="36"/>
      <c r="IU617" s="36"/>
      <c r="IV617" s="36"/>
      <c r="IW617" s="36"/>
      <c r="IX617" s="36"/>
      <c r="IY617" s="36"/>
      <c r="IZ617" s="36"/>
      <c r="JA617" s="36"/>
      <c r="JB617" s="36"/>
      <c r="JC617" s="36"/>
      <c r="JD617" s="36"/>
      <c r="JE617" s="36"/>
      <c r="JF617" s="36"/>
      <c r="JG617" s="36"/>
      <c r="JH617" s="36"/>
      <c r="JI617" s="36"/>
      <c r="JJ617" s="36"/>
      <c r="JK617" s="36"/>
      <c r="JL617" s="36"/>
      <c r="JM617" s="36"/>
      <c r="JN617" s="36"/>
      <c r="JO617" s="36"/>
      <c r="JP617" s="36"/>
      <c r="JQ617" s="36"/>
      <c r="JR617" s="36"/>
      <c r="JS617" s="36"/>
      <c r="JT617" s="36"/>
      <c r="JU617" s="36"/>
      <c r="JV617" s="36"/>
      <c r="JW617" s="36"/>
      <c r="JX617" s="36"/>
      <c r="JY617" s="36"/>
      <c r="JZ617" s="36"/>
      <c r="KA617" s="36"/>
      <c r="KB617" s="36"/>
      <c r="KC617" s="36"/>
      <c r="KD617" s="36"/>
      <c r="KE617" s="36"/>
      <c r="KF617" s="36"/>
      <c r="KG617" s="36"/>
      <c r="KH617" s="36"/>
      <c r="KI617" s="36"/>
      <c r="KJ617" s="36"/>
      <c r="KK617" s="36"/>
      <c r="KL617" s="36"/>
      <c r="KM617" s="36"/>
      <c r="KN617" s="36"/>
      <c r="KO617" s="36"/>
      <c r="KP617" s="36"/>
      <c r="KQ617" s="36"/>
      <c r="KR617" s="36"/>
      <c r="KS617" s="36"/>
      <c r="KT617" s="36"/>
      <c r="KU617" s="36"/>
      <c r="KV617" s="36"/>
      <c r="KW617" s="36"/>
      <c r="KX617" s="36"/>
      <c r="KY617" s="36"/>
      <c r="KZ617" s="36"/>
      <c r="LA617" s="36"/>
      <c r="LB617" s="36"/>
      <c r="LC617" s="36"/>
      <c r="LD617" s="36"/>
      <c r="LE617" s="36"/>
      <c r="LF617" s="36"/>
      <c r="LG617" s="36"/>
      <c r="LH617" s="36"/>
      <c r="LI617" s="36"/>
      <c r="LJ617" s="36"/>
      <c r="LK617" s="36"/>
      <c r="LL617" s="36"/>
      <c r="LM617" s="36"/>
      <c r="LN617" s="36"/>
      <c r="LO617" s="36"/>
      <c r="LP617" s="36"/>
      <c r="LQ617" s="36"/>
      <c r="LR617" s="36"/>
      <c r="LS617" s="36"/>
      <c r="LT617" s="36"/>
      <c r="LU617" s="36"/>
      <c r="LV617" s="36"/>
      <c r="LW617" s="36"/>
      <c r="LX617" s="36"/>
      <c r="LY617" s="36"/>
      <c r="LZ617" s="36"/>
      <c r="MA617" s="36"/>
      <c r="MB617" s="36"/>
      <c r="MC617" s="36"/>
      <c r="MD617" s="36"/>
      <c r="ME617" s="36"/>
      <c r="MF617" s="36"/>
      <c r="MG617" s="36"/>
      <c r="MH617" s="36"/>
      <c r="MI617" s="36"/>
      <c r="MJ617" s="36"/>
      <c r="MK617" s="36"/>
      <c r="ML617" s="36"/>
      <c r="MM617" s="36"/>
      <c r="MN617" s="36"/>
      <c r="MO617" s="36"/>
      <c r="MP617" s="36"/>
      <c r="MQ617" s="36"/>
      <c r="MR617" s="36"/>
      <c r="MS617" s="36"/>
      <c r="MT617" s="36"/>
      <c r="MU617" s="36"/>
      <c r="MV617" s="36"/>
      <c r="MW617" s="36"/>
      <c r="MX617" s="36"/>
      <c r="MY617" s="36"/>
      <c r="MZ617" s="36"/>
      <c r="NA617" s="36"/>
      <c r="NB617" s="36"/>
      <c r="NC617" s="36"/>
      <c r="ND617" s="36"/>
      <c r="NE617" s="36"/>
      <c r="NF617" s="36"/>
      <c r="NG617" s="36"/>
      <c r="NH617" s="36"/>
      <c r="NI617" s="36"/>
      <c r="NJ617" s="36"/>
      <c r="NK617" s="36"/>
      <c r="NL617" s="36"/>
      <c r="NM617" s="36"/>
      <c r="NN617" s="36"/>
      <c r="NO617" s="36"/>
      <c r="NP617" s="36"/>
      <c r="NQ617" s="36"/>
      <c r="NR617" s="36"/>
      <c r="NS617" s="36"/>
      <c r="NT617" s="36"/>
      <c r="NU617" s="36"/>
      <c r="NV617" s="36"/>
      <c r="NW617" s="36"/>
      <c r="NX617" s="36"/>
      <c r="NY617" s="36"/>
      <c r="NZ617" s="36"/>
      <c r="OA617" s="36"/>
      <c r="OB617" s="36"/>
      <c r="OC617" s="36"/>
      <c r="OD617" s="36"/>
      <c r="OE617" s="36"/>
      <c r="OF617" s="36"/>
      <c r="OG617" s="36"/>
      <c r="OH617" s="36"/>
      <c r="OI617" s="36"/>
      <c r="OJ617" s="36"/>
      <c r="OK617" s="36"/>
      <c r="OL617" s="36"/>
      <c r="OM617" s="36"/>
      <c r="ON617" s="36"/>
      <c r="OO617" s="36"/>
      <c r="OP617" s="36"/>
      <c r="OQ617" s="36"/>
      <c r="OR617" s="36"/>
      <c r="OS617" s="36"/>
      <c r="OT617" s="36"/>
      <c r="OU617" s="36"/>
      <c r="OV617" s="36"/>
      <c r="OW617" s="36"/>
      <c r="OX617" s="36"/>
    </row>
    <row r="618" spans="2:414" s="27" customFormat="1" ht="15.6">
      <c r="B618" s="51" t="s">
        <v>1115</v>
      </c>
      <c r="C618" s="27" t="s">
        <v>1116</v>
      </c>
      <c r="D618" s="29" t="s">
        <v>105</v>
      </c>
      <c r="G618" s="49">
        <v>80</v>
      </c>
      <c r="H618" s="89">
        <v>26.109000000000002</v>
      </c>
      <c r="I618" s="38">
        <f t="shared" si="180"/>
        <v>2088.7200000000003</v>
      </c>
      <c r="K618" s="49">
        <v>80</v>
      </c>
      <c r="L618" s="90">
        <v>26.849599999999999</v>
      </c>
      <c r="M618" s="38">
        <f t="shared" si="181"/>
        <v>2147.9679999999998</v>
      </c>
      <c r="O618" s="49">
        <v>505</v>
      </c>
      <c r="P618" s="38">
        <v>26.728300000000001</v>
      </c>
      <c r="Q618" s="38">
        <f t="shared" si="182"/>
        <v>13497.791500000001</v>
      </c>
      <c r="R618" s="43">
        <f t="shared" si="179"/>
        <v>665</v>
      </c>
      <c r="S618" s="38">
        <f t="shared" si="183"/>
        <v>17734.479500000001</v>
      </c>
      <c r="T618" s="27">
        <v>240</v>
      </c>
      <c r="U618" s="52">
        <v>26.73</v>
      </c>
      <c r="V618" s="38">
        <f t="shared" si="190"/>
        <v>6415.2</v>
      </c>
      <c r="W618" s="52">
        <v>505</v>
      </c>
      <c r="X618" s="52">
        <v>26.732500000000002</v>
      </c>
      <c r="Y618" s="35">
        <f t="shared" si="189"/>
        <v>13499.9125</v>
      </c>
      <c r="Z618" s="78"/>
      <c r="AF618" s="42">
        <f t="shared" si="191"/>
        <v>0</v>
      </c>
      <c r="AU618" s="100"/>
      <c r="AV618" s="35"/>
      <c r="AW618" s="78"/>
      <c r="AZ618" s="42">
        <f t="shared" si="178"/>
        <v>0</v>
      </c>
      <c r="BD618" s="38">
        <f t="shared" si="184"/>
        <v>0</v>
      </c>
      <c r="BH618" s="38">
        <f t="shared" si="185"/>
        <v>0</v>
      </c>
      <c r="BL618" s="38">
        <f t="shared" si="186"/>
        <v>0</v>
      </c>
      <c r="BR618" s="42">
        <f t="shared" si="187"/>
        <v>19915.112499999999</v>
      </c>
      <c r="BS618" s="43"/>
      <c r="BT618" s="27">
        <v>2180.63</v>
      </c>
      <c r="BU618" s="36"/>
      <c r="BV618" s="36"/>
      <c r="BW618" s="36"/>
      <c r="BX618" s="36"/>
      <c r="BY618" s="36"/>
      <c r="BZ618" s="36"/>
      <c r="CA618" s="36"/>
      <c r="CB618" s="36"/>
      <c r="CC618" s="36"/>
      <c r="CD618" s="36"/>
      <c r="CE618" s="36"/>
      <c r="CF618" s="36"/>
      <c r="CG618" s="36"/>
      <c r="CH618" s="36"/>
      <c r="CI618" s="36"/>
      <c r="CJ618" s="36"/>
      <c r="CK618" s="36"/>
      <c r="CL618" s="36"/>
      <c r="CM618" s="36"/>
      <c r="CN618" s="36"/>
      <c r="CO618" s="36"/>
      <c r="CP618" s="36"/>
      <c r="CQ618" s="36"/>
      <c r="CR618" s="36"/>
      <c r="CS618" s="36"/>
      <c r="CT618" s="36"/>
      <c r="CU618" s="36"/>
      <c r="CV618" s="36"/>
      <c r="CW618" s="36"/>
      <c r="CX618" s="36"/>
      <c r="CY618" s="36"/>
      <c r="CZ618" s="36"/>
      <c r="DA618" s="36"/>
      <c r="DB618" s="36"/>
      <c r="DC618" s="36"/>
      <c r="DD618" s="36"/>
      <c r="DE618" s="36"/>
      <c r="DF618" s="36"/>
      <c r="DG618" s="36"/>
      <c r="DH618" s="36"/>
      <c r="DI618" s="36"/>
      <c r="DJ618" s="36"/>
      <c r="DK618" s="36"/>
      <c r="DL618" s="36"/>
      <c r="DM618" s="36"/>
      <c r="DN618" s="36"/>
      <c r="DO618" s="36"/>
      <c r="DP618" s="36"/>
      <c r="DQ618" s="36"/>
      <c r="DR618" s="36"/>
      <c r="DS618" s="36"/>
      <c r="DT618" s="36"/>
      <c r="DU618" s="36"/>
      <c r="DV618" s="36"/>
      <c r="DW618" s="36"/>
      <c r="DX618" s="36"/>
      <c r="DY618" s="36"/>
      <c r="DZ618" s="36"/>
      <c r="EA618" s="36"/>
      <c r="EB618" s="36"/>
      <c r="EC618" s="36"/>
      <c r="ED618" s="36"/>
      <c r="EE618" s="36"/>
      <c r="EF618" s="36"/>
      <c r="EG618" s="36"/>
      <c r="EH618" s="36"/>
      <c r="EI618" s="36"/>
      <c r="EJ618" s="36"/>
      <c r="EK618" s="36"/>
      <c r="EL618" s="36"/>
      <c r="EM618" s="36"/>
      <c r="EN618" s="36"/>
      <c r="EO618" s="36"/>
      <c r="EP618" s="36"/>
      <c r="EQ618" s="36"/>
      <c r="ER618" s="36"/>
      <c r="ES618" s="36"/>
      <c r="ET618" s="36"/>
      <c r="EU618" s="36"/>
      <c r="EV618" s="36"/>
      <c r="EW618" s="36"/>
      <c r="EX618" s="36"/>
      <c r="EY618" s="36"/>
      <c r="EZ618" s="36"/>
      <c r="FA618" s="36"/>
      <c r="FB618" s="36"/>
      <c r="FC618" s="36"/>
      <c r="FD618" s="36"/>
      <c r="FE618" s="36"/>
      <c r="FF618" s="36"/>
      <c r="FG618" s="36"/>
      <c r="FH618" s="36"/>
      <c r="FI618" s="36"/>
      <c r="FJ618" s="36"/>
      <c r="FK618" s="36"/>
      <c r="FL618" s="36"/>
      <c r="FM618" s="36"/>
      <c r="FN618" s="36"/>
      <c r="FO618" s="36"/>
      <c r="FP618" s="36"/>
      <c r="FQ618" s="36"/>
      <c r="FR618" s="36"/>
      <c r="FS618" s="36"/>
      <c r="FT618" s="36"/>
      <c r="FU618" s="36"/>
      <c r="FV618" s="36"/>
      <c r="FW618" s="36"/>
      <c r="FX618" s="36"/>
      <c r="FY618" s="36"/>
      <c r="FZ618" s="36"/>
      <c r="GA618" s="36"/>
      <c r="GB618" s="36"/>
      <c r="GC618" s="36"/>
      <c r="GD618" s="36"/>
      <c r="GE618" s="36"/>
      <c r="GF618" s="36"/>
      <c r="GG618" s="36"/>
      <c r="GH618" s="36"/>
      <c r="GI618" s="36"/>
      <c r="GJ618" s="36"/>
      <c r="GK618" s="36"/>
      <c r="GL618" s="36"/>
      <c r="GM618" s="36"/>
      <c r="GN618" s="36"/>
      <c r="GO618" s="36"/>
      <c r="GP618" s="36"/>
      <c r="GQ618" s="36"/>
      <c r="GR618" s="36"/>
      <c r="GS618" s="36"/>
      <c r="GT618" s="36"/>
      <c r="GU618" s="36"/>
      <c r="GV618" s="36"/>
      <c r="GW618" s="36"/>
      <c r="GX618" s="36"/>
      <c r="GY618" s="36"/>
      <c r="GZ618" s="36"/>
      <c r="HA618" s="36"/>
      <c r="HB618" s="36"/>
      <c r="HC618" s="36"/>
      <c r="HD618" s="36"/>
      <c r="HE618" s="36"/>
      <c r="HF618" s="36"/>
      <c r="HG618" s="36"/>
      <c r="HH618" s="36"/>
      <c r="HI618" s="36"/>
      <c r="HJ618" s="36"/>
      <c r="HK618" s="36"/>
      <c r="HL618" s="36"/>
      <c r="HM618" s="36"/>
      <c r="HN618" s="36"/>
      <c r="HO618" s="36"/>
      <c r="HP618" s="36"/>
      <c r="HQ618" s="36"/>
      <c r="HR618" s="36"/>
      <c r="HS618" s="36"/>
      <c r="HT618" s="36"/>
      <c r="HU618" s="36"/>
      <c r="HV618" s="36"/>
      <c r="HW618" s="36"/>
      <c r="HX618" s="36"/>
      <c r="HY618" s="36"/>
      <c r="HZ618" s="36"/>
      <c r="IA618" s="36"/>
      <c r="IB618" s="36"/>
      <c r="IC618" s="36"/>
      <c r="ID618" s="36"/>
      <c r="IE618" s="36"/>
      <c r="IF618" s="36"/>
      <c r="IG618" s="36"/>
      <c r="IH618" s="36"/>
      <c r="II618" s="36"/>
      <c r="IJ618" s="36"/>
      <c r="IK618" s="36"/>
      <c r="IL618" s="36"/>
      <c r="IM618" s="36"/>
      <c r="IN618" s="36"/>
      <c r="IO618" s="36"/>
      <c r="IP618" s="36"/>
      <c r="IQ618" s="36"/>
      <c r="IR618" s="36"/>
      <c r="IS618" s="36"/>
      <c r="IT618" s="36"/>
      <c r="IU618" s="36"/>
      <c r="IV618" s="36"/>
      <c r="IW618" s="36"/>
      <c r="IX618" s="36"/>
      <c r="IY618" s="36"/>
      <c r="IZ618" s="36"/>
      <c r="JA618" s="36"/>
      <c r="JB618" s="36"/>
      <c r="JC618" s="36"/>
      <c r="JD618" s="36"/>
      <c r="JE618" s="36"/>
      <c r="JF618" s="36"/>
      <c r="JG618" s="36"/>
      <c r="JH618" s="36"/>
      <c r="JI618" s="36"/>
      <c r="JJ618" s="36"/>
      <c r="JK618" s="36"/>
      <c r="JL618" s="36"/>
      <c r="JM618" s="36"/>
      <c r="JN618" s="36"/>
      <c r="JO618" s="36"/>
      <c r="JP618" s="36"/>
      <c r="JQ618" s="36"/>
      <c r="JR618" s="36"/>
      <c r="JS618" s="36"/>
      <c r="JT618" s="36"/>
      <c r="JU618" s="36"/>
      <c r="JV618" s="36"/>
      <c r="JW618" s="36"/>
      <c r="JX618" s="36"/>
      <c r="JY618" s="36"/>
      <c r="JZ618" s="36"/>
      <c r="KA618" s="36"/>
      <c r="KB618" s="36"/>
      <c r="KC618" s="36"/>
      <c r="KD618" s="36"/>
      <c r="KE618" s="36"/>
      <c r="KF618" s="36"/>
      <c r="KG618" s="36"/>
      <c r="KH618" s="36"/>
      <c r="KI618" s="36"/>
      <c r="KJ618" s="36"/>
      <c r="KK618" s="36"/>
      <c r="KL618" s="36"/>
      <c r="KM618" s="36"/>
      <c r="KN618" s="36"/>
      <c r="KO618" s="36"/>
      <c r="KP618" s="36"/>
      <c r="KQ618" s="36"/>
      <c r="KR618" s="36"/>
      <c r="KS618" s="36"/>
      <c r="KT618" s="36"/>
      <c r="KU618" s="36"/>
      <c r="KV618" s="36"/>
      <c r="KW618" s="36"/>
      <c r="KX618" s="36"/>
      <c r="KY618" s="36"/>
      <c r="KZ618" s="36"/>
      <c r="LA618" s="36"/>
      <c r="LB618" s="36"/>
      <c r="LC618" s="36"/>
      <c r="LD618" s="36"/>
      <c r="LE618" s="36"/>
      <c r="LF618" s="36"/>
      <c r="LG618" s="36"/>
      <c r="LH618" s="36"/>
      <c r="LI618" s="36"/>
      <c r="LJ618" s="36"/>
      <c r="LK618" s="36"/>
      <c r="LL618" s="36"/>
      <c r="LM618" s="36"/>
      <c r="LN618" s="36"/>
      <c r="LO618" s="36"/>
      <c r="LP618" s="36"/>
      <c r="LQ618" s="36"/>
      <c r="LR618" s="36"/>
      <c r="LS618" s="36"/>
      <c r="LT618" s="36"/>
      <c r="LU618" s="36"/>
      <c r="LV618" s="36"/>
      <c r="LW618" s="36"/>
      <c r="LX618" s="36"/>
      <c r="LY618" s="36"/>
      <c r="LZ618" s="36"/>
      <c r="MA618" s="36"/>
      <c r="MB618" s="36"/>
      <c r="MC618" s="36"/>
      <c r="MD618" s="36"/>
      <c r="ME618" s="36"/>
      <c r="MF618" s="36"/>
      <c r="MG618" s="36"/>
      <c r="MH618" s="36"/>
      <c r="MI618" s="36"/>
      <c r="MJ618" s="36"/>
      <c r="MK618" s="36"/>
      <c r="ML618" s="36"/>
      <c r="MM618" s="36"/>
      <c r="MN618" s="36"/>
      <c r="MO618" s="36"/>
      <c r="MP618" s="36"/>
      <c r="MQ618" s="36"/>
      <c r="MR618" s="36"/>
      <c r="MS618" s="36"/>
      <c r="MT618" s="36"/>
      <c r="MU618" s="36"/>
      <c r="MV618" s="36"/>
      <c r="MW618" s="36"/>
      <c r="MX618" s="36"/>
      <c r="MY618" s="36"/>
      <c r="MZ618" s="36"/>
      <c r="NA618" s="36"/>
      <c r="NB618" s="36"/>
      <c r="NC618" s="36"/>
      <c r="ND618" s="36"/>
      <c r="NE618" s="36"/>
      <c r="NF618" s="36"/>
      <c r="NG618" s="36"/>
      <c r="NH618" s="36"/>
      <c r="NI618" s="36"/>
      <c r="NJ618" s="36"/>
      <c r="NK618" s="36"/>
      <c r="NL618" s="36"/>
      <c r="NM618" s="36"/>
      <c r="NN618" s="36"/>
      <c r="NO618" s="36"/>
      <c r="NP618" s="36"/>
      <c r="NQ618" s="36"/>
      <c r="NR618" s="36"/>
      <c r="NS618" s="36"/>
      <c r="NT618" s="36"/>
      <c r="NU618" s="36"/>
      <c r="NV618" s="36"/>
      <c r="NW618" s="36"/>
      <c r="NX618" s="36"/>
      <c r="NY618" s="36"/>
      <c r="NZ618" s="36"/>
      <c r="OA618" s="36"/>
      <c r="OB618" s="36"/>
      <c r="OC618" s="36"/>
      <c r="OD618" s="36"/>
      <c r="OE618" s="36"/>
      <c r="OF618" s="36"/>
      <c r="OG618" s="36"/>
      <c r="OH618" s="36"/>
      <c r="OI618" s="36"/>
      <c r="OJ618" s="36"/>
      <c r="OK618" s="36"/>
      <c r="OL618" s="36"/>
      <c r="OM618" s="36"/>
      <c r="ON618" s="36"/>
      <c r="OO618" s="36"/>
      <c r="OP618" s="36"/>
      <c r="OQ618" s="36"/>
      <c r="OR618" s="36"/>
      <c r="OS618" s="36"/>
      <c r="OT618" s="36"/>
      <c r="OU618" s="36"/>
      <c r="OV618" s="36"/>
      <c r="OW618" s="36"/>
      <c r="OX618" s="36"/>
    </row>
    <row r="619" spans="2:414" s="27" customFormat="1" ht="15.6">
      <c r="B619" s="51" t="s">
        <v>1117</v>
      </c>
      <c r="C619" s="27" t="s">
        <v>167</v>
      </c>
      <c r="D619" s="29" t="s">
        <v>105</v>
      </c>
      <c r="G619" s="49">
        <v>80</v>
      </c>
      <c r="H619" s="89">
        <v>26.109000000000002</v>
      </c>
      <c r="I619" s="38">
        <f t="shared" si="180"/>
        <v>2088.7200000000003</v>
      </c>
      <c r="K619" s="49">
        <v>80</v>
      </c>
      <c r="L619" s="90">
        <v>26.849599999999999</v>
      </c>
      <c r="M619" s="38">
        <f t="shared" si="181"/>
        <v>2147.9679999999998</v>
      </c>
      <c r="O619" s="49">
        <v>505</v>
      </c>
      <c r="P619" s="38">
        <v>26.728300000000001</v>
      </c>
      <c r="Q619" s="38">
        <f t="shared" si="182"/>
        <v>13497.791500000001</v>
      </c>
      <c r="R619" s="43">
        <f t="shared" si="179"/>
        <v>665</v>
      </c>
      <c r="S619" s="38">
        <f t="shared" si="183"/>
        <v>17734.479500000001</v>
      </c>
      <c r="T619" s="27">
        <v>240</v>
      </c>
      <c r="U619" s="52">
        <v>26.73</v>
      </c>
      <c r="V619" s="38">
        <f t="shared" si="190"/>
        <v>6415.2</v>
      </c>
      <c r="W619" s="52">
        <v>505</v>
      </c>
      <c r="X619" s="52">
        <v>26.72</v>
      </c>
      <c r="Y619" s="35">
        <f t="shared" si="189"/>
        <v>13493.599999999999</v>
      </c>
      <c r="Z619" s="78"/>
      <c r="AF619" s="42">
        <f t="shared" si="191"/>
        <v>0</v>
      </c>
      <c r="AU619" s="100"/>
      <c r="AV619" s="35"/>
      <c r="AW619" s="78"/>
      <c r="AZ619" s="42">
        <f t="shared" si="178"/>
        <v>0</v>
      </c>
      <c r="BD619" s="38">
        <f t="shared" si="184"/>
        <v>0</v>
      </c>
      <c r="BH619" s="38">
        <f t="shared" si="185"/>
        <v>0</v>
      </c>
      <c r="BL619" s="38">
        <f t="shared" si="186"/>
        <v>0</v>
      </c>
      <c r="BR619" s="42">
        <f t="shared" si="187"/>
        <v>19908.8</v>
      </c>
      <c r="BS619" s="43"/>
      <c r="BT619" s="27">
        <v>2174.3200000000002</v>
      </c>
      <c r="BU619" s="36"/>
      <c r="BV619" s="36"/>
      <c r="BW619" s="36"/>
      <c r="BX619" s="36"/>
      <c r="BY619" s="36"/>
      <c r="BZ619" s="36"/>
      <c r="CA619" s="36"/>
      <c r="CB619" s="36"/>
      <c r="CC619" s="36"/>
      <c r="CD619" s="36"/>
      <c r="CE619" s="36"/>
      <c r="CF619" s="36"/>
      <c r="CG619" s="36"/>
      <c r="CH619" s="36"/>
      <c r="CI619" s="36"/>
      <c r="CJ619" s="36"/>
      <c r="CK619" s="36"/>
      <c r="CL619" s="36"/>
      <c r="CM619" s="36"/>
      <c r="CN619" s="36"/>
      <c r="CO619" s="36"/>
      <c r="CP619" s="36"/>
      <c r="CQ619" s="36"/>
      <c r="CR619" s="36"/>
      <c r="CS619" s="36"/>
      <c r="CT619" s="36"/>
      <c r="CU619" s="36"/>
      <c r="CV619" s="36"/>
      <c r="CW619" s="36"/>
      <c r="CX619" s="36"/>
      <c r="CY619" s="36"/>
      <c r="CZ619" s="36"/>
      <c r="DA619" s="36"/>
      <c r="DB619" s="36"/>
      <c r="DC619" s="36"/>
      <c r="DD619" s="36"/>
      <c r="DE619" s="36"/>
      <c r="DF619" s="36"/>
      <c r="DG619" s="36"/>
      <c r="DH619" s="36"/>
      <c r="DI619" s="36"/>
      <c r="DJ619" s="36"/>
      <c r="DK619" s="36"/>
      <c r="DL619" s="36"/>
      <c r="DM619" s="36"/>
      <c r="DN619" s="36"/>
      <c r="DO619" s="36"/>
      <c r="DP619" s="36"/>
      <c r="DQ619" s="36"/>
      <c r="DR619" s="36"/>
      <c r="DS619" s="36"/>
      <c r="DT619" s="36"/>
      <c r="DU619" s="36"/>
      <c r="DV619" s="36"/>
      <c r="DW619" s="36"/>
      <c r="DX619" s="36"/>
      <c r="DY619" s="36"/>
      <c r="DZ619" s="36"/>
      <c r="EA619" s="36"/>
      <c r="EB619" s="36"/>
      <c r="EC619" s="36"/>
      <c r="ED619" s="36"/>
      <c r="EE619" s="36"/>
      <c r="EF619" s="36"/>
      <c r="EG619" s="36"/>
      <c r="EH619" s="36"/>
      <c r="EI619" s="36"/>
      <c r="EJ619" s="36"/>
      <c r="EK619" s="36"/>
      <c r="EL619" s="36"/>
      <c r="EM619" s="36"/>
      <c r="EN619" s="36"/>
      <c r="EO619" s="36"/>
      <c r="EP619" s="36"/>
      <c r="EQ619" s="36"/>
      <c r="ER619" s="36"/>
      <c r="ES619" s="36"/>
      <c r="ET619" s="36"/>
      <c r="EU619" s="36"/>
      <c r="EV619" s="36"/>
      <c r="EW619" s="36"/>
      <c r="EX619" s="36"/>
      <c r="EY619" s="36"/>
      <c r="EZ619" s="36"/>
      <c r="FA619" s="36"/>
      <c r="FB619" s="36"/>
      <c r="FC619" s="36"/>
      <c r="FD619" s="36"/>
      <c r="FE619" s="36"/>
      <c r="FF619" s="36"/>
      <c r="FG619" s="36"/>
      <c r="FH619" s="36"/>
      <c r="FI619" s="36"/>
      <c r="FJ619" s="36"/>
      <c r="FK619" s="36"/>
      <c r="FL619" s="36"/>
      <c r="FM619" s="36"/>
      <c r="FN619" s="36"/>
      <c r="FO619" s="36"/>
      <c r="FP619" s="36"/>
      <c r="FQ619" s="36"/>
      <c r="FR619" s="36"/>
      <c r="FS619" s="36"/>
      <c r="FT619" s="36"/>
      <c r="FU619" s="36"/>
      <c r="FV619" s="36"/>
      <c r="FW619" s="36"/>
      <c r="FX619" s="36"/>
      <c r="FY619" s="36"/>
      <c r="FZ619" s="36"/>
      <c r="GA619" s="36"/>
      <c r="GB619" s="36"/>
      <c r="GC619" s="36"/>
      <c r="GD619" s="36"/>
      <c r="GE619" s="36"/>
      <c r="GF619" s="36"/>
      <c r="GG619" s="36"/>
      <c r="GH619" s="36"/>
      <c r="GI619" s="36"/>
      <c r="GJ619" s="36"/>
      <c r="GK619" s="36"/>
      <c r="GL619" s="36"/>
      <c r="GM619" s="36"/>
      <c r="GN619" s="36"/>
      <c r="GO619" s="36"/>
      <c r="GP619" s="36"/>
      <c r="GQ619" s="36"/>
      <c r="GR619" s="36"/>
      <c r="GS619" s="36"/>
      <c r="GT619" s="36"/>
      <c r="GU619" s="36"/>
      <c r="GV619" s="36"/>
      <c r="GW619" s="36"/>
      <c r="GX619" s="36"/>
      <c r="GY619" s="36"/>
      <c r="GZ619" s="36"/>
      <c r="HA619" s="36"/>
      <c r="HB619" s="36"/>
      <c r="HC619" s="36"/>
      <c r="HD619" s="36"/>
      <c r="HE619" s="36"/>
      <c r="HF619" s="36"/>
      <c r="HG619" s="36"/>
      <c r="HH619" s="36"/>
      <c r="HI619" s="36"/>
      <c r="HJ619" s="36"/>
      <c r="HK619" s="36"/>
      <c r="HL619" s="36"/>
      <c r="HM619" s="36"/>
      <c r="HN619" s="36"/>
      <c r="HO619" s="36"/>
      <c r="HP619" s="36"/>
      <c r="HQ619" s="36"/>
      <c r="HR619" s="36"/>
      <c r="HS619" s="36"/>
      <c r="HT619" s="36"/>
      <c r="HU619" s="36"/>
      <c r="HV619" s="36"/>
      <c r="HW619" s="36"/>
      <c r="HX619" s="36"/>
      <c r="HY619" s="36"/>
      <c r="HZ619" s="36"/>
      <c r="IA619" s="36"/>
      <c r="IB619" s="36"/>
      <c r="IC619" s="36"/>
      <c r="ID619" s="36"/>
      <c r="IE619" s="36"/>
      <c r="IF619" s="36"/>
      <c r="IG619" s="36"/>
      <c r="IH619" s="36"/>
      <c r="II619" s="36"/>
      <c r="IJ619" s="36"/>
      <c r="IK619" s="36"/>
      <c r="IL619" s="36"/>
      <c r="IM619" s="36"/>
      <c r="IN619" s="36"/>
      <c r="IO619" s="36"/>
      <c r="IP619" s="36"/>
      <c r="IQ619" s="36"/>
      <c r="IR619" s="36"/>
      <c r="IS619" s="36"/>
      <c r="IT619" s="36"/>
      <c r="IU619" s="36"/>
      <c r="IV619" s="36"/>
      <c r="IW619" s="36"/>
      <c r="IX619" s="36"/>
      <c r="IY619" s="36"/>
      <c r="IZ619" s="36"/>
      <c r="JA619" s="36"/>
      <c r="JB619" s="36"/>
      <c r="JC619" s="36"/>
      <c r="JD619" s="36"/>
      <c r="JE619" s="36"/>
      <c r="JF619" s="36"/>
      <c r="JG619" s="36"/>
      <c r="JH619" s="36"/>
      <c r="JI619" s="36"/>
      <c r="JJ619" s="36"/>
      <c r="JK619" s="36"/>
      <c r="JL619" s="36"/>
      <c r="JM619" s="36"/>
      <c r="JN619" s="36"/>
      <c r="JO619" s="36"/>
      <c r="JP619" s="36"/>
      <c r="JQ619" s="36"/>
      <c r="JR619" s="36"/>
      <c r="JS619" s="36"/>
      <c r="JT619" s="36"/>
      <c r="JU619" s="36"/>
      <c r="JV619" s="36"/>
      <c r="JW619" s="36"/>
      <c r="JX619" s="36"/>
      <c r="JY619" s="36"/>
      <c r="JZ619" s="36"/>
      <c r="KA619" s="36"/>
      <c r="KB619" s="36"/>
      <c r="KC619" s="36"/>
      <c r="KD619" s="36"/>
      <c r="KE619" s="36"/>
      <c r="KF619" s="36"/>
      <c r="KG619" s="36"/>
      <c r="KH619" s="36"/>
      <c r="KI619" s="36"/>
      <c r="KJ619" s="36"/>
      <c r="KK619" s="36"/>
      <c r="KL619" s="36"/>
      <c r="KM619" s="36"/>
      <c r="KN619" s="36"/>
      <c r="KO619" s="36"/>
      <c r="KP619" s="36"/>
      <c r="KQ619" s="36"/>
      <c r="KR619" s="36"/>
      <c r="KS619" s="36"/>
      <c r="KT619" s="36"/>
      <c r="KU619" s="36"/>
      <c r="KV619" s="36"/>
      <c r="KW619" s="36"/>
      <c r="KX619" s="36"/>
      <c r="KY619" s="36"/>
      <c r="KZ619" s="36"/>
      <c r="LA619" s="36"/>
      <c r="LB619" s="36"/>
      <c r="LC619" s="36"/>
      <c r="LD619" s="36"/>
      <c r="LE619" s="36"/>
      <c r="LF619" s="36"/>
      <c r="LG619" s="36"/>
      <c r="LH619" s="36"/>
      <c r="LI619" s="36"/>
      <c r="LJ619" s="36"/>
      <c r="LK619" s="36"/>
      <c r="LL619" s="36"/>
      <c r="LM619" s="36"/>
      <c r="LN619" s="36"/>
      <c r="LO619" s="36"/>
      <c r="LP619" s="36"/>
      <c r="LQ619" s="36"/>
      <c r="LR619" s="36"/>
      <c r="LS619" s="36"/>
      <c r="LT619" s="36"/>
      <c r="LU619" s="36"/>
      <c r="LV619" s="36"/>
      <c r="LW619" s="36"/>
      <c r="LX619" s="36"/>
      <c r="LY619" s="36"/>
      <c r="LZ619" s="36"/>
      <c r="MA619" s="36"/>
      <c r="MB619" s="36"/>
      <c r="MC619" s="36"/>
      <c r="MD619" s="36"/>
      <c r="ME619" s="36"/>
      <c r="MF619" s="36"/>
      <c r="MG619" s="36"/>
      <c r="MH619" s="36"/>
      <c r="MI619" s="36"/>
      <c r="MJ619" s="36"/>
      <c r="MK619" s="36"/>
      <c r="ML619" s="36"/>
      <c r="MM619" s="36"/>
      <c r="MN619" s="36"/>
      <c r="MO619" s="36"/>
      <c r="MP619" s="36"/>
      <c r="MQ619" s="36"/>
      <c r="MR619" s="36"/>
      <c r="MS619" s="36"/>
      <c r="MT619" s="36"/>
      <c r="MU619" s="36"/>
      <c r="MV619" s="36"/>
      <c r="MW619" s="36"/>
      <c r="MX619" s="36"/>
      <c r="MY619" s="36"/>
      <c r="MZ619" s="36"/>
      <c r="NA619" s="36"/>
      <c r="NB619" s="36"/>
      <c r="NC619" s="36"/>
      <c r="ND619" s="36"/>
      <c r="NE619" s="36"/>
      <c r="NF619" s="36"/>
      <c r="NG619" s="36"/>
      <c r="NH619" s="36"/>
      <c r="NI619" s="36"/>
      <c r="NJ619" s="36"/>
      <c r="NK619" s="36"/>
      <c r="NL619" s="36"/>
      <c r="NM619" s="36"/>
      <c r="NN619" s="36"/>
      <c r="NO619" s="36"/>
      <c r="NP619" s="36"/>
      <c r="NQ619" s="36"/>
      <c r="NR619" s="36"/>
      <c r="NS619" s="36"/>
      <c r="NT619" s="36"/>
      <c r="NU619" s="36"/>
      <c r="NV619" s="36"/>
      <c r="NW619" s="36"/>
      <c r="NX619" s="36"/>
      <c r="NY619" s="36"/>
      <c r="NZ619" s="36"/>
      <c r="OA619" s="36"/>
      <c r="OB619" s="36"/>
      <c r="OC619" s="36"/>
      <c r="OD619" s="36"/>
      <c r="OE619" s="36"/>
      <c r="OF619" s="36"/>
      <c r="OG619" s="36"/>
      <c r="OH619" s="36"/>
      <c r="OI619" s="36"/>
      <c r="OJ619" s="36"/>
      <c r="OK619" s="36"/>
      <c r="OL619" s="36"/>
      <c r="OM619" s="36"/>
      <c r="ON619" s="36"/>
      <c r="OO619" s="36"/>
      <c r="OP619" s="36"/>
      <c r="OQ619" s="36"/>
      <c r="OR619" s="36"/>
      <c r="OS619" s="36"/>
      <c r="OT619" s="36"/>
      <c r="OU619" s="36"/>
      <c r="OV619" s="36"/>
      <c r="OW619" s="36"/>
      <c r="OX619" s="36"/>
    </row>
    <row r="620" spans="2:414" s="27" customFormat="1" ht="15.6">
      <c r="B620" s="51" t="s">
        <v>858</v>
      </c>
      <c r="C620" s="27" t="s">
        <v>857</v>
      </c>
      <c r="D620" s="29" t="s">
        <v>105</v>
      </c>
      <c r="G620" s="49">
        <v>80</v>
      </c>
      <c r="H620" s="89">
        <v>26.109000000000002</v>
      </c>
      <c r="I620" s="38">
        <f t="shared" si="180"/>
        <v>2088.7200000000003</v>
      </c>
      <c r="K620" s="49">
        <v>80</v>
      </c>
      <c r="L620" s="90">
        <v>26.849599999999999</v>
      </c>
      <c r="M620" s="38">
        <f t="shared" si="181"/>
        <v>2147.9679999999998</v>
      </c>
      <c r="O620" s="49">
        <v>505</v>
      </c>
      <c r="P620" s="38">
        <v>26.728300000000001</v>
      </c>
      <c r="Q620" s="38">
        <f t="shared" si="182"/>
        <v>13497.791500000001</v>
      </c>
      <c r="R620" s="43">
        <f t="shared" si="179"/>
        <v>665</v>
      </c>
      <c r="S620" s="38">
        <f t="shared" si="183"/>
        <v>17734.479500000001</v>
      </c>
      <c r="T620" s="27">
        <v>240</v>
      </c>
      <c r="U620" s="52">
        <v>26.68</v>
      </c>
      <c r="V620" s="38">
        <f t="shared" si="190"/>
        <v>6403.2</v>
      </c>
      <c r="W620" s="52">
        <v>505</v>
      </c>
      <c r="X620" s="52">
        <v>26.72</v>
      </c>
      <c r="Y620" s="35">
        <f t="shared" si="189"/>
        <v>13493.599999999999</v>
      </c>
      <c r="Z620" s="78"/>
      <c r="AF620" s="42">
        <f t="shared" si="191"/>
        <v>0</v>
      </c>
      <c r="AU620" s="100"/>
      <c r="AV620" s="35"/>
      <c r="AW620" s="78"/>
      <c r="AZ620" s="42">
        <f t="shared" si="178"/>
        <v>0</v>
      </c>
      <c r="BD620" s="38">
        <f t="shared" si="184"/>
        <v>0</v>
      </c>
      <c r="BH620" s="38">
        <f t="shared" si="185"/>
        <v>0</v>
      </c>
      <c r="BL620" s="38">
        <f t="shared" si="186"/>
        <v>0</v>
      </c>
      <c r="BR620" s="42">
        <f t="shared" si="187"/>
        <v>19896.8</v>
      </c>
      <c r="BS620" s="43"/>
      <c r="BT620" s="27">
        <v>2162.3200000000002</v>
      </c>
      <c r="BU620" s="36"/>
      <c r="BV620" s="36"/>
      <c r="BW620" s="36"/>
      <c r="BX620" s="36"/>
      <c r="BY620" s="36"/>
      <c r="BZ620" s="36"/>
      <c r="CA620" s="36"/>
      <c r="CB620" s="36"/>
      <c r="CC620" s="36"/>
      <c r="CD620" s="36"/>
      <c r="CE620" s="36"/>
      <c r="CF620" s="36"/>
      <c r="CG620" s="36"/>
      <c r="CH620" s="36"/>
      <c r="CI620" s="36"/>
      <c r="CJ620" s="36"/>
      <c r="CK620" s="36"/>
      <c r="CL620" s="36"/>
      <c r="CM620" s="36"/>
      <c r="CN620" s="36"/>
      <c r="CO620" s="36"/>
      <c r="CP620" s="36"/>
      <c r="CQ620" s="36"/>
      <c r="CR620" s="36"/>
      <c r="CS620" s="36"/>
      <c r="CT620" s="36"/>
      <c r="CU620" s="36"/>
      <c r="CV620" s="36"/>
      <c r="CW620" s="36"/>
      <c r="CX620" s="36"/>
      <c r="CY620" s="36"/>
      <c r="CZ620" s="36"/>
      <c r="DA620" s="36"/>
      <c r="DB620" s="36"/>
      <c r="DC620" s="36"/>
      <c r="DD620" s="36"/>
      <c r="DE620" s="36"/>
      <c r="DF620" s="36"/>
      <c r="DG620" s="36"/>
      <c r="DH620" s="36"/>
      <c r="DI620" s="36"/>
      <c r="DJ620" s="36"/>
      <c r="DK620" s="36"/>
      <c r="DL620" s="36"/>
      <c r="DM620" s="36"/>
      <c r="DN620" s="36"/>
      <c r="DO620" s="36"/>
      <c r="DP620" s="36"/>
      <c r="DQ620" s="36"/>
      <c r="DR620" s="36"/>
      <c r="DS620" s="36"/>
      <c r="DT620" s="36"/>
      <c r="DU620" s="36"/>
      <c r="DV620" s="36"/>
      <c r="DW620" s="36"/>
      <c r="DX620" s="36"/>
      <c r="DY620" s="36"/>
      <c r="DZ620" s="36"/>
      <c r="EA620" s="36"/>
      <c r="EB620" s="36"/>
      <c r="EC620" s="36"/>
      <c r="ED620" s="36"/>
      <c r="EE620" s="36"/>
      <c r="EF620" s="36"/>
      <c r="EG620" s="36"/>
      <c r="EH620" s="36"/>
      <c r="EI620" s="36"/>
      <c r="EJ620" s="36"/>
      <c r="EK620" s="36"/>
      <c r="EL620" s="36"/>
      <c r="EM620" s="36"/>
      <c r="EN620" s="36"/>
      <c r="EO620" s="36"/>
      <c r="EP620" s="36"/>
      <c r="EQ620" s="36"/>
      <c r="ER620" s="36"/>
      <c r="ES620" s="36"/>
      <c r="ET620" s="36"/>
      <c r="EU620" s="36"/>
      <c r="EV620" s="36"/>
      <c r="EW620" s="36"/>
      <c r="EX620" s="36"/>
      <c r="EY620" s="36"/>
      <c r="EZ620" s="36"/>
      <c r="FA620" s="36"/>
      <c r="FB620" s="36"/>
      <c r="FC620" s="36"/>
      <c r="FD620" s="36"/>
      <c r="FE620" s="36"/>
      <c r="FF620" s="36"/>
      <c r="FG620" s="36"/>
      <c r="FH620" s="36"/>
      <c r="FI620" s="36"/>
      <c r="FJ620" s="36"/>
      <c r="FK620" s="36"/>
      <c r="FL620" s="36"/>
      <c r="FM620" s="36"/>
      <c r="FN620" s="36"/>
      <c r="FO620" s="36"/>
      <c r="FP620" s="36"/>
      <c r="FQ620" s="36"/>
      <c r="FR620" s="36"/>
      <c r="FS620" s="36"/>
      <c r="FT620" s="36"/>
      <c r="FU620" s="36"/>
      <c r="FV620" s="36"/>
      <c r="FW620" s="36"/>
      <c r="FX620" s="36"/>
      <c r="FY620" s="36"/>
      <c r="FZ620" s="36"/>
      <c r="GA620" s="36"/>
      <c r="GB620" s="36"/>
      <c r="GC620" s="36"/>
      <c r="GD620" s="36"/>
      <c r="GE620" s="36"/>
      <c r="GF620" s="36"/>
      <c r="GG620" s="36"/>
      <c r="GH620" s="36"/>
      <c r="GI620" s="36"/>
      <c r="GJ620" s="36"/>
      <c r="GK620" s="36"/>
      <c r="GL620" s="36"/>
      <c r="GM620" s="36"/>
      <c r="GN620" s="36"/>
      <c r="GO620" s="36"/>
      <c r="GP620" s="36"/>
      <c r="GQ620" s="36"/>
      <c r="GR620" s="36"/>
      <c r="GS620" s="36"/>
      <c r="GT620" s="36"/>
      <c r="GU620" s="36"/>
      <c r="GV620" s="36"/>
      <c r="GW620" s="36"/>
      <c r="GX620" s="36"/>
      <c r="GY620" s="36"/>
      <c r="GZ620" s="36"/>
      <c r="HA620" s="36"/>
      <c r="HB620" s="36"/>
      <c r="HC620" s="36"/>
      <c r="HD620" s="36"/>
      <c r="HE620" s="36"/>
      <c r="HF620" s="36"/>
      <c r="HG620" s="36"/>
      <c r="HH620" s="36"/>
      <c r="HI620" s="36"/>
      <c r="HJ620" s="36"/>
      <c r="HK620" s="36"/>
      <c r="HL620" s="36"/>
      <c r="HM620" s="36"/>
      <c r="HN620" s="36"/>
      <c r="HO620" s="36"/>
      <c r="HP620" s="36"/>
      <c r="HQ620" s="36"/>
      <c r="HR620" s="36"/>
      <c r="HS620" s="36"/>
      <c r="HT620" s="36"/>
      <c r="HU620" s="36"/>
      <c r="HV620" s="36"/>
      <c r="HW620" s="36"/>
      <c r="HX620" s="36"/>
      <c r="HY620" s="36"/>
      <c r="HZ620" s="36"/>
      <c r="IA620" s="36"/>
      <c r="IB620" s="36"/>
      <c r="IC620" s="36"/>
      <c r="ID620" s="36"/>
      <c r="IE620" s="36"/>
      <c r="IF620" s="36"/>
      <c r="IG620" s="36"/>
      <c r="IH620" s="36"/>
      <c r="II620" s="36"/>
      <c r="IJ620" s="36"/>
      <c r="IK620" s="36"/>
      <c r="IL620" s="36"/>
      <c r="IM620" s="36"/>
      <c r="IN620" s="36"/>
      <c r="IO620" s="36"/>
      <c r="IP620" s="36"/>
      <c r="IQ620" s="36"/>
      <c r="IR620" s="36"/>
      <c r="IS620" s="36"/>
      <c r="IT620" s="36"/>
      <c r="IU620" s="36"/>
      <c r="IV620" s="36"/>
      <c r="IW620" s="36"/>
      <c r="IX620" s="36"/>
      <c r="IY620" s="36"/>
      <c r="IZ620" s="36"/>
      <c r="JA620" s="36"/>
      <c r="JB620" s="36"/>
      <c r="JC620" s="36"/>
      <c r="JD620" s="36"/>
      <c r="JE620" s="36"/>
      <c r="JF620" s="36"/>
      <c r="JG620" s="36"/>
      <c r="JH620" s="36"/>
      <c r="JI620" s="36"/>
      <c r="JJ620" s="36"/>
      <c r="JK620" s="36"/>
      <c r="JL620" s="36"/>
      <c r="JM620" s="36"/>
      <c r="JN620" s="36"/>
      <c r="JO620" s="36"/>
      <c r="JP620" s="36"/>
      <c r="JQ620" s="36"/>
      <c r="JR620" s="36"/>
      <c r="JS620" s="36"/>
      <c r="JT620" s="36"/>
      <c r="JU620" s="36"/>
      <c r="JV620" s="36"/>
      <c r="JW620" s="36"/>
      <c r="JX620" s="36"/>
      <c r="JY620" s="36"/>
      <c r="JZ620" s="36"/>
      <c r="KA620" s="36"/>
      <c r="KB620" s="36"/>
      <c r="KC620" s="36"/>
      <c r="KD620" s="36"/>
      <c r="KE620" s="36"/>
      <c r="KF620" s="36"/>
      <c r="KG620" s="36"/>
      <c r="KH620" s="36"/>
      <c r="KI620" s="36"/>
      <c r="KJ620" s="36"/>
      <c r="KK620" s="36"/>
      <c r="KL620" s="36"/>
      <c r="KM620" s="36"/>
      <c r="KN620" s="36"/>
      <c r="KO620" s="36"/>
      <c r="KP620" s="36"/>
      <c r="KQ620" s="36"/>
      <c r="KR620" s="36"/>
      <c r="KS620" s="36"/>
      <c r="KT620" s="36"/>
      <c r="KU620" s="36"/>
      <c r="KV620" s="36"/>
      <c r="KW620" s="36"/>
      <c r="KX620" s="36"/>
      <c r="KY620" s="36"/>
      <c r="KZ620" s="36"/>
      <c r="LA620" s="36"/>
      <c r="LB620" s="36"/>
      <c r="LC620" s="36"/>
      <c r="LD620" s="36"/>
      <c r="LE620" s="36"/>
      <c r="LF620" s="36"/>
      <c r="LG620" s="36"/>
      <c r="LH620" s="36"/>
      <c r="LI620" s="36"/>
      <c r="LJ620" s="36"/>
      <c r="LK620" s="36"/>
      <c r="LL620" s="36"/>
      <c r="LM620" s="36"/>
      <c r="LN620" s="36"/>
      <c r="LO620" s="36"/>
      <c r="LP620" s="36"/>
      <c r="LQ620" s="36"/>
      <c r="LR620" s="36"/>
      <c r="LS620" s="36"/>
      <c r="LT620" s="36"/>
      <c r="LU620" s="36"/>
      <c r="LV620" s="36"/>
      <c r="LW620" s="36"/>
      <c r="LX620" s="36"/>
      <c r="LY620" s="36"/>
      <c r="LZ620" s="36"/>
      <c r="MA620" s="36"/>
      <c r="MB620" s="36"/>
      <c r="MC620" s="36"/>
      <c r="MD620" s="36"/>
      <c r="ME620" s="36"/>
      <c r="MF620" s="36"/>
      <c r="MG620" s="36"/>
      <c r="MH620" s="36"/>
      <c r="MI620" s="36"/>
      <c r="MJ620" s="36"/>
      <c r="MK620" s="36"/>
      <c r="ML620" s="36"/>
      <c r="MM620" s="36"/>
      <c r="MN620" s="36"/>
      <c r="MO620" s="36"/>
      <c r="MP620" s="36"/>
      <c r="MQ620" s="36"/>
      <c r="MR620" s="36"/>
      <c r="MS620" s="36"/>
      <c r="MT620" s="36"/>
      <c r="MU620" s="36"/>
      <c r="MV620" s="36"/>
      <c r="MW620" s="36"/>
      <c r="MX620" s="36"/>
      <c r="MY620" s="36"/>
      <c r="MZ620" s="36"/>
      <c r="NA620" s="36"/>
      <c r="NB620" s="36"/>
      <c r="NC620" s="36"/>
      <c r="ND620" s="36"/>
      <c r="NE620" s="36"/>
      <c r="NF620" s="36"/>
      <c r="NG620" s="36"/>
      <c r="NH620" s="36"/>
      <c r="NI620" s="36"/>
      <c r="NJ620" s="36"/>
      <c r="NK620" s="36"/>
      <c r="NL620" s="36"/>
      <c r="NM620" s="36"/>
      <c r="NN620" s="36"/>
      <c r="NO620" s="36"/>
      <c r="NP620" s="36"/>
      <c r="NQ620" s="36"/>
      <c r="NR620" s="36"/>
      <c r="NS620" s="36"/>
      <c r="NT620" s="36"/>
      <c r="NU620" s="36"/>
      <c r="NV620" s="36"/>
      <c r="NW620" s="36"/>
      <c r="NX620" s="36"/>
      <c r="NY620" s="36"/>
      <c r="NZ620" s="36"/>
      <c r="OA620" s="36"/>
      <c r="OB620" s="36"/>
      <c r="OC620" s="36"/>
      <c r="OD620" s="36"/>
      <c r="OE620" s="36"/>
      <c r="OF620" s="36"/>
      <c r="OG620" s="36"/>
      <c r="OH620" s="36"/>
      <c r="OI620" s="36"/>
      <c r="OJ620" s="36"/>
      <c r="OK620" s="36"/>
      <c r="OL620" s="36"/>
      <c r="OM620" s="36"/>
      <c r="ON620" s="36"/>
      <c r="OO620" s="36"/>
      <c r="OP620" s="36"/>
      <c r="OQ620" s="36"/>
      <c r="OR620" s="36"/>
      <c r="OS620" s="36"/>
      <c r="OT620" s="36"/>
      <c r="OU620" s="36"/>
      <c r="OV620" s="36"/>
      <c r="OW620" s="36"/>
      <c r="OX620" s="36"/>
    </row>
    <row r="621" spans="2:414" s="27" customFormat="1" ht="15.6">
      <c r="B621" s="51" t="s">
        <v>615</v>
      </c>
      <c r="C621" s="27" t="s">
        <v>1118</v>
      </c>
      <c r="D621" s="29" t="s">
        <v>105</v>
      </c>
      <c r="G621" s="49">
        <v>80</v>
      </c>
      <c r="H621" s="89">
        <v>26.109000000000002</v>
      </c>
      <c r="I621" s="38">
        <f t="shared" si="180"/>
        <v>2088.7200000000003</v>
      </c>
      <c r="K621" s="49">
        <v>80</v>
      </c>
      <c r="L621" s="90">
        <v>26.849599999999999</v>
      </c>
      <c r="M621" s="38">
        <f t="shared" si="181"/>
        <v>2147.9679999999998</v>
      </c>
      <c r="O621" s="49">
        <v>505</v>
      </c>
      <c r="P621" s="38">
        <v>26.728300000000001</v>
      </c>
      <c r="Q621" s="38">
        <f t="shared" si="182"/>
        <v>13497.791500000001</v>
      </c>
      <c r="R621" s="43">
        <f t="shared" si="179"/>
        <v>665</v>
      </c>
      <c r="S621" s="38">
        <f t="shared" si="183"/>
        <v>17734.479500000001</v>
      </c>
      <c r="T621" s="27">
        <v>240</v>
      </c>
      <c r="U621" s="52">
        <v>26.3461</v>
      </c>
      <c r="V621" s="38">
        <f t="shared" si="190"/>
        <v>6323.0640000000003</v>
      </c>
      <c r="W621" s="52">
        <v>505</v>
      </c>
      <c r="X621" s="52">
        <v>26.731200000000001</v>
      </c>
      <c r="Y621" s="35">
        <f t="shared" si="189"/>
        <v>13499.256000000001</v>
      </c>
      <c r="Z621" s="78"/>
      <c r="AF621" s="42">
        <f t="shared" si="191"/>
        <v>0</v>
      </c>
      <c r="AU621" s="100"/>
      <c r="AV621" s="35"/>
      <c r="AW621" s="78"/>
      <c r="AZ621" s="42">
        <f t="shared" si="178"/>
        <v>0</v>
      </c>
      <c r="BD621" s="38">
        <f t="shared" si="184"/>
        <v>0</v>
      </c>
      <c r="BH621" s="38">
        <f t="shared" si="185"/>
        <v>0</v>
      </c>
      <c r="BL621" s="38">
        <f t="shared" si="186"/>
        <v>0</v>
      </c>
      <c r="BR621" s="42">
        <f t="shared" si="187"/>
        <v>19822.32</v>
      </c>
      <c r="BS621" s="43"/>
      <c r="BT621" s="27">
        <v>2087.84</v>
      </c>
      <c r="BU621" s="36"/>
      <c r="BV621" s="36"/>
      <c r="BW621" s="36"/>
      <c r="BX621" s="36"/>
      <c r="BY621" s="36"/>
      <c r="BZ621" s="36"/>
      <c r="CA621" s="36"/>
      <c r="CB621" s="36"/>
      <c r="CC621" s="36"/>
      <c r="CD621" s="36"/>
      <c r="CE621" s="36"/>
      <c r="CF621" s="36"/>
      <c r="CG621" s="36"/>
      <c r="CH621" s="36"/>
      <c r="CI621" s="36"/>
      <c r="CJ621" s="36"/>
      <c r="CK621" s="36"/>
      <c r="CL621" s="36"/>
      <c r="CM621" s="36"/>
      <c r="CN621" s="36"/>
      <c r="CO621" s="36"/>
      <c r="CP621" s="36"/>
      <c r="CQ621" s="36"/>
      <c r="CR621" s="36"/>
      <c r="CS621" s="36"/>
      <c r="CT621" s="36"/>
      <c r="CU621" s="36"/>
      <c r="CV621" s="36"/>
      <c r="CW621" s="36"/>
      <c r="CX621" s="36"/>
      <c r="CY621" s="36"/>
      <c r="CZ621" s="36"/>
      <c r="DA621" s="36"/>
      <c r="DB621" s="36"/>
      <c r="DC621" s="36"/>
      <c r="DD621" s="36"/>
      <c r="DE621" s="36"/>
      <c r="DF621" s="36"/>
      <c r="DG621" s="36"/>
      <c r="DH621" s="36"/>
      <c r="DI621" s="36"/>
      <c r="DJ621" s="36"/>
      <c r="DK621" s="36"/>
      <c r="DL621" s="36"/>
      <c r="DM621" s="36"/>
      <c r="DN621" s="36"/>
      <c r="DO621" s="36"/>
      <c r="DP621" s="36"/>
      <c r="DQ621" s="36"/>
      <c r="DR621" s="36"/>
      <c r="DS621" s="36"/>
      <c r="DT621" s="36"/>
      <c r="DU621" s="36"/>
      <c r="DV621" s="36"/>
      <c r="DW621" s="36"/>
      <c r="DX621" s="36"/>
      <c r="DY621" s="36"/>
      <c r="DZ621" s="36"/>
      <c r="EA621" s="36"/>
      <c r="EB621" s="36"/>
      <c r="EC621" s="36"/>
      <c r="ED621" s="36"/>
      <c r="EE621" s="36"/>
      <c r="EF621" s="36"/>
      <c r="EG621" s="36"/>
      <c r="EH621" s="36"/>
      <c r="EI621" s="36"/>
      <c r="EJ621" s="36"/>
      <c r="EK621" s="36"/>
      <c r="EL621" s="36"/>
      <c r="EM621" s="36"/>
      <c r="EN621" s="36"/>
      <c r="EO621" s="36"/>
      <c r="EP621" s="36"/>
      <c r="EQ621" s="36"/>
      <c r="ER621" s="36"/>
      <c r="ES621" s="36"/>
      <c r="ET621" s="36"/>
      <c r="EU621" s="36"/>
      <c r="EV621" s="36"/>
      <c r="EW621" s="36"/>
      <c r="EX621" s="36"/>
      <c r="EY621" s="36"/>
      <c r="EZ621" s="36"/>
      <c r="FA621" s="36"/>
      <c r="FB621" s="36"/>
      <c r="FC621" s="36"/>
      <c r="FD621" s="36"/>
      <c r="FE621" s="36"/>
      <c r="FF621" s="36"/>
      <c r="FG621" s="36"/>
      <c r="FH621" s="36"/>
      <c r="FI621" s="36"/>
      <c r="FJ621" s="36"/>
      <c r="FK621" s="36"/>
      <c r="FL621" s="36"/>
      <c r="FM621" s="36"/>
      <c r="FN621" s="36"/>
      <c r="FO621" s="36"/>
      <c r="FP621" s="36"/>
      <c r="FQ621" s="36"/>
      <c r="FR621" s="36"/>
      <c r="FS621" s="36"/>
      <c r="FT621" s="36"/>
      <c r="FU621" s="36"/>
      <c r="FV621" s="36"/>
      <c r="FW621" s="36"/>
      <c r="FX621" s="36"/>
      <c r="FY621" s="36"/>
      <c r="FZ621" s="36"/>
      <c r="GA621" s="36"/>
      <c r="GB621" s="36"/>
      <c r="GC621" s="36"/>
      <c r="GD621" s="36"/>
      <c r="GE621" s="36"/>
      <c r="GF621" s="36"/>
      <c r="GG621" s="36"/>
      <c r="GH621" s="36"/>
      <c r="GI621" s="36"/>
      <c r="GJ621" s="36"/>
      <c r="GK621" s="36"/>
      <c r="GL621" s="36"/>
      <c r="GM621" s="36"/>
      <c r="GN621" s="36"/>
      <c r="GO621" s="36"/>
      <c r="GP621" s="36"/>
      <c r="GQ621" s="36"/>
      <c r="GR621" s="36"/>
      <c r="GS621" s="36"/>
      <c r="GT621" s="36"/>
      <c r="GU621" s="36"/>
      <c r="GV621" s="36"/>
      <c r="GW621" s="36"/>
      <c r="GX621" s="36"/>
      <c r="GY621" s="36"/>
      <c r="GZ621" s="36"/>
      <c r="HA621" s="36"/>
      <c r="HB621" s="36"/>
      <c r="HC621" s="36"/>
      <c r="HD621" s="36"/>
      <c r="HE621" s="36"/>
      <c r="HF621" s="36"/>
      <c r="HG621" s="36"/>
      <c r="HH621" s="36"/>
      <c r="HI621" s="36"/>
      <c r="HJ621" s="36"/>
      <c r="HK621" s="36"/>
      <c r="HL621" s="36"/>
      <c r="HM621" s="36"/>
      <c r="HN621" s="36"/>
      <c r="HO621" s="36"/>
      <c r="HP621" s="36"/>
      <c r="HQ621" s="36"/>
      <c r="HR621" s="36"/>
      <c r="HS621" s="36"/>
      <c r="HT621" s="36"/>
      <c r="HU621" s="36"/>
      <c r="HV621" s="36"/>
      <c r="HW621" s="36"/>
      <c r="HX621" s="36"/>
      <c r="HY621" s="36"/>
      <c r="HZ621" s="36"/>
      <c r="IA621" s="36"/>
      <c r="IB621" s="36"/>
      <c r="IC621" s="36"/>
      <c r="ID621" s="36"/>
      <c r="IE621" s="36"/>
      <c r="IF621" s="36"/>
      <c r="IG621" s="36"/>
      <c r="IH621" s="36"/>
      <c r="II621" s="36"/>
      <c r="IJ621" s="36"/>
      <c r="IK621" s="36"/>
      <c r="IL621" s="36"/>
      <c r="IM621" s="36"/>
      <c r="IN621" s="36"/>
      <c r="IO621" s="36"/>
      <c r="IP621" s="36"/>
      <c r="IQ621" s="36"/>
      <c r="IR621" s="36"/>
      <c r="IS621" s="36"/>
      <c r="IT621" s="36"/>
      <c r="IU621" s="36"/>
      <c r="IV621" s="36"/>
      <c r="IW621" s="36"/>
      <c r="IX621" s="36"/>
      <c r="IY621" s="36"/>
      <c r="IZ621" s="36"/>
      <c r="JA621" s="36"/>
      <c r="JB621" s="36"/>
      <c r="JC621" s="36"/>
      <c r="JD621" s="36"/>
      <c r="JE621" s="36"/>
      <c r="JF621" s="36"/>
      <c r="JG621" s="36"/>
      <c r="JH621" s="36"/>
      <c r="JI621" s="36"/>
      <c r="JJ621" s="36"/>
      <c r="JK621" s="36"/>
      <c r="JL621" s="36"/>
      <c r="JM621" s="36"/>
      <c r="JN621" s="36"/>
      <c r="JO621" s="36"/>
      <c r="JP621" s="36"/>
      <c r="JQ621" s="36"/>
      <c r="JR621" s="36"/>
      <c r="JS621" s="36"/>
      <c r="JT621" s="36"/>
      <c r="JU621" s="36"/>
      <c r="JV621" s="36"/>
      <c r="JW621" s="36"/>
      <c r="JX621" s="36"/>
      <c r="JY621" s="36"/>
      <c r="JZ621" s="36"/>
      <c r="KA621" s="36"/>
      <c r="KB621" s="36"/>
      <c r="KC621" s="36"/>
      <c r="KD621" s="36"/>
      <c r="KE621" s="36"/>
      <c r="KF621" s="36"/>
      <c r="KG621" s="36"/>
      <c r="KH621" s="36"/>
      <c r="KI621" s="36"/>
      <c r="KJ621" s="36"/>
      <c r="KK621" s="36"/>
      <c r="KL621" s="36"/>
      <c r="KM621" s="36"/>
      <c r="KN621" s="36"/>
      <c r="KO621" s="36"/>
      <c r="KP621" s="36"/>
      <c r="KQ621" s="36"/>
      <c r="KR621" s="36"/>
      <c r="KS621" s="36"/>
      <c r="KT621" s="36"/>
      <c r="KU621" s="36"/>
      <c r="KV621" s="36"/>
      <c r="KW621" s="36"/>
      <c r="KX621" s="36"/>
      <c r="KY621" s="36"/>
      <c r="KZ621" s="36"/>
      <c r="LA621" s="36"/>
      <c r="LB621" s="36"/>
      <c r="LC621" s="36"/>
      <c r="LD621" s="36"/>
      <c r="LE621" s="36"/>
      <c r="LF621" s="36"/>
      <c r="LG621" s="36"/>
      <c r="LH621" s="36"/>
      <c r="LI621" s="36"/>
      <c r="LJ621" s="36"/>
      <c r="LK621" s="36"/>
      <c r="LL621" s="36"/>
      <c r="LM621" s="36"/>
      <c r="LN621" s="36"/>
      <c r="LO621" s="36"/>
      <c r="LP621" s="36"/>
      <c r="LQ621" s="36"/>
      <c r="LR621" s="36"/>
      <c r="LS621" s="36"/>
      <c r="LT621" s="36"/>
      <c r="LU621" s="36"/>
      <c r="LV621" s="36"/>
      <c r="LW621" s="36"/>
      <c r="LX621" s="36"/>
      <c r="LY621" s="36"/>
      <c r="LZ621" s="36"/>
      <c r="MA621" s="36"/>
      <c r="MB621" s="36"/>
      <c r="MC621" s="36"/>
      <c r="MD621" s="36"/>
      <c r="ME621" s="36"/>
      <c r="MF621" s="36"/>
      <c r="MG621" s="36"/>
      <c r="MH621" s="36"/>
      <c r="MI621" s="36"/>
      <c r="MJ621" s="36"/>
      <c r="MK621" s="36"/>
      <c r="ML621" s="36"/>
      <c r="MM621" s="36"/>
      <c r="MN621" s="36"/>
      <c r="MO621" s="36"/>
      <c r="MP621" s="36"/>
      <c r="MQ621" s="36"/>
      <c r="MR621" s="36"/>
      <c r="MS621" s="36"/>
      <c r="MT621" s="36"/>
      <c r="MU621" s="36"/>
      <c r="MV621" s="36"/>
      <c r="MW621" s="36"/>
      <c r="MX621" s="36"/>
      <c r="MY621" s="36"/>
      <c r="MZ621" s="36"/>
      <c r="NA621" s="36"/>
      <c r="NB621" s="36"/>
      <c r="NC621" s="36"/>
      <c r="ND621" s="36"/>
      <c r="NE621" s="36"/>
      <c r="NF621" s="36"/>
      <c r="NG621" s="36"/>
      <c r="NH621" s="36"/>
      <c r="NI621" s="36"/>
      <c r="NJ621" s="36"/>
      <c r="NK621" s="36"/>
      <c r="NL621" s="36"/>
      <c r="NM621" s="36"/>
      <c r="NN621" s="36"/>
      <c r="NO621" s="36"/>
      <c r="NP621" s="36"/>
      <c r="NQ621" s="36"/>
      <c r="NR621" s="36"/>
      <c r="NS621" s="36"/>
      <c r="NT621" s="36"/>
      <c r="NU621" s="36"/>
      <c r="NV621" s="36"/>
      <c r="NW621" s="36"/>
      <c r="NX621" s="36"/>
      <c r="NY621" s="36"/>
      <c r="NZ621" s="36"/>
      <c r="OA621" s="36"/>
      <c r="OB621" s="36"/>
      <c r="OC621" s="36"/>
      <c r="OD621" s="36"/>
      <c r="OE621" s="36"/>
      <c r="OF621" s="36"/>
      <c r="OG621" s="36"/>
      <c r="OH621" s="36"/>
      <c r="OI621" s="36"/>
      <c r="OJ621" s="36"/>
      <c r="OK621" s="36"/>
      <c r="OL621" s="36"/>
      <c r="OM621" s="36"/>
      <c r="ON621" s="36"/>
      <c r="OO621" s="36"/>
      <c r="OP621" s="36"/>
      <c r="OQ621" s="36"/>
      <c r="OR621" s="36"/>
      <c r="OS621" s="36"/>
      <c r="OT621" s="36"/>
      <c r="OU621" s="36"/>
      <c r="OV621" s="36"/>
      <c r="OW621" s="36"/>
      <c r="OX621" s="36"/>
    </row>
    <row r="622" spans="2:414" s="27" customFormat="1" ht="15.6">
      <c r="B622" s="51" t="s">
        <v>563</v>
      </c>
      <c r="C622" s="27" t="s">
        <v>138</v>
      </c>
      <c r="D622" s="29" t="s">
        <v>105</v>
      </c>
      <c r="G622" s="49">
        <v>80</v>
      </c>
      <c r="H622" s="89">
        <v>26.109000000000002</v>
      </c>
      <c r="I622" s="38">
        <f t="shared" si="180"/>
        <v>2088.7200000000003</v>
      </c>
      <c r="K622" s="49">
        <v>80</v>
      </c>
      <c r="L622" s="90">
        <v>26.849599999999999</v>
      </c>
      <c r="M622" s="38">
        <f t="shared" si="181"/>
        <v>2147.9679999999998</v>
      </c>
      <c r="O622" s="49">
        <v>505</v>
      </c>
      <c r="P622" s="38">
        <v>26.728300000000001</v>
      </c>
      <c r="Q622" s="38">
        <f t="shared" si="182"/>
        <v>13497.791500000001</v>
      </c>
      <c r="R622" s="43">
        <f t="shared" si="179"/>
        <v>665</v>
      </c>
      <c r="S622" s="38">
        <f t="shared" si="183"/>
        <v>17734.479500000001</v>
      </c>
      <c r="T622" s="27">
        <v>240</v>
      </c>
      <c r="U622" s="52">
        <v>26.5715</v>
      </c>
      <c r="V622" s="38">
        <f t="shared" si="190"/>
        <v>6377.16</v>
      </c>
      <c r="W622" s="52">
        <v>505</v>
      </c>
      <c r="X622" s="52">
        <v>26.677399999999999</v>
      </c>
      <c r="Y622" s="35">
        <f t="shared" si="189"/>
        <v>13472.087</v>
      </c>
      <c r="Z622" s="78"/>
      <c r="AF622" s="42">
        <f t="shared" si="191"/>
        <v>0</v>
      </c>
      <c r="AU622" s="100"/>
      <c r="AV622" s="35"/>
      <c r="AW622" s="78"/>
      <c r="AZ622" s="42">
        <f t="shared" si="178"/>
        <v>0</v>
      </c>
      <c r="BD622" s="38">
        <f t="shared" si="184"/>
        <v>0</v>
      </c>
      <c r="BH622" s="38">
        <f t="shared" si="185"/>
        <v>0</v>
      </c>
      <c r="BL622" s="38">
        <f t="shared" si="186"/>
        <v>0</v>
      </c>
      <c r="BR622" s="42">
        <f t="shared" si="187"/>
        <v>19849.246999999999</v>
      </c>
      <c r="BS622" s="43"/>
      <c r="BT622" s="27">
        <v>2114.77</v>
      </c>
      <c r="BU622" s="36"/>
      <c r="BV622" s="36"/>
      <c r="BW622" s="36"/>
      <c r="BX622" s="36"/>
      <c r="BY622" s="36"/>
      <c r="BZ622" s="36"/>
      <c r="CA622" s="36"/>
      <c r="CB622" s="36"/>
      <c r="CC622" s="36"/>
      <c r="CD622" s="36"/>
      <c r="CE622" s="36"/>
      <c r="CF622" s="36"/>
      <c r="CG622" s="36"/>
      <c r="CH622" s="36"/>
      <c r="CI622" s="36"/>
      <c r="CJ622" s="36"/>
      <c r="CK622" s="36"/>
      <c r="CL622" s="36"/>
      <c r="CM622" s="36"/>
      <c r="CN622" s="36"/>
      <c r="CO622" s="36"/>
      <c r="CP622" s="36"/>
      <c r="CQ622" s="36"/>
      <c r="CR622" s="36"/>
      <c r="CS622" s="36"/>
      <c r="CT622" s="36"/>
      <c r="CU622" s="36"/>
      <c r="CV622" s="36"/>
      <c r="CW622" s="36"/>
      <c r="CX622" s="36"/>
      <c r="CY622" s="36"/>
      <c r="CZ622" s="36"/>
      <c r="DA622" s="36"/>
      <c r="DB622" s="36"/>
      <c r="DC622" s="36"/>
      <c r="DD622" s="36"/>
      <c r="DE622" s="36"/>
      <c r="DF622" s="36"/>
      <c r="DG622" s="36"/>
      <c r="DH622" s="36"/>
      <c r="DI622" s="36"/>
      <c r="DJ622" s="36"/>
      <c r="DK622" s="36"/>
      <c r="DL622" s="36"/>
      <c r="DM622" s="36"/>
      <c r="DN622" s="36"/>
      <c r="DO622" s="36"/>
      <c r="DP622" s="36"/>
      <c r="DQ622" s="36"/>
      <c r="DR622" s="36"/>
      <c r="DS622" s="36"/>
      <c r="DT622" s="36"/>
      <c r="DU622" s="36"/>
      <c r="DV622" s="36"/>
      <c r="DW622" s="36"/>
      <c r="DX622" s="36"/>
      <c r="DY622" s="36"/>
      <c r="DZ622" s="36"/>
      <c r="EA622" s="36"/>
      <c r="EB622" s="36"/>
      <c r="EC622" s="36"/>
      <c r="ED622" s="36"/>
      <c r="EE622" s="36"/>
      <c r="EF622" s="36"/>
      <c r="EG622" s="36"/>
      <c r="EH622" s="36"/>
      <c r="EI622" s="36"/>
      <c r="EJ622" s="36"/>
      <c r="EK622" s="36"/>
      <c r="EL622" s="36"/>
      <c r="EM622" s="36"/>
      <c r="EN622" s="36"/>
      <c r="EO622" s="36"/>
      <c r="EP622" s="36"/>
      <c r="EQ622" s="36"/>
      <c r="ER622" s="36"/>
      <c r="ES622" s="36"/>
      <c r="ET622" s="36"/>
      <c r="EU622" s="36"/>
      <c r="EV622" s="36"/>
      <c r="EW622" s="36"/>
      <c r="EX622" s="36"/>
      <c r="EY622" s="36"/>
      <c r="EZ622" s="36"/>
      <c r="FA622" s="36"/>
      <c r="FB622" s="36"/>
      <c r="FC622" s="36"/>
      <c r="FD622" s="36"/>
      <c r="FE622" s="36"/>
      <c r="FF622" s="36"/>
      <c r="FG622" s="36"/>
      <c r="FH622" s="36"/>
      <c r="FI622" s="36"/>
      <c r="FJ622" s="36"/>
      <c r="FK622" s="36"/>
      <c r="FL622" s="36"/>
      <c r="FM622" s="36"/>
      <c r="FN622" s="36"/>
      <c r="FO622" s="36"/>
      <c r="FP622" s="36"/>
      <c r="FQ622" s="36"/>
      <c r="FR622" s="36"/>
      <c r="FS622" s="36"/>
      <c r="FT622" s="36"/>
      <c r="FU622" s="36"/>
      <c r="FV622" s="36"/>
      <c r="FW622" s="36"/>
      <c r="FX622" s="36"/>
      <c r="FY622" s="36"/>
      <c r="FZ622" s="36"/>
      <c r="GA622" s="36"/>
      <c r="GB622" s="36"/>
      <c r="GC622" s="36"/>
      <c r="GD622" s="36"/>
      <c r="GE622" s="36"/>
      <c r="GF622" s="36"/>
      <c r="GG622" s="36"/>
      <c r="GH622" s="36"/>
      <c r="GI622" s="36"/>
      <c r="GJ622" s="36"/>
      <c r="GK622" s="36"/>
      <c r="GL622" s="36"/>
      <c r="GM622" s="36"/>
      <c r="GN622" s="36"/>
      <c r="GO622" s="36"/>
      <c r="GP622" s="36"/>
      <c r="GQ622" s="36"/>
      <c r="GR622" s="36"/>
      <c r="GS622" s="36"/>
      <c r="GT622" s="36"/>
      <c r="GU622" s="36"/>
      <c r="GV622" s="36"/>
      <c r="GW622" s="36"/>
      <c r="GX622" s="36"/>
      <c r="GY622" s="36"/>
      <c r="GZ622" s="36"/>
      <c r="HA622" s="36"/>
      <c r="HB622" s="36"/>
      <c r="HC622" s="36"/>
      <c r="HD622" s="36"/>
      <c r="HE622" s="36"/>
      <c r="HF622" s="36"/>
      <c r="HG622" s="36"/>
      <c r="HH622" s="36"/>
      <c r="HI622" s="36"/>
      <c r="HJ622" s="36"/>
      <c r="HK622" s="36"/>
      <c r="HL622" s="36"/>
      <c r="HM622" s="36"/>
      <c r="HN622" s="36"/>
      <c r="HO622" s="36"/>
      <c r="HP622" s="36"/>
      <c r="HQ622" s="36"/>
      <c r="HR622" s="36"/>
      <c r="HS622" s="36"/>
      <c r="HT622" s="36"/>
      <c r="HU622" s="36"/>
      <c r="HV622" s="36"/>
      <c r="HW622" s="36"/>
      <c r="HX622" s="36"/>
      <c r="HY622" s="36"/>
      <c r="HZ622" s="36"/>
      <c r="IA622" s="36"/>
      <c r="IB622" s="36"/>
      <c r="IC622" s="36"/>
      <c r="ID622" s="36"/>
      <c r="IE622" s="36"/>
      <c r="IF622" s="36"/>
      <c r="IG622" s="36"/>
      <c r="IH622" s="36"/>
      <c r="II622" s="36"/>
      <c r="IJ622" s="36"/>
      <c r="IK622" s="36"/>
      <c r="IL622" s="36"/>
      <c r="IM622" s="36"/>
      <c r="IN622" s="36"/>
      <c r="IO622" s="36"/>
      <c r="IP622" s="36"/>
      <c r="IQ622" s="36"/>
      <c r="IR622" s="36"/>
      <c r="IS622" s="36"/>
      <c r="IT622" s="36"/>
      <c r="IU622" s="36"/>
      <c r="IV622" s="36"/>
      <c r="IW622" s="36"/>
      <c r="IX622" s="36"/>
      <c r="IY622" s="36"/>
      <c r="IZ622" s="36"/>
      <c r="JA622" s="36"/>
      <c r="JB622" s="36"/>
      <c r="JC622" s="36"/>
      <c r="JD622" s="36"/>
      <c r="JE622" s="36"/>
      <c r="JF622" s="36"/>
      <c r="JG622" s="36"/>
      <c r="JH622" s="36"/>
      <c r="JI622" s="36"/>
      <c r="JJ622" s="36"/>
      <c r="JK622" s="36"/>
      <c r="JL622" s="36"/>
      <c r="JM622" s="36"/>
      <c r="JN622" s="36"/>
      <c r="JO622" s="36"/>
      <c r="JP622" s="36"/>
      <c r="JQ622" s="36"/>
      <c r="JR622" s="36"/>
      <c r="JS622" s="36"/>
      <c r="JT622" s="36"/>
      <c r="JU622" s="36"/>
      <c r="JV622" s="36"/>
      <c r="JW622" s="36"/>
      <c r="JX622" s="36"/>
      <c r="JY622" s="36"/>
      <c r="JZ622" s="36"/>
      <c r="KA622" s="36"/>
      <c r="KB622" s="36"/>
      <c r="KC622" s="36"/>
      <c r="KD622" s="36"/>
      <c r="KE622" s="36"/>
      <c r="KF622" s="36"/>
      <c r="KG622" s="36"/>
      <c r="KH622" s="36"/>
      <c r="KI622" s="36"/>
      <c r="KJ622" s="36"/>
      <c r="KK622" s="36"/>
      <c r="KL622" s="36"/>
      <c r="KM622" s="36"/>
      <c r="KN622" s="36"/>
      <c r="KO622" s="36"/>
      <c r="KP622" s="36"/>
      <c r="KQ622" s="36"/>
      <c r="KR622" s="36"/>
      <c r="KS622" s="36"/>
      <c r="KT622" s="36"/>
      <c r="KU622" s="36"/>
      <c r="KV622" s="36"/>
      <c r="KW622" s="36"/>
      <c r="KX622" s="36"/>
      <c r="KY622" s="36"/>
      <c r="KZ622" s="36"/>
      <c r="LA622" s="36"/>
      <c r="LB622" s="36"/>
      <c r="LC622" s="36"/>
      <c r="LD622" s="36"/>
      <c r="LE622" s="36"/>
      <c r="LF622" s="36"/>
      <c r="LG622" s="36"/>
      <c r="LH622" s="36"/>
      <c r="LI622" s="36"/>
      <c r="LJ622" s="36"/>
      <c r="LK622" s="36"/>
      <c r="LL622" s="36"/>
      <c r="LM622" s="36"/>
      <c r="LN622" s="36"/>
      <c r="LO622" s="36"/>
      <c r="LP622" s="36"/>
      <c r="LQ622" s="36"/>
      <c r="LR622" s="36"/>
      <c r="LS622" s="36"/>
      <c r="LT622" s="36"/>
      <c r="LU622" s="36"/>
      <c r="LV622" s="36"/>
      <c r="LW622" s="36"/>
      <c r="LX622" s="36"/>
      <c r="LY622" s="36"/>
      <c r="LZ622" s="36"/>
      <c r="MA622" s="36"/>
      <c r="MB622" s="36"/>
      <c r="MC622" s="36"/>
      <c r="MD622" s="36"/>
      <c r="ME622" s="36"/>
      <c r="MF622" s="36"/>
      <c r="MG622" s="36"/>
      <c r="MH622" s="36"/>
      <c r="MI622" s="36"/>
      <c r="MJ622" s="36"/>
      <c r="MK622" s="36"/>
      <c r="ML622" s="36"/>
      <c r="MM622" s="36"/>
      <c r="MN622" s="36"/>
      <c r="MO622" s="36"/>
      <c r="MP622" s="36"/>
      <c r="MQ622" s="36"/>
      <c r="MR622" s="36"/>
      <c r="MS622" s="36"/>
      <c r="MT622" s="36"/>
      <c r="MU622" s="36"/>
      <c r="MV622" s="36"/>
      <c r="MW622" s="36"/>
      <c r="MX622" s="36"/>
      <c r="MY622" s="36"/>
      <c r="MZ622" s="36"/>
      <c r="NA622" s="36"/>
      <c r="NB622" s="36"/>
      <c r="NC622" s="36"/>
      <c r="ND622" s="36"/>
      <c r="NE622" s="36"/>
      <c r="NF622" s="36"/>
      <c r="NG622" s="36"/>
      <c r="NH622" s="36"/>
      <c r="NI622" s="36"/>
      <c r="NJ622" s="36"/>
      <c r="NK622" s="36"/>
      <c r="NL622" s="36"/>
      <c r="NM622" s="36"/>
      <c r="NN622" s="36"/>
      <c r="NO622" s="36"/>
      <c r="NP622" s="36"/>
      <c r="NQ622" s="36"/>
      <c r="NR622" s="36"/>
      <c r="NS622" s="36"/>
      <c r="NT622" s="36"/>
      <c r="NU622" s="36"/>
      <c r="NV622" s="36"/>
      <c r="NW622" s="36"/>
      <c r="NX622" s="36"/>
      <c r="NY622" s="36"/>
      <c r="NZ622" s="36"/>
      <c r="OA622" s="36"/>
      <c r="OB622" s="36"/>
      <c r="OC622" s="36"/>
      <c r="OD622" s="36"/>
      <c r="OE622" s="36"/>
      <c r="OF622" s="36"/>
      <c r="OG622" s="36"/>
      <c r="OH622" s="36"/>
      <c r="OI622" s="36"/>
      <c r="OJ622" s="36"/>
      <c r="OK622" s="36"/>
      <c r="OL622" s="36"/>
      <c r="OM622" s="36"/>
      <c r="ON622" s="36"/>
      <c r="OO622" s="36"/>
      <c r="OP622" s="36"/>
      <c r="OQ622" s="36"/>
      <c r="OR622" s="36"/>
      <c r="OS622" s="36"/>
      <c r="OT622" s="36"/>
      <c r="OU622" s="36"/>
      <c r="OV622" s="36"/>
      <c r="OW622" s="36"/>
      <c r="OX622" s="36"/>
    </row>
    <row r="623" spans="2:414" s="27" customFormat="1" ht="15.6">
      <c r="B623" s="51" t="s">
        <v>478</v>
      </c>
      <c r="C623" s="27" t="s">
        <v>157</v>
      </c>
      <c r="D623" s="29" t="s">
        <v>105</v>
      </c>
      <c r="G623" s="49">
        <v>80</v>
      </c>
      <c r="H623" s="89">
        <v>26.109000000000002</v>
      </c>
      <c r="I623" s="38">
        <f t="shared" si="180"/>
        <v>2088.7200000000003</v>
      </c>
      <c r="K623" s="49">
        <v>80</v>
      </c>
      <c r="L623" s="90">
        <v>26.849599999999999</v>
      </c>
      <c r="M623" s="38">
        <f t="shared" si="181"/>
        <v>2147.9679999999998</v>
      </c>
      <c r="O623" s="49">
        <v>505</v>
      </c>
      <c r="P623" s="38">
        <v>26.728300000000001</v>
      </c>
      <c r="Q623" s="38">
        <f t="shared" si="182"/>
        <v>13497.791500000001</v>
      </c>
      <c r="R623" s="43">
        <f t="shared" si="179"/>
        <v>665</v>
      </c>
      <c r="S623" s="38">
        <f t="shared" si="183"/>
        <v>17734.479500000001</v>
      </c>
      <c r="T623" s="27">
        <v>240</v>
      </c>
      <c r="U623" s="52">
        <v>26.677399999999999</v>
      </c>
      <c r="V623" s="38">
        <f t="shared" si="190"/>
        <v>6402.576</v>
      </c>
      <c r="W623" s="52">
        <v>505</v>
      </c>
      <c r="X623" s="52">
        <v>26.68</v>
      </c>
      <c r="Y623" s="35">
        <f t="shared" si="189"/>
        <v>13473.4</v>
      </c>
      <c r="Z623" s="78"/>
      <c r="AF623" s="42">
        <f t="shared" si="191"/>
        <v>0</v>
      </c>
      <c r="AU623" s="100"/>
      <c r="AV623" s="35"/>
      <c r="AW623" s="78"/>
      <c r="AZ623" s="42">
        <f t="shared" si="178"/>
        <v>0</v>
      </c>
      <c r="BD623" s="38">
        <f t="shared" si="184"/>
        <v>0</v>
      </c>
      <c r="BH623" s="38">
        <f t="shared" si="185"/>
        <v>0</v>
      </c>
      <c r="BL623" s="38">
        <f t="shared" si="186"/>
        <v>0</v>
      </c>
      <c r="BR623" s="42">
        <f t="shared" si="187"/>
        <v>19875.975999999999</v>
      </c>
      <c r="BS623" s="43"/>
      <c r="BT623" s="27">
        <v>2141.5</v>
      </c>
      <c r="BU623" s="36"/>
      <c r="BV623" s="36"/>
      <c r="BW623" s="36"/>
      <c r="BX623" s="36"/>
      <c r="BY623" s="36"/>
      <c r="BZ623" s="36"/>
      <c r="CA623" s="36"/>
      <c r="CB623" s="36"/>
      <c r="CC623" s="36"/>
      <c r="CD623" s="36"/>
      <c r="CE623" s="36"/>
      <c r="CF623" s="36"/>
      <c r="CG623" s="36"/>
      <c r="CH623" s="36"/>
      <c r="CI623" s="36"/>
      <c r="CJ623" s="36"/>
      <c r="CK623" s="36"/>
      <c r="CL623" s="36"/>
      <c r="CM623" s="36"/>
      <c r="CN623" s="36"/>
      <c r="CO623" s="36"/>
      <c r="CP623" s="36"/>
      <c r="CQ623" s="36"/>
      <c r="CR623" s="36"/>
      <c r="CS623" s="36"/>
      <c r="CT623" s="36"/>
      <c r="CU623" s="36"/>
      <c r="CV623" s="36"/>
      <c r="CW623" s="36"/>
      <c r="CX623" s="36"/>
      <c r="CY623" s="36"/>
      <c r="CZ623" s="36"/>
      <c r="DA623" s="36"/>
      <c r="DB623" s="36"/>
      <c r="DC623" s="36"/>
      <c r="DD623" s="36"/>
      <c r="DE623" s="36"/>
      <c r="DF623" s="36"/>
      <c r="DG623" s="36"/>
      <c r="DH623" s="36"/>
      <c r="DI623" s="36"/>
      <c r="DJ623" s="36"/>
      <c r="DK623" s="36"/>
      <c r="DL623" s="36"/>
      <c r="DM623" s="36"/>
      <c r="DN623" s="36"/>
      <c r="DO623" s="36"/>
      <c r="DP623" s="36"/>
      <c r="DQ623" s="36"/>
      <c r="DR623" s="36"/>
      <c r="DS623" s="36"/>
      <c r="DT623" s="36"/>
      <c r="DU623" s="36"/>
      <c r="DV623" s="36"/>
      <c r="DW623" s="36"/>
      <c r="DX623" s="36"/>
      <c r="DY623" s="36"/>
      <c r="DZ623" s="36"/>
      <c r="EA623" s="36"/>
      <c r="EB623" s="36"/>
      <c r="EC623" s="36"/>
      <c r="ED623" s="36"/>
      <c r="EE623" s="36"/>
      <c r="EF623" s="36"/>
      <c r="EG623" s="36"/>
      <c r="EH623" s="36"/>
      <c r="EI623" s="36"/>
      <c r="EJ623" s="36"/>
      <c r="EK623" s="36"/>
      <c r="EL623" s="36"/>
      <c r="EM623" s="36"/>
      <c r="EN623" s="36"/>
      <c r="EO623" s="36"/>
      <c r="EP623" s="36"/>
      <c r="EQ623" s="36"/>
      <c r="ER623" s="36"/>
      <c r="ES623" s="36"/>
      <c r="ET623" s="36"/>
      <c r="EU623" s="36"/>
      <c r="EV623" s="36"/>
      <c r="EW623" s="36"/>
      <c r="EX623" s="36"/>
      <c r="EY623" s="36"/>
      <c r="EZ623" s="36"/>
      <c r="FA623" s="36"/>
      <c r="FB623" s="36"/>
      <c r="FC623" s="36"/>
      <c r="FD623" s="36"/>
      <c r="FE623" s="36"/>
      <c r="FF623" s="36"/>
      <c r="FG623" s="36"/>
      <c r="FH623" s="36"/>
      <c r="FI623" s="36"/>
      <c r="FJ623" s="36"/>
      <c r="FK623" s="36"/>
      <c r="FL623" s="36"/>
      <c r="FM623" s="36"/>
      <c r="FN623" s="36"/>
      <c r="FO623" s="36"/>
      <c r="FP623" s="36"/>
      <c r="FQ623" s="36"/>
      <c r="FR623" s="36"/>
      <c r="FS623" s="36"/>
      <c r="FT623" s="36"/>
      <c r="FU623" s="36"/>
      <c r="FV623" s="36"/>
      <c r="FW623" s="36"/>
      <c r="FX623" s="36"/>
      <c r="FY623" s="36"/>
      <c r="FZ623" s="36"/>
      <c r="GA623" s="36"/>
      <c r="GB623" s="36"/>
      <c r="GC623" s="36"/>
      <c r="GD623" s="36"/>
      <c r="GE623" s="36"/>
      <c r="GF623" s="36"/>
      <c r="GG623" s="36"/>
      <c r="GH623" s="36"/>
      <c r="GI623" s="36"/>
      <c r="GJ623" s="36"/>
      <c r="GK623" s="36"/>
      <c r="GL623" s="36"/>
      <c r="GM623" s="36"/>
      <c r="GN623" s="36"/>
      <c r="GO623" s="36"/>
      <c r="GP623" s="36"/>
      <c r="GQ623" s="36"/>
      <c r="GR623" s="36"/>
      <c r="GS623" s="36"/>
      <c r="GT623" s="36"/>
      <c r="GU623" s="36"/>
      <c r="GV623" s="36"/>
      <c r="GW623" s="36"/>
      <c r="GX623" s="36"/>
      <c r="GY623" s="36"/>
      <c r="GZ623" s="36"/>
      <c r="HA623" s="36"/>
      <c r="HB623" s="36"/>
      <c r="HC623" s="36"/>
      <c r="HD623" s="36"/>
      <c r="HE623" s="36"/>
      <c r="HF623" s="36"/>
      <c r="HG623" s="36"/>
      <c r="HH623" s="36"/>
      <c r="HI623" s="36"/>
      <c r="HJ623" s="36"/>
      <c r="HK623" s="36"/>
      <c r="HL623" s="36"/>
      <c r="HM623" s="36"/>
      <c r="HN623" s="36"/>
      <c r="HO623" s="36"/>
      <c r="HP623" s="36"/>
      <c r="HQ623" s="36"/>
      <c r="HR623" s="36"/>
      <c r="HS623" s="36"/>
      <c r="HT623" s="36"/>
      <c r="HU623" s="36"/>
      <c r="HV623" s="36"/>
      <c r="HW623" s="36"/>
      <c r="HX623" s="36"/>
      <c r="HY623" s="36"/>
      <c r="HZ623" s="36"/>
      <c r="IA623" s="36"/>
      <c r="IB623" s="36"/>
      <c r="IC623" s="36"/>
      <c r="ID623" s="36"/>
      <c r="IE623" s="36"/>
      <c r="IF623" s="36"/>
      <c r="IG623" s="36"/>
      <c r="IH623" s="36"/>
      <c r="II623" s="36"/>
      <c r="IJ623" s="36"/>
      <c r="IK623" s="36"/>
      <c r="IL623" s="36"/>
      <c r="IM623" s="36"/>
      <c r="IN623" s="36"/>
      <c r="IO623" s="36"/>
      <c r="IP623" s="36"/>
      <c r="IQ623" s="36"/>
      <c r="IR623" s="36"/>
      <c r="IS623" s="36"/>
      <c r="IT623" s="36"/>
      <c r="IU623" s="36"/>
      <c r="IV623" s="36"/>
      <c r="IW623" s="36"/>
      <c r="IX623" s="36"/>
      <c r="IY623" s="36"/>
      <c r="IZ623" s="36"/>
      <c r="JA623" s="36"/>
      <c r="JB623" s="36"/>
      <c r="JC623" s="36"/>
      <c r="JD623" s="36"/>
      <c r="JE623" s="36"/>
      <c r="JF623" s="36"/>
      <c r="JG623" s="36"/>
      <c r="JH623" s="36"/>
      <c r="JI623" s="36"/>
      <c r="JJ623" s="36"/>
      <c r="JK623" s="36"/>
      <c r="JL623" s="36"/>
      <c r="JM623" s="36"/>
      <c r="JN623" s="36"/>
      <c r="JO623" s="36"/>
      <c r="JP623" s="36"/>
      <c r="JQ623" s="36"/>
      <c r="JR623" s="36"/>
      <c r="JS623" s="36"/>
      <c r="JT623" s="36"/>
      <c r="JU623" s="36"/>
      <c r="JV623" s="36"/>
      <c r="JW623" s="36"/>
      <c r="JX623" s="36"/>
      <c r="JY623" s="36"/>
      <c r="JZ623" s="36"/>
      <c r="KA623" s="36"/>
      <c r="KB623" s="36"/>
      <c r="KC623" s="36"/>
      <c r="KD623" s="36"/>
      <c r="KE623" s="36"/>
      <c r="KF623" s="36"/>
      <c r="KG623" s="36"/>
      <c r="KH623" s="36"/>
      <c r="KI623" s="36"/>
      <c r="KJ623" s="36"/>
      <c r="KK623" s="36"/>
      <c r="KL623" s="36"/>
      <c r="KM623" s="36"/>
      <c r="KN623" s="36"/>
      <c r="KO623" s="36"/>
      <c r="KP623" s="36"/>
      <c r="KQ623" s="36"/>
      <c r="KR623" s="36"/>
      <c r="KS623" s="36"/>
      <c r="KT623" s="36"/>
      <c r="KU623" s="36"/>
      <c r="KV623" s="36"/>
      <c r="KW623" s="36"/>
      <c r="KX623" s="36"/>
      <c r="KY623" s="36"/>
      <c r="KZ623" s="36"/>
      <c r="LA623" s="36"/>
      <c r="LB623" s="36"/>
      <c r="LC623" s="36"/>
      <c r="LD623" s="36"/>
      <c r="LE623" s="36"/>
      <c r="LF623" s="36"/>
      <c r="LG623" s="36"/>
      <c r="LH623" s="36"/>
      <c r="LI623" s="36"/>
      <c r="LJ623" s="36"/>
      <c r="LK623" s="36"/>
      <c r="LL623" s="36"/>
      <c r="LM623" s="36"/>
      <c r="LN623" s="36"/>
      <c r="LO623" s="36"/>
      <c r="LP623" s="36"/>
      <c r="LQ623" s="36"/>
      <c r="LR623" s="36"/>
      <c r="LS623" s="36"/>
      <c r="LT623" s="36"/>
      <c r="LU623" s="36"/>
      <c r="LV623" s="36"/>
      <c r="LW623" s="36"/>
      <c r="LX623" s="36"/>
      <c r="LY623" s="36"/>
      <c r="LZ623" s="36"/>
      <c r="MA623" s="36"/>
      <c r="MB623" s="36"/>
      <c r="MC623" s="36"/>
      <c r="MD623" s="36"/>
      <c r="ME623" s="36"/>
      <c r="MF623" s="36"/>
      <c r="MG623" s="36"/>
      <c r="MH623" s="36"/>
      <c r="MI623" s="36"/>
      <c r="MJ623" s="36"/>
      <c r="MK623" s="36"/>
      <c r="ML623" s="36"/>
      <c r="MM623" s="36"/>
      <c r="MN623" s="36"/>
      <c r="MO623" s="36"/>
      <c r="MP623" s="36"/>
      <c r="MQ623" s="36"/>
      <c r="MR623" s="36"/>
      <c r="MS623" s="36"/>
      <c r="MT623" s="36"/>
      <c r="MU623" s="36"/>
      <c r="MV623" s="36"/>
      <c r="MW623" s="36"/>
      <c r="MX623" s="36"/>
      <c r="MY623" s="36"/>
      <c r="MZ623" s="36"/>
      <c r="NA623" s="36"/>
      <c r="NB623" s="36"/>
      <c r="NC623" s="36"/>
      <c r="ND623" s="36"/>
      <c r="NE623" s="36"/>
      <c r="NF623" s="36"/>
      <c r="NG623" s="36"/>
      <c r="NH623" s="36"/>
      <c r="NI623" s="36"/>
      <c r="NJ623" s="36"/>
      <c r="NK623" s="36"/>
      <c r="NL623" s="36"/>
      <c r="NM623" s="36"/>
      <c r="NN623" s="36"/>
      <c r="NO623" s="36"/>
      <c r="NP623" s="36"/>
      <c r="NQ623" s="36"/>
      <c r="NR623" s="36"/>
      <c r="NS623" s="36"/>
      <c r="NT623" s="36"/>
      <c r="NU623" s="36"/>
      <c r="NV623" s="36"/>
      <c r="NW623" s="36"/>
      <c r="NX623" s="36"/>
      <c r="NY623" s="36"/>
      <c r="NZ623" s="36"/>
      <c r="OA623" s="36"/>
      <c r="OB623" s="36"/>
      <c r="OC623" s="36"/>
      <c r="OD623" s="36"/>
      <c r="OE623" s="36"/>
      <c r="OF623" s="36"/>
      <c r="OG623" s="36"/>
      <c r="OH623" s="36"/>
      <c r="OI623" s="36"/>
      <c r="OJ623" s="36"/>
      <c r="OK623" s="36"/>
      <c r="OL623" s="36"/>
      <c r="OM623" s="36"/>
      <c r="ON623" s="36"/>
      <c r="OO623" s="36"/>
      <c r="OP623" s="36"/>
      <c r="OQ623" s="36"/>
      <c r="OR623" s="36"/>
      <c r="OS623" s="36"/>
      <c r="OT623" s="36"/>
      <c r="OU623" s="36"/>
      <c r="OV623" s="36"/>
      <c r="OW623" s="36"/>
      <c r="OX623" s="36"/>
    </row>
    <row r="624" spans="2:414" s="27" customFormat="1" ht="15.6">
      <c r="B624" s="51" t="s">
        <v>1119</v>
      </c>
      <c r="C624" s="27" t="s">
        <v>327</v>
      </c>
      <c r="D624" s="29" t="s">
        <v>105</v>
      </c>
      <c r="G624" s="49">
        <v>80</v>
      </c>
      <c r="H624" s="89">
        <v>26.109000000000002</v>
      </c>
      <c r="I624" s="38">
        <f t="shared" si="180"/>
        <v>2088.7200000000003</v>
      </c>
      <c r="K624" s="49">
        <v>80</v>
      </c>
      <c r="L624" s="90">
        <v>26.849599999999999</v>
      </c>
      <c r="M624" s="38">
        <f t="shared" si="181"/>
        <v>2147.9679999999998</v>
      </c>
      <c r="O624" s="49">
        <v>505</v>
      </c>
      <c r="P624" s="38">
        <v>26.728300000000001</v>
      </c>
      <c r="Q624" s="38">
        <f t="shared" si="182"/>
        <v>13497.791500000001</v>
      </c>
      <c r="R624" s="43">
        <f t="shared" si="179"/>
        <v>665</v>
      </c>
      <c r="S624" s="38">
        <f t="shared" si="183"/>
        <v>17734.479500000001</v>
      </c>
      <c r="T624" s="27">
        <v>200</v>
      </c>
      <c r="U624" s="52">
        <v>26.68</v>
      </c>
      <c r="V624" s="38">
        <f t="shared" si="190"/>
        <v>5336</v>
      </c>
      <c r="W624" s="52">
        <v>505</v>
      </c>
      <c r="X624" s="52">
        <v>26.73</v>
      </c>
      <c r="Y624" s="35">
        <f t="shared" si="189"/>
        <v>13498.65</v>
      </c>
      <c r="Z624" s="78"/>
      <c r="AF624" s="42">
        <f t="shared" si="191"/>
        <v>0</v>
      </c>
      <c r="AU624" s="100"/>
      <c r="AV624" s="35"/>
      <c r="AW624" s="78"/>
      <c r="AZ624" s="42">
        <f t="shared" si="178"/>
        <v>0</v>
      </c>
      <c r="BD624" s="38">
        <f t="shared" si="184"/>
        <v>0</v>
      </c>
      <c r="BH624" s="38">
        <f t="shared" si="185"/>
        <v>0</v>
      </c>
      <c r="BL624" s="38">
        <f t="shared" si="186"/>
        <v>0</v>
      </c>
      <c r="BR624" s="42">
        <f t="shared" si="187"/>
        <v>18834.650000000001</v>
      </c>
      <c r="BS624" s="43"/>
      <c r="BT624" s="27">
        <v>1100.17</v>
      </c>
      <c r="BU624" s="36"/>
      <c r="BV624" s="36"/>
      <c r="BW624" s="36"/>
      <c r="BX624" s="36"/>
      <c r="BY624" s="36"/>
      <c r="BZ624" s="36"/>
      <c r="CA624" s="36"/>
      <c r="CB624" s="36"/>
      <c r="CC624" s="36"/>
      <c r="CD624" s="36"/>
      <c r="CE624" s="36"/>
      <c r="CF624" s="36"/>
      <c r="CG624" s="36"/>
      <c r="CH624" s="36"/>
      <c r="CI624" s="36"/>
      <c r="CJ624" s="36"/>
      <c r="CK624" s="36"/>
      <c r="CL624" s="36"/>
      <c r="CM624" s="36"/>
      <c r="CN624" s="36"/>
      <c r="CO624" s="36"/>
      <c r="CP624" s="36"/>
      <c r="CQ624" s="36"/>
      <c r="CR624" s="36"/>
      <c r="CS624" s="36"/>
      <c r="CT624" s="36"/>
      <c r="CU624" s="36"/>
      <c r="CV624" s="36"/>
      <c r="CW624" s="36"/>
      <c r="CX624" s="36"/>
      <c r="CY624" s="36"/>
      <c r="CZ624" s="36"/>
      <c r="DA624" s="36"/>
      <c r="DB624" s="36"/>
      <c r="DC624" s="36"/>
      <c r="DD624" s="36"/>
      <c r="DE624" s="36"/>
      <c r="DF624" s="36"/>
      <c r="DG624" s="36"/>
      <c r="DH624" s="36"/>
      <c r="DI624" s="36"/>
      <c r="DJ624" s="36"/>
      <c r="DK624" s="36"/>
      <c r="DL624" s="36"/>
      <c r="DM624" s="36"/>
      <c r="DN624" s="36"/>
      <c r="DO624" s="36"/>
      <c r="DP624" s="36"/>
      <c r="DQ624" s="36"/>
      <c r="DR624" s="36"/>
      <c r="DS624" s="36"/>
      <c r="DT624" s="36"/>
      <c r="DU624" s="36"/>
      <c r="DV624" s="36"/>
      <c r="DW624" s="36"/>
      <c r="DX624" s="36"/>
      <c r="DY624" s="36"/>
      <c r="DZ624" s="36"/>
      <c r="EA624" s="36"/>
      <c r="EB624" s="36"/>
      <c r="EC624" s="36"/>
      <c r="ED624" s="36"/>
      <c r="EE624" s="36"/>
      <c r="EF624" s="36"/>
      <c r="EG624" s="36"/>
      <c r="EH624" s="36"/>
      <c r="EI624" s="36"/>
      <c r="EJ624" s="36"/>
      <c r="EK624" s="36"/>
      <c r="EL624" s="36"/>
      <c r="EM624" s="36"/>
      <c r="EN624" s="36"/>
      <c r="EO624" s="36"/>
      <c r="EP624" s="36"/>
      <c r="EQ624" s="36"/>
      <c r="ER624" s="36"/>
      <c r="ES624" s="36"/>
      <c r="ET624" s="36"/>
      <c r="EU624" s="36"/>
      <c r="EV624" s="36"/>
      <c r="EW624" s="36"/>
      <c r="EX624" s="36"/>
      <c r="EY624" s="36"/>
      <c r="EZ624" s="36"/>
      <c r="FA624" s="36"/>
      <c r="FB624" s="36"/>
      <c r="FC624" s="36"/>
      <c r="FD624" s="36"/>
      <c r="FE624" s="36"/>
      <c r="FF624" s="36"/>
      <c r="FG624" s="36"/>
      <c r="FH624" s="36"/>
      <c r="FI624" s="36"/>
      <c r="FJ624" s="36"/>
      <c r="FK624" s="36"/>
      <c r="FL624" s="36"/>
      <c r="FM624" s="36"/>
      <c r="FN624" s="36"/>
      <c r="FO624" s="36"/>
      <c r="FP624" s="36"/>
      <c r="FQ624" s="36"/>
      <c r="FR624" s="36"/>
      <c r="FS624" s="36"/>
      <c r="FT624" s="36"/>
      <c r="FU624" s="36"/>
      <c r="FV624" s="36"/>
      <c r="FW624" s="36"/>
      <c r="FX624" s="36"/>
      <c r="FY624" s="36"/>
      <c r="FZ624" s="36"/>
      <c r="GA624" s="36"/>
      <c r="GB624" s="36"/>
      <c r="GC624" s="36"/>
      <c r="GD624" s="36"/>
      <c r="GE624" s="36"/>
      <c r="GF624" s="36"/>
      <c r="GG624" s="36"/>
      <c r="GH624" s="36"/>
      <c r="GI624" s="36"/>
      <c r="GJ624" s="36"/>
      <c r="GK624" s="36"/>
      <c r="GL624" s="36"/>
      <c r="GM624" s="36"/>
      <c r="GN624" s="36"/>
      <c r="GO624" s="36"/>
      <c r="GP624" s="36"/>
      <c r="GQ624" s="36"/>
      <c r="GR624" s="36"/>
      <c r="GS624" s="36"/>
      <c r="GT624" s="36"/>
      <c r="GU624" s="36"/>
      <c r="GV624" s="36"/>
      <c r="GW624" s="36"/>
      <c r="GX624" s="36"/>
      <c r="GY624" s="36"/>
      <c r="GZ624" s="36"/>
      <c r="HA624" s="36"/>
      <c r="HB624" s="36"/>
      <c r="HC624" s="36"/>
      <c r="HD624" s="36"/>
      <c r="HE624" s="36"/>
      <c r="HF624" s="36"/>
      <c r="HG624" s="36"/>
      <c r="HH624" s="36"/>
      <c r="HI624" s="36"/>
      <c r="HJ624" s="36"/>
      <c r="HK624" s="36"/>
      <c r="HL624" s="36"/>
      <c r="HM624" s="36"/>
      <c r="HN624" s="36"/>
      <c r="HO624" s="36"/>
      <c r="HP624" s="36"/>
      <c r="HQ624" s="36"/>
      <c r="HR624" s="36"/>
      <c r="HS624" s="36"/>
      <c r="HT624" s="36"/>
      <c r="HU624" s="36"/>
      <c r="HV624" s="36"/>
      <c r="HW624" s="36"/>
      <c r="HX624" s="36"/>
      <c r="HY624" s="36"/>
      <c r="HZ624" s="36"/>
      <c r="IA624" s="36"/>
      <c r="IB624" s="36"/>
      <c r="IC624" s="36"/>
      <c r="ID624" s="36"/>
      <c r="IE624" s="36"/>
      <c r="IF624" s="36"/>
      <c r="IG624" s="36"/>
      <c r="IH624" s="36"/>
      <c r="II624" s="36"/>
      <c r="IJ624" s="36"/>
      <c r="IK624" s="36"/>
      <c r="IL624" s="36"/>
      <c r="IM624" s="36"/>
      <c r="IN624" s="36"/>
      <c r="IO624" s="36"/>
      <c r="IP624" s="36"/>
      <c r="IQ624" s="36"/>
      <c r="IR624" s="36"/>
      <c r="IS624" s="36"/>
      <c r="IT624" s="36"/>
      <c r="IU624" s="36"/>
      <c r="IV624" s="36"/>
      <c r="IW624" s="36"/>
      <c r="IX624" s="36"/>
      <c r="IY624" s="36"/>
      <c r="IZ624" s="36"/>
      <c r="JA624" s="36"/>
      <c r="JB624" s="36"/>
      <c r="JC624" s="36"/>
      <c r="JD624" s="36"/>
      <c r="JE624" s="36"/>
      <c r="JF624" s="36"/>
      <c r="JG624" s="36"/>
      <c r="JH624" s="36"/>
      <c r="JI624" s="36"/>
      <c r="JJ624" s="36"/>
      <c r="JK624" s="36"/>
      <c r="JL624" s="36"/>
      <c r="JM624" s="36"/>
      <c r="JN624" s="36"/>
      <c r="JO624" s="36"/>
      <c r="JP624" s="36"/>
      <c r="JQ624" s="36"/>
      <c r="JR624" s="36"/>
      <c r="JS624" s="36"/>
      <c r="JT624" s="36"/>
      <c r="JU624" s="36"/>
      <c r="JV624" s="36"/>
      <c r="JW624" s="36"/>
      <c r="JX624" s="36"/>
      <c r="JY624" s="36"/>
      <c r="JZ624" s="36"/>
      <c r="KA624" s="36"/>
      <c r="KB624" s="36"/>
      <c r="KC624" s="36"/>
      <c r="KD624" s="36"/>
      <c r="KE624" s="36"/>
      <c r="KF624" s="36"/>
      <c r="KG624" s="36"/>
      <c r="KH624" s="36"/>
      <c r="KI624" s="36"/>
      <c r="KJ624" s="36"/>
      <c r="KK624" s="36"/>
      <c r="KL624" s="36"/>
      <c r="KM624" s="36"/>
      <c r="KN624" s="36"/>
      <c r="KO624" s="36"/>
      <c r="KP624" s="36"/>
      <c r="KQ624" s="36"/>
      <c r="KR624" s="36"/>
      <c r="KS624" s="36"/>
      <c r="KT624" s="36"/>
      <c r="KU624" s="36"/>
      <c r="KV624" s="36"/>
      <c r="KW624" s="36"/>
      <c r="KX624" s="36"/>
      <c r="KY624" s="36"/>
      <c r="KZ624" s="36"/>
      <c r="LA624" s="36"/>
      <c r="LB624" s="36"/>
      <c r="LC624" s="36"/>
      <c r="LD624" s="36"/>
      <c r="LE624" s="36"/>
      <c r="LF624" s="36"/>
      <c r="LG624" s="36"/>
      <c r="LH624" s="36"/>
      <c r="LI624" s="36"/>
      <c r="LJ624" s="36"/>
      <c r="LK624" s="36"/>
      <c r="LL624" s="36"/>
      <c r="LM624" s="36"/>
      <c r="LN624" s="36"/>
      <c r="LO624" s="36"/>
      <c r="LP624" s="36"/>
      <c r="LQ624" s="36"/>
      <c r="LR624" s="36"/>
      <c r="LS624" s="36"/>
      <c r="LT624" s="36"/>
      <c r="LU624" s="36"/>
      <c r="LV624" s="36"/>
      <c r="LW624" s="36"/>
      <c r="LX624" s="36"/>
      <c r="LY624" s="36"/>
      <c r="LZ624" s="36"/>
      <c r="MA624" s="36"/>
      <c r="MB624" s="36"/>
      <c r="MC624" s="36"/>
      <c r="MD624" s="36"/>
      <c r="ME624" s="36"/>
      <c r="MF624" s="36"/>
      <c r="MG624" s="36"/>
      <c r="MH624" s="36"/>
      <c r="MI624" s="36"/>
      <c r="MJ624" s="36"/>
      <c r="MK624" s="36"/>
      <c r="ML624" s="36"/>
      <c r="MM624" s="36"/>
      <c r="MN624" s="36"/>
      <c r="MO624" s="36"/>
      <c r="MP624" s="36"/>
      <c r="MQ624" s="36"/>
      <c r="MR624" s="36"/>
      <c r="MS624" s="36"/>
      <c r="MT624" s="36"/>
      <c r="MU624" s="36"/>
      <c r="MV624" s="36"/>
      <c r="MW624" s="36"/>
      <c r="MX624" s="36"/>
      <c r="MY624" s="36"/>
      <c r="MZ624" s="36"/>
      <c r="NA624" s="36"/>
      <c r="NB624" s="36"/>
      <c r="NC624" s="36"/>
      <c r="ND624" s="36"/>
      <c r="NE624" s="36"/>
      <c r="NF624" s="36"/>
      <c r="NG624" s="36"/>
      <c r="NH624" s="36"/>
      <c r="NI624" s="36"/>
      <c r="NJ624" s="36"/>
      <c r="NK624" s="36"/>
      <c r="NL624" s="36"/>
      <c r="NM624" s="36"/>
      <c r="NN624" s="36"/>
      <c r="NO624" s="36"/>
      <c r="NP624" s="36"/>
      <c r="NQ624" s="36"/>
      <c r="NR624" s="36"/>
      <c r="NS624" s="36"/>
      <c r="NT624" s="36"/>
      <c r="NU624" s="36"/>
      <c r="NV624" s="36"/>
      <c r="NW624" s="36"/>
      <c r="NX624" s="36"/>
      <c r="NY624" s="36"/>
      <c r="NZ624" s="36"/>
      <c r="OA624" s="36"/>
      <c r="OB624" s="36"/>
      <c r="OC624" s="36"/>
      <c r="OD624" s="36"/>
      <c r="OE624" s="36"/>
      <c r="OF624" s="36"/>
      <c r="OG624" s="36"/>
      <c r="OH624" s="36"/>
      <c r="OI624" s="36"/>
      <c r="OJ624" s="36"/>
      <c r="OK624" s="36"/>
      <c r="OL624" s="36"/>
      <c r="OM624" s="36"/>
      <c r="ON624" s="36"/>
      <c r="OO624" s="36"/>
      <c r="OP624" s="36"/>
      <c r="OQ624" s="36"/>
      <c r="OR624" s="36"/>
      <c r="OS624" s="36"/>
      <c r="OT624" s="36"/>
      <c r="OU624" s="36"/>
      <c r="OV624" s="36"/>
      <c r="OW624" s="36"/>
      <c r="OX624" s="36"/>
    </row>
    <row r="625" spans="2:414" s="27" customFormat="1" ht="15.6">
      <c r="B625" s="51" t="s">
        <v>847</v>
      </c>
      <c r="C625" s="27" t="s">
        <v>1040</v>
      </c>
      <c r="D625" s="29" t="s">
        <v>105</v>
      </c>
      <c r="G625" s="49">
        <v>80</v>
      </c>
      <c r="H625" s="89">
        <v>26.109000000000002</v>
      </c>
      <c r="I625" s="38">
        <f t="shared" si="180"/>
        <v>2088.7200000000003</v>
      </c>
      <c r="K625" s="49">
        <v>80</v>
      </c>
      <c r="L625" s="90">
        <v>26.849599999999999</v>
      </c>
      <c r="M625" s="38">
        <f t="shared" si="181"/>
        <v>2147.9679999999998</v>
      </c>
      <c r="O625" s="49">
        <v>505</v>
      </c>
      <c r="P625" s="38">
        <v>26.728300000000001</v>
      </c>
      <c r="Q625" s="38">
        <f t="shared" si="182"/>
        <v>13497.791500000001</v>
      </c>
      <c r="R625" s="43">
        <f t="shared" si="179"/>
        <v>665</v>
      </c>
      <c r="S625" s="38">
        <f t="shared" si="183"/>
        <v>17734.479500000001</v>
      </c>
      <c r="T625" s="27">
        <v>240</v>
      </c>
      <c r="U625" s="52">
        <v>26.7639</v>
      </c>
      <c r="V625" s="38">
        <f t="shared" si="190"/>
        <v>6423.3360000000002</v>
      </c>
      <c r="W625" s="52">
        <v>510</v>
      </c>
      <c r="X625" s="52">
        <v>26.745100000000001</v>
      </c>
      <c r="Y625" s="35">
        <f t="shared" si="189"/>
        <v>13640.001</v>
      </c>
      <c r="Z625" s="78"/>
      <c r="AF625" s="42">
        <f t="shared" si="191"/>
        <v>0</v>
      </c>
      <c r="AU625" s="100"/>
      <c r="AV625" s="35"/>
      <c r="AW625" s="78"/>
      <c r="AZ625" s="42">
        <f t="shared" si="178"/>
        <v>0</v>
      </c>
      <c r="BD625" s="38">
        <f t="shared" si="184"/>
        <v>0</v>
      </c>
      <c r="BH625" s="38">
        <f t="shared" si="185"/>
        <v>0</v>
      </c>
      <c r="BL625" s="38">
        <f t="shared" si="186"/>
        <v>0</v>
      </c>
      <c r="BR625" s="42">
        <f t="shared" si="187"/>
        <v>20063.337</v>
      </c>
      <c r="BS625" s="43"/>
      <c r="BT625" s="27">
        <v>2328.86</v>
      </c>
      <c r="BU625" s="36"/>
      <c r="BV625" s="36"/>
      <c r="BW625" s="36"/>
      <c r="BX625" s="36"/>
      <c r="BY625" s="36"/>
      <c r="BZ625" s="36"/>
      <c r="CA625" s="36"/>
      <c r="CB625" s="36"/>
      <c r="CC625" s="36"/>
      <c r="CD625" s="36"/>
      <c r="CE625" s="36"/>
      <c r="CF625" s="36"/>
      <c r="CG625" s="36"/>
      <c r="CH625" s="36"/>
      <c r="CI625" s="36"/>
      <c r="CJ625" s="36"/>
      <c r="CK625" s="36"/>
      <c r="CL625" s="36"/>
      <c r="CM625" s="36"/>
      <c r="CN625" s="36"/>
      <c r="CO625" s="36"/>
      <c r="CP625" s="36"/>
      <c r="CQ625" s="36"/>
      <c r="CR625" s="36"/>
      <c r="CS625" s="36"/>
      <c r="CT625" s="36"/>
      <c r="CU625" s="36"/>
      <c r="CV625" s="36"/>
      <c r="CW625" s="36"/>
      <c r="CX625" s="36"/>
      <c r="CY625" s="36"/>
      <c r="CZ625" s="36"/>
      <c r="DA625" s="36"/>
      <c r="DB625" s="36"/>
      <c r="DC625" s="36"/>
      <c r="DD625" s="36"/>
      <c r="DE625" s="36"/>
      <c r="DF625" s="36"/>
      <c r="DG625" s="36"/>
      <c r="DH625" s="36"/>
      <c r="DI625" s="36"/>
      <c r="DJ625" s="36"/>
      <c r="DK625" s="36"/>
      <c r="DL625" s="36"/>
      <c r="DM625" s="36"/>
      <c r="DN625" s="36"/>
      <c r="DO625" s="36"/>
      <c r="DP625" s="36"/>
      <c r="DQ625" s="36"/>
      <c r="DR625" s="36"/>
      <c r="DS625" s="36"/>
      <c r="DT625" s="36"/>
      <c r="DU625" s="36"/>
      <c r="DV625" s="36"/>
      <c r="DW625" s="36"/>
      <c r="DX625" s="36"/>
      <c r="DY625" s="36"/>
      <c r="DZ625" s="36"/>
      <c r="EA625" s="36"/>
      <c r="EB625" s="36"/>
      <c r="EC625" s="36"/>
      <c r="ED625" s="36"/>
      <c r="EE625" s="36"/>
      <c r="EF625" s="36"/>
      <c r="EG625" s="36"/>
      <c r="EH625" s="36"/>
      <c r="EI625" s="36"/>
      <c r="EJ625" s="36"/>
      <c r="EK625" s="36"/>
      <c r="EL625" s="36"/>
      <c r="EM625" s="36"/>
      <c r="EN625" s="36"/>
      <c r="EO625" s="36"/>
      <c r="EP625" s="36"/>
      <c r="EQ625" s="36"/>
      <c r="ER625" s="36"/>
      <c r="ES625" s="36"/>
      <c r="ET625" s="36"/>
      <c r="EU625" s="36"/>
      <c r="EV625" s="36"/>
      <c r="EW625" s="36"/>
      <c r="EX625" s="36"/>
      <c r="EY625" s="36"/>
      <c r="EZ625" s="36"/>
      <c r="FA625" s="36"/>
      <c r="FB625" s="36"/>
      <c r="FC625" s="36"/>
      <c r="FD625" s="36"/>
      <c r="FE625" s="36"/>
      <c r="FF625" s="36"/>
      <c r="FG625" s="36"/>
      <c r="FH625" s="36"/>
      <c r="FI625" s="36"/>
      <c r="FJ625" s="36"/>
      <c r="FK625" s="36"/>
      <c r="FL625" s="36"/>
      <c r="FM625" s="36"/>
      <c r="FN625" s="36"/>
      <c r="FO625" s="36"/>
      <c r="FP625" s="36"/>
      <c r="FQ625" s="36"/>
      <c r="FR625" s="36"/>
      <c r="FS625" s="36"/>
      <c r="FT625" s="36"/>
      <c r="FU625" s="36"/>
      <c r="FV625" s="36"/>
      <c r="FW625" s="36"/>
      <c r="FX625" s="36"/>
      <c r="FY625" s="36"/>
      <c r="FZ625" s="36"/>
      <c r="GA625" s="36"/>
      <c r="GB625" s="36"/>
      <c r="GC625" s="36"/>
      <c r="GD625" s="36"/>
      <c r="GE625" s="36"/>
      <c r="GF625" s="36"/>
      <c r="GG625" s="36"/>
      <c r="GH625" s="36"/>
      <c r="GI625" s="36"/>
      <c r="GJ625" s="36"/>
      <c r="GK625" s="36"/>
      <c r="GL625" s="36"/>
      <c r="GM625" s="36"/>
      <c r="GN625" s="36"/>
      <c r="GO625" s="36"/>
      <c r="GP625" s="36"/>
      <c r="GQ625" s="36"/>
      <c r="GR625" s="36"/>
      <c r="GS625" s="36"/>
      <c r="GT625" s="36"/>
      <c r="GU625" s="36"/>
      <c r="GV625" s="36"/>
      <c r="GW625" s="36"/>
      <c r="GX625" s="36"/>
      <c r="GY625" s="36"/>
      <c r="GZ625" s="36"/>
      <c r="HA625" s="36"/>
      <c r="HB625" s="36"/>
      <c r="HC625" s="36"/>
      <c r="HD625" s="36"/>
      <c r="HE625" s="36"/>
      <c r="HF625" s="36"/>
      <c r="HG625" s="36"/>
      <c r="HH625" s="36"/>
      <c r="HI625" s="36"/>
      <c r="HJ625" s="36"/>
      <c r="HK625" s="36"/>
      <c r="HL625" s="36"/>
      <c r="HM625" s="36"/>
      <c r="HN625" s="36"/>
      <c r="HO625" s="36"/>
      <c r="HP625" s="36"/>
      <c r="HQ625" s="36"/>
      <c r="HR625" s="36"/>
      <c r="HS625" s="36"/>
      <c r="HT625" s="36"/>
      <c r="HU625" s="36"/>
      <c r="HV625" s="36"/>
      <c r="HW625" s="36"/>
      <c r="HX625" s="36"/>
      <c r="HY625" s="36"/>
      <c r="HZ625" s="36"/>
      <c r="IA625" s="36"/>
      <c r="IB625" s="36"/>
      <c r="IC625" s="36"/>
      <c r="ID625" s="36"/>
      <c r="IE625" s="36"/>
      <c r="IF625" s="36"/>
      <c r="IG625" s="36"/>
      <c r="IH625" s="36"/>
      <c r="II625" s="36"/>
      <c r="IJ625" s="36"/>
      <c r="IK625" s="36"/>
      <c r="IL625" s="36"/>
      <c r="IM625" s="36"/>
      <c r="IN625" s="36"/>
      <c r="IO625" s="36"/>
      <c r="IP625" s="36"/>
      <c r="IQ625" s="36"/>
      <c r="IR625" s="36"/>
      <c r="IS625" s="36"/>
      <c r="IT625" s="36"/>
      <c r="IU625" s="36"/>
      <c r="IV625" s="36"/>
      <c r="IW625" s="36"/>
      <c r="IX625" s="36"/>
      <c r="IY625" s="36"/>
      <c r="IZ625" s="36"/>
      <c r="JA625" s="36"/>
      <c r="JB625" s="36"/>
      <c r="JC625" s="36"/>
      <c r="JD625" s="36"/>
      <c r="JE625" s="36"/>
      <c r="JF625" s="36"/>
      <c r="JG625" s="36"/>
      <c r="JH625" s="36"/>
      <c r="JI625" s="36"/>
      <c r="JJ625" s="36"/>
      <c r="JK625" s="36"/>
      <c r="JL625" s="36"/>
      <c r="JM625" s="36"/>
      <c r="JN625" s="36"/>
      <c r="JO625" s="36"/>
      <c r="JP625" s="36"/>
      <c r="JQ625" s="36"/>
      <c r="JR625" s="36"/>
      <c r="JS625" s="36"/>
      <c r="JT625" s="36"/>
      <c r="JU625" s="36"/>
      <c r="JV625" s="36"/>
      <c r="JW625" s="36"/>
      <c r="JX625" s="36"/>
      <c r="JY625" s="36"/>
      <c r="JZ625" s="36"/>
      <c r="KA625" s="36"/>
      <c r="KB625" s="36"/>
      <c r="KC625" s="36"/>
      <c r="KD625" s="36"/>
      <c r="KE625" s="36"/>
      <c r="KF625" s="36"/>
      <c r="KG625" s="36"/>
      <c r="KH625" s="36"/>
      <c r="KI625" s="36"/>
      <c r="KJ625" s="36"/>
      <c r="KK625" s="36"/>
      <c r="KL625" s="36"/>
      <c r="KM625" s="36"/>
      <c r="KN625" s="36"/>
      <c r="KO625" s="36"/>
      <c r="KP625" s="36"/>
      <c r="KQ625" s="36"/>
      <c r="KR625" s="36"/>
      <c r="KS625" s="36"/>
      <c r="KT625" s="36"/>
      <c r="KU625" s="36"/>
      <c r="KV625" s="36"/>
      <c r="KW625" s="36"/>
      <c r="KX625" s="36"/>
      <c r="KY625" s="36"/>
      <c r="KZ625" s="36"/>
      <c r="LA625" s="36"/>
      <c r="LB625" s="36"/>
      <c r="LC625" s="36"/>
      <c r="LD625" s="36"/>
      <c r="LE625" s="36"/>
      <c r="LF625" s="36"/>
      <c r="LG625" s="36"/>
      <c r="LH625" s="36"/>
      <c r="LI625" s="36"/>
      <c r="LJ625" s="36"/>
      <c r="LK625" s="36"/>
      <c r="LL625" s="36"/>
      <c r="LM625" s="36"/>
      <c r="LN625" s="36"/>
      <c r="LO625" s="36"/>
      <c r="LP625" s="36"/>
      <c r="LQ625" s="36"/>
      <c r="LR625" s="36"/>
      <c r="LS625" s="36"/>
      <c r="LT625" s="36"/>
      <c r="LU625" s="36"/>
      <c r="LV625" s="36"/>
      <c r="LW625" s="36"/>
      <c r="LX625" s="36"/>
      <c r="LY625" s="36"/>
      <c r="LZ625" s="36"/>
      <c r="MA625" s="36"/>
      <c r="MB625" s="36"/>
      <c r="MC625" s="36"/>
      <c r="MD625" s="36"/>
      <c r="ME625" s="36"/>
      <c r="MF625" s="36"/>
      <c r="MG625" s="36"/>
      <c r="MH625" s="36"/>
      <c r="MI625" s="36"/>
      <c r="MJ625" s="36"/>
      <c r="MK625" s="36"/>
      <c r="ML625" s="36"/>
      <c r="MM625" s="36"/>
      <c r="MN625" s="36"/>
      <c r="MO625" s="36"/>
      <c r="MP625" s="36"/>
      <c r="MQ625" s="36"/>
      <c r="MR625" s="36"/>
      <c r="MS625" s="36"/>
      <c r="MT625" s="36"/>
      <c r="MU625" s="36"/>
      <c r="MV625" s="36"/>
      <c r="MW625" s="36"/>
      <c r="MX625" s="36"/>
      <c r="MY625" s="36"/>
      <c r="MZ625" s="36"/>
      <c r="NA625" s="36"/>
      <c r="NB625" s="36"/>
      <c r="NC625" s="36"/>
      <c r="ND625" s="36"/>
      <c r="NE625" s="36"/>
      <c r="NF625" s="36"/>
      <c r="NG625" s="36"/>
      <c r="NH625" s="36"/>
      <c r="NI625" s="36"/>
      <c r="NJ625" s="36"/>
      <c r="NK625" s="36"/>
      <c r="NL625" s="36"/>
      <c r="NM625" s="36"/>
      <c r="NN625" s="36"/>
      <c r="NO625" s="36"/>
      <c r="NP625" s="36"/>
      <c r="NQ625" s="36"/>
      <c r="NR625" s="36"/>
      <c r="NS625" s="36"/>
      <c r="NT625" s="36"/>
      <c r="NU625" s="36"/>
      <c r="NV625" s="36"/>
      <c r="NW625" s="36"/>
      <c r="NX625" s="36"/>
      <c r="NY625" s="36"/>
      <c r="NZ625" s="36"/>
      <c r="OA625" s="36"/>
      <c r="OB625" s="36"/>
      <c r="OC625" s="36"/>
      <c r="OD625" s="36"/>
      <c r="OE625" s="36"/>
      <c r="OF625" s="36"/>
      <c r="OG625" s="36"/>
      <c r="OH625" s="36"/>
      <c r="OI625" s="36"/>
      <c r="OJ625" s="36"/>
      <c r="OK625" s="36"/>
      <c r="OL625" s="36"/>
      <c r="OM625" s="36"/>
      <c r="ON625" s="36"/>
      <c r="OO625" s="36"/>
      <c r="OP625" s="36"/>
      <c r="OQ625" s="36"/>
      <c r="OR625" s="36"/>
      <c r="OS625" s="36"/>
      <c r="OT625" s="36"/>
      <c r="OU625" s="36"/>
      <c r="OV625" s="36"/>
      <c r="OW625" s="36"/>
      <c r="OX625" s="36"/>
    </row>
    <row r="626" spans="2:414" s="27" customFormat="1" ht="15.6">
      <c r="B626" s="51" t="s">
        <v>750</v>
      </c>
      <c r="C626" s="27" t="s">
        <v>133</v>
      </c>
      <c r="D626" s="29" t="s">
        <v>105</v>
      </c>
      <c r="G626" s="49">
        <v>80</v>
      </c>
      <c r="H626" s="89">
        <v>26.109000000000002</v>
      </c>
      <c r="I626" s="38">
        <f t="shared" si="180"/>
        <v>2088.7200000000003</v>
      </c>
      <c r="K626" s="49">
        <v>80</v>
      </c>
      <c r="L626" s="90">
        <v>26.849599999999999</v>
      </c>
      <c r="M626" s="38">
        <f t="shared" si="181"/>
        <v>2147.9679999999998</v>
      </c>
      <c r="O626" s="49">
        <v>505</v>
      </c>
      <c r="P626" s="38">
        <v>26.728300000000001</v>
      </c>
      <c r="Q626" s="38">
        <f t="shared" si="182"/>
        <v>13497.791500000001</v>
      </c>
      <c r="R626" s="43">
        <f t="shared" si="179"/>
        <v>665</v>
      </c>
      <c r="S626" s="38">
        <f t="shared" si="183"/>
        <v>17734.479500000001</v>
      </c>
      <c r="T626" s="27">
        <v>240</v>
      </c>
      <c r="U626" s="52">
        <v>26.7165</v>
      </c>
      <c r="V626" s="38">
        <f t="shared" si="190"/>
        <v>6411.96</v>
      </c>
      <c r="W626" s="52">
        <v>505</v>
      </c>
      <c r="X626" s="52">
        <v>26.677399999999999</v>
      </c>
      <c r="Y626" s="35">
        <f t="shared" si="189"/>
        <v>13472.087</v>
      </c>
      <c r="Z626" s="78"/>
      <c r="AF626" s="42">
        <f t="shared" si="191"/>
        <v>0</v>
      </c>
      <c r="AU626" s="100"/>
      <c r="AV626" s="35"/>
      <c r="AW626" s="78"/>
      <c r="AZ626" s="42">
        <f t="shared" si="178"/>
        <v>0</v>
      </c>
      <c r="BD626" s="38">
        <f t="shared" si="184"/>
        <v>0</v>
      </c>
      <c r="BH626" s="38">
        <f t="shared" si="185"/>
        <v>0</v>
      </c>
      <c r="BL626" s="38">
        <f t="shared" si="186"/>
        <v>0</v>
      </c>
      <c r="BR626" s="42">
        <f t="shared" si="187"/>
        <v>19884.046999999999</v>
      </c>
      <c r="BS626" s="43"/>
      <c r="BT626" s="27">
        <v>2149.5700000000002</v>
      </c>
      <c r="BU626" s="36"/>
      <c r="BV626" s="36"/>
      <c r="BW626" s="36"/>
      <c r="BX626" s="36"/>
      <c r="BY626" s="36"/>
      <c r="BZ626" s="36"/>
      <c r="CA626" s="36"/>
      <c r="CB626" s="36"/>
      <c r="CC626" s="36"/>
      <c r="CD626" s="36"/>
      <c r="CE626" s="36"/>
      <c r="CF626" s="36"/>
      <c r="CG626" s="36"/>
      <c r="CH626" s="36"/>
      <c r="CI626" s="36"/>
      <c r="CJ626" s="36"/>
      <c r="CK626" s="36"/>
      <c r="CL626" s="36"/>
      <c r="CM626" s="36"/>
      <c r="CN626" s="36"/>
      <c r="CO626" s="36"/>
      <c r="CP626" s="36"/>
      <c r="CQ626" s="36"/>
      <c r="CR626" s="36"/>
      <c r="CS626" s="36"/>
      <c r="CT626" s="36"/>
      <c r="CU626" s="36"/>
      <c r="CV626" s="36"/>
      <c r="CW626" s="36"/>
      <c r="CX626" s="36"/>
      <c r="CY626" s="36"/>
      <c r="CZ626" s="36"/>
      <c r="DA626" s="36"/>
      <c r="DB626" s="36"/>
      <c r="DC626" s="36"/>
      <c r="DD626" s="36"/>
      <c r="DE626" s="36"/>
      <c r="DF626" s="36"/>
      <c r="DG626" s="36"/>
      <c r="DH626" s="36"/>
      <c r="DI626" s="36"/>
      <c r="DJ626" s="36"/>
      <c r="DK626" s="36"/>
      <c r="DL626" s="36"/>
      <c r="DM626" s="36"/>
      <c r="DN626" s="36"/>
      <c r="DO626" s="36"/>
      <c r="DP626" s="36"/>
      <c r="DQ626" s="36"/>
      <c r="DR626" s="36"/>
      <c r="DS626" s="36"/>
      <c r="DT626" s="36"/>
      <c r="DU626" s="36"/>
      <c r="DV626" s="36"/>
      <c r="DW626" s="36"/>
      <c r="DX626" s="36"/>
      <c r="DY626" s="36"/>
      <c r="DZ626" s="36"/>
      <c r="EA626" s="36"/>
      <c r="EB626" s="36"/>
      <c r="EC626" s="36"/>
      <c r="ED626" s="36"/>
      <c r="EE626" s="36"/>
      <c r="EF626" s="36"/>
      <c r="EG626" s="36"/>
      <c r="EH626" s="36"/>
      <c r="EI626" s="36"/>
      <c r="EJ626" s="36"/>
      <c r="EK626" s="36"/>
      <c r="EL626" s="36"/>
      <c r="EM626" s="36"/>
      <c r="EN626" s="36"/>
      <c r="EO626" s="36"/>
      <c r="EP626" s="36"/>
      <c r="EQ626" s="36"/>
      <c r="ER626" s="36"/>
      <c r="ES626" s="36"/>
      <c r="ET626" s="36"/>
      <c r="EU626" s="36"/>
      <c r="EV626" s="36"/>
      <c r="EW626" s="36"/>
      <c r="EX626" s="36"/>
      <c r="EY626" s="36"/>
      <c r="EZ626" s="36"/>
      <c r="FA626" s="36"/>
      <c r="FB626" s="36"/>
      <c r="FC626" s="36"/>
      <c r="FD626" s="36"/>
      <c r="FE626" s="36"/>
      <c r="FF626" s="36"/>
      <c r="FG626" s="36"/>
      <c r="FH626" s="36"/>
      <c r="FI626" s="36"/>
      <c r="FJ626" s="36"/>
      <c r="FK626" s="36"/>
      <c r="FL626" s="36"/>
      <c r="FM626" s="36"/>
      <c r="FN626" s="36"/>
      <c r="FO626" s="36"/>
      <c r="FP626" s="36"/>
      <c r="FQ626" s="36"/>
      <c r="FR626" s="36"/>
      <c r="FS626" s="36"/>
      <c r="FT626" s="36"/>
      <c r="FU626" s="36"/>
      <c r="FV626" s="36"/>
      <c r="FW626" s="36"/>
      <c r="FX626" s="36"/>
      <c r="FY626" s="36"/>
      <c r="FZ626" s="36"/>
      <c r="GA626" s="36"/>
      <c r="GB626" s="36"/>
      <c r="GC626" s="36"/>
      <c r="GD626" s="36"/>
      <c r="GE626" s="36"/>
      <c r="GF626" s="36"/>
      <c r="GG626" s="36"/>
      <c r="GH626" s="36"/>
      <c r="GI626" s="36"/>
      <c r="GJ626" s="36"/>
      <c r="GK626" s="36"/>
      <c r="GL626" s="36"/>
      <c r="GM626" s="36"/>
      <c r="GN626" s="36"/>
      <c r="GO626" s="36"/>
      <c r="GP626" s="36"/>
      <c r="GQ626" s="36"/>
      <c r="GR626" s="36"/>
      <c r="GS626" s="36"/>
      <c r="GT626" s="36"/>
      <c r="GU626" s="36"/>
      <c r="GV626" s="36"/>
      <c r="GW626" s="36"/>
      <c r="GX626" s="36"/>
      <c r="GY626" s="36"/>
      <c r="GZ626" s="36"/>
      <c r="HA626" s="36"/>
      <c r="HB626" s="36"/>
      <c r="HC626" s="36"/>
      <c r="HD626" s="36"/>
      <c r="HE626" s="36"/>
      <c r="HF626" s="36"/>
      <c r="HG626" s="36"/>
      <c r="HH626" s="36"/>
      <c r="HI626" s="36"/>
      <c r="HJ626" s="36"/>
      <c r="HK626" s="36"/>
      <c r="HL626" s="36"/>
      <c r="HM626" s="36"/>
      <c r="HN626" s="36"/>
      <c r="HO626" s="36"/>
      <c r="HP626" s="36"/>
      <c r="HQ626" s="36"/>
      <c r="HR626" s="36"/>
      <c r="HS626" s="36"/>
      <c r="HT626" s="36"/>
      <c r="HU626" s="36"/>
      <c r="HV626" s="36"/>
      <c r="HW626" s="36"/>
      <c r="HX626" s="36"/>
      <c r="HY626" s="36"/>
      <c r="HZ626" s="36"/>
      <c r="IA626" s="36"/>
      <c r="IB626" s="36"/>
      <c r="IC626" s="36"/>
      <c r="ID626" s="36"/>
      <c r="IE626" s="36"/>
      <c r="IF626" s="36"/>
      <c r="IG626" s="36"/>
      <c r="IH626" s="36"/>
      <c r="II626" s="36"/>
      <c r="IJ626" s="36"/>
      <c r="IK626" s="36"/>
      <c r="IL626" s="36"/>
      <c r="IM626" s="36"/>
      <c r="IN626" s="36"/>
      <c r="IO626" s="36"/>
      <c r="IP626" s="36"/>
      <c r="IQ626" s="36"/>
      <c r="IR626" s="36"/>
      <c r="IS626" s="36"/>
      <c r="IT626" s="36"/>
      <c r="IU626" s="36"/>
      <c r="IV626" s="36"/>
      <c r="IW626" s="36"/>
      <c r="IX626" s="36"/>
      <c r="IY626" s="36"/>
      <c r="IZ626" s="36"/>
      <c r="JA626" s="36"/>
      <c r="JB626" s="36"/>
      <c r="JC626" s="36"/>
      <c r="JD626" s="36"/>
      <c r="JE626" s="36"/>
      <c r="JF626" s="36"/>
      <c r="JG626" s="36"/>
      <c r="JH626" s="36"/>
      <c r="JI626" s="36"/>
      <c r="JJ626" s="36"/>
      <c r="JK626" s="36"/>
      <c r="JL626" s="36"/>
      <c r="JM626" s="36"/>
      <c r="JN626" s="36"/>
      <c r="JO626" s="36"/>
      <c r="JP626" s="36"/>
      <c r="JQ626" s="36"/>
      <c r="JR626" s="36"/>
      <c r="JS626" s="36"/>
      <c r="JT626" s="36"/>
      <c r="JU626" s="36"/>
      <c r="JV626" s="36"/>
      <c r="JW626" s="36"/>
      <c r="JX626" s="36"/>
      <c r="JY626" s="36"/>
      <c r="JZ626" s="36"/>
      <c r="KA626" s="36"/>
      <c r="KB626" s="36"/>
      <c r="KC626" s="36"/>
      <c r="KD626" s="36"/>
      <c r="KE626" s="36"/>
      <c r="KF626" s="36"/>
      <c r="KG626" s="36"/>
      <c r="KH626" s="36"/>
      <c r="KI626" s="36"/>
      <c r="KJ626" s="36"/>
      <c r="KK626" s="36"/>
      <c r="KL626" s="36"/>
      <c r="KM626" s="36"/>
      <c r="KN626" s="36"/>
      <c r="KO626" s="36"/>
      <c r="KP626" s="36"/>
      <c r="KQ626" s="36"/>
      <c r="KR626" s="36"/>
      <c r="KS626" s="36"/>
      <c r="KT626" s="36"/>
      <c r="KU626" s="36"/>
      <c r="KV626" s="36"/>
      <c r="KW626" s="36"/>
      <c r="KX626" s="36"/>
      <c r="KY626" s="36"/>
      <c r="KZ626" s="36"/>
      <c r="LA626" s="36"/>
      <c r="LB626" s="36"/>
      <c r="LC626" s="36"/>
      <c r="LD626" s="36"/>
      <c r="LE626" s="36"/>
      <c r="LF626" s="36"/>
      <c r="LG626" s="36"/>
      <c r="LH626" s="36"/>
      <c r="LI626" s="36"/>
      <c r="LJ626" s="36"/>
      <c r="LK626" s="36"/>
      <c r="LL626" s="36"/>
      <c r="LM626" s="36"/>
      <c r="LN626" s="36"/>
      <c r="LO626" s="36"/>
      <c r="LP626" s="36"/>
      <c r="LQ626" s="36"/>
      <c r="LR626" s="36"/>
      <c r="LS626" s="36"/>
      <c r="LT626" s="36"/>
      <c r="LU626" s="36"/>
      <c r="LV626" s="36"/>
      <c r="LW626" s="36"/>
      <c r="LX626" s="36"/>
      <c r="LY626" s="36"/>
      <c r="LZ626" s="36"/>
      <c r="MA626" s="36"/>
      <c r="MB626" s="36"/>
      <c r="MC626" s="36"/>
      <c r="MD626" s="36"/>
      <c r="ME626" s="36"/>
      <c r="MF626" s="36"/>
      <c r="MG626" s="36"/>
      <c r="MH626" s="36"/>
      <c r="MI626" s="36"/>
      <c r="MJ626" s="36"/>
      <c r="MK626" s="36"/>
      <c r="ML626" s="36"/>
      <c r="MM626" s="36"/>
      <c r="MN626" s="36"/>
      <c r="MO626" s="36"/>
      <c r="MP626" s="36"/>
      <c r="MQ626" s="36"/>
      <c r="MR626" s="36"/>
      <c r="MS626" s="36"/>
      <c r="MT626" s="36"/>
      <c r="MU626" s="36"/>
      <c r="MV626" s="36"/>
      <c r="MW626" s="36"/>
      <c r="MX626" s="36"/>
      <c r="MY626" s="36"/>
      <c r="MZ626" s="36"/>
      <c r="NA626" s="36"/>
      <c r="NB626" s="36"/>
      <c r="NC626" s="36"/>
      <c r="ND626" s="36"/>
      <c r="NE626" s="36"/>
      <c r="NF626" s="36"/>
      <c r="NG626" s="36"/>
      <c r="NH626" s="36"/>
      <c r="NI626" s="36"/>
      <c r="NJ626" s="36"/>
      <c r="NK626" s="36"/>
      <c r="NL626" s="36"/>
      <c r="NM626" s="36"/>
      <c r="NN626" s="36"/>
      <c r="NO626" s="36"/>
      <c r="NP626" s="36"/>
      <c r="NQ626" s="36"/>
      <c r="NR626" s="36"/>
      <c r="NS626" s="36"/>
      <c r="NT626" s="36"/>
      <c r="NU626" s="36"/>
      <c r="NV626" s="36"/>
      <c r="NW626" s="36"/>
      <c r="NX626" s="36"/>
      <c r="NY626" s="36"/>
      <c r="NZ626" s="36"/>
      <c r="OA626" s="36"/>
      <c r="OB626" s="36"/>
      <c r="OC626" s="36"/>
      <c r="OD626" s="36"/>
      <c r="OE626" s="36"/>
      <c r="OF626" s="36"/>
      <c r="OG626" s="36"/>
      <c r="OH626" s="36"/>
      <c r="OI626" s="36"/>
      <c r="OJ626" s="36"/>
      <c r="OK626" s="36"/>
      <c r="OL626" s="36"/>
      <c r="OM626" s="36"/>
      <c r="ON626" s="36"/>
      <c r="OO626" s="36"/>
      <c r="OP626" s="36"/>
      <c r="OQ626" s="36"/>
      <c r="OR626" s="36"/>
      <c r="OS626" s="36"/>
      <c r="OT626" s="36"/>
      <c r="OU626" s="36"/>
      <c r="OV626" s="36"/>
      <c r="OW626" s="36"/>
      <c r="OX626" s="36"/>
    </row>
    <row r="627" spans="2:414" s="27" customFormat="1" ht="15.6">
      <c r="B627" s="51" t="s">
        <v>736</v>
      </c>
      <c r="C627" s="27" t="s">
        <v>737</v>
      </c>
      <c r="D627" s="29" t="s">
        <v>105</v>
      </c>
      <c r="G627" s="49">
        <v>80</v>
      </c>
      <c r="H627" s="89">
        <v>26.109000000000002</v>
      </c>
      <c r="I627" s="38">
        <f t="shared" si="180"/>
        <v>2088.7200000000003</v>
      </c>
      <c r="K627" s="49">
        <v>80</v>
      </c>
      <c r="L627" s="90">
        <v>26.849599999999999</v>
      </c>
      <c r="M627" s="38">
        <f t="shared" si="181"/>
        <v>2147.9679999999998</v>
      </c>
      <c r="O627" s="49">
        <v>505</v>
      </c>
      <c r="P627" s="38">
        <v>26.728300000000001</v>
      </c>
      <c r="Q627" s="38">
        <f t="shared" si="182"/>
        <v>13497.791500000001</v>
      </c>
      <c r="R627" s="43">
        <f t="shared" si="179"/>
        <v>665</v>
      </c>
      <c r="S627" s="38">
        <f t="shared" si="183"/>
        <v>17734.479500000001</v>
      </c>
      <c r="T627" s="27">
        <v>240</v>
      </c>
      <c r="U627" s="52">
        <v>26.791499999999999</v>
      </c>
      <c r="V627" s="38">
        <f t="shared" si="190"/>
        <v>6429.96</v>
      </c>
      <c r="W627" s="52">
        <v>505</v>
      </c>
      <c r="X627" s="52">
        <v>26.766200000000001</v>
      </c>
      <c r="Y627" s="35">
        <f t="shared" si="189"/>
        <v>13516.931</v>
      </c>
      <c r="Z627" s="78"/>
      <c r="AF627" s="42">
        <f t="shared" si="191"/>
        <v>0</v>
      </c>
      <c r="AU627" s="100"/>
      <c r="AV627" s="35"/>
      <c r="AW627" s="78"/>
      <c r="AZ627" s="42">
        <f t="shared" si="178"/>
        <v>0</v>
      </c>
      <c r="BD627" s="38">
        <f t="shared" si="184"/>
        <v>0</v>
      </c>
      <c r="BH627" s="38">
        <f t="shared" si="185"/>
        <v>0</v>
      </c>
      <c r="BL627" s="38">
        <f t="shared" si="186"/>
        <v>0</v>
      </c>
      <c r="BR627" s="42">
        <f t="shared" si="187"/>
        <v>19946.891</v>
      </c>
      <c r="BS627" s="43"/>
      <c r="BT627" s="27">
        <v>2212.41</v>
      </c>
      <c r="BU627" s="36"/>
      <c r="BV627" s="36"/>
      <c r="BW627" s="36"/>
      <c r="BX627" s="36"/>
      <c r="BY627" s="36"/>
      <c r="BZ627" s="36"/>
      <c r="CA627" s="36"/>
      <c r="CB627" s="36"/>
      <c r="CC627" s="36"/>
      <c r="CD627" s="36"/>
      <c r="CE627" s="36"/>
      <c r="CF627" s="36"/>
      <c r="CG627" s="36"/>
      <c r="CH627" s="36"/>
      <c r="CI627" s="36"/>
      <c r="CJ627" s="36"/>
      <c r="CK627" s="36"/>
      <c r="CL627" s="36"/>
      <c r="CM627" s="36"/>
      <c r="CN627" s="36"/>
      <c r="CO627" s="36"/>
      <c r="CP627" s="36"/>
      <c r="CQ627" s="36"/>
      <c r="CR627" s="36"/>
      <c r="CS627" s="36"/>
      <c r="CT627" s="36"/>
      <c r="CU627" s="36"/>
      <c r="CV627" s="36"/>
      <c r="CW627" s="36"/>
      <c r="CX627" s="36"/>
      <c r="CY627" s="36"/>
      <c r="CZ627" s="36"/>
      <c r="DA627" s="36"/>
      <c r="DB627" s="36"/>
      <c r="DC627" s="36"/>
      <c r="DD627" s="36"/>
      <c r="DE627" s="36"/>
      <c r="DF627" s="36"/>
      <c r="DG627" s="36"/>
      <c r="DH627" s="36"/>
      <c r="DI627" s="36"/>
      <c r="DJ627" s="36"/>
      <c r="DK627" s="36"/>
      <c r="DL627" s="36"/>
      <c r="DM627" s="36"/>
      <c r="DN627" s="36"/>
      <c r="DO627" s="36"/>
      <c r="DP627" s="36"/>
      <c r="DQ627" s="36"/>
      <c r="DR627" s="36"/>
      <c r="DS627" s="36"/>
      <c r="DT627" s="36"/>
      <c r="DU627" s="36"/>
      <c r="DV627" s="36"/>
      <c r="DW627" s="36"/>
      <c r="DX627" s="36"/>
      <c r="DY627" s="36"/>
      <c r="DZ627" s="36"/>
      <c r="EA627" s="36"/>
      <c r="EB627" s="36"/>
      <c r="EC627" s="36"/>
      <c r="ED627" s="36"/>
      <c r="EE627" s="36"/>
      <c r="EF627" s="36"/>
      <c r="EG627" s="36"/>
      <c r="EH627" s="36"/>
      <c r="EI627" s="36"/>
      <c r="EJ627" s="36"/>
      <c r="EK627" s="36"/>
      <c r="EL627" s="36"/>
      <c r="EM627" s="36"/>
      <c r="EN627" s="36"/>
      <c r="EO627" s="36"/>
      <c r="EP627" s="36"/>
      <c r="EQ627" s="36"/>
      <c r="ER627" s="36"/>
      <c r="ES627" s="36"/>
      <c r="ET627" s="36"/>
      <c r="EU627" s="36"/>
      <c r="EV627" s="36"/>
      <c r="EW627" s="36"/>
      <c r="EX627" s="36"/>
      <c r="EY627" s="36"/>
      <c r="EZ627" s="36"/>
      <c r="FA627" s="36"/>
      <c r="FB627" s="36"/>
      <c r="FC627" s="36"/>
      <c r="FD627" s="36"/>
      <c r="FE627" s="36"/>
      <c r="FF627" s="36"/>
      <c r="FG627" s="36"/>
      <c r="FH627" s="36"/>
      <c r="FI627" s="36"/>
      <c r="FJ627" s="36"/>
      <c r="FK627" s="36"/>
      <c r="FL627" s="36"/>
      <c r="FM627" s="36"/>
      <c r="FN627" s="36"/>
      <c r="FO627" s="36"/>
      <c r="FP627" s="36"/>
      <c r="FQ627" s="36"/>
      <c r="FR627" s="36"/>
      <c r="FS627" s="36"/>
      <c r="FT627" s="36"/>
      <c r="FU627" s="36"/>
      <c r="FV627" s="36"/>
      <c r="FW627" s="36"/>
      <c r="FX627" s="36"/>
      <c r="FY627" s="36"/>
      <c r="FZ627" s="36"/>
      <c r="GA627" s="36"/>
      <c r="GB627" s="36"/>
      <c r="GC627" s="36"/>
      <c r="GD627" s="36"/>
      <c r="GE627" s="36"/>
      <c r="GF627" s="36"/>
      <c r="GG627" s="36"/>
      <c r="GH627" s="36"/>
      <c r="GI627" s="36"/>
      <c r="GJ627" s="36"/>
      <c r="GK627" s="36"/>
      <c r="GL627" s="36"/>
      <c r="GM627" s="36"/>
      <c r="GN627" s="36"/>
      <c r="GO627" s="36"/>
      <c r="GP627" s="36"/>
      <c r="GQ627" s="36"/>
      <c r="GR627" s="36"/>
      <c r="GS627" s="36"/>
      <c r="GT627" s="36"/>
      <c r="GU627" s="36"/>
      <c r="GV627" s="36"/>
      <c r="GW627" s="36"/>
      <c r="GX627" s="36"/>
      <c r="GY627" s="36"/>
      <c r="GZ627" s="36"/>
      <c r="HA627" s="36"/>
      <c r="HB627" s="36"/>
      <c r="HC627" s="36"/>
      <c r="HD627" s="36"/>
      <c r="HE627" s="36"/>
      <c r="HF627" s="36"/>
      <c r="HG627" s="36"/>
      <c r="HH627" s="36"/>
      <c r="HI627" s="36"/>
      <c r="HJ627" s="36"/>
      <c r="HK627" s="36"/>
      <c r="HL627" s="36"/>
      <c r="HM627" s="36"/>
      <c r="HN627" s="36"/>
      <c r="HO627" s="36"/>
      <c r="HP627" s="36"/>
      <c r="HQ627" s="36"/>
      <c r="HR627" s="36"/>
      <c r="HS627" s="36"/>
      <c r="HT627" s="36"/>
      <c r="HU627" s="36"/>
      <c r="HV627" s="36"/>
      <c r="HW627" s="36"/>
      <c r="HX627" s="36"/>
      <c r="HY627" s="36"/>
      <c r="HZ627" s="36"/>
      <c r="IA627" s="36"/>
      <c r="IB627" s="36"/>
      <c r="IC627" s="36"/>
      <c r="ID627" s="36"/>
      <c r="IE627" s="36"/>
      <c r="IF627" s="36"/>
      <c r="IG627" s="36"/>
      <c r="IH627" s="36"/>
      <c r="II627" s="36"/>
      <c r="IJ627" s="36"/>
      <c r="IK627" s="36"/>
      <c r="IL627" s="36"/>
      <c r="IM627" s="36"/>
      <c r="IN627" s="36"/>
      <c r="IO627" s="36"/>
      <c r="IP627" s="36"/>
      <c r="IQ627" s="36"/>
      <c r="IR627" s="36"/>
      <c r="IS627" s="36"/>
      <c r="IT627" s="36"/>
      <c r="IU627" s="36"/>
      <c r="IV627" s="36"/>
      <c r="IW627" s="36"/>
      <c r="IX627" s="36"/>
      <c r="IY627" s="36"/>
      <c r="IZ627" s="36"/>
      <c r="JA627" s="36"/>
      <c r="JB627" s="36"/>
      <c r="JC627" s="36"/>
      <c r="JD627" s="36"/>
      <c r="JE627" s="36"/>
      <c r="JF627" s="36"/>
      <c r="JG627" s="36"/>
      <c r="JH627" s="36"/>
      <c r="JI627" s="36"/>
      <c r="JJ627" s="36"/>
      <c r="JK627" s="36"/>
      <c r="JL627" s="36"/>
      <c r="JM627" s="36"/>
      <c r="JN627" s="36"/>
      <c r="JO627" s="36"/>
      <c r="JP627" s="36"/>
      <c r="JQ627" s="36"/>
      <c r="JR627" s="36"/>
      <c r="JS627" s="36"/>
      <c r="JT627" s="36"/>
      <c r="JU627" s="36"/>
      <c r="JV627" s="36"/>
      <c r="JW627" s="36"/>
      <c r="JX627" s="36"/>
      <c r="JY627" s="36"/>
      <c r="JZ627" s="36"/>
      <c r="KA627" s="36"/>
      <c r="KB627" s="36"/>
      <c r="KC627" s="36"/>
      <c r="KD627" s="36"/>
      <c r="KE627" s="36"/>
      <c r="KF627" s="36"/>
      <c r="KG627" s="36"/>
      <c r="KH627" s="36"/>
      <c r="KI627" s="36"/>
      <c r="KJ627" s="36"/>
      <c r="KK627" s="36"/>
      <c r="KL627" s="36"/>
      <c r="KM627" s="36"/>
      <c r="KN627" s="36"/>
      <c r="KO627" s="36"/>
      <c r="KP627" s="36"/>
      <c r="KQ627" s="36"/>
      <c r="KR627" s="36"/>
      <c r="KS627" s="36"/>
      <c r="KT627" s="36"/>
      <c r="KU627" s="36"/>
      <c r="KV627" s="36"/>
      <c r="KW627" s="36"/>
      <c r="KX627" s="36"/>
      <c r="KY627" s="36"/>
      <c r="KZ627" s="36"/>
      <c r="LA627" s="36"/>
      <c r="LB627" s="36"/>
      <c r="LC627" s="36"/>
      <c r="LD627" s="36"/>
      <c r="LE627" s="36"/>
      <c r="LF627" s="36"/>
      <c r="LG627" s="36"/>
      <c r="LH627" s="36"/>
      <c r="LI627" s="36"/>
      <c r="LJ627" s="36"/>
      <c r="LK627" s="36"/>
      <c r="LL627" s="36"/>
      <c r="LM627" s="36"/>
      <c r="LN627" s="36"/>
      <c r="LO627" s="36"/>
      <c r="LP627" s="36"/>
      <c r="LQ627" s="36"/>
      <c r="LR627" s="36"/>
      <c r="LS627" s="36"/>
      <c r="LT627" s="36"/>
      <c r="LU627" s="36"/>
      <c r="LV627" s="36"/>
      <c r="LW627" s="36"/>
      <c r="LX627" s="36"/>
      <c r="LY627" s="36"/>
      <c r="LZ627" s="36"/>
      <c r="MA627" s="36"/>
      <c r="MB627" s="36"/>
      <c r="MC627" s="36"/>
      <c r="MD627" s="36"/>
      <c r="ME627" s="36"/>
      <c r="MF627" s="36"/>
      <c r="MG627" s="36"/>
      <c r="MH627" s="36"/>
      <c r="MI627" s="36"/>
      <c r="MJ627" s="36"/>
      <c r="MK627" s="36"/>
      <c r="ML627" s="36"/>
      <c r="MM627" s="36"/>
      <c r="MN627" s="36"/>
      <c r="MO627" s="36"/>
      <c r="MP627" s="36"/>
      <c r="MQ627" s="36"/>
      <c r="MR627" s="36"/>
      <c r="MS627" s="36"/>
      <c r="MT627" s="36"/>
      <c r="MU627" s="36"/>
      <c r="MV627" s="36"/>
      <c r="MW627" s="36"/>
      <c r="MX627" s="36"/>
      <c r="MY627" s="36"/>
      <c r="MZ627" s="36"/>
      <c r="NA627" s="36"/>
      <c r="NB627" s="36"/>
      <c r="NC627" s="36"/>
      <c r="ND627" s="36"/>
      <c r="NE627" s="36"/>
      <c r="NF627" s="36"/>
      <c r="NG627" s="36"/>
      <c r="NH627" s="36"/>
      <c r="NI627" s="36"/>
      <c r="NJ627" s="36"/>
      <c r="NK627" s="36"/>
      <c r="NL627" s="36"/>
      <c r="NM627" s="36"/>
      <c r="NN627" s="36"/>
      <c r="NO627" s="36"/>
      <c r="NP627" s="36"/>
      <c r="NQ627" s="36"/>
      <c r="NR627" s="36"/>
      <c r="NS627" s="36"/>
      <c r="NT627" s="36"/>
      <c r="NU627" s="36"/>
      <c r="NV627" s="36"/>
      <c r="NW627" s="36"/>
      <c r="NX627" s="36"/>
      <c r="NY627" s="36"/>
      <c r="NZ627" s="36"/>
      <c r="OA627" s="36"/>
      <c r="OB627" s="36"/>
      <c r="OC627" s="36"/>
      <c r="OD627" s="36"/>
      <c r="OE627" s="36"/>
      <c r="OF627" s="36"/>
      <c r="OG627" s="36"/>
      <c r="OH627" s="36"/>
      <c r="OI627" s="36"/>
      <c r="OJ627" s="36"/>
      <c r="OK627" s="36"/>
      <c r="OL627" s="36"/>
      <c r="OM627" s="36"/>
      <c r="ON627" s="36"/>
      <c r="OO627" s="36"/>
      <c r="OP627" s="36"/>
      <c r="OQ627" s="36"/>
      <c r="OR627" s="36"/>
      <c r="OS627" s="36"/>
      <c r="OT627" s="36"/>
      <c r="OU627" s="36"/>
      <c r="OV627" s="36"/>
      <c r="OW627" s="36"/>
      <c r="OX627" s="36"/>
    </row>
    <row r="628" spans="2:414" s="27" customFormat="1" ht="15.6">
      <c r="B628" s="51" t="s">
        <v>911</v>
      </c>
      <c r="C628" s="27" t="s">
        <v>115</v>
      </c>
      <c r="D628" s="29" t="s">
        <v>105</v>
      </c>
      <c r="G628" s="49">
        <v>80</v>
      </c>
      <c r="H628" s="89">
        <v>26.109000000000002</v>
      </c>
      <c r="I628" s="38">
        <f t="shared" si="180"/>
        <v>2088.7200000000003</v>
      </c>
      <c r="K628" s="49">
        <v>80</v>
      </c>
      <c r="L628" s="90">
        <v>26.849599999999999</v>
      </c>
      <c r="M628" s="38">
        <f t="shared" si="181"/>
        <v>2147.9679999999998</v>
      </c>
      <c r="O628" s="49">
        <v>505</v>
      </c>
      <c r="P628" s="38">
        <v>26.728300000000001</v>
      </c>
      <c r="Q628" s="38">
        <f t="shared" si="182"/>
        <v>13497.791500000001</v>
      </c>
      <c r="R628" s="43">
        <f t="shared" si="179"/>
        <v>665</v>
      </c>
      <c r="S628" s="38">
        <f t="shared" si="183"/>
        <v>17734.479500000001</v>
      </c>
      <c r="T628" s="27">
        <v>240</v>
      </c>
      <c r="U628" s="52">
        <v>26.5715</v>
      </c>
      <c r="V628" s="38">
        <f t="shared" si="190"/>
        <v>6377.16</v>
      </c>
      <c r="W628" s="52">
        <v>195</v>
      </c>
      <c r="X628" s="52">
        <v>26.68</v>
      </c>
      <c r="Y628" s="35">
        <f t="shared" si="189"/>
        <v>5202.6000000000004</v>
      </c>
      <c r="Z628" s="78"/>
      <c r="AF628" s="42">
        <f t="shared" si="191"/>
        <v>0</v>
      </c>
      <c r="AU628" s="100"/>
      <c r="AV628" s="35"/>
      <c r="AW628" s="78"/>
      <c r="AZ628" s="42">
        <f t="shared" si="178"/>
        <v>0</v>
      </c>
      <c r="BD628" s="38">
        <f t="shared" si="184"/>
        <v>0</v>
      </c>
      <c r="BH628" s="38">
        <f t="shared" si="185"/>
        <v>0</v>
      </c>
      <c r="BL628" s="38">
        <f t="shared" si="186"/>
        <v>0</v>
      </c>
      <c r="BR628" s="42">
        <f t="shared" si="187"/>
        <v>11579.76</v>
      </c>
      <c r="BS628" s="43">
        <f t="shared" si="188"/>
        <v>6154.7195000000011</v>
      </c>
      <c r="BU628" s="36"/>
      <c r="BV628" s="36"/>
      <c r="BW628" s="36"/>
      <c r="BX628" s="36"/>
      <c r="BY628" s="36"/>
      <c r="BZ628" s="36"/>
      <c r="CA628" s="36"/>
      <c r="CB628" s="36"/>
      <c r="CC628" s="36"/>
      <c r="CD628" s="36"/>
      <c r="CE628" s="36"/>
      <c r="CF628" s="36"/>
      <c r="CG628" s="36"/>
      <c r="CH628" s="36"/>
      <c r="CI628" s="36"/>
      <c r="CJ628" s="36"/>
      <c r="CK628" s="36"/>
      <c r="CL628" s="36"/>
      <c r="CM628" s="36"/>
      <c r="CN628" s="36"/>
      <c r="CO628" s="36"/>
      <c r="CP628" s="36"/>
      <c r="CQ628" s="36"/>
      <c r="CR628" s="36"/>
      <c r="CS628" s="36"/>
      <c r="CT628" s="36"/>
      <c r="CU628" s="36"/>
      <c r="CV628" s="36"/>
      <c r="CW628" s="36"/>
      <c r="CX628" s="36"/>
      <c r="CY628" s="36"/>
      <c r="CZ628" s="36"/>
      <c r="DA628" s="36"/>
      <c r="DB628" s="36"/>
      <c r="DC628" s="36"/>
      <c r="DD628" s="36"/>
      <c r="DE628" s="36"/>
      <c r="DF628" s="36"/>
      <c r="DG628" s="36"/>
      <c r="DH628" s="36"/>
      <c r="DI628" s="36"/>
      <c r="DJ628" s="36"/>
      <c r="DK628" s="36"/>
      <c r="DL628" s="36"/>
      <c r="DM628" s="36"/>
      <c r="DN628" s="36"/>
      <c r="DO628" s="36"/>
      <c r="DP628" s="36"/>
      <c r="DQ628" s="36"/>
      <c r="DR628" s="36"/>
      <c r="DS628" s="36"/>
      <c r="DT628" s="36"/>
      <c r="DU628" s="36"/>
      <c r="DV628" s="36"/>
      <c r="DW628" s="36"/>
      <c r="DX628" s="36"/>
      <c r="DY628" s="36"/>
      <c r="DZ628" s="36"/>
      <c r="EA628" s="36"/>
      <c r="EB628" s="36"/>
      <c r="EC628" s="36"/>
      <c r="ED628" s="36"/>
      <c r="EE628" s="36"/>
      <c r="EF628" s="36"/>
      <c r="EG628" s="36"/>
      <c r="EH628" s="36"/>
      <c r="EI628" s="36"/>
      <c r="EJ628" s="36"/>
      <c r="EK628" s="36"/>
      <c r="EL628" s="36"/>
      <c r="EM628" s="36"/>
      <c r="EN628" s="36"/>
      <c r="EO628" s="36"/>
      <c r="EP628" s="36"/>
      <c r="EQ628" s="36"/>
      <c r="ER628" s="36"/>
      <c r="ES628" s="36"/>
      <c r="ET628" s="36"/>
      <c r="EU628" s="36"/>
      <c r="EV628" s="36"/>
      <c r="EW628" s="36"/>
      <c r="EX628" s="36"/>
      <c r="EY628" s="36"/>
      <c r="EZ628" s="36"/>
      <c r="FA628" s="36"/>
      <c r="FB628" s="36"/>
      <c r="FC628" s="36"/>
      <c r="FD628" s="36"/>
      <c r="FE628" s="36"/>
      <c r="FF628" s="36"/>
      <c r="FG628" s="36"/>
      <c r="FH628" s="36"/>
      <c r="FI628" s="36"/>
      <c r="FJ628" s="36"/>
      <c r="FK628" s="36"/>
      <c r="FL628" s="36"/>
      <c r="FM628" s="36"/>
      <c r="FN628" s="36"/>
      <c r="FO628" s="36"/>
      <c r="FP628" s="36"/>
      <c r="FQ628" s="36"/>
      <c r="FR628" s="36"/>
      <c r="FS628" s="36"/>
      <c r="FT628" s="36"/>
      <c r="FU628" s="36"/>
      <c r="FV628" s="36"/>
      <c r="FW628" s="36"/>
      <c r="FX628" s="36"/>
      <c r="FY628" s="36"/>
      <c r="FZ628" s="36"/>
      <c r="GA628" s="36"/>
      <c r="GB628" s="36"/>
      <c r="GC628" s="36"/>
      <c r="GD628" s="36"/>
      <c r="GE628" s="36"/>
      <c r="GF628" s="36"/>
      <c r="GG628" s="36"/>
      <c r="GH628" s="36"/>
      <c r="GI628" s="36"/>
      <c r="GJ628" s="36"/>
      <c r="GK628" s="36"/>
      <c r="GL628" s="36"/>
      <c r="GM628" s="36"/>
      <c r="GN628" s="36"/>
      <c r="GO628" s="36"/>
      <c r="GP628" s="36"/>
      <c r="GQ628" s="36"/>
      <c r="GR628" s="36"/>
      <c r="GS628" s="36"/>
      <c r="GT628" s="36"/>
      <c r="GU628" s="36"/>
      <c r="GV628" s="36"/>
      <c r="GW628" s="36"/>
      <c r="GX628" s="36"/>
      <c r="GY628" s="36"/>
      <c r="GZ628" s="36"/>
      <c r="HA628" s="36"/>
      <c r="HB628" s="36"/>
      <c r="HC628" s="36"/>
      <c r="HD628" s="36"/>
      <c r="HE628" s="36"/>
      <c r="HF628" s="36"/>
      <c r="HG628" s="36"/>
      <c r="HH628" s="36"/>
      <c r="HI628" s="36"/>
      <c r="HJ628" s="36"/>
      <c r="HK628" s="36"/>
      <c r="HL628" s="36"/>
      <c r="HM628" s="36"/>
      <c r="HN628" s="36"/>
      <c r="HO628" s="36"/>
      <c r="HP628" s="36"/>
      <c r="HQ628" s="36"/>
      <c r="HR628" s="36"/>
      <c r="HS628" s="36"/>
      <c r="HT628" s="36"/>
      <c r="HU628" s="36"/>
      <c r="HV628" s="36"/>
      <c r="HW628" s="36"/>
      <c r="HX628" s="36"/>
      <c r="HY628" s="36"/>
      <c r="HZ628" s="36"/>
      <c r="IA628" s="36"/>
      <c r="IB628" s="36"/>
      <c r="IC628" s="36"/>
      <c r="ID628" s="36"/>
      <c r="IE628" s="36"/>
      <c r="IF628" s="36"/>
      <c r="IG628" s="36"/>
      <c r="IH628" s="36"/>
      <c r="II628" s="36"/>
      <c r="IJ628" s="36"/>
      <c r="IK628" s="36"/>
      <c r="IL628" s="36"/>
      <c r="IM628" s="36"/>
      <c r="IN628" s="36"/>
      <c r="IO628" s="36"/>
      <c r="IP628" s="36"/>
      <c r="IQ628" s="36"/>
      <c r="IR628" s="36"/>
      <c r="IS628" s="36"/>
      <c r="IT628" s="36"/>
      <c r="IU628" s="36"/>
      <c r="IV628" s="36"/>
      <c r="IW628" s="36"/>
      <c r="IX628" s="36"/>
      <c r="IY628" s="36"/>
      <c r="IZ628" s="36"/>
      <c r="JA628" s="36"/>
      <c r="JB628" s="36"/>
      <c r="JC628" s="36"/>
      <c r="JD628" s="36"/>
      <c r="JE628" s="36"/>
      <c r="JF628" s="36"/>
      <c r="JG628" s="36"/>
      <c r="JH628" s="36"/>
      <c r="JI628" s="36"/>
      <c r="JJ628" s="36"/>
      <c r="JK628" s="36"/>
      <c r="JL628" s="36"/>
      <c r="JM628" s="36"/>
      <c r="JN628" s="36"/>
      <c r="JO628" s="36"/>
      <c r="JP628" s="36"/>
      <c r="JQ628" s="36"/>
      <c r="JR628" s="36"/>
      <c r="JS628" s="36"/>
      <c r="JT628" s="36"/>
      <c r="JU628" s="36"/>
      <c r="JV628" s="36"/>
      <c r="JW628" s="36"/>
      <c r="JX628" s="36"/>
      <c r="JY628" s="36"/>
      <c r="JZ628" s="36"/>
      <c r="KA628" s="36"/>
      <c r="KB628" s="36"/>
      <c r="KC628" s="36"/>
      <c r="KD628" s="36"/>
      <c r="KE628" s="36"/>
      <c r="KF628" s="36"/>
      <c r="KG628" s="36"/>
      <c r="KH628" s="36"/>
      <c r="KI628" s="36"/>
      <c r="KJ628" s="36"/>
      <c r="KK628" s="36"/>
      <c r="KL628" s="36"/>
      <c r="KM628" s="36"/>
      <c r="KN628" s="36"/>
      <c r="KO628" s="36"/>
      <c r="KP628" s="36"/>
      <c r="KQ628" s="36"/>
      <c r="KR628" s="36"/>
      <c r="KS628" s="36"/>
      <c r="KT628" s="36"/>
      <c r="KU628" s="36"/>
      <c r="KV628" s="36"/>
      <c r="KW628" s="36"/>
      <c r="KX628" s="36"/>
      <c r="KY628" s="36"/>
      <c r="KZ628" s="36"/>
      <c r="LA628" s="36"/>
      <c r="LB628" s="36"/>
      <c r="LC628" s="36"/>
      <c r="LD628" s="36"/>
      <c r="LE628" s="36"/>
      <c r="LF628" s="36"/>
      <c r="LG628" s="36"/>
      <c r="LH628" s="36"/>
      <c r="LI628" s="36"/>
      <c r="LJ628" s="36"/>
      <c r="LK628" s="36"/>
      <c r="LL628" s="36"/>
      <c r="LM628" s="36"/>
      <c r="LN628" s="36"/>
      <c r="LO628" s="36"/>
      <c r="LP628" s="36"/>
      <c r="LQ628" s="36"/>
      <c r="LR628" s="36"/>
      <c r="LS628" s="36"/>
      <c r="LT628" s="36"/>
      <c r="LU628" s="36"/>
      <c r="LV628" s="36"/>
      <c r="LW628" s="36"/>
      <c r="LX628" s="36"/>
      <c r="LY628" s="36"/>
      <c r="LZ628" s="36"/>
      <c r="MA628" s="36"/>
      <c r="MB628" s="36"/>
      <c r="MC628" s="36"/>
      <c r="MD628" s="36"/>
      <c r="ME628" s="36"/>
      <c r="MF628" s="36"/>
      <c r="MG628" s="36"/>
      <c r="MH628" s="36"/>
      <c r="MI628" s="36"/>
      <c r="MJ628" s="36"/>
      <c r="MK628" s="36"/>
      <c r="ML628" s="36"/>
      <c r="MM628" s="36"/>
      <c r="MN628" s="36"/>
      <c r="MO628" s="36"/>
      <c r="MP628" s="36"/>
      <c r="MQ628" s="36"/>
      <c r="MR628" s="36"/>
      <c r="MS628" s="36"/>
      <c r="MT628" s="36"/>
      <c r="MU628" s="36"/>
      <c r="MV628" s="36"/>
      <c r="MW628" s="36"/>
      <c r="MX628" s="36"/>
      <c r="MY628" s="36"/>
      <c r="MZ628" s="36"/>
      <c r="NA628" s="36"/>
      <c r="NB628" s="36"/>
      <c r="NC628" s="36"/>
      <c r="ND628" s="36"/>
      <c r="NE628" s="36"/>
      <c r="NF628" s="36"/>
      <c r="NG628" s="36"/>
      <c r="NH628" s="36"/>
      <c r="NI628" s="36"/>
      <c r="NJ628" s="36"/>
      <c r="NK628" s="36"/>
      <c r="NL628" s="36"/>
      <c r="NM628" s="36"/>
      <c r="NN628" s="36"/>
      <c r="NO628" s="36"/>
      <c r="NP628" s="36"/>
      <c r="NQ628" s="36"/>
      <c r="NR628" s="36"/>
      <c r="NS628" s="36"/>
      <c r="NT628" s="36"/>
      <c r="NU628" s="36"/>
      <c r="NV628" s="36"/>
      <c r="NW628" s="36"/>
      <c r="NX628" s="36"/>
      <c r="NY628" s="36"/>
      <c r="NZ628" s="36"/>
      <c r="OA628" s="36"/>
      <c r="OB628" s="36"/>
      <c r="OC628" s="36"/>
      <c r="OD628" s="36"/>
      <c r="OE628" s="36"/>
      <c r="OF628" s="36"/>
      <c r="OG628" s="36"/>
      <c r="OH628" s="36"/>
      <c r="OI628" s="36"/>
      <c r="OJ628" s="36"/>
      <c r="OK628" s="36"/>
      <c r="OL628" s="36"/>
      <c r="OM628" s="36"/>
      <c r="ON628" s="36"/>
      <c r="OO628" s="36"/>
      <c r="OP628" s="36"/>
      <c r="OQ628" s="36"/>
      <c r="OR628" s="36"/>
      <c r="OS628" s="36"/>
      <c r="OT628" s="36"/>
      <c r="OU628" s="36"/>
      <c r="OV628" s="36"/>
      <c r="OW628" s="36"/>
      <c r="OX628" s="36"/>
    </row>
    <row r="629" spans="2:414" s="27" customFormat="1" ht="15.6">
      <c r="B629" s="51" t="s">
        <v>835</v>
      </c>
      <c r="C629" s="27" t="s">
        <v>215</v>
      </c>
      <c r="D629" s="29" t="s">
        <v>105</v>
      </c>
      <c r="G629" s="49">
        <v>80</v>
      </c>
      <c r="H629" s="89">
        <v>26.109000000000002</v>
      </c>
      <c r="I629" s="38">
        <f t="shared" si="180"/>
        <v>2088.7200000000003</v>
      </c>
      <c r="K629" s="49">
        <v>80</v>
      </c>
      <c r="L629" s="90">
        <v>26.849599999999999</v>
      </c>
      <c r="M629" s="38">
        <f t="shared" si="181"/>
        <v>2147.9679999999998</v>
      </c>
      <c r="O629" s="49">
        <v>505</v>
      </c>
      <c r="P629" s="38">
        <v>26.728300000000001</v>
      </c>
      <c r="Q629" s="38">
        <f t="shared" si="182"/>
        <v>13497.791500000001</v>
      </c>
      <c r="R629" s="43">
        <f t="shared" si="179"/>
        <v>665</v>
      </c>
      <c r="S629" s="38">
        <f t="shared" si="183"/>
        <v>17734.479500000001</v>
      </c>
      <c r="T629" s="27">
        <v>240</v>
      </c>
      <c r="U629" s="52">
        <v>26.714700000000001</v>
      </c>
      <c r="V629" s="38">
        <f t="shared" si="190"/>
        <v>6411.5280000000002</v>
      </c>
      <c r="W629" s="52">
        <v>505</v>
      </c>
      <c r="X629" s="52">
        <v>26.71</v>
      </c>
      <c r="Y629" s="35">
        <f t="shared" si="189"/>
        <v>13488.550000000001</v>
      </c>
      <c r="Z629" s="78"/>
      <c r="AF629" s="42">
        <f t="shared" si="191"/>
        <v>0</v>
      </c>
      <c r="AU629" s="100"/>
      <c r="AV629" s="35"/>
      <c r="AW629" s="78"/>
      <c r="AZ629" s="42">
        <f t="shared" si="178"/>
        <v>0</v>
      </c>
      <c r="BD629" s="38">
        <f t="shared" si="184"/>
        <v>0</v>
      </c>
      <c r="BH629" s="38">
        <f t="shared" si="185"/>
        <v>0</v>
      </c>
      <c r="BL629" s="38">
        <f t="shared" si="186"/>
        <v>0</v>
      </c>
      <c r="BR629" s="42">
        <f t="shared" si="187"/>
        <v>19900.078000000001</v>
      </c>
      <c r="BS629" s="43"/>
      <c r="BT629" s="27">
        <v>2165.6</v>
      </c>
      <c r="BU629" s="36"/>
      <c r="BV629" s="36"/>
      <c r="BW629" s="36"/>
      <c r="BX629" s="36"/>
      <c r="BY629" s="36"/>
      <c r="BZ629" s="36"/>
      <c r="CA629" s="36"/>
      <c r="CB629" s="36"/>
      <c r="CC629" s="36"/>
      <c r="CD629" s="36"/>
      <c r="CE629" s="36"/>
      <c r="CF629" s="36"/>
      <c r="CG629" s="36"/>
      <c r="CH629" s="36"/>
      <c r="CI629" s="36"/>
      <c r="CJ629" s="36"/>
      <c r="CK629" s="36"/>
      <c r="CL629" s="36"/>
      <c r="CM629" s="36"/>
      <c r="CN629" s="36"/>
      <c r="CO629" s="36"/>
      <c r="CP629" s="36"/>
      <c r="CQ629" s="36"/>
      <c r="CR629" s="36"/>
      <c r="CS629" s="36"/>
      <c r="CT629" s="36"/>
      <c r="CU629" s="36"/>
      <c r="CV629" s="36"/>
      <c r="CW629" s="36"/>
      <c r="CX629" s="36"/>
      <c r="CY629" s="36"/>
      <c r="CZ629" s="36"/>
      <c r="DA629" s="36"/>
      <c r="DB629" s="36"/>
      <c r="DC629" s="36"/>
      <c r="DD629" s="36"/>
      <c r="DE629" s="36"/>
      <c r="DF629" s="36"/>
      <c r="DG629" s="36"/>
      <c r="DH629" s="36"/>
      <c r="DI629" s="36"/>
      <c r="DJ629" s="36"/>
      <c r="DK629" s="36"/>
      <c r="DL629" s="36"/>
      <c r="DM629" s="36"/>
      <c r="DN629" s="36"/>
      <c r="DO629" s="36"/>
      <c r="DP629" s="36"/>
      <c r="DQ629" s="36"/>
      <c r="DR629" s="36"/>
      <c r="DS629" s="36"/>
      <c r="DT629" s="36"/>
      <c r="DU629" s="36"/>
      <c r="DV629" s="36"/>
      <c r="DW629" s="36"/>
      <c r="DX629" s="36"/>
      <c r="DY629" s="36"/>
      <c r="DZ629" s="36"/>
      <c r="EA629" s="36"/>
      <c r="EB629" s="36"/>
      <c r="EC629" s="36"/>
      <c r="ED629" s="36"/>
      <c r="EE629" s="36"/>
      <c r="EF629" s="36"/>
      <c r="EG629" s="36"/>
      <c r="EH629" s="36"/>
      <c r="EI629" s="36"/>
      <c r="EJ629" s="36"/>
      <c r="EK629" s="36"/>
      <c r="EL629" s="36"/>
      <c r="EM629" s="36"/>
      <c r="EN629" s="36"/>
      <c r="EO629" s="36"/>
      <c r="EP629" s="36"/>
      <c r="EQ629" s="36"/>
      <c r="ER629" s="36"/>
      <c r="ES629" s="36"/>
      <c r="ET629" s="36"/>
      <c r="EU629" s="36"/>
      <c r="EV629" s="36"/>
      <c r="EW629" s="36"/>
      <c r="EX629" s="36"/>
      <c r="EY629" s="36"/>
      <c r="EZ629" s="36"/>
      <c r="FA629" s="36"/>
      <c r="FB629" s="36"/>
      <c r="FC629" s="36"/>
      <c r="FD629" s="36"/>
      <c r="FE629" s="36"/>
      <c r="FF629" s="36"/>
      <c r="FG629" s="36"/>
      <c r="FH629" s="36"/>
      <c r="FI629" s="36"/>
      <c r="FJ629" s="36"/>
      <c r="FK629" s="36"/>
      <c r="FL629" s="36"/>
      <c r="FM629" s="36"/>
      <c r="FN629" s="36"/>
      <c r="FO629" s="36"/>
      <c r="FP629" s="36"/>
      <c r="FQ629" s="36"/>
      <c r="FR629" s="36"/>
      <c r="FS629" s="36"/>
      <c r="FT629" s="36"/>
      <c r="FU629" s="36"/>
      <c r="FV629" s="36"/>
      <c r="FW629" s="36"/>
      <c r="FX629" s="36"/>
      <c r="FY629" s="36"/>
      <c r="FZ629" s="36"/>
      <c r="GA629" s="36"/>
      <c r="GB629" s="36"/>
      <c r="GC629" s="36"/>
      <c r="GD629" s="36"/>
      <c r="GE629" s="36"/>
      <c r="GF629" s="36"/>
      <c r="GG629" s="36"/>
      <c r="GH629" s="36"/>
      <c r="GI629" s="36"/>
      <c r="GJ629" s="36"/>
      <c r="GK629" s="36"/>
      <c r="GL629" s="36"/>
      <c r="GM629" s="36"/>
      <c r="GN629" s="36"/>
      <c r="GO629" s="36"/>
      <c r="GP629" s="36"/>
      <c r="GQ629" s="36"/>
      <c r="GR629" s="36"/>
      <c r="GS629" s="36"/>
      <c r="GT629" s="36"/>
      <c r="GU629" s="36"/>
      <c r="GV629" s="36"/>
      <c r="GW629" s="36"/>
      <c r="GX629" s="36"/>
      <c r="GY629" s="36"/>
      <c r="GZ629" s="36"/>
      <c r="HA629" s="36"/>
      <c r="HB629" s="36"/>
      <c r="HC629" s="36"/>
      <c r="HD629" s="36"/>
      <c r="HE629" s="36"/>
      <c r="HF629" s="36"/>
      <c r="HG629" s="36"/>
      <c r="HH629" s="36"/>
      <c r="HI629" s="36"/>
      <c r="HJ629" s="36"/>
      <c r="HK629" s="36"/>
      <c r="HL629" s="36"/>
      <c r="HM629" s="36"/>
      <c r="HN629" s="36"/>
      <c r="HO629" s="36"/>
      <c r="HP629" s="36"/>
      <c r="HQ629" s="36"/>
      <c r="HR629" s="36"/>
      <c r="HS629" s="36"/>
      <c r="HT629" s="36"/>
      <c r="HU629" s="36"/>
      <c r="HV629" s="36"/>
      <c r="HW629" s="36"/>
      <c r="HX629" s="36"/>
      <c r="HY629" s="36"/>
      <c r="HZ629" s="36"/>
      <c r="IA629" s="36"/>
      <c r="IB629" s="36"/>
      <c r="IC629" s="36"/>
      <c r="ID629" s="36"/>
      <c r="IE629" s="36"/>
      <c r="IF629" s="36"/>
      <c r="IG629" s="36"/>
      <c r="IH629" s="36"/>
      <c r="II629" s="36"/>
      <c r="IJ629" s="36"/>
      <c r="IK629" s="36"/>
      <c r="IL629" s="36"/>
      <c r="IM629" s="36"/>
      <c r="IN629" s="36"/>
      <c r="IO629" s="36"/>
      <c r="IP629" s="36"/>
      <c r="IQ629" s="36"/>
      <c r="IR629" s="36"/>
      <c r="IS629" s="36"/>
      <c r="IT629" s="36"/>
      <c r="IU629" s="36"/>
      <c r="IV629" s="36"/>
      <c r="IW629" s="36"/>
      <c r="IX629" s="36"/>
      <c r="IY629" s="36"/>
      <c r="IZ629" s="36"/>
      <c r="JA629" s="36"/>
      <c r="JB629" s="36"/>
      <c r="JC629" s="36"/>
      <c r="JD629" s="36"/>
      <c r="JE629" s="36"/>
      <c r="JF629" s="36"/>
      <c r="JG629" s="36"/>
      <c r="JH629" s="36"/>
      <c r="JI629" s="36"/>
      <c r="JJ629" s="36"/>
      <c r="JK629" s="36"/>
      <c r="JL629" s="36"/>
      <c r="JM629" s="36"/>
      <c r="JN629" s="36"/>
      <c r="JO629" s="36"/>
      <c r="JP629" s="36"/>
      <c r="JQ629" s="36"/>
      <c r="JR629" s="36"/>
      <c r="JS629" s="36"/>
      <c r="JT629" s="36"/>
      <c r="JU629" s="36"/>
      <c r="JV629" s="36"/>
      <c r="JW629" s="36"/>
      <c r="JX629" s="36"/>
      <c r="JY629" s="36"/>
      <c r="JZ629" s="36"/>
      <c r="KA629" s="36"/>
      <c r="KB629" s="36"/>
      <c r="KC629" s="36"/>
      <c r="KD629" s="36"/>
      <c r="KE629" s="36"/>
      <c r="KF629" s="36"/>
      <c r="KG629" s="36"/>
      <c r="KH629" s="36"/>
      <c r="KI629" s="36"/>
      <c r="KJ629" s="36"/>
      <c r="KK629" s="36"/>
      <c r="KL629" s="36"/>
      <c r="KM629" s="36"/>
      <c r="KN629" s="36"/>
      <c r="KO629" s="36"/>
      <c r="KP629" s="36"/>
      <c r="KQ629" s="36"/>
      <c r="KR629" s="36"/>
      <c r="KS629" s="36"/>
      <c r="KT629" s="36"/>
      <c r="KU629" s="36"/>
      <c r="KV629" s="36"/>
      <c r="KW629" s="36"/>
      <c r="KX629" s="36"/>
      <c r="KY629" s="36"/>
      <c r="KZ629" s="36"/>
      <c r="LA629" s="36"/>
      <c r="LB629" s="36"/>
      <c r="LC629" s="36"/>
      <c r="LD629" s="36"/>
      <c r="LE629" s="36"/>
      <c r="LF629" s="36"/>
      <c r="LG629" s="36"/>
      <c r="LH629" s="36"/>
      <c r="LI629" s="36"/>
      <c r="LJ629" s="36"/>
      <c r="LK629" s="36"/>
      <c r="LL629" s="36"/>
      <c r="LM629" s="36"/>
      <c r="LN629" s="36"/>
      <c r="LO629" s="36"/>
      <c r="LP629" s="36"/>
      <c r="LQ629" s="36"/>
      <c r="LR629" s="36"/>
      <c r="LS629" s="36"/>
      <c r="LT629" s="36"/>
      <c r="LU629" s="36"/>
      <c r="LV629" s="36"/>
      <c r="LW629" s="36"/>
      <c r="LX629" s="36"/>
      <c r="LY629" s="36"/>
      <c r="LZ629" s="36"/>
      <c r="MA629" s="36"/>
      <c r="MB629" s="36"/>
      <c r="MC629" s="36"/>
      <c r="MD629" s="36"/>
      <c r="ME629" s="36"/>
      <c r="MF629" s="36"/>
      <c r="MG629" s="36"/>
      <c r="MH629" s="36"/>
      <c r="MI629" s="36"/>
      <c r="MJ629" s="36"/>
      <c r="MK629" s="36"/>
      <c r="ML629" s="36"/>
      <c r="MM629" s="36"/>
      <c r="MN629" s="36"/>
      <c r="MO629" s="36"/>
      <c r="MP629" s="36"/>
      <c r="MQ629" s="36"/>
      <c r="MR629" s="36"/>
      <c r="MS629" s="36"/>
      <c r="MT629" s="36"/>
      <c r="MU629" s="36"/>
      <c r="MV629" s="36"/>
      <c r="MW629" s="36"/>
      <c r="MX629" s="36"/>
      <c r="MY629" s="36"/>
      <c r="MZ629" s="36"/>
      <c r="NA629" s="36"/>
      <c r="NB629" s="36"/>
      <c r="NC629" s="36"/>
      <c r="ND629" s="36"/>
      <c r="NE629" s="36"/>
      <c r="NF629" s="36"/>
      <c r="NG629" s="36"/>
      <c r="NH629" s="36"/>
      <c r="NI629" s="36"/>
      <c r="NJ629" s="36"/>
      <c r="NK629" s="36"/>
      <c r="NL629" s="36"/>
      <c r="NM629" s="36"/>
      <c r="NN629" s="36"/>
      <c r="NO629" s="36"/>
      <c r="NP629" s="36"/>
      <c r="NQ629" s="36"/>
      <c r="NR629" s="36"/>
      <c r="NS629" s="36"/>
      <c r="NT629" s="36"/>
      <c r="NU629" s="36"/>
      <c r="NV629" s="36"/>
      <c r="NW629" s="36"/>
      <c r="NX629" s="36"/>
      <c r="NY629" s="36"/>
      <c r="NZ629" s="36"/>
      <c r="OA629" s="36"/>
      <c r="OB629" s="36"/>
      <c r="OC629" s="36"/>
      <c r="OD629" s="36"/>
      <c r="OE629" s="36"/>
      <c r="OF629" s="36"/>
      <c r="OG629" s="36"/>
      <c r="OH629" s="36"/>
      <c r="OI629" s="36"/>
      <c r="OJ629" s="36"/>
      <c r="OK629" s="36"/>
      <c r="OL629" s="36"/>
      <c r="OM629" s="36"/>
      <c r="ON629" s="36"/>
      <c r="OO629" s="36"/>
      <c r="OP629" s="36"/>
      <c r="OQ629" s="36"/>
      <c r="OR629" s="36"/>
      <c r="OS629" s="36"/>
      <c r="OT629" s="36"/>
      <c r="OU629" s="36"/>
      <c r="OV629" s="36"/>
      <c r="OW629" s="36"/>
      <c r="OX629" s="36"/>
    </row>
    <row r="630" spans="2:414" s="27" customFormat="1" ht="15.6">
      <c r="B630" s="51" t="s">
        <v>1120</v>
      </c>
      <c r="C630" s="27" t="s">
        <v>182</v>
      </c>
      <c r="D630" s="29" t="s">
        <v>105</v>
      </c>
      <c r="G630" s="49">
        <v>80</v>
      </c>
      <c r="H630" s="89">
        <v>26.109000000000002</v>
      </c>
      <c r="I630" s="38">
        <f t="shared" si="180"/>
        <v>2088.7200000000003</v>
      </c>
      <c r="K630" s="49">
        <v>80</v>
      </c>
      <c r="L630" s="90">
        <v>26.849599999999999</v>
      </c>
      <c r="M630" s="38">
        <f t="shared" si="181"/>
        <v>2147.9679999999998</v>
      </c>
      <c r="O630" s="49">
        <v>505</v>
      </c>
      <c r="P630" s="38">
        <v>26.728300000000001</v>
      </c>
      <c r="Q630" s="38">
        <f t="shared" si="182"/>
        <v>13497.791500000001</v>
      </c>
      <c r="R630" s="43">
        <f t="shared" si="179"/>
        <v>665</v>
      </c>
      <c r="S630" s="38">
        <f t="shared" si="183"/>
        <v>17734.479500000001</v>
      </c>
      <c r="T630" s="27">
        <v>240</v>
      </c>
      <c r="U630" s="52">
        <v>26.569800000000001</v>
      </c>
      <c r="V630" s="38">
        <f t="shared" si="190"/>
        <v>6376.7520000000004</v>
      </c>
      <c r="W630" s="52">
        <v>505</v>
      </c>
      <c r="X630" s="52">
        <v>26.758099999999999</v>
      </c>
      <c r="Y630" s="35">
        <f t="shared" si="189"/>
        <v>13512.8405</v>
      </c>
      <c r="Z630" s="78"/>
      <c r="AF630" s="42">
        <f t="shared" si="191"/>
        <v>0</v>
      </c>
      <c r="AU630" s="100"/>
      <c r="AV630" s="35"/>
      <c r="AW630" s="78"/>
      <c r="AZ630" s="42">
        <f t="shared" si="178"/>
        <v>0</v>
      </c>
      <c r="BD630" s="38">
        <f t="shared" si="184"/>
        <v>0</v>
      </c>
      <c r="BH630" s="38">
        <f t="shared" si="185"/>
        <v>0</v>
      </c>
      <c r="BL630" s="38">
        <f t="shared" si="186"/>
        <v>0</v>
      </c>
      <c r="BR630" s="42">
        <f t="shared" si="187"/>
        <v>19889.592499999999</v>
      </c>
      <c r="BS630" s="43"/>
      <c r="BT630" s="27">
        <v>2155.11</v>
      </c>
      <c r="BU630" s="36"/>
      <c r="BV630" s="36"/>
      <c r="BW630" s="36"/>
      <c r="BX630" s="36"/>
      <c r="BY630" s="36"/>
      <c r="BZ630" s="36"/>
      <c r="CA630" s="36"/>
      <c r="CB630" s="36"/>
      <c r="CC630" s="36"/>
      <c r="CD630" s="36"/>
      <c r="CE630" s="36"/>
      <c r="CF630" s="36"/>
      <c r="CG630" s="36"/>
      <c r="CH630" s="36"/>
      <c r="CI630" s="36"/>
      <c r="CJ630" s="36"/>
      <c r="CK630" s="36"/>
      <c r="CL630" s="36"/>
      <c r="CM630" s="36"/>
      <c r="CN630" s="36"/>
      <c r="CO630" s="36"/>
      <c r="CP630" s="36"/>
      <c r="CQ630" s="36"/>
      <c r="CR630" s="36"/>
      <c r="CS630" s="36"/>
      <c r="CT630" s="36"/>
      <c r="CU630" s="36"/>
      <c r="CV630" s="36"/>
      <c r="CW630" s="36"/>
      <c r="CX630" s="36"/>
      <c r="CY630" s="36"/>
      <c r="CZ630" s="36"/>
      <c r="DA630" s="36"/>
      <c r="DB630" s="36"/>
      <c r="DC630" s="36"/>
      <c r="DD630" s="36"/>
      <c r="DE630" s="36"/>
      <c r="DF630" s="36"/>
      <c r="DG630" s="36"/>
      <c r="DH630" s="36"/>
      <c r="DI630" s="36"/>
      <c r="DJ630" s="36"/>
      <c r="DK630" s="36"/>
      <c r="DL630" s="36"/>
      <c r="DM630" s="36"/>
      <c r="DN630" s="36"/>
      <c r="DO630" s="36"/>
      <c r="DP630" s="36"/>
      <c r="DQ630" s="36"/>
      <c r="DR630" s="36"/>
      <c r="DS630" s="36"/>
      <c r="DT630" s="36"/>
      <c r="DU630" s="36"/>
      <c r="DV630" s="36"/>
      <c r="DW630" s="36"/>
      <c r="DX630" s="36"/>
      <c r="DY630" s="36"/>
      <c r="DZ630" s="36"/>
      <c r="EA630" s="36"/>
      <c r="EB630" s="36"/>
      <c r="EC630" s="36"/>
      <c r="ED630" s="36"/>
      <c r="EE630" s="36"/>
      <c r="EF630" s="36"/>
      <c r="EG630" s="36"/>
      <c r="EH630" s="36"/>
      <c r="EI630" s="36"/>
      <c r="EJ630" s="36"/>
      <c r="EK630" s="36"/>
      <c r="EL630" s="36"/>
      <c r="EM630" s="36"/>
      <c r="EN630" s="36"/>
      <c r="EO630" s="36"/>
      <c r="EP630" s="36"/>
      <c r="EQ630" s="36"/>
      <c r="ER630" s="36"/>
      <c r="ES630" s="36"/>
      <c r="ET630" s="36"/>
      <c r="EU630" s="36"/>
      <c r="EV630" s="36"/>
      <c r="EW630" s="36"/>
      <c r="EX630" s="36"/>
      <c r="EY630" s="36"/>
      <c r="EZ630" s="36"/>
      <c r="FA630" s="36"/>
      <c r="FB630" s="36"/>
      <c r="FC630" s="36"/>
      <c r="FD630" s="36"/>
      <c r="FE630" s="36"/>
      <c r="FF630" s="36"/>
      <c r="FG630" s="36"/>
      <c r="FH630" s="36"/>
      <c r="FI630" s="36"/>
      <c r="FJ630" s="36"/>
      <c r="FK630" s="36"/>
      <c r="FL630" s="36"/>
      <c r="FM630" s="36"/>
      <c r="FN630" s="36"/>
      <c r="FO630" s="36"/>
      <c r="FP630" s="36"/>
      <c r="FQ630" s="36"/>
      <c r="FR630" s="36"/>
      <c r="FS630" s="36"/>
      <c r="FT630" s="36"/>
      <c r="FU630" s="36"/>
      <c r="FV630" s="36"/>
      <c r="FW630" s="36"/>
      <c r="FX630" s="36"/>
      <c r="FY630" s="36"/>
      <c r="FZ630" s="36"/>
      <c r="GA630" s="36"/>
      <c r="GB630" s="36"/>
      <c r="GC630" s="36"/>
      <c r="GD630" s="36"/>
      <c r="GE630" s="36"/>
      <c r="GF630" s="36"/>
      <c r="GG630" s="36"/>
      <c r="GH630" s="36"/>
      <c r="GI630" s="36"/>
      <c r="GJ630" s="36"/>
      <c r="GK630" s="36"/>
      <c r="GL630" s="36"/>
      <c r="GM630" s="36"/>
      <c r="GN630" s="36"/>
      <c r="GO630" s="36"/>
      <c r="GP630" s="36"/>
      <c r="GQ630" s="36"/>
      <c r="GR630" s="36"/>
      <c r="GS630" s="36"/>
      <c r="GT630" s="36"/>
      <c r="GU630" s="36"/>
      <c r="GV630" s="36"/>
      <c r="GW630" s="36"/>
      <c r="GX630" s="36"/>
      <c r="GY630" s="36"/>
      <c r="GZ630" s="36"/>
      <c r="HA630" s="36"/>
      <c r="HB630" s="36"/>
      <c r="HC630" s="36"/>
      <c r="HD630" s="36"/>
      <c r="HE630" s="36"/>
      <c r="HF630" s="36"/>
      <c r="HG630" s="36"/>
      <c r="HH630" s="36"/>
      <c r="HI630" s="36"/>
      <c r="HJ630" s="36"/>
      <c r="HK630" s="36"/>
      <c r="HL630" s="36"/>
      <c r="HM630" s="36"/>
      <c r="HN630" s="36"/>
      <c r="HO630" s="36"/>
      <c r="HP630" s="36"/>
      <c r="HQ630" s="36"/>
      <c r="HR630" s="36"/>
      <c r="HS630" s="36"/>
      <c r="HT630" s="36"/>
      <c r="HU630" s="36"/>
      <c r="HV630" s="36"/>
      <c r="HW630" s="36"/>
      <c r="HX630" s="36"/>
      <c r="HY630" s="36"/>
      <c r="HZ630" s="36"/>
      <c r="IA630" s="36"/>
      <c r="IB630" s="36"/>
      <c r="IC630" s="36"/>
      <c r="ID630" s="36"/>
      <c r="IE630" s="36"/>
      <c r="IF630" s="36"/>
      <c r="IG630" s="36"/>
      <c r="IH630" s="36"/>
      <c r="II630" s="36"/>
      <c r="IJ630" s="36"/>
      <c r="IK630" s="36"/>
      <c r="IL630" s="36"/>
      <c r="IM630" s="36"/>
      <c r="IN630" s="36"/>
      <c r="IO630" s="36"/>
      <c r="IP630" s="36"/>
      <c r="IQ630" s="36"/>
      <c r="IR630" s="36"/>
      <c r="IS630" s="36"/>
      <c r="IT630" s="36"/>
      <c r="IU630" s="36"/>
      <c r="IV630" s="36"/>
      <c r="IW630" s="36"/>
      <c r="IX630" s="36"/>
      <c r="IY630" s="36"/>
      <c r="IZ630" s="36"/>
      <c r="JA630" s="36"/>
      <c r="JB630" s="36"/>
      <c r="JC630" s="36"/>
      <c r="JD630" s="36"/>
      <c r="JE630" s="36"/>
      <c r="JF630" s="36"/>
      <c r="JG630" s="36"/>
      <c r="JH630" s="36"/>
      <c r="JI630" s="36"/>
      <c r="JJ630" s="36"/>
      <c r="JK630" s="36"/>
      <c r="JL630" s="36"/>
      <c r="JM630" s="36"/>
      <c r="JN630" s="36"/>
      <c r="JO630" s="36"/>
      <c r="JP630" s="36"/>
      <c r="JQ630" s="36"/>
      <c r="JR630" s="36"/>
      <c r="JS630" s="36"/>
      <c r="JT630" s="36"/>
      <c r="JU630" s="36"/>
      <c r="JV630" s="36"/>
      <c r="JW630" s="36"/>
      <c r="JX630" s="36"/>
      <c r="JY630" s="36"/>
      <c r="JZ630" s="36"/>
      <c r="KA630" s="36"/>
      <c r="KB630" s="36"/>
      <c r="KC630" s="36"/>
      <c r="KD630" s="36"/>
      <c r="KE630" s="36"/>
      <c r="KF630" s="36"/>
      <c r="KG630" s="36"/>
      <c r="KH630" s="36"/>
      <c r="KI630" s="36"/>
      <c r="KJ630" s="36"/>
      <c r="KK630" s="36"/>
      <c r="KL630" s="36"/>
      <c r="KM630" s="36"/>
      <c r="KN630" s="36"/>
      <c r="KO630" s="36"/>
      <c r="KP630" s="36"/>
      <c r="KQ630" s="36"/>
      <c r="KR630" s="36"/>
      <c r="KS630" s="36"/>
      <c r="KT630" s="36"/>
      <c r="KU630" s="36"/>
      <c r="KV630" s="36"/>
      <c r="KW630" s="36"/>
      <c r="KX630" s="36"/>
      <c r="KY630" s="36"/>
      <c r="KZ630" s="36"/>
      <c r="LA630" s="36"/>
      <c r="LB630" s="36"/>
      <c r="LC630" s="36"/>
      <c r="LD630" s="36"/>
      <c r="LE630" s="36"/>
      <c r="LF630" s="36"/>
      <c r="LG630" s="36"/>
      <c r="LH630" s="36"/>
      <c r="LI630" s="36"/>
      <c r="LJ630" s="36"/>
      <c r="LK630" s="36"/>
      <c r="LL630" s="36"/>
      <c r="LM630" s="36"/>
      <c r="LN630" s="36"/>
      <c r="LO630" s="36"/>
      <c r="LP630" s="36"/>
      <c r="LQ630" s="36"/>
      <c r="LR630" s="36"/>
      <c r="LS630" s="36"/>
      <c r="LT630" s="36"/>
      <c r="LU630" s="36"/>
      <c r="LV630" s="36"/>
      <c r="LW630" s="36"/>
      <c r="LX630" s="36"/>
      <c r="LY630" s="36"/>
      <c r="LZ630" s="36"/>
      <c r="MA630" s="36"/>
      <c r="MB630" s="36"/>
      <c r="MC630" s="36"/>
      <c r="MD630" s="36"/>
      <c r="ME630" s="36"/>
      <c r="MF630" s="36"/>
      <c r="MG630" s="36"/>
      <c r="MH630" s="36"/>
      <c r="MI630" s="36"/>
      <c r="MJ630" s="36"/>
      <c r="MK630" s="36"/>
      <c r="ML630" s="36"/>
      <c r="MM630" s="36"/>
      <c r="MN630" s="36"/>
      <c r="MO630" s="36"/>
      <c r="MP630" s="36"/>
      <c r="MQ630" s="36"/>
      <c r="MR630" s="36"/>
      <c r="MS630" s="36"/>
      <c r="MT630" s="36"/>
      <c r="MU630" s="36"/>
      <c r="MV630" s="36"/>
      <c r="MW630" s="36"/>
      <c r="MX630" s="36"/>
      <c r="MY630" s="36"/>
      <c r="MZ630" s="36"/>
      <c r="NA630" s="36"/>
      <c r="NB630" s="36"/>
      <c r="NC630" s="36"/>
      <c r="ND630" s="36"/>
      <c r="NE630" s="36"/>
      <c r="NF630" s="36"/>
      <c r="NG630" s="36"/>
      <c r="NH630" s="36"/>
      <c r="NI630" s="36"/>
      <c r="NJ630" s="36"/>
      <c r="NK630" s="36"/>
      <c r="NL630" s="36"/>
      <c r="NM630" s="36"/>
      <c r="NN630" s="36"/>
      <c r="NO630" s="36"/>
      <c r="NP630" s="36"/>
      <c r="NQ630" s="36"/>
      <c r="NR630" s="36"/>
      <c r="NS630" s="36"/>
      <c r="NT630" s="36"/>
      <c r="NU630" s="36"/>
      <c r="NV630" s="36"/>
      <c r="NW630" s="36"/>
      <c r="NX630" s="36"/>
      <c r="NY630" s="36"/>
      <c r="NZ630" s="36"/>
      <c r="OA630" s="36"/>
      <c r="OB630" s="36"/>
      <c r="OC630" s="36"/>
      <c r="OD630" s="36"/>
      <c r="OE630" s="36"/>
      <c r="OF630" s="36"/>
      <c r="OG630" s="36"/>
      <c r="OH630" s="36"/>
      <c r="OI630" s="36"/>
      <c r="OJ630" s="36"/>
      <c r="OK630" s="36"/>
      <c r="OL630" s="36"/>
      <c r="OM630" s="36"/>
      <c r="ON630" s="36"/>
      <c r="OO630" s="36"/>
      <c r="OP630" s="36"/>
      <c r="OQ630" s="36"/>
      <c r="OR630" s="36"/>
      <c r="OS630" s="36"/>
      <c r="OT630" s="36"/>
      <c r="OU630" s="36"/>
      <c r="OV630" s="36"/>
      <c r="OW630" s="36"/>
      <c r="OX630" s="36"/>
    </row>
    <row r="631" spans="2:414" s="27" customFormat="1" ht="15.6">
      <c r="B631" s="51" t="s">
        <v>439</v>
      </c>
      <c r="C631" s="27" t="s">
        <v>831</v>
      </c>
      <c r="D631" s="29" t="s">
        <v>105</v>
      </c>
      <c r="G631" s="49">
        <v>80</v>
      </c>
      <c r="H631" s="89">
        <v>26.109000000000002</v>
      </c>
      <c r="I631" s="38">
        <f t="shared" si="180"/>
        <v>2088.7200000000003</v>
      </c>
      <c r="K631" s="49">
        <v>80</v>
      </c>
      <c r="L631" s="90">
        <v>26.849599999999999</v>
      </c>
      <c r="M631" s="38">
        <f t="shared" si="181"/>
        <v>2147.9679999999998</v>
      </c>
      <c r="O631" s="49">
        <v>505</v>
      </c>
      <c r="P631" s="38">
        <v>26.728300000000001</v>
      </c>
      <c r="Q631" s="38">
        <f t="shared" si="182"/>
        <v>13497.791500000001</v>
      </c>
      <c r="R631" s="43">
        <f t="shared" si="179"/>
        <v>665</v>
      </c>
      <c r="S631" s="38">
        <f t="shared" si="183"/>
        <v>17734.479500000001</v>
      </c>
      <c r="T631" s="27">
        <v>240</v>
      </c>
      <c r="U631" s="52">
        <v>26.728300000000001</v>
      </c>
      <c r="V631" s="38">
        <f t="shared" si="190"/>
        <v>6414.7920000000004</v>
      </c>
      <c r="W631" s="52">
        <v>505</v>
      </c>
      <c r="X631" s="52">
        <v>26.76</v>
      </c>
      <c r="Y631" s="35">
        <f t="shared" si="189"/>
        <v>13513.800000000001</v>
      </c>
      <c r="Z631" s="78"/>
      <c r="AF631" s="42">
        <f t="shared" si="191"/>
        <v>0</v>
      </c>
      <c r="AU631" s="100"/>
      <c r="AV631" s="35"/>
      <c r="AW631" s="78"/>
      <c r="AZ631" s="42">
        <f t="shared" si="178"/>
        <v>0</v>
      </c>
      <c r="BD631" s="38">
        <f t="shared" si="184"/>
        <v>0</v>
      </c>
      <c r="BH631" s="38">
        <f t="shared" si="185"/>
        <v>0</v>
      </c>
      <c r="BL631" s="38">
        <f t="shared" si="186"/>
        <v>0</v>
      </c>
      <c r="BR631" s="42">
        <f t="shared" si="187"/>
        <v>19928.592000000001</v>
      </c>
      <c r="BS631" s="43"/>
      <c r="BT631" s="27">
        <v>2194.11</v>
      </c>
      <c r="BU631" s="36"/>
      <c r="BV631" s="36"/>
      <c r="BW631" s="36"/>
      <c r="BX631" s="36"/>
      <c r="BY631" s="36"/>
      <c r="BZ631" s="36"/>
      <c r="CA631" s="36"/>
      <c r="CB631" s="36"/>
      <c r="CC631" s="36"/>
      <c r="CD631" s="36"/>
      <c r="CE631" s="36"/>
      <c r="CF631" s="36"/>
      <c r="CG631" s="36"/>
      <c r="CH631" s="36"/>
      <c r="CI631" s="36"/>
      <c r="CJ631" s="36"/>
      <c r="CK631" s="36"/>
      <c r="CL631" s="36"/>
      <c r="CM631" s="36"/>
      <c r="CN631" s="36"/>
      <c r="CO631" s="36"/>
      <c r="CP631" s="36"/>
      <c r="CQ631" s="36"/>
      <c r="CR631" s="36"/>
      <c r="CS631" s="36"/>
      <c r="CT631" s="36"/>
      <c r="CU631" s="36"/>
      <c r="CV631" s="36"/>
      <c r="CW631" s="36"/>
      <c r="CX631" s="36"/>
      <c r="CY631" s="36"/>
      <c r="CZ631" s="36"/>
      <c r="DA631" s="36"/>
      <c r="DB631" s="36"/>
      <c r="DC631" s="36"/>
      <c r="DD631" s="36"/>
      <c r="DE631" s="36"/>
      <c r="DF631" s="36"/>
      <c r="DG631" s="36"/>
      <c r="DH631" s="36"/>
      <c r="DI631" s="36"/>
      <c r="DJ631" s="36"/>
      <c r="DK631" s="36"/>
      <c r="DL631" s="36"/>
      <c r="DM631" s="36"/>
      <c r="DN631" s="36"/>
      <c r="DO631" s="36"/>
      <c r="DP631" s="36"/>
      <c r="DQ631" s="36"/>
      <c r="DR631" s="36"/>
      <c r="DS631" s="36"/>
      <c r="DT631" s="36"/>
      <c r="DU631" s="36"/>
      <c r="DV631" s="36"/>
      <c r="DW631" s="36"/>
      <c r="DX631" s="36"/>
      <c r="DY631" s="36"/>
      <c r="DZ631" s="36"/>
      <c r="EA631" s="36"/>
      <c r="EB631" s="36"/>
      <c r="EC631" s="36"/>
      <c r="ED631" s="36"/>
      <c r="EE631" s="36"/>
      <c r="EF631" s="36"/>
      <c r="EG631" s="36"/>
      <c r="EH631" s="36"/>
      <c r="EI631" s="36"/>
      <c r="EJ631" s="36"/>
      <c r="EK631" s="36"/>
      <c r="EL631" s="36"/>
      <c r="EM631" s="36"/>
      <c r="EN631" s="36"/>
      <c r="EO631" s="36"/>
      <c r="EP631" s="36"/>
      <c r="EQ631" s="36"/>
      <c r="ER631" s="36"/>
      <c r="ES631" s="36"/>
      <c r="ET631" s="36"/>
      <c r="EU631" s="36"/>
      <c r="EV631" s="36"/>
      <c r="EW631" s="36"/>
      <c r="EX631" s="36"/>
      <c r="EY631" s="36"/>
      <c r="EZ631" s="36"/>
      <c r="FA631" s="36"/>
      <c r="FB631" s="36"/>
      <c r="FC631" s="36"/>
      <c r="FD631" s="36"/>
      <c r="FE631" s="36"/>
      <c r="FF631" s="36"/>
      <c r="FG631" s="36"/>
      <c r="FH631" s="36"/>
      <c r="FI631" s="36"/>
      <c r="FJ631" s="36"/>
      <c r="FK631" s="36"/>
      <c r="FL631" s="36"/>
      <c r="FM631" s="36"/>
      <c r="FN631" s="36"/>
      <c r="FO631" s="36"/>
      <c r="FP631" s="36"/>
      <c r="FQ631" s="36"/>
      <c r="FR631" s="36"/>
      <c r="FS631" s="36"/>
      <c r="FT631" s="36"/>
      <c r="FU631" s="36"/>
      <c r="FV631" s="36"/>
      <c r="FW631" s="36"/>
      <c r="FX631" s="36"/>
      <c r="FY631" s="36"/>
      <c r="FZ631" s="36"/>
      <c r="GA631" s="36"/>
      <c r="GB631" s="36"/>
      <c r="GC631" s="36"/>
      <c r="GD631" s="36"/>
      <c r="GE631" s="36"/>
      <c r="GF631" s="36"/>
      <c r="GG631" s="36"/>
      <c r="GH631" s="36"/>
      <c r="GI631" s="36"/>
      <c r="GJ631" s="36"/>
      <c r="GK631" s="36"/>
      <c r="GL631" s="36"/>
      <c r="GM631" s="36"/>
      <c r="GN631" s="36"/>
      <c r="GO631" s="36"/>
      <c r="GP631" s="36"/>
      <c r="GQ631" s="36"/>
      <c r="GR631" s="36"/>
      <c r="GS631" s="36"/>
      <c r="GT631" s="36"/>
      <c r="GU631" s="36"/>
      <c r="GV631" s="36"/>
      <c r="GW631" s="36"/>
      <c r="GX631" s="36"/>
      <c r="GY631" s="36"/>
      <c r="GZ631" s="36"/>
      <c r="HA631" s="36"/>
      <c r="HB631" s="36"/>
      <c r="HC631" s="36"/>
      <c r="HD631" s="36"/>
      <c r="HE631" s="36"/>
      <c r="HF631" s="36"/>
      <c r="HG631" s="36"/>
      <c r="HH631" s="36"/>
      <c r="HI631" s="36"/>
      <c r="HJ631" s="36"/>
      <c r="HK631" s="36"/>
      <c r="HL631" s="36"/>
      <c r="HM631" s="36"/>
      <c r="HN631" s="36"/>
      <c r="HO631" s="36"/>
      <c r="HP631" s="36"/>
      <c r="HQ631" s="36"/>
      <c r="HR631" s="36"/>
      <c r="HS631" s="36"/>
      <c r="HT631" s="36"/>
      <c r="HU631" s="36"/>
      <c r="HV631" s="36"/>
      <c r="HW631" s="36"/>
      <c r="HX631" s="36"/>
      <c r="HY631" s="36"/>
      <c r="HZ631" s="36"/>
      <c r="IA631" s="36"/>
      <c r="IB631" s="36"/>
      <c r="IC631" s="36"/>
      <c r="ID631" s="36"/>
      <c r="IE631" s="36"/>
      <c r="IF631" s="36"/>
      <c r="IG631" s="36"/>
      <c r="IH631" s="36"/>
      <c r="II631" s="36"/>
      <c r="IJ631" s="36"/>
      <c r="IK631" s="36"/>
      <c r="IL631" s="36"/>
      <c r="IM631" s="36"/>
      <c r="IN631" s="36"/>
      <c r="IO631" s="36"/>
      <c r="IP631" s="36"/>
      <c r="IQ631" s="36"/>
      <c r="IR631" s="36"/>
      <c r="IS631" s="36"/>
      <c r="IT631" s="36"/>
      <c r="IU631" s="36"/>
      <c r="IV631" s="36"/>
      <c r="IW631" s="36"/>
      <c r="IX631" s="36"/>
      <c r="IY631" s="36"/>
      <c r="IZ631" s="36"/>
      <c r="JA631" s="36"/>
      <c r="JB631" s="36"/>
      <c r="JC631" s="36"/>
      <c r="JD631" s="36"/>
      <c r="JE631" s="36"/>
      <c r="JF631" s="36"/>
      <c r="JG631" s="36"/>
      <c r="JH631" s="36"/>
      <c r="JI631" s="36"/>
      <c r="JJ631" s="36"/>
      <c r="JK631" s="36"/>
      <c r="JL631" s="36"/>
      <c r="JM631" s="36"/>
      <c r="JN631" s="36"/>
      <c r="JO631" s="36"/>
      <c r="JP631" s="36"/>
      <c r="JQ631" s="36"/>
      <c r="JR631" s="36"/>
      <c r="JS631" s="36"/>
      <c r="JT631" s="36"/>
      <c r="JU631" s="36"/>
      <c r="JV631" s="36"/>
      <c r="JW631" s="36"/>
      <c r="JX631" s="36"/>
      <c r="JY631" s="36"/>
      <c r="JZ631" s="36"/>
      <c r="KA631" s="36"/>
      <c r="KB631" s="36"/>
      <c r="KC631" s="36"/>
      <c r="KD631" s="36"/>
      <c r="KE631" s="36"/>
      <c r="KF631" s="36"/>
      <c r="KG631" s="36"/>
      <c r="KH631" s="36"/>
      <c r="KI631" s="36"/>
      <c r="KJ631" s="36"/>
      <c r="KK631" s="36"/>
      <c r="KL631" s="36"/>
      <c r="KM631" s="36"/>
      <c r="KN631" s="36"/>
      <c r="KO631" s="36"/>
      <c r="KP631" s="36"/>
      <c r="KQ631" s="36"/>
      <c r="KR631" s="36"/>
      <c r="KS631" s="36"/>
      <c r="KT631" s="36"/>
      <c r="KU631" s="36"/>
      <c r="KV631" s="36"/>
      <c r="KW631" s="36"/>
      <c r="KX631" s="36"/>
      <c r="KY631" s="36"/>
      <c r="KZ631" s="36"/>
      <c r="LA631" s="36"/>
      <c r="LB631" s="36"/>
      <c r="LC631" s="36"/>
      <c r="LD631" s="36"/>
      <c r="LE631" s="36"/>
      <c r="LF631" s="36"/>
      <c r="LG631" s="36"/>
      <c r="LH631" s="36"/>
      <c r="LI631" s="36"/>
      <c r="LJ631" s="36"/>
      <c r="LK631" s="36"/>
      <c r="LL631" s="36"/>
      <c r="LM631" s="36"/>
      <c r="LN631" s="36"/>
      <c r="LO631" s="36"/>
      <c r="LP631" s="36"/>
      <c r="LQ631" s="36"/>
      <c r="LR631" s="36"/>
      <c r="LS631" s="36"/>
      <c r="LT631" s="36"/>
      <c r="LU631" s="36"/>
      <c r="LV631" s="36"/>
      <c r="LW631" s="36"/>
      <c r="LX631" s="36"/>
      <c r="LY631" s="36"/>
      <c r="LZ631" s="36"/>
      <c r="MA631" s="36"/>
      <c r="MB631" s="36"/>
      <c r="MC631" s="36"/>
      <c r="MD631" s="36"/>
      <c r="ME631" s="36"/>
      <c r="MF631" s="36"/>
      <c r="MG631" s="36"/>
      <c r="MH631" s="36"/>
      <c r="MI631" s="36"/>
      <c r="MJ631" s="36"/>
      <c r="MK631" s="36"/>
      <c r="ML631" s="36"/>
      <c r="MM631" s="36"/>
      <c r="MN631" s="36"/>
      <c r="MO631" s="36"/>
      <c r="MP631" s="36"/>
      <c r="MQ631" s="36"/>
      <c r="MR631" s="36"/>
      <c r="MS631" s="36"/>
      <c r="MT631" s="36"/>
      <c r="MU631" s="36"/>
      <c r="MV631" s="36"/>
      <c r="MW631" s="36"/>
      <c r="MX631" s="36"/>
      <c r="MY631" s="36"/>
      <c r="MZ631" s="36"/>
      <c r="NA631" s="36"/>
      <c r="NB631" s="36"/>
      <c r="NC631" s="36"/>
      <c r="ND631" s="36"/>
      <c r="NE631" s="36"/>
      <c r="NF631" s="36"/>
      <c r="NG631" s="36"/>
      <c r="NH631" s="36"/>
      <c r="NI631" s="36"/>
      <c r="NJ631" s="36"/>
      <c r="NK631" s="36"/>
      <c r="NL631" s="36"/>
      <c r="NM631" s="36"/>
      <c r="NN631" s="36"/>
      <c r="NO631" s="36"/>
      <c r="NP631" s="36"/>
      <c r="NQ631" s="36"/>
      <c r="NR631" s="36"/>
      <c r="NS631" s="36"/>
      <c r="NT631" s="36"/>
      <c r="NU631" s="36"/>
      <c r="NV631" s="36"/>
      <c r="NW631" s="36"/>
      <c r="NX631" s="36"/>
      <c r="NY631" s="36"/>
      <c r="NZ631" s="36"/>
      <c r="OA631" s="36"/>
      <c r="OB631" s="36"/>
      <c r="OC631" s="36"/>
      <c r="OD631" s="36"/>
      <c r="OE631" s="36"/>
      <c r="OF631" s="36"/>
      <c r="OG631" s="36"/>
      <c r="OH631" s="36"/>
      <c r="OI631" s="36"/>
      <c r="OJ631" s="36"/>
      <c r="OK631" s="36"/>
      <c r="OL631" s="36"/>
      <c r="OM631" s="36"/>
      <c r="ON631" s="36"/>
      <c r="OO631" s="36"/>
      <c r="OP631" s="36"/>
      <c r="OQ631" s="36"/>
      <c r="OR631" s="36"/>
      <c r="OS631" s="36"/>
      <c r="OT631" s="36"/>
      <c r="OU631" s="36"/>
      <c r="OV631" s="36"/>
      <c r="OW631" s="36"/>
      <c r="OX631" s="36"/>
    </row>
    <row r="632" spans="2:414" s="27" customFormat="1" ht="15.6">
      <c r="B632" s="51" t="s">
        <v>870</v>
      </c>
      <c r="C632" s="27" t="s">
        <v>182</v>
      </c>
      <c r="D632" s="29" t="s">
        <v>105</v>
      </c>
      <c r="G632" s="49">
        <v>80</v>
      </c>
      <c r="H632" s="89">
        <v>26.109000000000002</v>
      </c>
      <c r="I632" s="38">
        <f t="shared" si="180"/>
        <v>2088.7200000000003</v>
      </c>
      <c r="K632" s="49">
        <v>80</v>
      </c>
      <c r="L632" s="90">
        <v>26.849599999999999</v>
      </c>
      <c r="M632" s="38">
        <f t="shared" si="181"/>
        <v>2147.9679999999998</v>
      </c>
      <c r="O632" s="49">
        <v>505</v>
      </c>
      <c r="P632" s="38">
        <v>26.728300000000001</v>
      </c>
      <c r="Q632" s="38">
        <f t="shared" si="182"/>
        <v>13497.791500000001</v>
      </c>
      <c r="R632" s="43">
        <f t="shared" si="179"/>
        <v>665</v>
      </c>
      <c r="S632" s="38">
        <f t="shared" si="183"/>
        <v>17734.479500000001</v>
      </c>
      <c r="T632" s="27">
        <v>240</v>
      </c>
      <c r="U632" s="52">
        <v>26.608699999999999</v>
      </c>
      <c r="V632" s="38">
        <f t="shared" si="190"/>
        <v>6386.0879999999997</v>
      </c>
      <c r="W632" s="52">
        <v>225</v>
      </c>
      <c r="X632" s="52">
        <v>26.670500000000001</v>
      </c>
      <c r="Y632" s="35">
        <f t="shared" si="189"/>
        <v>6000.8625000000002</v>
      </c>
      <c r="Z632" s="78"/>
      <c r="AF632" s="42">
        <f t="shared" si="191"/>
        <v>0</v>
      </c>
      <c r="AU632" s="100"/>
      <c r="AV632" s="35"/>
      <c r="AW632" s="78"/>
      <c r="AZ632" s="42">
        <f t="shared" si="178"/>
        <v>0</v>
      </c>
      <c r="BD632" s="38">
        <f t="shared" si="184"/>
        <v>0</v>
      </c>
      <c r="BH632" s="38">
        <f t="shared" si="185"/>
        <v>0</v>
      </c>
      <c r="BL632" s="38">
        <f t="shared" si="186"/>
        <v>0</v>
      </c>
      <c r="BR632" s="42">
        <f t="shared" si="187"/>
        <v>12386.950499999999</v>
      </c>
      <c r="BS632" s="43">
        <f t="shared" si="188"/>
        <v>5347.5290000000023</v>
      </c>
      <c r="BU632" s="36"/>
      <c r="BV632" s="36"/>
      <c r="BW632" s="36"/>
      <c r="BX632" s="36"/>
      <c r="BY632" s="36"/>
      <c r="BZ632" s="36"/>
      <c r="CA632" s="36"/>
      <c r="CB632" s="36"/>
      <c r="CC632" s="36"/>
      <c r="CD632" s="36"/>
      <c r="CE632" s="36"/>
      <c r="CF632" s="36"/>
      <c r="CG632" s="36"/>
      <c r="CH632" s="36"/>
      <c r="CI632" s="36"/>
      <c r="CJ632" s="36"/>
      <c r="CK632" s="36"/>
      <c r="CL632" s="36"/>
      <c r="CM632" s="36"/>
      <c r="CN632" s="36"/>
      <c r="CO632" s="36"/>
      <c r="CP632" s="36"/>
      <c r="CQ632" s="36"/>
      <c r="CR632" s="36"/>
      <c r="CS632" s="36"/>
      <c r="CT632" s="36"/>
      <c r="CU632" s="36"/>
      <c r="CV632" s="36"/>
      <c r="CW632" s="36"/>
      <c r="CX632" s="36"/>
      <c r="CY632" s="36"/>
      <c r="CZ632" s="36"/>
      <c r="DA632" s="36"/>
      <c r="DB632" s="36"/>
      <c r="DC632" s="36"/>
      <c r="DD632" s="36"/>
      <c r="DE632" s="36"/>
      <c r="DF632" s="36"/>
      <c r="DG632" s="36"/>
      <c r="DH632" s="36"/>
      <c r="DI632" s="36"/>
      <c r="DJ632" s="36"/>
      <c r="DK632" s="36"/>
      <c r="DL632" s="36"/>
      <c r="DM632" s="36"/>
      <c r="DN632" s="36"/>
      <c r="DO632" s="36"/>
      <c r="DP632" s="36"/>
      <c r="DQ632" s="36"/>
      <c r="DR632" s="36"/>
      <c r="DS632" s="36"/>
      <c r="DT632" s="36"/>
      <c r="DU632" s="36"/>
      <c r="DV632" s="36"/>
      <c r="DW632" s="36"/>
      <c r="DX632" s="36"/>
      <c r="DY632" s="36"/>
      <c r="DZ632" s="36"/>
      <c r="EA632" s="36"/>
      <c r="EB632" s="36"/>
      <c r="EC632" s="36"/>
      <c r="ED632" s="36"/>
      <c r="EE632" s="36"/>
      <c r="EF632" s="36"/>
      <c r="EG632" s="36"/>
      <c r="EH632" s="36"/>
      <c r="EI632" s="36"/>
      <c r="EJ632" s="36"/>
      <c r="EK632" s="36"/>
      <c r="EL632" s="36"/>
      <c r="EM632" s="36"/>
      <c r="EN632" s="36"/>
      <c r="EO632" s="36"/>
      <c r="EP632" s="36"/>
      <c r="EQ632" s="36"/>
      <c r="ER632" s="36"/>
      <c r="ES632" s="36"/>
      <c r="ET632" s="36"/>
      <c r="EU632" s="36"/>
      <c r="EV632" s="36"/>
      <c r="EW632" s="36"/>
      <c r="EX632" s="36"/>
      <c r="EY632" s="36"/>
      <c r="EZ632" s="36"/>
      <c r="FA632" s="36"/>
      <c r="FB632" s="36"/>
      <c r="FC632" s="36"/>
      <c r="FD632" s="36"/>
      <c r="FE632" s="36"/>
      <c r="FF632" s="36"/>
      <c r="FG632" s="36"/>
      <c r="FH632" s="36"/>
      <c r="FI632" s="36"/>
      <c r="FJ632" s="36"/>
      <c r="FK632" s="36"/>
      <c r="FL632" s="36"/>
      <c r="FM632" s="36"/>
      <c r="FN632" s="36"/>
      <c r="FO632" s="36"/>
      <c r="FP632" s="36"/>
      <c r="FQ632" s="36"/>
      <c r="FR632" s="36"/>
      <c r="FS632" s="36"/>
      <c r="FT632" s="36"/>
      <c r="FU632" s="36"/>
      <c r="FV632" s="36"/>
      <c r="FW632" s="36"/>
      <c r="FX632" s="36"/>
      <c r="FY632" s="36"/>
      <c r="FZ632" s="36"/>
      <c r="GA632" s="36"/>
      <c r="GB632" s="36"/>
      <c r="GC632" s="36"/>
      <c r="GD632" s="36"/>
      <c r="GE632" s="36"/>
      <c r="GF632" s="36"/>
      <c r="GG632" s="36"/>
      <c r="GH632" s="36"/>
      <c r="GI632" s="36"/>
      <c r="GJ632" s="36"/>
      <c r="GK632" s="36"/>
      <c r="GL632" s="36"/>
      <c r="GM632" s="36"/>
      <c r="GN632" s="36"/>
      <c r="GO632" s="36"/>
      <c r="GP632" s="36"/>
      <c r="GQ632" s="36"/>
      <c r="GR632" s="36"/>
      <c r="GS632" s="36"/>
      <c r="GT632" s="36"/>
      <c r="GU632" s="36"/>
      <c r="GV632" s="36"/>
      <c r="GW632" s="36"/>
      <c r="GX632" s="36"/>
      <c r="GY632" s="36"/>
      <c r="GZ632" s="36"/>
      <c r="HA632" s="36"/>
      <c r="HB632" s="36"/>
      <c r="HC632" s="36"/>
      <c r="HD632" s="36"/>
      <c r="HE632" s="36"/>
      <c r="HF632" s="36"/>
      <c r="HG632" s="36"/>
      <c r="HH632" s="36"/>
      <c r="HI632" s="36"/>
      <c r="HJ632" s="36"/>
      <c r="HK632" s="36"/>
      <c r="HL632" s="36"/>
      <c r="HM632" s="36"/>
      <c r="HN632" s="36"/>
      <c r="HO632" s="36"/>
      <c r="HP632" s="36"/>
      <c r="HQ632" s="36"/>
      <c r="HR632" s="36"/>
      <c r="HS632" s="36"/>
      <c r="HT632" s="36"/>
      <c r="HU632" s="36"/>
      <c r="HV632" s="36"/>
      <c r="HW632" s="36"/>
      <c r="HX632" s="36"/>
      <c r="HY632" s="36"/>
      <c r="HZ632" s="36"/>
      <c r="IA632" s="36"/>
      <c r="IB632" s="36"/>
      <c r="IC632" s="36"/>
      <c r="ID632" s="36"/>
      <c r="IE632" s="36"/>
      <c r="IF632" s="36"/>
      <c r="IG632" s="36"/>
      <c r="IH632" s="36"/>
      <c r="II632" s="36"/>
      <c r="IJ632" s="36"/>
      <c r="IK632" s="36"/>
      <c r="IL632" s="36"/>
      <c r="IM632" s="36"/>
      <c r="IN632" s="36"/>
      <c r="IO632" s="36"/>
      <c r="IP632" s="36"/>
      <c r="IQ632" s="36"/>
      <c r="IR632" s="36"/>
      <c r="IS632" s="36"/>
      <c r="IT632" s="36"/>
      <c r="IU632" s="36"/>
      <c r="IV632" s="36"/>
      <c r="IW632" s="36"/>
      <c r="IX632" s="36"/>
      <c r="IY632" s="36"/>
      <c r="IZ632" s="36"/>
      <c r="JA632" s="36"/>
      <c r="JB632" s="36"/>
      <c r="JC632" s="36"/>
      <c r="JD632" s="36"/>
      <c r="JE632" s="36"/>
      <c r="JF632" s="36"/>
      <c r="JG632" s="36"/>
      <c r="JH632" s="36"/>
      <c r="JI632" s="36"/>
      <c r="JJ632" s="36"/>
      <c r="JK632" s="36"/>
      <c r="JL632" s="36"/>
      <c r="JM632" s="36"/>
      <c r="JN632" s="36"/>
      <c r="JO632" s="36"/>
      <c r="JP632" s="36"/>
      <c r="JQ632" s="36"/>
      <c r="JR632" s="36"/>
      <c r="JS632" s="36"/>
      <c r="JT632" s="36"/>
      <c r="JU632" s="36"/>
      <c r="JV632" s="36"/>
      <c r="JW632" s="36"/>
      <c r="JX632" s="36"/>
      <c r="JY632" s="36"/>
      <c r="JZ632" s="36"/>
      <c r="KA632" s="36"/>
      <c r="KB632" s="36"/>
      <c r="KC632" s="36"/>
      <c r="KD632" s="36"/>
      <c r="KE632" s="36"/>
      <c r="KF632" s="36"/>
      <c r="KG632" s="36"/>
      <c r="KH632" s="36"/>
      <c r="KI632" s="36"/>
      <c r="KJ632" s="36"/>
      <c r="KK632" s="36"/>
      <c r="KL632" s="36"/>
      <c r="KM632" s="36"/>
      <c r="KN632" s="36"/>
      <c r="KO632" s="36"/>
      <c r="KP632" s="36"/>
      <c r="KQ632" s="36"/>
      <c r="KR632" s="36"/>
      <c r="KS632" s="36"/>
      <c r="KT632" s="36"/>
      <c r="KU632" s="36"/>
      <c r="KV632" s="36"/>
      <c r="KW632" s="36"/>
      <c r="KX632" s="36"/>
      <c r="KY632" s="36"/>
      <c r="KZ632" s="36"/>
      <c r="LA632" s="36"/>
      <c r="LB632" s="36"/>
      <c r="LC632" s="36"/>
      <c r="LD632" s="36"/>
      <c r="LE632" s="36"/>
      <c r="LF632" s="36"/>
      <c r="LG632" s="36"/>
      <c r="LH632" s="36"/>
      <c r="LI632" s="36"/>
      <c r="LJ632" s="36"/>
      <c r="LK632" s="36"/>
      <c r="LL632" s="36"/>
      <c r="LM632" s="36"/>
      <c r="LN632" s="36"/>
      <c r="LO632" s="36"/>
      <c r="LP632" s="36"/>
      <c r="LQ632" s="36"/>
      <c r="LR632" s="36"/>
      <c r="LS632" s="36"/>
      <c r="LT632" s="36"/>
      <c r="LU632" s="36"/>
      <c r="LV632" s="36"/>
      <c r="LW632" s="36"/>
      <c r="LX632" s="36"/>
      <c r="LY632" s="36"/>
      <c r="LZ632" s="36"/>
      <c r="MA632" s="36"/>
      <c r="MB632" s="36"/>
      <c r="MC632" s="36"/>
      <c r="MD632" s="36"/>
      <c r="ME632" s="36"/>
      <c r="MF632" s="36"/>
      <c r="MG632" s="36"/>
      <c r="MH632" s="36"/>
      <c r="MI632" s="36"/>
      <c r="MJ632" s="36"/>
      <c r="MK632" s="36"/>
      <c r="ML632" s="36"/>
      <c r="MM632" s="36"/>
      <c r="MN632" s="36"/>
      <c r="MO632" s="36"/>
      <c r="MP632" s="36"/>
      <c r="MQ632" s="36"/>
      <c r="MR632" s="36"/>
      <c r="MS632" s="36"/>
      <c r="MT632" s="36"/>
      <c r="MU632" s="36"/>
      <c r="MV632" s="36"/>
      <c r="MW632" s="36"/>
      <c r="MX632" s="36"/>
      <c r="MY632" s="36"/>
      <c r="MZ632" s="36"/>
      <c r="NA632" s="36"/>
      <c r="NB632" s="36"/>
      <c r="NC632" s="36"/>
      <c r="ND632" s="36"/>
      <c r="NE632" s="36"/>
      <c r="NF632" s="36"/>
      <c r="NG632" s="36"/>
      <c r="NH632" s="36"/>
      <c r="NI632" s="36"/>
      <c r="NJ632" s="36"/>
      <c r="NK632" s="36"/>
      <c r="NL632" s="36"/>
      <c r="NM632" s="36"/>
      <c r="NN632" s="36"/>
      <c r="NO632" s="36"/>
      <c r="NP632" s="36"/>
      <c r="NQ632" s="36"/>
      <c r="NR632" s="36"/>
      <c r="NS632" s="36"/>
      <c r="NT632" s="36"/>
      <c r="NU632" s="36"/>
      <c r="NV632" s="36"/>
      <c r="NW632" s="36"/>
      <c r="NX632" s="36"/>
      <c r="NY632" s="36"/>
      <c r="NZ632" s="36"/>
      <c r="OA632" s="36"/>
      <c r="OB632" s="36"/>
      <c r="OC632" s="36"/>
      <c r="OD632" s="36"/>
      <c r="OE632" s="36"/>
      <c r="OF632" s="36"/>
      <c r="OG632" s="36"/>
      <c r="OH632" s="36"/>
      <c r="OI632" s="36"/>
      <c r="OJ632" s="36"/>
      <c r="OK632" s="36"/>
      <c r="OL632" s="36"/>
      <c r="OM632" s="36"/>
      <c r="ON632" s="36"/>
      <c r="OO632" s="36"/>
      <c r="OP632" s="36"/>
      <c r="OQ632" s="36"/>
      <c r="OR632" s="36"/>
      <c r="OS632" s="36"/>
      <c r="OT632" s="36"/>
      <c r="OU632" s="36"/>
      <c r="OV632" s="36"/>
      <c r="OW632" s="36"/>
      <c r="OX632" s="36"/>
    </row>
    <row r="633" spans="2:414" s="27" customFormat="1" ht="15.6">
      <c r="B633" s="51" t="s">
        <v>612</v>
      </c>
      <c r="C633" s="27" t="s">
        <v>613</v>
      </c>
      <c r="D633" s="29" t="s">
        <v>105</v>
      </c>
      <c r="G633" s="49">
        <v>80</v>
      </c>
      <c r="H633" s="89">
        <v>26.109000000000002</v>
      </c>
      <c r="I633" s="38">
        <f t="shared" si="180"/>
        <v>2088.7200000000003</v>
      </c>
      <c r="K633" s="49">
        <v>80</v>
      </c>
      <c r="L633" s="90">
        <v>26.849599999999999</v>
      </c>
      <c r="M633" s="38">
        <f t="shared" si="181"/>
        <v>2147.9679999999998</v>
      </c>
      <c r="O633" s="49">
        <v>505</v>
      </c>
      <c r="P633" s="38">
        <v>26.728300000000001</v>
      </c>
      <c r="Q633" s="38">
        <f t="shared" si="182"/>
        <v>13497.791500000001</v>
      </c>
      <c r="R633" s="43">
        <f t="shared" si="179"/>
        <v>665</v>
      </c>
      <c r="S633" s="38">
        <f t="shared" si="183"/>
        <v>17734.479500000001</v>
      </c>
      <c r="T633" s="27">
        <v>240</v>
      </c>
      <c r="U633" s="52">
        <v>26.35</v>
      </c>
      <c r="V633" s="38">
        <f t="shared" si="190"/>
        <v>6324</v>
      </c>
      <c r="W633" s="52">
        <v>505</v>
      </c>
      <c r="X633" s="52">
        <v>26.655899999999999</v>
      </c>
      <c r="Y633" s="35">
        <f t="shared" si="189"/>
        <v>13461.229499999999</v>
      </c>
      <c r="Z633" s="78"/>
      <c r="AF633" s="42">
        <f t="shared" si="191"/>
        <v>0</v>
      </c>
      <c r="AU633" s="100"/>
      <c r="AV633" s="35"/>
      <c r="AW633" s="78"/>
      <c r="AZ633" s="42">
        <f t="shared" si="178"/>
        <v>0</v>
      </c>
      <c r="BD633" s="38">
        <f t="shared" si="184"/>
        <v>0</v>
      </c>
      <c r="BH633" s="38">
        <f t="shared" si="185"/>
        <v>0</v>
      </c>
      <c r="BL633" s="38">
        <f t="shared" si="186"/>
        <v>0</v>
      </c>
      <c r="BR633" s="42">
        <f t="shared" si="187"/>
        <v>19785.229500000001</v>
      </c>
      <c r="BS633" s="43"/>
      <c r="BT633" s="27">
        <v>2050.75</v>
      </c>
      <c r="BU633" s="36"/>
      <c r="BV633" s="36"/>
      <c r="BW633" s="36"/>
      <c r="BX633" s="36"/>
      <c r="BY633" s="36"/>
      <c r="BZ633" s="36"/>
      <c r="CA633" s="36"/>
      <c r="CB633" s="36"/>
      <c r="CC633" s="36"/>
      <c r="CD633" s="36"/>
      <c r="CE633" s="36"/>
      <c r="CF633" s="36"/>
      <c r="CG633" s="36"/>
      <c r="CH633" s="36"/>
      <c r="CI633" s="36"/>
      <c r="CJ633" s="36"/>
      <c r="CK633" s="36"/>
      <c r="CL633" s="36"/>
      <c r="CM633" s="36"/>
      <c r="CN633" s="36"/>
      <c r="CO633" s="36"/>
      <c r="CP633" s="36"/>
      <c r="CQ633" s="36"/>
      <c r="CR633" s="36"/>
      <c r="CS633" s="36"/>
      <c r="CT633" s="36"/>
      <c r="CU633" s="36"/>
      <c r="CV633" s="36"/>
      <c r="CW633" s="36"/>
      <c r="CX633" s="36"/>
      <c r="CY633" s="36"/>
      <c r="CZ633" s="36"/>
      <c r="DA633" s="36"/>
      <c r="DB633" s="36"/>
      <c r="DC633" s="36"/>
      <c r="DD633" s="36"/>
      <c r="DE633" s="36"/>
      <c r="DF633" s="36"/>
      <c r="DG633" s="36"/>
      <c r="DH633" s="36"/>
      <c r="DI633" s="36"/>
      <c r="DJ633" s="36"/>
      <c r="DK633" s="36"/>
      <c r="DL633" s="36"/>
      <c r="DM633" s="36"/>
      <c r="DN633" s="36"/>
      <c r="DO633" s="36"/>
      <c r="DP633" s="36"/>
      <c r="DQ633" s="36"/>
      <c r="DR633" s="36"/>
      <c r="DS633" s="36"/>
      <c r="DT633" s="36"/>
      <c r="DU633" s="36"/>
      <c r="DV633" s="36"/>
      <c r="DW633" s="36"/>
      <c r="DX633" s="36"/>
      <c r="DY633" s="36"/>
      <c r="DZ633" s="36"/>
      <c r="EA633" s="36"/>
      <c r="EB633" s="36"/>
      <c r="EC633" s="36"/>
      <c r="ED633" s="36"/>
      <c r="EE633" s="36"/>
      <c r="EF633" s="36"/>
      <c r="EG633" s="36"/>
      <c r="EH633" s="36"/>
      <c r="EI633" s="36"/>
      <c r="EJ633" s="36"/>
      <c r="EK633" s="36"/>
      <c r="EL633" s="36"/>
      <c r="EM633" s="36"/>
      <c r="EN633" s="36"/>
      <c r="EO633" s="36"/>
      <c r="EP633" s="36"/>
      <c r="EQ633" s="36"/>
      <c r="ER633" s="36"/>
      <c r="ES633" s="36"/>
      <c r="ET633" s="36"/>
      <c r="EU633" s="36"/>
      <c r="EV633" s="36"/>
      <c r="EW633" s="36"/>
      <c r="EX633" s="36"/>
      <c r="EY633" s="36"/>
      <c r="EZ633" s="36"/>
      <c r="FA633" s="36"/>
      <c r="FB633" s="36"/>
      <c r="FC633" s="36"/>
      <c r="FD633" s="36"/>
      <c r="FE633" s="36"/>
      <c r="FF633" s="36"/>
      <c r="FG633" s="36"/>
      <c r="FH633" s="36"/>
      <c r="FI633" s="36"/>
      <c r="FJ633" s="36"/>
      <c r="FK633" s="36"/>
      <c r="FL633" s="36"/>
      <c r="FM633" s="36"/>
      <c r="FN633" s="36"/>
      <c r="FO633" s="36"/>
      <c r="FP633" s="36"/>
      <c r="FQ633" s="36"/>
      <c r="FR633" s="36"/>
      <c r="FS633" s="36"/>
      <c r="FT633" s="36"/>
      <c r="FU633" s="36"/>
      <c r="FV633" s="36"/>
      <c r="FW633" s="36"/>
      <c r="FX633" s="36"/>
      <c r="FY633" s="36"/>
      <c r="FZ633" s="36"/>
      <c r="GA633" s="36"/>
      <c r="GB633" s="36"/>
      <c r="GC633" s="36"/>
      <c r="GD633" s="36"/>
      <c r="GE633" s="36"/>
      <c r="GF633" s="36"/>
      <c r="GG633" s="36"/>
      <c r="GH633" s="36"/>
      <c r="GI633" s="36"/>
      <c r="GJ633" s="36"/>
      <c r="GK633" s="36"/>
      <c r="GL633" s="36"/>
      <c r="GM633" s="36"/>
      <c r="GN633" s="36"/>
      <c r="GO633" s="36"/>
      <c r="GP633" s="36"/>
      <c r="GQ633" s="36"/>
      <c r="GR633" s="36"/>
      <c r="GS633" s="36"/>
      <c r="GT633" s="36"/>
      <c r="GU633" s="36"/>
      <c r="GV633" s="36"/>
      <c r="GW633" s="36"/>
      <c r="GX633" s="36"/>
      <c r="GY633" s="36"/>
      <c r="GZ633" s="36"/>
      <c r="HA633" s="36"/>
      <c r="HB633" s="36"/>
      <c r="HC633" s="36"/>
      <c r="HD633" s="36"/>
      <c r="HE633" s="36"/>
      <c r="HF633" s="36"/>
      <c r="HG633" s="36"/>
      <c r="HH633" s="36"/>
      <c r="HI633" s="36"/>
      <c r="HJ633" s="36"/>
      <c r="HK633" s="36"/>
      <c r="HL633" s="36"/>
      <c r="HM633" s="36"/>
      <c r="HN633" s="36"/>
      <c r="HO633" s="36"/>
      <c r="HP633" s="36"/>
      <c r="HQ633" s="36"/>
      <c r="HR633" s="36"/>
      <c r="HS633" s="36"/>
      <c r="HT633" s="36"/>
      <c r="HU633" s="36"/>
      <c r="HV633" s="36"/>
      <c r="HW633" s="36"/>
      <c r="HX633" s="36"/>
      <c r="HY633" s="36"/>
      <c r="HZ633" s="36"/>
      <c r="IA633" s="36"/>
      <c r="IB633" s="36"/>
      <c r="IC633" s="36"/>
      <c r="ID633" s="36"/>
      <c r="IE633" s="36"/>
      <c r="IF633" s="36"/>
      <c r="IG633" s="36"/>
      <c r="IH633" s="36"/>
      <c r="II633" s="36"/>
      <c r="IJ633" s="36"/>
      <c r="IK633" s="36"/>
      <c r="IL633" s="36"/>
      <c r="IM633" s="36"/>
      <c r="IN633" s="36"/>
      <c r="IO633" s="36"/>
      <c r="IP633" s="36"/>
      <c r="IQ633" s="36"/>
      <c r="IR633" s="36"/>
      <c r="IS633" s="36"/>
      <c r="IT633" s="36"/>
      <c r="IU633" s="36"/>
      <c r="IV633" s="36"/>
      <c r="IW633" s="36"/>
      <c r="IX633" s="36"/>
      <c r="IY633" s="36"/>
      <c r="IZ633" s="36"/>
      <c r="JA633" s="36"/>
      <c r="JB633" s="36"/>
      <c r="JC633" s="36"/>
      <c r="JD633" s="36"/>
      <c r="JE633" s="36"/>
      <c r="JF633" s="36"/>
      <c r="JG633" s="36"/>
      <c r="JH633" s="36"/>
      <c r="JI633" s="36"/>
      <c r="JJ633" s="36"/>
      <c r="JK633" s="36"/>
      <c r="JL633" s="36"/>
      <c r="JM633" s="36"/>
      <c r="JN633" s="36"/>
      <c r="JO633" s="36"/>
      <c r="JP633" s="36"/>
      <c r="JQ633" s="36"/>
      <c r="JR633" s="36"/>
      <c r="JS633" s="36"/>
      <c r="JT633" s="36"/>
      <c r="JU633" s="36"/>
      <c r="JV633" s="36"/>
      <c r="JW633" s="36"/>
      <c r="JX633" s="36"/>
      <c r="JY633" s="36"/>
      <c r="JZ633" s="36"/>
      <c r="KA633" s="36"/>
      <c r="KB633" s="36"/>
      <c r="KC633" s="36"/>
      <c r="KD633" s="36"/>
      <c r="KE633" s="36"/>
      <c r="KF633" s="36"/>
      <c r="KG633" s="36"/>
      <c r="KH633" s="36"/>
      <c r="KI633" s="36"/>
      <c r="KJ633" s="36"/>
      <c r="KK633" s="36"/>
      <c r="KL633" s="36"/>
      <c r="KM633" s="36"/>
      <c r="KN633" s="36"/>
      <c r="KO633" s="36"/>
      <c r="KP633" s="36"/>
      <c r="KQ633" s="36"/>
      <c r="KR633" s="36"/>
      <c r="KS633" s="36"/>
      <c r="KT633" s="36"/>
      <c r="KU633" s="36"/>
      <c r="KV633" s="36"/>
      <c r="KW633" s="36"/>
      <c r="KX633" s="36"/>
      <c r="KY633" s="36"/>
      <c r="KZ633" s="36"/>
      <c r="LA633" s="36"/>
      <c r="LB633" s="36"/>
      <c r="LC633" s="36"/>
      <c r="LD633" s="36"/>
      <c r="LE633" s="36"/>
      <c r="LF633" s="36"/>
      <c r="LG633" s="36"/>
      <c r="LH633" s="36"/>
      <c r="LI633" s="36"/>
      <c r="LJ633" s="36"/>
      <c r="LK633" s="36"/>
      <c r="LL633" s="36"/>
      <c r="LM633" s="36"/>
      <c r="LN633" s="36"/>
      <c r="LO633" s="36"/>
      <c r="LP633" s="36"/>
      <c r="LQ633" s="36"/>
      <c r="LR633" s="36"/>
      <c r="LS633" s="36"/>
      <c r="LT633" s="36"/>
      <c r="LU633" s="36"/>
      <c r="LV633" s="36"/>
      <c r="LW633" s="36"/>
      <c r="LX633" s="36"/>
      <c r="LY633" s="36"/>
      <c r="LZ633" s="36"/>
      <c r="MA633" s="36"/>
      <c r="MB633" s="36"/>
      <c r="MC633" s="36"/>
      <c r="MD633" s="36"/>
      <c r="ME633" s="36"/>
      <c r="MF633" s="36"/>
      <c r="MG633" s="36"/>
      <c r="MH633" s="36"/>
      <c r="MI633" s="36"/>
      <c r="MJ633" s="36"/>
      <c r="MK633" s="36"/>
      <c r="ML633" s="36"/>
      <c r="MM633" s="36"/>
      <c r="MN633" s="36"/>
      <c r="MO633" s="36"/>
      <c r="MP633" s="36"/>
      <c r="MQ633" s="36"/>
      <c r="MR633" s="36"/>
      <c r="MS633" s="36"/>
      <c r="MT633" s="36"/>
      <c r="MU633" s="36"/>
      <c r="MV633" s="36"/>
      <c r="MW633" s="36"/>
      <c r="MX633" s="36"/>
      <c r="MY633" s="36"/>
      <c r="MZ633" s="36"/>
      <c r="NA633" s="36"/>
      <c r="NB633" s="36"/>
      <c r="NC633" s="36"/>
      <c r="ND633" s="36"/>
      <c r="NE633" s="36"/>
      <c r="NF633" s="36"/>
      <c r="NG633" s="36"/>
      <c r="NH633" s="36"/>
      <c r="NI633" s="36"/>
      <c r="NJ633" s="36"/>
      <c r="NK633" s="36"/>
      <c r="NL633" s="36"/>
      <c r="NM633" s="36"/>
      <c r="NN633" s="36"/>
      <c r="NO633" s="36"/>
      <c r="NP633" s="36"/>
      <c r="NQ633" s="36"/>
      <c r="NR633" s="36"/>
      <c r="NS633" s="36"/>
      <c r="NT633" s="36"/>
      <c r="NU633" s="36"/>
      <c r="NV633" s="36"/>
      <c r="NW633" s="36"/>
      <c r="NX633" s="36"/>
      <c r="NY633" s="36"/>
      <c r="NZ633" s="36"/>
      <c r="OA633" s="36"/>
      <c r="OB633" s="36"/>
      <c r="OC633" s="36"/>
      <c r="OD633" s="36"/>
      <c r="OE633" s="36"/>
      <c r="OF633" s="36"/>
      <c r="OG633" s="36"/>
      <c r="OH633" s="36"/>
      <c r="OI633" s="36"/>
      <c r="OJ633" s="36"/>
      <c r="OK633" s="36"/>
      <c r="OL633" s="36"/>
      <c r="OM633" s="36"/>
      <c r="ON633" s="36"/>
      <c r="OO633" s="36"/>
      <c r="OP633" s="36"/>
      <c r="OQ633" s="36"/>
      <c r="OR633" s="36"/>
      <c r="OS633" s="36"/>
      <c r="OT633" s="36"/>
      <c r="OU633" s="36"/>
      <c r="OV633" s="36"/>
      <c r="OW633" s="36"/>
      <c r="OX633" s="36"/>
    </row>
    <row r="634" spans="2:414" s="27" customFormat="1" ht="15.6">
      <c r="B634" s="51" t="s">
        <v>817</v>
      </c>
      <c r="C634" s="27" t="s">
        <v>1121</v>
      </c>
      <c r="D634" s="29" t="s">
        <v>105</v>
      </c>
      <c r="G634" s="49">
        <v>80</v>
      </c>
      <c r="H634" s="89">
        <v>26.109000000000002</v>
      </c>
      <c r="I634" s="38">
        <f t="shared" si="180"/>
        <v>2088.7200000000003</v>
      </c>
      <c r="K634" s="49">
        <v>80</v>
      </c>
      <c r="L634" s="90">
        <v>26.849599999999999</v>
      </c>
      <c r="M634" s="38">
        <f t="shared" si="181"/>
        <v>2147.9679999999998</v>
      </c>
      <c r="O634" s="49">
        <v>505</v>
      </c>
      <c r="P634" s="38">
        <v>26.728300000000001</v>
      </c>
      <c r="Q634" s="38">
        <f t="shared" si="182"/>
        <v>13497.791500000001</v>
      </c>
      <c r="R634" s="43">
        <f t="shared" si="179"/>
        <v>665</v>
      </c>
      <c r="S634" s="38">
        <f t="shared" si="183"/>
        <v>17734.479500000001</v>
      </c>
      <c r="V634" s="38">
        <f t="shared" si="190"/>
        <v>0</v>
      </c>
      <c r="W634" s="52">
        <v>505</v>
      </c>
      <c r="X634" s="52">
        <v>26.732500000000002</v>
      </c>
      <c r="Y634" s="35">
        <f t="shared" si="189"/>
        <v>13499.9125</v>
      </c>
      <c r="Z634" s="78"/>
      <c r="AF634" s="42">
        <f t="shared" si="191"/>
        <v>0</v>
      </c>
      <c r="AU634" s="100"/>
      <c r="AV634" s="35"/>
      <c r="AW634" s="78"/>
      <c r="AZ634" s="42">
        <f t="shared" ref="AZ634:AZ635" si="192">AX634*AY634</f>
        <v>0</v>
      </c>
      <c r="BD634" s="38">
        <f t="shared" si="184"/>
        <v>0</v>
      </c>
      <c r="BH634" s="38">
        <f t="shared" si="185"/>
        <v>0</v>
      </c>
      <c r="BL634" s="38">
        <f t="shared" si="186"/>
        <v>0</v>
      </c>
      <c r="BR634" s="42">
        <f t="shared" si="187"/>
        <v>13499.9125</v>
      </c>
      <c r="BS634" s="43">
        <f t="shared" si="188"/>
        <v>4234.5670000000009</v>
      </c>
      <c r="BU634" s="36"/>
      <c r="BV634" s="36"/>
      <c r="BW634" s="36"/>
      <c r="BX634" s="36"/>
      <c r="BY634" s="36"/>
      <c r="BZ634" s="36"/>
      <c r="CA634" s="36"/>
      <c r="CB634" s="36"/>
      <c r="CC634" s="36"/>
      <c r="CD634" s="36"/>
      <c r="CE634" s="36"/>
      <c r="CF634" s="36"/>
      <c r="CG634" s="36"/>
      <c r="CH634" s="36"/>
      <c r="CI634" s="36"/>
      <c r="CJ634" s="36"/>
      <c r="CK634" s="36"/>
      <c r="CL634" s="36"/>
      <c r="CM634" s="36"/>
      <c r="CN634" s="36"/>
      <c r="CO634" s="36"/>
      <c r="CP634" s="36"/>
      <c r="CQ634" s="36"/>
      <c r="CR634" s="36"/>
      <c r="CS634" s="36"/>
      <c r="CT634" s="36"/>
      <c r="CU634" s="36"/>
      <c r="CV634" s="36"/>
      <c r="CW634" s="36"/>
      <c r="CX634" s="36"/>
      <c r="CY634" s="36"/>
      <c r="CZ634" s="36"/>
      <c r="DA634" s="36"/>
      <c r="DB634" s="36"/>
      <c r="DC634" s="36"/>
      <c r="DD634" s="36"/>
      <c r="DE634" s="36"/>
      <c r="DF634" s="36"/>
      <c r="DG634" s="36"/>
      <c r="DH634" s="36"/>
      <c r="DI634" s="36"/>
      <c r="DJ634" s="36"/>
      <c r="DK634" s="36"/>
      <c r="DL634" s="36"/>
      <c r="DM634" s="36"/>
      <c r="DN634" s="36"/>
      <c r="DO634" s="36"/>
      <c r="DP634" s="36"/>
      <c r="DQ634" s="36"/>
      <c r="DR634" s="36"/>
      <c r="DS634" s="36"/>
      <c r="DT634" s="36"/>
      <c r="DU634" s="36"/>
      <c r="DV634" s="36"/>
      <c r="DW634" s="36"/>
      <c r="DX634" s="36"/>
      <c r="DY634" s="36"/>
      <c r="DZ634" s="36"/>
      <c r="EA634" s="36"/>
      <c r="EB634" s="36"/>
      <c r="EC634" s="36"/>
      <c r="ED634" s="36"/>
      <c r="EE634" s="36"/>
      <c r="EF634" s="36"/>
      <c r="EG634" s="36"/>
      <c r="EH634" s="36"/>
      <c r="EI634" s="36"/>
      <c r="EJ634" s="36"/>
      <c r="EK634" s="36"/>
      <c r="EL634" s="36"/>
      <c r="EM634" s="36"/>
      <c r="EN634" s="36"/>
      <c r="EO634" s="36"/>
      <c r="EP634" s="36"/>
      <c r="EQ634" s="36"/>
      <c r="ER634" s="36"/>
      <c r="ES634" s="36"/>
      <c r="ET634" s="36"/>
      <c r="EU634" s="36"/>
      <c r="EV634" s="36"/>
      <c r="EW634" s="36"/>
      <c r="EX634" s="36"/>
      <c r="EY634" s="36"/>
      <c r="EZ634" s="36"/>
      <c r="FA634" s="36"/>
      <c r="FB634" s="36"/>
      <c r="FC634" s="36"/>
      <c r="FD634" s="36"/>
      <c r="FE634" s="36"/>
      <c r="FF634" s="36"/>
      <c r="FG634" s="36"/>
      <c r="FH634" s="36"/>
      <c r="FI634" s="36"/>
      <c r="FJ634" s="36"/>
      <c r="FK634" s="36"/>
      <c r="FL634" s="36"/>
      <c r="FM634" s="36"/>
      <c r="FN634" s="36"/>
      <c r="FO634" s="36"/>
      <c r="FP634" s="36"/>
      <c r="FQ634" s="36"/>
      <c r="FR634" s="36"/>
      <c r="FS634" s="36"/>
      <c r="FT634" s="36"/>
      <c r="FU634" s="36"/>
      <c r="FV634" s="36"/>
      <c r="FW634" s="36"/>
      <c r="FX634" s="36"/>
      <c r="FY634" s="36"/>
      <c r="FZ634" s="36"/>
      <c r="GA634" s="36"/>
      <c r="GB634" s="36"/>
      <c r="GC634" s="36"/>
      <c r="GD634" s="36"/>
      <c r="GE634" s="36"/>
      <c r="GF634" s="36"/>
      <c r="GG634" s="36"/>
      <c r="GH634" s="36"/>
      <c r="GI634" s="36"/>
      <c r="GJ634" s="36"/>
      <c r="GK634" s="36"/>
      <c r="GL634" s="36"/>
      <c r="GM634" s="36"/>
      <c r="GN634" s="36"/>
      <c r="GO634" s="36"/>
      <c r="GP634" s="36"/>
      <c r="GQ634" s="36"/>
      <c r="GR634" s="36"/>
      <c r="GS634" s="36"/>
      <c r="GT634" s="36"/>
      <c r="GU634" s="36"/>
      <c r="GV634" s="36"/>
      <c r="GW634" s="36"/>
      <c r="GX634" s="36"/>
      <c r="GY634" s="36"/>
      <c r="GZ634" s="36"/>
      <c r="HA634" s="36"/>
      <c r="HB634" s="36"/>
      <c r="HC634" s="36"/>
      <c r="HD634" s="36"/>
      <c r="HE634" s="36"/>
      <c r="HF634" s="36"/>
      <c r="HG634" s="36"/>
      <c r="HH634" s="36"/>
      <c r="HI634" s="36"/>
      <c r="HJ634" s="36"/>
      <c r="HK634" s="36"/>
      <c r="HL634" s="36"/>
      <c r="HM634" s="36"/>
      <c r="HN634" s="36"/>
      <c r="HO634" s="36"/>
      <c r="HP634" s="36"/>
      <c r="HQ634" s="36"/>
      <c r="HR634" s="36"/>
      <c r="HS634" s="36"/>
      <c r="HT634" s="36"/>
      <c r="HU634" s="36"/>
      <c r="HV634" s="36"/>
      <c r="HW634" s="36"/>
      <c r="HX634" s="36"/>
      <c r="HY634" s="36"/>
      <c r="HZ634" s="36"/>
      <c r="IA634" s="36"/>
      <c r="IB634" s="36"/>
      <c r="IC634" s="36"/>
      <c r="ID634" s="36"/>
      <c r="IE634" s="36"/>
      <c r="IF634" s="36"/>
      <c r="IG634" s="36"/>
      <c r="IH634" s="36"/>
      <c r="II634" s="36"/>
      <c r="IJ634" s="36"/>
      <c r="IK634" s="36"/>
      <c r="IL634" s="36"/>
      <c r="IM634" s="36"/>
      <c r="IN634" s="36"/>
      <c r="IO634" s="36"/>
      <c r="IP634" s="36"/>
      <c r="IQ634" s="36"/>
      <c r="IR634" s="36"/>
      <c r="IS634" s="36"/>
      <c r="IT634" s="36"/>
      <c r="IU634" s="36"/>
      <c r="IV634" s="36"/>
      <c r="IW634" s="36"/>
      <c r="IX634" s="36"/>
      <c r="IY634" s="36"/>
      <c r="IZ634" s="36"/>
      <c r="JA634" s="36"/>
      <c r="JB634" s="36"/>
      <c r="JC634" s="36"/>
      <c r="JD634" s="36"/>
      <c r="JE634" s="36"/>
      <c r="JF634" s="36"/>
      <c r="JG634" s="36"/>
      <c r="JH634" s="36"/>
      <c r="JI634" s="36"/>
      <c r="JJ634" s="36"/>
      <c r="JK634" s="36"/>
      <c r="JL634" s="36"/>
      <c r="JM634" s="36"/>
      <c r="JN634" s="36"/>
      <c r="JO634" s="36"/>
      <c r="JP634" s="36"/>
      <c r="JQ634" s="36"/>
      <c r="JR634" s="36"/>
      <c r="JS634" s="36"/>
      <c r="JT634" s="36"/>
      <c r="JU634" s="36"/>
      <c r="JV634" s="36"/>
      <c r="JW634" s="36"/>
      <c r="JX634" s="36"/>
      <c r="JY634" s="36"/>
      <c r="JZ634" s="36"/>
      <c r="KA634" s="36"/>
      <c r="KB634" s="36"/>
      <c r="KC634" s="36"/>
      <c r="KD634" s="36"/>
      <c r="KE634" s="36"/>
      <c r="KF634" s="36"/>
      <c r="KG634" s="36"/>
      <c r="KH634" s="36"/>
      <c r="KI634" s="36"/>
      <c r="KJ634" s="36"/>
      <c r="KK634" s="36"/>
      <c r="KL634" s="36"/>
      <c r="KM634" s="36"/>
      <c r="KN634" s="36"/>
      <c r="KO634" s="36"/>
      <c r="KP634" s="36"/>
      <c r="KQ634" s="36"/>
      <c r="KR634" s="36"/>
      <c r="KS634" s="36"/>
      <c r="KT634" s="36"/>
      <c r="KU634" s="36"/>
      <c r="KV634" s="36"/>
      <c r="KW634" s="36"/>
      <c r="KX634" s="36"/>
      <c r="KY634" s="36"/>
      <c r="KZ634" s="36"/>
      <c r="LA634" s="36"/>
      <c r="LB634" s="36"/>
      <c r="LC634" s="36"/>
      <c r="LD634" s="36"/>
      <c r="LE634" s="36"/>
      <c r="LF634" s="36"/>
      <c r="LG634" s="36"/>
      <c r="LH634" s="36"/>
      <c r="LI634" s="36"/>
      <c r="LJ634" s="36"/>
      <c r="LK634" s="36"/>
      <c r="LL634" s="36"/>
      <c r="LM634" s="36"/>
      <c r="LN634" s="36"/>
      <c r="LO634" s="36"/>
      <c r="LP634" s="36"/>
      <c r="LQ634" s="36"/>
      <c r="LR634" s="36"/>
      <c r="LS634" s="36"/>
      <c r="LT634" s="36"/>
      <c r="LU634" s="36"/>
      <c r="LV634" s="36"/>
      <c r="LW634" s="36"/>
      <c r="LX634" s="36"/>
      <c r="LY634" s="36"/>
      <c r="LZ634" s="36"/>
      <c r="MA634" s="36"/>
      <c r="MB634" s="36"/>
      <c r="MC634" s="36"/>
      <c r="MD634" s="36"/>
      <c r="ME634" s="36"/>
      <c r="MF634" s="36"/>
      <c r="MG634" s="36"/>
      <c r="MH634" s="36"/>
      <c r="MI634" s="36"/>
      <c r="MJ634" s="36"/>
      <c r="MK634" s="36"/>
      <c r="ML634" s="36"/>
      <c r="MM634" s="36"/>
      <c r="MN634" s="36"/>
      <c r="MO634" s="36"/>
      <c r="MP634" s="36"/>
      <c r="MQ634" s="36"/>
      <c r="MR634" s="36"/>
      <c r="MS634" s="36"/>
      <c r="MT634" s="36"/>
      <c r="MU634" s="36"/>
      <c r="MV634" s="36"/>
      <c r="MW634" s="36"/>
      <c r="MX634" s="36"/>
      <c r="MY634" s="36"/>
      <c r="MZ634" s="36"/>
      <c r="NA634" s="36"/>
      <c r="NB634" s="36"/>
      <c r="NC634" s="36"/>
      <c r="ND634" s="36"/>
      <c r="NE634" s="36"/>
      <c r="NF634" s="36"/>
      <c r="NG634" s="36"/>
      <c r="NH634" s="36"/>
      <c r="NI634" s="36"/>
      <c r="NJ634" s="36"/>
      <c r="NK634" s="36"/>
      <c r="NL634" s="36"/>
      <c r="NM634" s="36"/>
      <c r="NN634" s="36"/>
      <c r="NO634" s="36"/>
      <c r="NP634" s="36"/>
      <c r="NQ634" s="36"/>
      <c r="NR634" s="36"/>
      <c r="NS634" s="36"/>
      <c r="NT634" s="36"/>
      <c r="NU634" s="36"/>
      <c r="NV634" s="36"/>
      <c r="NW634" s="36"/>
      <c r="NX634" s="36"/>
      <c r="NY634" s="36"/>
      <c r="NZ634" s="36"/>
      <c r="OA634" s="36"/>
      <c r="OB634" s="36"/>
      <c r="OC634" s="36"/>
      <c r="OD634" s="36"/>
      <c r="OE634" s="36"/>
      <c r="OF634" s="36"/>
      <c r="OG634" s="36"/>
      <c r="OH634" s="36"/>
      <c r="OI634" s="36"/>
      <c r="OJ634" s="36"/>
      <c r="OK634" s="36"/>
      <c r="OL634" s="36"/>
      <c r="OM634" s="36"/>
      <c r="ON634" s="36"/>
      <c r="OO634" s="36"/>
      <c r="OP634" s="36"/>
      <c r="OQ634" s="36"/>
      <c r="OR634" s="36"/>
      <c r="OS634" s="36"/>
      <c r="OT634" s="36"/>
      <c r="OU634" s="36"/>
      <c r="OV634" s="36"/>
      <c r="OW634" s="36"/>
      <c r="OX634" s="36"/>
    </row>
    <row r="635" spans="2:414" s="27" customFormat="1" ht="15.6">
      <c r="B635" s="51" t="s">
        <v>1122</v>
      </c>
      <c r="C635" s="27" t="s">
        <v>148</v>
      </c>
      <c r="D635" s="29" t="s">
        <v>105</v>
      </c>
      <c r="G635" s="49">
        <v>80</v>
      </c>
      <c r="H635" s="89">
        <v>26.109000000000002</v>
      </c>
      <c r="I635" s="38">
        <f t="shared" si="180"/>
        <v>2088.7200000000003</v>
      </c>
      <c r="K635" s="49">
        <v>80</v>
      </c>
      <c r="L635" s="90">
        <v>26.849599999999999</v>
      </c>
      <c r="M635" s="38">
        <f t="shared" si="181"/>
        <v>2147.9679999999998</v>
      </c>
      <c r="O635" s="49">
        <v>505</v>
      </c>
      <c r="P635" s="38">
        <v>26.728300000000001</v>
      </c>
      <c r="Q635" s="38">
        <f t="shared" si="182"/>
        <v>13497.791500000001</v>
      </c>
      <c r="R635" s="43">
        <f t="shared" si="179"/>
        <v>665</v>
      </c>
      <c r="S635" s="38">
        <f t="shared" si="183"/>
        <v>17734.479500000001</v>
      </c>
      <c r="T635" s="27">
        <v>240</v>
      </c>
      <c r="U635" s="52">
        <v>26.57</v>
      </c>
      <c r="V635" s="38">
        <f t="shared" si="190"/>
        <v>6376.8</v>
      </c>
      <c r="W635" s="52">
        <v>505</v>
      </c>
      <c r="X635" s="52">
        <v>26.73</v>
      </c>
      <c r="Y635" s="35">
        <f t="shared" si="189"/>
        <v>13498.65</v>
      </c>
      <c r="Z635" s="78"/>
      <c r="AF635" s="42">
        <f t="shared" si="191"/>
        <v>0</v>
      </c>
      <c r="AU635" s="100"/>
      <c r="AV635" s="35"/>
      <c r="AW635" s="78"/>
      <c r="AZ635" s="42">
        <f t="shared" si="192"/>
        <v>0</v>
      </c>
      <c r="BD635" s="38">
        <f t="shared" si="184"/>
        <v>0</v>
      </c>
      <c r="BH635" s="38">
        <f t="shared" si="185"/>
        <v>0</v>
      </c>
      <c r="BL635" s="38">
        <f t="shared" si="186"/>
        <v>0</v>
      </c>
      <c r="BR635" s="42">
        <f t="shared" si="187"/>
        <v>19875.45</v>
      </c>
      <c r="BS635" s="43"/>
      <c r="BT635" s="27">
        <v>2140.9699999999998</v>
      </c>
      <c r="BU635" s="36"/>
      <c r="BV635" s="36"/>
      <c r="BW635" s="36"/>
      <c r="BX635" s="36"/>
      <c r="BY635" s="36"/>
      <c r="BZ635" s="36"/>
      <c r="CA635" s="36"/>
      <c r="CB635" s="36"/>
      <c r="CC635" s="36"/>
      <c r="CD635" s="36"/>
      <c r="CE635" s="36"/>
      <c r="CF635" s="36"/>
      <c r="CG635" s="36"/>
      <c r="CH635" s="36"/>
      <c r="CI635" s="36"/>
      <c r="CJ635" s="36"/>
      <c r="CK635" s="36"/>
      <c r="CL635" s="36"/>
      <c r="CM635" s="36"/>
      <c r="CN635" s="36"/>
      <c r="CO635" s="36"/>
      <c r="CP635" s="36"/>
      <c r="CQ635" s="36"/>
      <c r="CR635" s="36"/>
      <c r="CS635" s="36"/>
      <c r="CT635" s="36"/>
      <c r="CU635" s="36"/>
      <c r="CV635" s="36"/>
      <c r="CW635" s="36"/>
      <c r="CX635" s="36"/>
      <c r="CY635" s="36"/>
      <c r="CZ635" s="36"/>
      <c r="DA635" s="36"/>
      <c r="DB635" s="36"/>
      <c r="DC635" s="36"/>
      <c r="DD635" s="36"/>
      <c r="DE635" s="36"/>
      <c r="DF635" s="36"/>
      <c r="DG635" s="36"/>
      <c r="DH635" s="36"/>
      <c r="DI635" s="36"/>
      <c r="DJ635" s="36"/>
      <c r="DK635" s="36"/>
      <c r="DL635" s="36"/>
      <c r="DM635" s="36"/>
      <c r="DN635" s="36"/>
      <c r="DO635" s="36"/>
      <c r="DP635" s="36"/>
      <c r="DQ635" s="36"/>
      <c r="DR635" s="36"/>
      <c r="DS635" s="36"/>
      <c r="DT635" s="36"/>
      <c r="DU635" s="36"/>
      <c r="DV635" s="36"/>
      <c r="DW635" s="36"/>
      <c r="DX635" s="36"/>
      <c r="DY635" s="36"/>
      <c r="DZ635" s="36"/>
      <c r="EA635" s="36"/>
      <c r="EB635" s="36"/>
      <c r="EC635" s="36"/>
      <c r="ED635" s="36"/>
      <c r="EE635" s="36"/>
      <c r="EF635" s="36"/>
      <c r="EG635" s="36"/>
      <c r="EH635" s="36"/>
      <c r="EI635" s="36"/>
      <c r="EJ635" s="36"/>
      <c r="EK635" s="36"/>
      <c r="EL635" s="36"/>
      <c r="EM635" s="36"/>
      <c r="EN635" s="36"/>
      <c r="EO635" s="36"/>
      <c r="EP635" s="36"/>
      <c r="EQ635" s="36"/>
      <c r="ER635" s="36"/>
      <c r="ES635" s="36"/>
      <c r="ET635" s="36"/>
      <c r="EU635" s="36"/>
      <c r="EV635" s="36"/>
      <c r="EW635" s="36"/>
      <c r="EX635" s="36"/>
      <c r="EY635" s="36"/>
      <c r="EZ635" s="36"/>
      <c r="FA635" s="36"/>
      <c r="FB635" s="36"/>
      <c r="FC635" s="36"/>
      <c r="FD635" s="36"/>
      <c r="FE635" s="36"/>
      <c r="FF635" s="36"/>
      <c r="FG635" s="36"/>
      <c r="FH635" s="36"/>
      <c r="FI635" s="36"/>
      <c r="FJ635" s="36"/>
      <c r="FK635" s="36"/>
      <c r="FL635" s="36"/>
      <c r="FM635" s="36"/>
      <c r="FN635" s="36"/>
      <c r="FO635" s="36"/>
      <c r="FP635" s="36"/>
      <c r="FQ635" s="36"/>
      <c r="FR635" s="36"/>
      <c r="FS635" s="36"/>
      <c r="FT635" s="36"/>
      <c r="FU635" s="36"/>
      <c r="FV635" s="36"/>
      <c r="FW635" s="36"/>
      <c r="FX635" s="36"/>
      <c r="FY635" s="36"/>
      <c r="FZ635" s="36"/>
      <c r="GA635" s="36"/>
      <c r="GB635" s="36"/>
      <c r="GC635" s="36"/>
      <c r="GD635" s="36"/>
      <c r="GE635" s="36"/>
      <c r="GF635" s="36"/>
      <c r="GG635" s="36"/>
      <c r="GH635" s="36"/>
      <c r="GI635" s="36"/>
      <c r="GJ635" s="36"/>
      <c r="GK635" s="36"/>
      <c r="GL635" s="36"/>
      <c r="GM635" s="36"/>
      <c r="GN635" s="36"/>
      <c r="GO635" s="36"/>
      <c r="GP635" s="36"/>
      <c r="GQ635" s="36"/>
      <c r="GR635" s="36"/>
      <c r="GS635" s="36"/>
      <c r="GT635" s="36"/>
      <c r="GU635" s="36"/>
      <c r="GV635" s="36"/>
      <c r="GW635" s="36"/>
      <c r="GX635" s="36"/>
      <c r="GY635" s="36"/>
      <c r="GZ635" s="36"/>
      <c r="HA635" s="36"/>
      <c r="HB635" s="36"/>
      <c r="HC635" s="36"/>
      <c r="HD635" s="36"/>
      <c r="HE635" s="36"/>
      <c r="HF635" s="36"/>
      <c r="HG635" s="36"/>
      <c r="HH635" s="36"/>
      <c r="HI635" s="36"/>
      <c r="HJ635" s="36"/>
      <c r="HK635" s="36"/>
      <c r="HL635" s="36"/>
      <c r="HM635" s="36"/>
      <c r="HN635" s="36"/>
      <c r="HO635" s="36"/>
      <c r="HP635" s="36"/>
      <c r="HQ635" s="36"/>
      <c r="HR635" s="36"/>
      <c r="HS635" s="36"/>
      <c r="HT635" s="36"/>
      <c r="HU635" s="36"/>
      <c r="HV635" s="36"/>
      <c r="HW635" s="36"/>
      <c r="HX635" s="36"/>
      <c r="HY635" s="36"/>
      <c r="HZ635" s="36"/>
      <c r="IA635" s="36"/>
      <c r="IB635" s="36"/>
      <c r="IC635" s="36"/>
      <c r="ID635" s="36"/>
      <c r="IE635" s="36"/>
      <c r="IF635" s="36"/>
      <c r="IG635" s="36"/>
      <c r="IH635" s="36"/>
      <c r="II635" s="36"/>
      <c r="IJ635" s="36"/>
      <c r="IK635" s="36"/>
      <c r="IL635" s="36"/>
      <c r="IM635" s="36"/>
      <c r="IN635" s="36"/>
      <c r="IO635" s="36"/>
      <c r="IP635" s="36"/>
      <c r="IQ635" s="36"/>
      <c r="IR635" s="36"/>
      <c r="IS635" s="36"/>
      <c r="IT635" s="36"/>
      <c r="IU635" s="36"/>
      <c r="IV635" s="36"/>
      <c r="IW635" s="36"/>
      <c r="IX635" s="36"/>
      <c r="IY635" s="36"/>
      <c r="IZ635" s="36"/>
      <c r="JA635" s="36"/>
      <c r="JB635" s="36"/>
      <c r="JC635" s="36"/>
      <c r="JD635" s="36"/>
      <c r="JE635" s="36"/>
      <c r="JF635" s="36"/>
      <c r="JG635" s="36"/>
      <c r="JH635" s="36"/>
      <c r="JI635" s="36"/>
      <c r="JJ635" s="36"/>
      <c r="JK635" s="36"/>
      <c r="JL635" s="36"/>
      <c r="JM635" s="36"/>
      <c r="JN635" s="36"/>
      <c r="JO635" s="36"/>
      <c r="JP635" s="36"/>
      <c r="JQ635" s="36"/>
      <c r="JR635" s="36"/>
      <c r="JS635" s="36"/>
      <c r="JT635" s="36"/>
      <c r="JU635" s="36"/>
      <c r="JV635" s="36"/>
      <c r="JW635" s="36"/>
      <c r="JX635" s="36"/>
      <c r="JY635" s="36"/>
      <c r="JZ635" s="36"/>
      <c r="KA635" s="36"/>
      <c r="KB635" s="36"/>
      <c r="KC635" s="36"/>
      <c r="KD635" s="36"/>
      <c r="KE635" s="36"/>
      <c r="KF635" s="36"/>
      <c r="KG635" s="36"/>
      <c r="KH635" s="36"/>
      <c r="KI635" s="36"/>
      <c r="KJ635" s="36"/>
      <c r="KK635" s="36"/>
      <c r="KL635" s="36"/>
      <c r="KM635" s="36"/>
      <c r="KN635" s="36"/>
      <c r="KO635" s="36"/>
      <c r="KP635" s="36"/>
      <c r="KQ635" s="36"/>
      <c r="KR635" s="36"/>
      <c r="KS635" s="36"/>
      <c r="KT635" s="36"/>
      <c r="KU635" s="36"/>
      <c r="KV635" s="36"/>
      <c r="KW635" s="36"/>
      <c r="KX635" s="36"/>
      <c r="KY635" s="36"/>
      <c r="KZ635" s="36"/>
      <c r="LA635" s="36"/>
      <c r="LB635" s="36"/>
      <c r="LC635" s="36"/>
      <c r="LD635" s="36"/>
      <c r="LE635" s="36"/>
      <c r="LF635" s="36"/>
      <c r="LG635" s="36"/>
      <c r="LH635" s="36"/>
      <c r="LI635" s="36"/>
      <c r="LJ635" s="36"/>
      <c r="LK635" s="36"/>
      <c r="LL635" s="36"/>
      <c r="LM635" s="36"/>
      <c r="LN635" s="36"/>
      <c r="LO635" s="36"/>
      <c r="LP635" s="36"/>
      <c r="LQ635" s="36"/>
      <c r="LR635" s="36"/>
      <c r="LS635" s="36"/>
      <c r="LT635" s="36"/>
      <c r="LU635" s="36"/>
      <c r="LV635" s="36"/>
      <c r="LW635" s="36"/>
      <c r="LX635" s="36"/>
      <c r="LY635" s="36"/>
      <c r="LZ635" s="36"/>
      <c r="MA635" s="36"/>
      <c r="MB635" s="36"/>
      <c r="MC635" s="36"/>
      <c r="MD635" s="36"/>
      <c r="ME635" s="36"/>
      <c r="MF635" s="36"/>
      <c r="MG635" s="36"/>
      <c r="MH635" s="36"/>
      <c r="MI635" s="36"/>
      <c r="MJ635" s="36"/>
      <c r="MK635" s="36"/>
      <c r="ML635" s="36"/>
      <c r="MM635" s="36"/>
      <c r="MN635" s="36"/>
      <c r="MO635" s="36"/>
      <c r="MP635" s="36"/>
      <c r="MQ635" s="36"/>
      <c r="MR635" s="36"/>
      <c r="MS635" s="36"/>
      <c r="MT635" s="36"/>
      <c r="MU635" s="36"/>
      <c r="MV635" s="36"/>
      <c r="MW635" s="36"/>
      <c r="MX635" s="36"/>
      <c r="MY635" s="36"/>
      <c r="MZ635" s="36"/>
      <c r="NA635" s="36"/>
      <c r="NB635" s="36"/>
      <c r="NC635" s="36"/>
      <c r="ND635" s="36"/>
      <c r="NE635" s="36"/>
      <c r="NF635" s="36"/>
      <c r="NG635" s="36"/>
      <c r="NH635" s="36"/>
      <c r="NI635" s="36"/>
      <c r="NJ635" s="36"/>
      <c r="NK635" s="36"/>
      <c r="NL635" s="36"/>
      <c r="NM635" s="36"/>
      <c r="NN635" s="36"/>
      <c r="NO635" s="36"/>
      <c r="NP635" s="36"/>
      <c r="NQ635" s="36"/>
      <c r="NR635" s="36"/>
      <c r="NS635" s="36"/>
      <c r="NT635" s="36"/>
      <c r="NU635" s="36"/>
      <c r="NV635" s="36"/>
      <c r="NW635" s="36"/>
      <c r="NX635" s="36"/>
      <c r="NY635" s="36"/>
      <c r="NZ635" s="36"/>
      <c r="OA635" s="36"/>
      <c r="OB635" s="36"/>
      <c r="OC635" s="36"/>
      <c r="OD635" s="36"/>
      <c r="OE635" s="36"/>
      <c r="OF635" s="36"/>
      <c r="OG635" s="36"/>
      <c r="OH635" s="36"/>
      <c r="OI635" s="36"/>
      <c r="OJ635" s="36"/>
      <c r="OK635" s="36"/>
      <c r="OL635" s="36"/>
      <c r="OM635" s="36"/>
      <c r="ON635" s="36"/>
      <c r="OO635" s="36"/>
      <c r="OP635" s="36"/>
      <c r="OQ635" s="36"/>
      <c r="OR635" s="36"/>
      <c r="OS635" s="36"/>
      <c r="OT635" s="36"/>
      <c r="OU635" s="36"/>
      <c r="OV635" s="36"/>
      <c r="OW635" s="36"/>
      <c r="OX635" s="36"/>
    </row>
    <row r="636" spans="2:414" s="27" customFormat="1" ht="15.6">
      <c r="B636" s="51" t="s">
        <v>623</v>
      </c>
      <c r="C636" s="27" t="s">
        <v>622</v>
      </c>
      <c r="D636" s="29" t="s">
        <v>105</v>
      </c>
      <c r="G636" s="49">
        <v>80</v>
      </c>
      <c r="H636" s="89">
        <v>26.109000000000002</v>
      </c>
      <c r="I636" s="38">
        <f t="shared" si="180"/>
        <v>2088.7200000000003</v>
      </c>
      <c r="K636" s="49">
        <v>80</v>
      </c>
      <c r="L636" s="90">
        <v>26.849599999999999</v>
      </c>
      <c r="M636" s="38">
        <f t="shared" si="181"/>
        <v>2147.9679999999998</v>
      </c>
      <c r="O636" s="49">
        <v>505</v>
      </c>
      <c r="P636" s="38">
        <v>26.728300000000001</v>
      </c>
      <c r="Q636" s="38">
        <f t="shared" si="182"/>
        <v>13497.791500000001</v>
      </c>
      <c r="R636" s="43">
        <f t="shared" si="179"/>
        <v>665</v>
      </c>
      <c r="S636" s="38">
        <f t="shared" si="183"/>
        <v>17734.479500000001</v>
      </c>
      <c r="T636" s="27">
        <v>240</v>
      </c>
      <c r="U636" s="52">
        <v>26.778500000000001</v>
      </c>
      <c r="V636" s="38">
        <f t="shared" si="190"/>
        <v>6426.84</v>
      </c>
      <c r="W636" s="52">
        <v>505</v>
      </c>
      <c r="X636" s="52">
        <v>26.789400000000001</v>
      </c>
      <c r="Y636" s="35">
        <f t="shared" si="189"/>
        <v>13528.647000000001</v>
      </c>
      <c r="Z636" s="78"/>
      <c r="AF636" s="42">
        <f t="shared" si="191"/>
        <v>0</v>
      </c>
      <c r="AU636" s="100"/>
      <c r="AV636" s="35"/>
      <c r="AW636" s="78"/>
      <c r="BD636" s="38">
        <f t="shared" si="184"/>
        <v>0</v>
      </c>
      <c r="BH636" s="38">
        <f t="shared" si="185"/>
        <v>0</v>
      </c>
      <c r="BL636" s="38">
        <f t="shared" si="186"/>
        <v>0</v>
      </c>
      <c r="BR636" s="42">
        <f t="shared" si="187"/>
        <v>19955.487000000001</v>
      </c>
      <c r="BS636" s="43"/>
      <c r="BT636" s="27">
        <v>2221.0100000000002</v>
      </c>
      <c r="BU636" s="36"/>
      <c r="BV636" s="36"/>
      <c r="BW636" s="36"/>
      <c r="BX636" s="36"/>
      <c r="BY636" s="36"/>
      <c r="BZ636" s="36"/>
      <c r="CA636" s="36"/>
      <c r="CB636" s="36"/>
      <c r="CC636" s="36"/>
      <c r="CD636" s="36"/>
      <c r="CE636" s="36"/>
      <c r="CF636" s="36"/>
      <c r="CG636" s="36"/>
      <c r="CH636" s="36"/>
      <c r="CI636" s="36"/>
      <c r="CJ636" s="36"/>
      <c r="CK636" s="36"/>
      <c r="CL636" s="36"/>
      <c r="CM636" s="36"/>
      <c r="CN636" s="36"/>
      <c r="CO636" s="36"/>
      <c r="CP636" s="36"/>
      <c r="CQ636" s="36"/>
      <c r="CR636" s="36"/>
      <c r="CS636" s="36"/>
      <c r="CT636" s="36"/>
      <c r="CU636" s="36"/>
      <c r="CV636" s="36"/>
      <c r="CW636" s="36"/>
      <c r="CX636" s="36"/>
      <c r="CY636" s="36"/>
      <c r="CZ636" s="36"/>
      <c r="DA636" s="36"/>
      <c r="DB636" s="36"/>
      <c r="DC636" s="36"/>
      <c r="DD636" s="36"/>
      <c r="DE636" s="36"/>
      <c r="DF636" s="36"/>
      <c r="DG636" s="36"/>
      <c r="DH636" s="36"/>
      <c r="DI636" s="36"/>
      <c r="DJ636" s="36"/>
      <c r="DK636" s="36"/>
      <c r="DL636" s="36"/>
      <c r="DM636" s="36"/>
      <c r="DN636" s="36"/>
      <c r="DO636" s="36"/>
      <c r="DP636" s="36"/>
      <c r="DQ636" s="36"/>
      <c r="DR636" s="36"/>
      <c r="DS636" s="36"/>
      <c r="DT636" s="36"/>
      <c r="DU636" s="36"/>
      <c r="DV636" s="36"/>
      <c r="DW636" s="36"/>
      <c r="DX636" s="36"/>
      <c r="DY636" s="36"/>
      <c r="DZ636" s="36"/>
      <c r="EA636" s="36"/>
      <c r="EB636" s="36"/>
      <c r="EC636" s="36"/>
      <c r="ED636" s="36"/>
      <c r="EE636" s="36"/>
      <c r="EF636" s="36"/>
      <c r="EG636" s="36"/>
      <c r="EH636" s="36"/>
      <c r="EI636" s="36"/>
      <c r="EJ636" s="36"/>
      <c r="EK636" s="36"/>
      <c r="EL636" s="36"/>
      <c r="EM636" s="36"/>
      <c r="EN636" s="36"/>
      <c r="EO636" s="36"/>
      <c r="EP636" s="36"/>
      <c r="EQ636" s="36"/>
      <c r="ER636" s="36"/>
      <c r="ES636" s="36"/>
      <c r="ET636" s="36"/>
      <c r="EU636" s="36"/>
      <c r="EV636" s="36"/>
      <c r="EW636" s="36"/>
      <c r="EX636" s="36"/>
      <c r="EY636" s="36"/>
      <c r="EZ636" s="36"/>
      <c r="FA636" s="36"/>
      <c r="FB636" s="36"/>
      <c r="FC636" s="36"/>
      <c r="FD636" s="36"/>
      <c r="FE636" s="36"/>
      <c r="FF636" s="36"/>
      <c r="FG636" s="36"/>
      <c r="FH636" s="36"/>
      <c r="FI636" s="36"/>
      <c r="FJ636" s="36"/>
      <c r="FK636" s="36"/>
      <c r="FL636" s="36"/>
      <c r="FM636" s="36"/>
      <c r="FN636" s="36"/>
      <c r="FO636" s="36"/>
      <c r="FP636" s="36"/>
      <c r="FQ636" s="36"/>
      <c r="FR636" s="36"/>
      <c r="FS636" s="36"/>
      <c r="FT636" s="36"/>
      <c r="FU636" s="36"/>
      <c r="FV636" s="36"/>
      <c r="FW636" s="36"/>
      <c r="FX636" s="36"/>
      <c r="FY636" s="36"/>
      <c r="FZ636" s="36"/>
      <c r="GA636" s="36"/>
      <c r="GB636" s="36"/>
      <c r="GC636" s="36"/>
      <c r="GD636" s="36"/>
      <c r="GE636" s="36"/>
      <c r="GF636" s="36"/>
      <c r="GG636" s="36"/>
      <c r="GH636" s="36"/>
      <c r="GI636" s="36"/>
      <c r="GJ636" s="36"/>
      <c r="GK636" s="36"/>
      <c r="GL636" s="36"/>
      <c r="GM636" s="36"/>
      <c r="GN636" s="36"/>
      <c r="GO636" s="36"/>
      <c r="GP636" s="36"/>
      <c r="GQ636" s="36"/>
      <c r="GR636" s="36"/>
      <c r="GS636" s="36"/>
      <c r="GT636" s="36"/>
      <c r="GU636" s="36"/>
      <c r="GV636" s="36"/>
      <c r="GW636" s="36"/>
      <c r="GX636" s="36"/>
      <c r="GY636" s="36"/>
      <c r="GZ636" s="36"/>
      <c r="HA636" s="36"/>
      <c r="HB636" s="36"/>
      <c r="HC636" s="36"/>
      <c r="HD636" s="36"/>
      <c r="HE636" s="36"/>
      <c r="HF636" s="36"/>
      <c r="HG636" s="36"/>
      <c r="HH636" s="36"/>
      <c r="HI636" s="36"/>
      <c r="HJ636" s="36"/>
      <c r="HK636" s="36"/>
      <c r="HL636" s="36"/>
      <c r="HM636" s="36"/>
      <c r="HN636" s="36"/>
      <c r="HO636" s="36"/>
      <c r="HP636" s="36"/>
      <c r="HQ636" s="36"/>
      <c r="HR636" s="36"/>
      <c r="HS636" s="36"/>
      <c r="HT636" s="36"/>
      <c r="HU636" s="36"/>
      <c r="HV636" s="36"/>
      <c r="HW636" s="36"/>
      <c r="HX636" s="36"/>
      <c r="HY636" s="36"/>
      <c r="HZ636" s="36"/>
      <c r="IA636" s="36"/>
      <c r="IB636" s="36"/>
      <c r="IC636" s="36"/>
      <c r="ID636" s="36"/>
      <c r="IE636" s="36"/>
      <c r="IF636" s="36"/>
      <c r="IG636" s="36"/>
      <c r="IH636" s="36"/>
      <c r="II636" s="36"/>
      <c r="IJ636" s="36"/>
      <c r="IK636" s="36"/>
      <c r="IL636" s="36"/>
      <c r="IM636" s="36"/>
      <c r="IN636" s="36"/>
      <c r="IO636" s="36"/>
      <c r="IP636" s="36"/>
      <c r="IQ636" s="36"/>
      <c r="IR636" s="36"/>
      <c r="IS636" s="36"/>
      <c r="IT636" s="36"/>
      <c r="IU636" s="36"/>
      <c r="IV636" s="36"/>
      <c r="IW636" s="36"/>
      <c r="IX636" s="36"/>
      <c r="IY636" s="36"/>
      <c r="IZ636" s="36"/>
      <c r="JA636" s="36"/>
      <c r="JB636" s="36"/>
      <c r="JC636" s="36"/>
      <c r="JD636" s="36"/>
      <c r="JE636" s="36"/>
      <c r="JF636" s="36"/>
      <c r="JG636" s="36"/>
      <c r="JH636" s="36"/>
      <c r="JI636" s="36"/>
      <c r="JJ636" s="36"/>
      <c r="JK636" s="36"/>
      <c r="JL636" s="36"/>
      <c r="JM636" s="36"/>
      <c r="JN636" s="36"/>
      <c r="JO636" s="36"/>
      <c r="JP636" s="36"/>
      <c r="JQ636" s="36"/>
      <c r="JR636" s="36"/>
      <c r="JS636" s="36"/>
      <c r="JT636" s="36"/>
      <c r="JU636" s="36"/>
      <c r="JV636" s="36"/>
      <c r="JW636" s="36"/>
      <c r="JX636" s="36"/>
      <c r="JY636" s="36"/>
      <c r="JZ636" s="36"/>
      <c r="KA636" s="36"/>
      <c r="KB636" s="36"/>
      <c r="KC636" s="36"/>
      <c r="KD636" s="36"/>
      <c r="KE636" s="36"/>
      <c r="KF636" s="36"/>
      <c r="KG636" s="36"/>
      <c r="KH636" s="36"/>
      <c r="KI636" s="36"/>
      <c r="KJ636" s="36"/>
      <c r="KK636" s="36"/>
      <c r="KL636" s="36"/>
      <c r="KM636" s="36"/>
      <c r="KN636" s="36"/>
      <c r="KO636" s="36"/>
      <c r="KP636" s="36"/>
      <c r="KQ636" s="36"/>
      <c r="KR636" s="36"/>
      <c r="KS636" s="36"/>
      <c r="KT636" s="36"/>
      <c r="KU636" s="36"/>
      <c r="KV636" s="36"/>
      <c r="KW636" s="36"/>
      <c r="KX636" s="36"/>
      <c r="KY636" s="36"/>
      <c r="KZ636" s="36"/>
      <c r="LA636" s="36"/>
      <c r="LB636" s="36"/>
      <c r="LC636" s="36"/>
      <c r="LD636" s="36"/>
      <c r="LE636" s="36"/>
      <c r="LF636" s="36"/>
      <c r="LG636" s="36"/>
      <c r="LH636" s="36"/>
      <c r="LI636" s="36"/>
      <c r="LJ636" s="36"/>
      <c r="LK636" s="36"/>
      <c r="LL636" s="36"/>
      <c r="LM636" s="36"/>
      <c r="LN636" s="36"/>
      <c r="LO636" s="36"/>
      <c r="LP636" s="36"/>
      <c r="LQ636" s="36"/>
      <c r="LR636" s="36"/>
      <c r="LS636" s="36"/>
      <c r="LT636" s="36"/>
      <c r="LU636" s="36"/>
      <c r="LV636" s="36"/>
      <c r="LW636" s="36"/>
      <c r="LX636" s="36"/>
      <c r="LY636" s="36"/>
      <c r="LZ636" s="36"/>
      <c r="MA636" s="36"/>
      <c r="MB636" s="36"/>
      <c r="MC636" s="36"/>
      <c r="MD636" s="36"/>
      <c r="ME636" s="36"/>
      <c r="MF636" s="36"/>
      <c r="MG636" s="36"/>
      <c r="MH636" s="36"/>
      <c r="MI636" s="36"/>
      <c r="MJ636" s="36"/>
      <c r="MK636" s="36"/>
      <c r="ML636" s="36"/>
      <c r="MM636" s="36"/>
      <c r="MN636" s="36"/>
      <c r="MO636" s="36"/>
      <c r="MP636" s="36"/>
      <c r="MQ636" s="36"/>
      <c r="MR636" s="36"/>
      <c r="MS636" s="36"/>
      <c r="MT636" s="36"/>
      <c r="MU636" s="36"/>
      <c r="MV636" s="36"/>
      <c r="MW636" s="36"/>
      <c r="MX636" s="36"/>
      <c r="MY636" s="36"/>
      <c r="MZ636" s="36"/>
      <c r="NA636" s="36"/>
      <c r="NB636" s="36"/>
      <c r="NC636" s="36"/>
      <c r="ND636" s="36"/>
      <c r="NE636" s="36"/>
      <c r="NF636" s="36"/>
      <c r="NG636" s="36"/>
      <c r="NH636" s="36"/>
      <c r="NI636" s="36"/>
      <c r="NJ636" s="36"/>
      <c r="NK636" s="36"/>
      <c r="NL636" s="36"/>
      <c r="NM636" s="36"/>
      <c r="NN636" s="36"/>
      <c r="NO636" s="36"/>
      <c r="NP636" s="36"/>
      <c r="NQ636" s="36"/>
      <c r="NR636" s="36"/>
      <c r="NS636" s="36"/>
      <c r="NT636" s="36"/>
      <c r="NU636" s="36"/>
      <c r="NV636" s="36"/>
      <c r="NW636" s="36"/>
      <c r="NX636" s="36"/>
      <c r="NY636" s="36"/>
      <c r="NZ636" s="36"/>
      <c r="OA636" s="36"/>
      <c r="OB636" s="36"/>
      <c r="OC636" s="36"/>
      <c r="OD636" s="36"/>
      <c r="OE636" s="36"/>
      <c r="OF636" s="36"/>
      <c r="OG636" s="36"/>
      <c r="OH636" s="36"/>
      <c r="OI636" s="36"/>
      <c r="OJ636" s="36"/>
      <c r="OK636" s="36"/>
      <c r="OL636" s="36"/>
      <c r="OM636" s="36"/>
      <c r="ON636" s="36"/>
      <c r="OO636" s="36"/>
      <c r="OP636" s="36"/>
      <c r="OQ636" s="36"/>
      <c r="OR636" s="36"/>
      <c r="OS636" s="36"/>
      <c r="OT636" s="36"/>
      <c r="OU636" s="36"/>
      <c r="OV636" s="36"/>
      <c r="OW636" s="36"/>
      <c r="OX636" s="36"/>
    </row>
    <row r="637" spans="2:414" s="27" customFormat="1" ht="15.6">
      <c r="B637" s="109" t="s">
        <v>1129</v>
      </c>
      <c r="D637" s="29"/>
      <c r="G637" s="49"/>
      <c r="H637" s="89"/>
      <c r="I637" s="38"/>
      <c r="K637" s="49"/>
      <c r="L637" s="90"/>
      <c r="M637" s="38"/>
      <c r="O637" s="49">
        <v>31200</v>
      </c>
      <c r="P637" s="38">
        <v>26.380299999999998</v>
      </c>
      <c r="Q637" s="38">
        <f t="shared" si="182"/>
        <v>823065.36</v>
      </c>
      <c r="R637" s="43">
        <f t="shared" si="179"/>
        <v>31200</v>
      </c>
      <c r="S637" s="38">
        <f t="shared" si="183"/>
        <v>823065.36</v>
      </c>
      <c r="T637" s="27">
        <v>31200</v>
      </c>
      <c r="U637" s="52">
        <v>26.380299999999998</v>
      </c>
      <c r="V637" s="38">
        <f t="shared" si="190"/>
        <v>823065.36</v>
      </c>
      <c r="W637" s="52"/>
      <c r="X637" s="52"/>
      <c r="Y637" s="35">
        <f t="shared" si="189"/>
        <v>0</v>
      </c>
      <c r="Z637" s="78"/>
      <c r="AF637" s="42"/>
      <c r="AU637" s="100"/>
      <c r="AV637" s="35"/>
      <c r="AW637" s="78"/>
      <c r="BD637" s="38"/>
      <c r="BH637" s="38"/>
      <c r="BL637" s="38"/>
      <c r="BR637" s="42">
        <f t="shared" si="187"/>
        <v>823065.36</v>
      </c>
      <c r="BS637" s="43">
        <f t="shared" si="188"/>
        <v>0</v>
      </c>
      <c r="BU637" s="36"/>
      <c r="BV637" s="36"/>
      <c r="BW637" s="36"/>
      <c r="BX637" s="36"/>
      <c r="BY637" s="36"/>
      <c r="BZ637" s="36"/>
      <c r="CA637" s="36"/>
      <c r="CB637" s="36"/>
      <c r="CC637" s="36"/>
      <c r="CD637" s="36"/>
      <c r="CE637" s="36"/>
      <c r="CF637" s="36"/>
      <c r="CG637" s="36"/>
      <c r="CH637" s="36"/>
      <c r="CI637" s="36"/>
      <c r="CJ637" s="36"/>
      <c r="CK637" s="36"/>
      <c r="CL637" s="36"/>
      <c r="CM637" s="36"/>
      <c r="CN637" s="36"/>
      <c r="CO637" s="36"/>
      <c r="CP637" s="36"/>
      <c r="CQ637" s="36"/>
      <c r="CR637" s="36"/>
      <c r="CS637" s="36"/>
      <c r="CT637" s="36"/>
      <c r="CU637" s="36"/>
      <c r="CV637" s="36"/>
      <c r="CW637" s="36"/>
      <c r="CX637" s="36"/>
      <c r="CY637" s="36"/>
      <c r="CZ637" s="36"/>
      <c r="DA637" s="36"/>
      <c r="DB637" s="36"/>
      <c r="DC637" s="36"/>
      <c r="DD637" s="36"/>
      <c r="DE637" s="36"/>
      <c r="DF637" s="36"/>
      <c r="DG637" s="36"/>
      <c r="DH637" s="36"/>
      <c r="DI637" s="36"/>
      <c r="DJ637" s="36"/>
      <c r="DK637" s="36"/>
      <c r="DL637" s="36"/>
      <c r="DM637" s="36"/>
      <c r="DN637" s="36"/>
      <c r="DO637" s="36"/>
      <c r="DP637" s="36"/>
      <c r="DQ637" s="36"/>
      <c r="DR637" s="36"/>
      <c r="DS637" s="36"/>
      <c r="DT637" s="36"/>
      <c r="DU637" s="36"/>
      <c r="DV637" s="36"/>
      <c r="DW637" s="36"/>
      <c r="DX637" s="36"/>
      <c r="DY637" s="36"/>
      <c r="DZ637" s="36"/>
      <c r="EA637" s="36"/>
      <c r="EB637" s="36"/>
      <c r="EC637" s="36"/>
      <c r="ED637" s="36"/>
      <c r="EE637" s="36"/>
      <c r="EF637" s="36"/>
      <c r="EG637" s="36"/>
      <c r="EH637" s="36"/>
      <c r="EI637" s="36"/>
      <c r="EJ637" s="36"/>
      <c r="EK637" s="36"/>
      <c r="EL637" s="36"/>
      <c r="EM637" s="36"/>
      <c r="EN637" s="36"/>
      <c r="EO637" s="36"/>
      <c r="EP637" s="36"/>
      <c r="EQ637" s="36"/>
      <c r="ER637" s="36"/>
      <c r="ES637" s="36"/>
      <c r="ET637" s="36"/>
      <c r="EU637" s="36"/>
      <c r="EV637" s="36"/>
      <c r="EW637" s="36"/>
      <c r="EX637" s="36"/>
      <c r="EY637" s="36"/>
      <c r="EZ637" s="36"/>
      <c r="FA637" s="36"/>
      <c r="FB637" s="36"/>
      <c r="FC637" s="36"/>
      <c r="FD637" s="36"/>
      <c r="FE637" s="36"/>
      <c r="FF637" s="36"/>
      <c r="FG637" s="36"/>
      <c r="FH637" s="36"/>
      <c r="FI637" s="36"/>
      <c r="FJ637" s="36"/>
      <c r="FK637" s="36"/>
      <c r="FL637" s="36"/>
      <c r="FM637" s="36"/>
      <c r="FN637" s="36"/>
      <c r="FO637" s="36"/>
      <c r="FP637" s="36"/>
      <c r="FQ637" s="36"/>
      <c r="FR637" s="36"/>
      <c r="FS637" s="36"/>
      <c r="FT637" s="36"/>
      <c r="FU637" s="36"/>
      <c r="FV637" s="36"/>
      <c r="FW637" s="36"/>
      <c r="FX637" s="36"/>
      <c r="FY637" s="36"/>
      <c r="FZ637" s="36"/>
      <c r="GA637" s="36"/>
      <c r="GB637" s="36"/>
      <c r="GC637" s="36"/>
      <c r="GD637" s="36"/>
      <c r="GE637" s="36"/>
      <c r="GF637" s="36"/>
      <c r="GG637" s="36"/>
      <c r="GH637" s="36"/>
      <c r="GI637" s="36"/>
      <c r="GJ637" s="36"/>
      <c r="GK637" s="36"/>
      <c r="GL637" s="36"/>
      <c r="GM637" s="36"/>
      <c r="GN637" s="36"/>
      <c r="GO637" s="36"/>
      <c r="GP637" s="36"/>
      <c r="GQ637" s="36"/>
      <c r="GR637" s="36"/>
      <c r="GS637" s="36"/>
      <c r="GT637" s="36"/>
      <c r="GU637" s="36"/>
      <c r="GV637" s="36"/>
      <c r="GW637" s="36"/>
      <c r="GX637" s="36"/>
      <c r="GY637" s="36"/>
      <c r="GZ637" s="36"/>
      <c r="HA637" s="36"/>
      <c r="HB637" s="36"/>
      <c r="HC637" s="36"/>
      <c r="HD637" s="36"/>
      <c r="HE637" s="36"/>
      <c r="HF637" s="36"/>
      <c r="HG637" s="36"/>
      <c r="HH637" s="36"/>
      <c r="HI637" s="36"/>
      <c r="HJ637" s="36"/>
      <c r="HK637" s="36"/>
      <c r="HL637" s="36"/>
      <c r="HM637" s="36"/>
      <c r="HN637" s="36"/>
      <c r="HO637" s="36"/>
      <c r="HP637" s="36"/>
      <c r="HQ637" s="36"/>
      <c r="HR637" s="36"/>
      <c r="HS637" s="36"/>
      <c r="HT637" s="36"/>
      <c r="HU637" s="36"/>
      <c r="HV637" s="36"/>
      <c r="HW637" s="36"/>
      <c r="HX637" s="36"/>
      <c r="HY637" s="36"/>
      <c r="HZ637" s="36"/>
      <c r="IA637" s="36"/>
      <c r="IB637" s="36"/>
      <c r="IC637" s="36"/>
      <c r="ID637" s="36"/>
      <c r="IE637" s="36"/>
      <c r="IF637" s="36"/>
      <c r="IG637" s="36"/>
      <c r="IH637" s="36"/>
      <c r="II637" s="36"/>
      <c r="IJ637" s="36"/>
      <c r="IK637" s="36"/>
      <c r="IL637" s="36"/>
      <c r="IM637" s="36"/>
      <c r="IN637" s="36"/>
      <c r="IO637" s="36"/>
      <c r="IP637" s="36"/>
      <c r="IQ637" s="36"/>
      <c r="IR637" s="36"/>
      <c r="IS637" s="36"/>
      <c r="IT637" s="36"/>
      <c r="IU637" s="36"/>
      <c r="IV637" s="36"/>
      <c r="IW637" s="36"/>
      <c r="IX637" s="36"/>
      <c r="IY637" s="36"/>
      <c r="IZ637" s="36"/>
      <c r="JA637" s="36"/>
      <c r="JB637" s="36"/>
      <c r="JC637" s="36"/>
      <c r="JD637" s="36"/>
      <c r="JE637" s="36"/>
      <c r="JF637" s="36"/>
      <c r="JG637" s="36"/>
      <c r="JH637" s="36"/>
      <c r="JI637" s="36"/>
      <c r="JJ637" s="36"/>
      <c r="JK637" s="36"/>
      <c r="JL637" s="36"/>
      <c r="JM637" s="36"/>
      <c r="JN637" s="36"/>
      <c r="JO637" s="36"/>
      <c r="JP637" s="36"/>
      <c r="JQ637" s="36"/>
      <c r="JR637" s="36"/>
      <c r="JS637" s="36"/>
      <c r="JT637" s="36"/>
      <c r="JU637" s="36"/>
      <c r="JV637" s="36"/>
      <c r="JW637" s="36"/>
      <c r="JX637" s="36"/>
      <c r="JY637" s="36"/>
      <c r="JZ637" s="36"/>
      <c r="KA637" s="36"/>
      <c r="KB637" s="36"/>
      <c r="KC637" s="36"/>
      <c r="KD637" s="36"/>
      <c r="KE637" s="36"/>
      <c r="KF637" s="36"/>
      <c r="KG637" s="36"/>
      <c r="KH637" s="36"/>
      <c r="KI637" s="36"/>
      <c r="KJ637" s="36"/>
      <c r="KK637" s="36"/>
      <c r="KL637" s="36"/>
      <c r="KM637" s="36"/>
      <c r="KN637" s="36"/>
      <c r="KO637" s="36"/>
      <c r="KP637" s="36"/>
      <c r="KQ637" s="36"/>
      <c r="KR637" s="36"/>
      <c r="KS637" s="36"/>
      <c r="KT637" s="36"/>
      <c r="KU637" s="36"/>
      <c r="KV637" s="36"/>
      <c r="KW637" s="36"/>
      <c r="KX637" s="36"/>
      <c r="KY637" s="36"/>
      <c r="KZ637" s="36"/>
      <c r="LA637" s="36"/>
      <c r="LB637" s="36"/>
      <c r="LC637" s="36"/>
      <c r="LD637" s="36"/>
      <c r="LE637" s="36"/>
      <c r="LF637" s="36"/>
      <c r="LG637" s="36"/>
      <c r="LH637" s="36"/>
      <c r="LI637" s="36"/>
      <c r="LJ637" s="36"/>
      <c r="LK637" s="36"/>
      <c r="LL637" s="36"/>
      <c r="LM637" s="36"/>
      <c r="LN637" s="36"/>
      <c r="LO637" s="36"/>
      <c r="LP637" s="36"/>
      <c r="LQ637" s="36"/>
      <c r="LR637" s="36"/>
      <c r="LS637" s="36"/>
      <c r="LT637" s="36"/>
      <c r="LU637" s="36"/>
      <c r="LV637" s="36"/>
      <c r="LW637" s="36"/>
      <c r="LX637" s="36"/>
      <c r="LY637" s="36"/>
      <c r="LZ637" s="36"/>
      <c r="MA637" s="36"/>
      <c r="MB637" s="36"/>
      <c r="MC637" s="36"/>
      <c r="MD637" s="36"/>
      <c r="ME637" s="36"/>
      <c r="MF637" s="36"/>
      <c r="MG637" s="36"/>
      <c r="MH637" s="36"/>
      <c r="MI637" s="36"/>
      <c r="MJ637" s="36"/>
      <c r="MK637" s="36"/>
      <c r="ML637" s="36"/>
      <c r="MM637" s="36"/>
      <c r="MN637" s="36"/>
      <c r="MO637" s="36"/>
      <c r="MP637" s="36"/>
      <c r="MQ637" s="36"/>
      <c r="MR637" s="36"/>
      <c r="MS637" s="36"/>
      <c r="MT637" s="36"/>
      <c r="MU637" s="36"/>
      <c r="MV637" s="36"/>
      <c r="MW637" s="36"/>
      <c r="MX637" s="36"/>
      <c r="MY637" s="36"/>
      <c r="MZ637" s="36"/>
      <c r="NA637" s="36"/>
      <c r="NB637" s="36"/>
      <c r="NC637" s="36"/>
      <c r="ND637" s="36"/>
      <c r="NE637" s="36"/>
      <c r="NF637" s="36"/>
      <c r="NG637" s="36"/>
      <c r="NH637" s="36"/>
      <c r="NI637" s="36"/>
      <c r="NJ637" s="36"/>
      <c r="NK637" s="36"/>
      <c r="NL637" s="36"/>
      <c r="NM637" s="36"/>
      <c r="NN637" s="36"/>
      <c r="NO637" s="36"/>
      <c r="NP637" s="36"/>
      <c r="NQ637" s="36"/>
      <c r="NR637" s="36"/>
      <c r="NS637" s="36"/>
      <c r="NT637" s="36"/>
      <c r="NU637" s="36"/>
      <c r="NV637" s="36"/>
      <c r="NW637" s="36"/>
      <c r="NX637" s="36"/>
      <c r="NY637" s="36"/>
      <c r="NZ637" s="36"/>
      <c r="OA637" s="36"/>
      <c r="OB637" s="36"/>
      <c r="OC637" s="36"/>
      <c r="OD637" s="36"/>
      <c r="OE637" s="36"/>
      <c r="OF637" s="36"/>
      <c r="OG637" s="36"/>
      <c r="OH637" s="36"/>
      <c r="OI637" s="36"/>
      <c r="OJ637" s="36"/>
      <c r="OK637" s="36"/>
      <c r="OL637" s="36"/>
      <c r="OM637" s="36"/>
      <c r="ON637" s="36"/>
      <c r="OO637" s="36"/>
      <c r="OP637" s="36"/>
      <c r="OQ637" s="36"/>
      <c r="OR637" s="36"/>
      <c r="OS637" s="36"/>
      <c r="OT637" s="36"/>
      <c r="OU637" s="36"/>
      <c r="OV637" s="36"/>
      <c r="OW637" s="36"/>
      <c r="OX637" s="36"/>
    </row>
    <row r="638" spans="2:414" s="27" customFormat="1" ht="15.6">
      <c r="B638" s="109" t="s">
        <v>1130</v>
      </c>
      <c r="D638" s="29"/>
      <c r="G638" s="49"/>
      <c r="H638" s="89"/>
      <c r="I638" s="38"/>
      <c r="K638" s="49"/>
      <c r="L638" s="90"/>
      <c r="M638" s="38"/>
      <c r="O638" s="49">
        <v>7815</v>
      </c>
      <c r="P638" s="38">
        <v>26.38</v>
      </c>
      <c r="Q638" s="38">
        <f t="shared" si="182"/>
        <v>206159.69999999998</v>
      </c>
      <c r="R638" s="43">
        <f t="shared" si="179"/>
        <v>7815</v>
      </c>
      <c r="S638" s="38">
        <f t="shared" si="183"/>
        <v>206159.69999999998</v>
      </c>
      <c r="T638" s="27">
        <v>7815</v>
      </c>
      <c r="U638" s="52">
        <v>26.38</v>
      </c>
      <c r="V638" s="38">
        <f t="shared" si="190"/>
        <v>206159.69999999998</v>
      </c>
      <c r="W638" s="52"/>
      <c r="X638" s="52"/>
      <c r="Y638" s="35">
        <f t="shared" si="189"/>
        <v>0</v>
      </c>
      <c r="Z638" s="78"/>
      <c r="AF638" s="42"/>
      <c r="AU638" s="100"/>
      <c r="AV638" s="35"/>
      <c r="AW638" s="78"/>
      <c r="BD638" s="38"/>
      <c r="BH638" s="38"/>
      <c r="BL638" s="38"/>
      <c r="BR638" s="42">
        <f t="shared" si="187"/>
        <v>206159.69999999998</v>
      </c>
      <c r="BS638" s="43">
        <f t="shared" si="188"/>
        <v>0</v>
      </c>
      <c r="BU638" s="36"/>
      <c r="BV638" s="36"/>
      <c r="BW638" s="36"/>
      <c r="BX638" s="36"/>
      <c r="BY638" s="36"/>
      <c r="BZ638" s="36"/>
      <c r="CA638" s="36"/>
      <c r="CB638" s="36"/>
      <c r="CC638" s="36"/>
      <c r="CD638" s="36"/>
      <c r="CE638" s="36"/>
      <c r="CF638" s="36"/>
      <c r="CG638" s="36"/>
      <c r="CH638" s="36"/>
      <c r="CI638" s="36"/>
      <c r="CJ638" s="36"/>
      <c r="CK638" s="36"/>
      <c r="CL638" s="36"/>
      <c r="CM638" s="36"/>
      <c r="CN638" s="36"/>
      <c r="CO638" s="36"/>
      <c r="CP638" s="36"/>
      <c r="CQ638" s="36"/>
      <c r="CR638" s="36"/>
      <c r="CS638" s="36"/>
      <c r="CT638" s="36"/>
      <c r="CU638" s="36"/>
      <c r="CV638" s="36"/>
      <c r="CW638" s="36"/>
      <c r="CX638" s="36"/>
      <c r="CY638" s="36"/>
      <c r="CZ638" s="36"/>
      <c r="DA638" s="36"/>
      <c r="DB638" s="36"/>
      <c r="DC638" s="36"/>
      <c r="DD638" s="36"/>
      <c r="DE638" s="36"/>
      <c r="DF638" s="36"/>
      <c r="DG638" s="36"/>
      <c r="DH638" s="36"/>
      <c r="DI638" s="36"/>
      <c r="DJ638" s="36"/>
      <c r="DK638" s="36"/>
      <c r="DL638" s="36"/>
      <c r="DM638" s="36"/>
      <c r="DN638" s="36"/>
      <c r="DO638" s="36"/>
      <c r="DP638" s="36"/>
      <c r="DQ638" s="36"/>
      <c r="DR638" s="36"/>
      <c r="DS638" s="36"/>
      <c r="DT638" s="36"/>
      <c r="DU638" s="36"/>
      <c r="DV638" s="36"/>
      <c r="DW638" s="36"/>
      <c r="DX638" s="36"/>
      <c r="DY638" s="36"/>
      <c r="DZ638" s="36"/>
      <c r="EA638" s="36"/>
      <c r="EB638" s="36"/>
      <c r="EC638" s="36"/>
      <c r="ED638" s="36"/>
      <c r="EE638" s="36"/>
      <c r="EF638" s="36"/>
      <c r="EG638" s="36"/>
      <c r="EH638" s="36"/>
      <c r="EI638" s="36"/>
      <c r="EJ638" s="36"/>
      <c r="EK638" s="36"/>
      <c r="EL638" s="36"/>
      <c r="EM638" s="36"/>
      <c r="EN638" s="36"/>
      <c r="EO638" s="36"/>
      <c r="EP638" s="36"/>
      <c r="EQ638" s="36"/>
      <c r="ER638" s="36"/>
      <c r="ES638" s="36"/>
      <c r="ET638" s="36"/>
      <c r="EU638" s="36"/>
      <c r="EV638" s="36"/>
      <c r="EW638" s="36"/>
      <c r="EX638" s="36"/>
      <c r="EY638" s="36"/>
      <c r="EZ638" s="36"/>
      <c r="FA638" s="36"/>
      <c r="FB638" s="36"/>
      <c r="FC638" s="36"/>
      <c r="FD638" s="36"/>
      <c r="FE638" s="36"/>
      <c r="FF638" s="36"/>
      <c r="FG638" s="36"/>
      <c r="FH638" s="36"/>
      <c r="FI638" s="36"/>
      <c r="FJ638" s="36"/>
      <c r="FK638" s="36"/>
      <c r="FL638" s="36"/>
      <c r="FM638" s="36"/>
      <c r="FN638" s="36"/>
      <c r="FO638" s="36"/>
      <c r="FP638" s="36"/>
      <c r="FQ638" s="36"/>
      <c r="FR638" s="36"/>
      <c r="FS638" s="36"/>
      <c r="FT638" s="36"/>
      <c r="FU638" s="36"/>
      <c r="FV638" s="36"/>
      <c r="FW638" s="36"/>
      <c r="FX638" s="36"/>
      <c r="FY638" s="36"/>
      <c r="FZ638" s="36"/>
      <c r="GA638" s="36"/>
      <c r="GB638" s="36"/>
      <c r="GC638" s="36"/>
      <c r="GD638" s="36"/>
      <c r="GE638" s="36"/>
      <c r="GF638" s="36"/>
      <c r="GG638" s="36"/>
      <c r="GH638" s="36"/>
      <c r="GI638" s="36"/>
      <c r="GJ638" s="36"/>
      <c r="GK638" s="36"/>
      <c r="GL638" s="36"/>
      <c r="GM638" s="36"/>
      <c r="GN638" s="36"/>
      <c r="GO638" s="36"/>
      <c r="GP638" s="36"/>
      <c r="GQ638" s="36"/>
      <c r="GR638" s="36"/>
      <c r="GS638" s="36"/>
      <c r="GT638" s="36"/>
      <c r="GU638" s="36"/>
      <c r="GV638" s="36"/>
      <c r="GW638" s="36"/>
      <c r="GX638" s="36"/>
      <c r="GY638" s="36"/>
      <c r="GZ638" s="36"/>
      <c r="HA638" s="36"/>
      <c r="HB638" s="36"/>
      <c r="HC638" s="36"/>
      <c r="HD638" s="36"/>
      <c r="HE638" s="36"/>
      <c r="HF638" s="36"/>
      <c r="HG638" s="36"/>
      <c r="HH638" s="36"/>
      <c r="HI638" s="36"/>
      <c r="HJ638" s="36"/>
      <c r="HK638" s="36"/>
      <c r="HL638" s="36"/>
      <c r="HM638" s="36"/>
      <c r="HN638" s="36"/>
      <c r="HO638" s="36"/>
      <c r="HP638" s="36"/>
      <c r="HQ638" s="36"/>
      <c r="HR638" s="36"/>
      <c r="HS638" s="36"/>
      <c r="HT638" s="36"/>
      <c r="HU638" s="36"/>
      <c r="HV638" s="36"/>
      <c r="HW638" s="36"/>
      <c r="HX638" s="36"/>
      <c r="HY638" s="36"/>
      <c r="HZ638" s="36"/>
      <c r="IA638" s="36"/>
      <c r="IB638" s="36"/>
      <c r="IC638" s="36"/>
      <c r="ID638" s="36"/>
      <c r="IE638" s="36"/>
      <c r="IF638" s="36"/>
      <c r="IG638" s="36"/>
      <c r="IH638" s="36"/>
      <c r="II638" s="36"/>
      <c r="IJ638" s="36"/>
      <c r="IK638" s="36"/>
      <c r="IL638" s="36"/>
      <c r="IM638" s="36"/>
      <c r="IN638" s="36"/>
      <c r="IO638" s="36"/>
      <c r="IP638" s="36"/>
      <c r="IQ638" s="36"/>
      <c r="IR638" s="36"/>
      <c r="IS638" s="36"/>
      <c r="IT638" s="36"/>
      <c r="IU638" s="36"/>
      <c r="IV638" s="36"/>
      <c r="IW638" s="36"/>
      <c r="IX638" s="36"/>
      <c r="IY638" s="36"/>
      <c r="IZ638" s="36"/>
      <c r="JA638" s="36"/>
      <c r="JB638" s="36"/>
      <c r="JC638" s="36"/>
      <c r="JD638" s="36"/>
      <c r="JE638" s="36"/>
      <c r="JF638" s="36"/>
      <c r="JG638" s="36"/>
      <c r="JH638" s="36"/>
      <c r="JI638" s="36"/>
      <c r="JJ638" s="36"/>
      <c r="JK638" s="36"/>
      <c r="JL638" s="36"/>
      <c r="JM638" s="36"/>
      <c r="JN638" s="36"/>
      <c r="JO638" s="36"/>
      <c r="JP638" s="36"/>
      <c r="JQ638" s="36"/>
      <c r="JR638" s="36"/>
      <c r="JS638" s="36"/>
      <c r="JT638" s="36"/>
      <c r="JU638" s="36"/>
      <c r="JV638" s="36"/>
      <c r="JW638" s="36"/>
      <c r="JX638" s="36"/>
      <c r="JY638" s="36"/>
      <c r="JZ638" s="36"/>
      <c r="KA638" s="36"/>
      <c r="KB638" s="36"/>
      <c r="KC638" s="36"/>
      <c r="KD638" s="36"/>
      <c r="KE638" s="36"/>
      <c r="KF638" s="36"/>
      <c r="KG638" s="36"/>
      <c r="KH638" s="36"/>
      <c r="KI638" s="36"/>
      <c r="KJ638" s="36"/>
      <c r="KK638" s="36"/>
      <c r="KL638" s="36"/>
      <c r="KM638" s="36"/>
      <c r="KN638" s="36"/>
      <c r="KO638" s="36"/>
      <c r="KP638" s="36"/>
      <c r="KQ638" s="36"/>
      <c r="KR638" s="36"/>
      <c r="KS638" s="36"/>
      <c r="KT638" s="36"/>
      <c r="KU638" s="36"/>
      <c r="KV638" s="36"/>
      <c r="KW638" s="36"/>
      <c r="KX638" s="36"/>
      <c r="KY638" s="36"/>
      <c r="KZ638" s="36"/>
      <c r="LA638" s="36"/>
      <c r="LB638" s="36"/>
      <c r="LC638" s="36"/>
      <c r="LD638" s="36"/>
      <c r="LE638" s="36"/>
      <c r="LF638" s="36"/>
      <c r="LG638" s="36"/>
      <c r="LH638" s="36"/>
      <c r="LI638" s="36"/>
      <c r="LJ638" s="36"/>
      <c r="LK638" s="36"/>
      <c r="LL638" s="36"/>
      <c r="LM638" s="36"/>
      <c r="LN638" s="36"/>
      <c r="LO638" s="36"/>
      <c r="LP638" s="36"/>
      <c r="LQ638" s="36"/>
      <c r="LR638" s="36"/>
      <c r="LS638" s="36"/>
      <c r="LT638" s="36"/>
      <c r="LU638" s="36"/>
      <c r="LV638" s="36"/>
      <c r="LW638" s="36"/>
      <c r="LX638" s="36"/>
      <c r="LY638" s="36"/>
      <c r="LZ638" s="36"/>
      <c r="MA638" s="36"/>
      <c r="MB638" s="36"/>
      <c r="MC638" s="36"/>
      <c r="MD638" s="36"/>
      <c r="ME638" s="36"/>
      <c r="MF638" s="36"/>
      <c r="MG638" s="36"/>
      <c r="MH638" s="36"/>
      <c r="MI638" s="36"/>
      <c r="MJ638" s="36"/>
      <c r="MK638" s="36"/>
      <c r="ML638" s="36"/>
      <c r="MM638" s="36"/>
      <c r="MN638" s="36"/>
      <c r="MO638" s="36"/>
      <c r="MP638" s="36"/>
      <c r="MQ638" s="36"/>
      <c r="MR638" s="36"/>
      <c r="MS638" s="36"/>
      <c r="MT638" s="36"/>
      <c r="MU638" s="36"/>
      <c r="MV638" s="36"/>
      <c r="MW638" s="36"/>
      <c r="MX638" s="36"/>
      <c r="MY638" s="36"/>
      <c r="MZ638" s="36"/>
      <c r="NA638" s="36"/>
      <c r="NB638" s="36"/>
      <c r="NC638" s="36"/>
      <c r="ND638" s="36"/>
      <c r="NE638" s="36"/>
      <c r="NF638" s="36"/>
      <c r="NG638" s="36"/>
      <c r="NH638" s="36"/>
      <c r="NI638" s="36"/>
      <c r="NJ638" s="36"/>
      <c r="NK638" s="36"/>
      <c r="NL638" s="36"/>
      <c r="NM638" s="36"/>
      <c r="NN638" s="36"/>
      <c r="NO638" s="36"/>
      <c r="NP638" s="36"/>
      <c r="NQ638" s="36"/>
      <c r="NR638" s="36"/>
      <c r="NS638" s="36"/>
      <c r="NT638" s="36"/>
      <c r="NU638" s="36"/>
      <c r="NV638" s="36"/>
      <c r="NW638" s="36"/>
      <c r="NX638" s="36"/>
      <c r="NY638" s="36"/>
      <c r="NZ638" s="36"/>
      <c r="OA638" s="36"/>
      <c r="OB638" s="36"/>
      <c r="OC638" s="36"/>
      <c r="OD638" s="36"/>
      <c r="OE638" s="36"/>
      <c r="OF638" s="36"/>
      <c r="OG638" s="36"/>
      <c r="OH638" s="36"/>
      <c r="OI638" s="36"/>
      <c r="OJ638" s="36"/>
      <c r="OK638" s="36"/>
      <c r="OL638" s="36"/>
      <c r="OM638" s="36"/>
      <c r="ON638" s="36"/>
      <c r="OO638" s="36"/>
      <c r="OP638" s="36"/>
      <c r="OQ638" s="36"/>
      <c r="OR638" s="36"/>
      <c r="OS638" s="36"/>
      <c r="OT638" s="36"/>
      <c r="OU638" s="36"/>
      <c r="OV638" s="36"/>
      <c r="OW638" s="36"/>
      <c r="OX638" s="36"/>
    </row>
    <row r="639" spans="2:414" s="27" customFormat="1" ht="15.6">
      <c r="B639" s="109" t="s">
        <v>1131</v>
      </c>
      <c r="D639" s="29"/>
      <c r="G639" s="49"/>
      <c r="H639" s="89"/>
      <c r="I639" s="38"/>
      <c r="K639" s="49"/>
      <c r="L639" s="90"/>
      <c r="M639" s="38"/>
      <c r="O639" s="49">
        <v>10122.719999999999</v>
      </c>
      <c r="P639" s="38">
        <v>26.820799999999998</v>
      </c>
      <c r="Q639" s="38">
        <f t="shared" si="182"/>
        <v>271499.448576</v>
      </c>
      <c r="R639" s="43">
        <f t="shared" si="179"/>
        <v>10122.719999999999</v>
      </c>
      <c r="S639" s="38">
        <f t="shared" si="183"/>
        <v>271499.448576</v>
      </c>
      <c r="T639" s="115">
        <v>2131.1</v>
      </c>
      <c r="U639" s="38">
        <v>26.820799999999998</v>
      </c>
      <c r="V639" s="38">
        <f t="shared" si="190"/>
        <v>57157.806879999996</v>
      </c>
      <c r="W639" s="52">
        <v>5860.52</v>
      </c>
      <c r="X639" s="38">
        <v>26.820799999999998</v>
      </c>
      <c r="Y639" s="35">
        <f t="shared" si="189"/>
        <v>157183.83481600002</v>
      </c>
      <c r="Z639" s="32">
        <v>2131.1</v>
      </c>
      <c r="AA639" s="38">
        <v>26.820799999999998</v>
      </c>
      <c r="AB639" s="32">
        <f>Z639*AA639</f>
        <v>57157.806879999996</v>
      </c>
      <c r="AF639" s="42"/>
      <c r="AU639" s="100"/>
      <c r="AV639" s="35"/>
      <c r="AW639" s="78"/>
      <c r="BD639" s="38"/>
      <c r="BH639" s="38"/>
      <c r="BL639" s="38"/>
      <c r="BR639" s="42">
        <f t="shared" si="187"/>
        <v>271499.448576</v>
      </c>
      <c r="BS639" s="43">
        <f t="shared" si="188"/>
        <v>0</v>
      </c>
      <c r="BU639" s="36"/>
      <c r="BV639" s="36"/>
      <c r="BW639" s="36"/>
      <c r="BX639" s="36"/>
      <c r="BY639" s="36"/>
      <c r="BZ639" s="36"/>
      <c r="CA639" s="36"/>
      <c r="CB639" s="36"/>
      <c r="CC639" s="36"/>
      <c r="CD639" s="36"/>
      <c r="CE639" s="36"/>
      <c r="CF639" s="36"/>
      <c r="CG639" s="36"/>
      <c r="CH639" s="36"/>
      <c r="CI639" s="36"/>
      <c r="CJ639" s="36"/>
      <c r="CK639" s="36"/>
      <c r="CL639" s="36"/>
      <c r="CM639" s="36"/>
      <c r="CN639" s="36"/>
      <c r="CO639" s="36"/>
      <c r="CP639" s="36"/>
      <c r="CQ639" s="36"/>
      <c r="CR639" s="36"/>
      <c r="CS639" s="36"/>
      <c r="CT639" s="36"/>
      <c r="CU639" s="36"/>
      <c r="CV639" s="36"/>
      <c r="CW639" s="36"/>
      <c r="CX639" s="36"/>
      <c r="CY639" s="36"/>
      <c r="CZ639" s="36"/>
      <c r="DA639" s="36"/>
      <c r="DB639" s="36"/>
      <c r="DC639" s="36"/>
      <c r="DD639" s="36"/>
      <c r="DE639" s="36"/>
      <c r="DF639" s="36"/>
      <c r="DG639" s="36"/>
      <c r="DH639" s="36"/>
      <c r="DI639" s="36"/>
      <c r="DJ639" s="36"/>
      <c r="DK639" s="36"/>
      <c r="DL639" s="36"/>
      <c r="DM639" s="36"/>
      <c r="DN639" s="36"/>
      <c r="DO639" s="36"/>
      <c r="DP639" s="36"/>
      <c r="DQ639" s="36"/>
      <c r="DR639" s="36"/>
      <c r="DS639" s="36"/>
      <c r="DT639" s="36"/>
      <c r="DU639" s="36"/>
      <c r="DV639" s="36"/>
      <c r="DW639" s="36"/>
      <c r="DX639" s="36"/>
      <c r="DY639" s="36"/>
      <c r="DZ639" s="36"/>
      <c r="EA639" s="36"/>
      <c r="EB639" s="36"/>
      <c r="EC639" s="36"/>
      <c r="ED639" s="36"/>
      <c r="EE639" s="36"/>
      <c r="EF639" s="36"/>
      <c r="EG639" s="36"/>
      <c r="EH639" s="36"/>
      <c r="EI639" s="36"/>
      <c r="EJ639" s="36"/>
      <c r="EK639" s="36"/>
      <c r="EL639" s="36"/>
      <c r="EM639" s="36"/>
      <c r="EN639" s="36"/>
      <c r="EO639" s="36"/>
      <c r="EP639" s="36"/>
      <c r="EQ639" s="36"/>
      <c r="ER639" s="36"/>
      <c r="ES639" s="36"/>
      <c r="ET639" s="36"/>
      <c r="EU639" s="36"/>
      <c r="EV639" s="36"/>
      <c r="EW639" s="36"/>
      <c r="EX639" s="36"/>
      <c r="EY639" s="36"/>
      <c r="EZ639" s="36"/>
      <c r="FA639" s="36"/>
      <c r="FB639" s="36"/>
      <c r="FC639" s="36"/>
      <c r="FD639" s="36"/>
      <c r="FE639" s="36"/>
      <c r="FF639" s="36"/>
      <c r="FG639" s="36"/>
      <c r="FH639" s="36"/>
      <c r="FI639" s="36"/>
      <c r="FJ639" s="36"/>
      <c r="FK639" s="36"/>
      <c r="FL639" s="36"/>
      <c r="FM639" s="36"/>
      <c r="FN639" s="36"/>
      <c r="FO639" s="36"/>
      <c r="FP639" s="36"/>
      <c r="FQ639" s="36"/>
      <c r="FR639" s="36"/>
      <c r="FS639" s="36"/>
      <c r="FT639" s="36"/>
      <c r="FU639" s="36"/>
      <c r="FV639" s="36"/>
      <c r="FW639" s="36"/>
      <c r="FX639" s="36"/>
      <c r="FY639" s="36"/>
      <c r="FZ639" s="36"/>
      <c r="GA639" s="36"/>
      <c r="GB639" s="36"/>
      <c r="GC639" s="36"/>
      <c r="GD639" s="36"/>
      <c r="GE639" s="36"/>
      <c r="GF639" s="36"/>
      <c r="GG639" s="36"/>
      <c r="GH639" s="36"/>
      <c r="GI639" s="36"/>
      <c r="GJ639" s="36"/>
      <c r="GK639" s="36"/>
      <c r="GL639" s="36"/>
      <c r="GM639" s="36"/>
      <c r="GN639" s="36"/>
      <c r="GO639" s="36"/>
      <c r="GP639" s="36"/>
      <c r="GQ639" s="36"/>
      <c r="GR639" s="36"/>
      <c r="GS639" s="36"/>
      <c r="GT639" s="36"/>
      <c r="GU639" s="36"/>
      <c r="GV639" s="36"/>
      <c r="GW639" s="36"/>
      <c r="GX639" s="36"/>
      <c r="GY639" s="36"/>
      <c r="GZ639" s="36"/>
      <c r="HA639" s="36"/>
      <c r="HB639" s="36"/>
      <c r="HC639" s="36"/>
      <c r="HD639" s="36"/>
      <c r="HE639" s="36"/>
      <c r="HF639" s="36"/>
      <c r="HG639" s="36"/>
      <c r="HH639" s="36"/>
      <c r="HI639" s="36"/>
      <c r="HJ639" s="36"/>
      <c r="HK639" s="36"/>
      <c r="HL639" s="36"/>
      <c r="HM639" s="36"/>
      <c r="HN639" s="36"/>
      <c r="HO639" s="36"/>
      <c r="HP639" s="36"/>
      <c r="HQ639" s="36"/>
      <c r="HR639" s="36"/>
      <c r="HS639" s="36"/>
      <c r="HT639" s="36"/>
      <c r="HU639" s="36"/>
      <c r="HV639" s="36"/>
      <c r="HW639" s="36"/>
      <c r="HX639" s="36"/>
      <c r="HY639" s="36"/>
      <c r="HZ639" s="36"/>
      <c r="IA639" s="36"/>
      <c r="IB639" s="36"/>
      <c r="IC639" s="36"/>
      <c r="ID639" s="36"/>
      <c r="IE639" s="36"/>
      <c r="IF639" s="36"/>
      <c r="IG639" s="36"/>
      <c r="IH639" s="36"/>
      <c r="II639" s="36"/>
      <c r="IJ639" s="36"/>
      <c r="IK639" s="36"/>
      <c r="IL639" s="36"/>
      <c r="IM639" s="36"/>
      <c r="IN639" s="36"/>
      <c r="IO639" s="36"/>
      <c r="IP639" s="36"/>
      <c r="IQ639" s="36"/>
      <c r="IR639" s="36"/>
      <c r="IS639" s="36"/>
      <c r="IT639" s="36"/>
      <c r="IU639" s="36"/>
      <c r="IV639" s="36"/>
      <c r="IW639" s="36"/>
      <c r="IX639" s="36"/>
      <c r="IY639" s="36"/>
      <c r="IZ639" s="36"/>
      <c r="JA639" s="36"/>
      <c r="JB639" s="36"/>
      <c r="JC639" s="36"/>
      <c r="JD639" s="36"/>
      <c r="JE639" s="36"/>
      <c r="JF639" s="36"/>
      <c r="JG639" s="36"/>
      <c r="JH639" s="36"/>
      <c r="JI639" s="36"/>
      <c r="JJ639" s="36"/>
      <c r="JK639" s="36"/>
      <c r="JL639" s="36"/>
      <c r="JM639" s="36"/>
      <c r="JN639" s="36"/>
      <c r="JO639" s="36"/>
      <c r="JP639" s="36"/>
      <c r="JQ639" s="36"/>
      <c r="JR639" s="36"/>
      <c r="JS639" s="36"/>
      <c r="JT639" s="36"/>
      <c r="JU639" s="36"/>
      <c r="JV639" s="36"/>
      <c r="JW639" s="36"/>
      <c r="JX639" s="36"/>
      <c r="JY639" s="36"/>
      <c r="JZ639" s="36"/>
      <c r="KA639" s="36"/>
      <c r="KB639" s="36"/>
      <c r="KC639" s="36"/>
      <c r="KD639" s="36"/>
      <c r="KE639" s="36"/>
      <c r="KF639" s="36"/>
      <c r="KG639" s="36"/>
      <c r="KH639" s="36"/>
      <c r="KI639" s="36"/>
      <c r="KJ639" s="36"/>
      <c r="KK639" s="36"/>
      <c r="KL639" s="36"/>
      <c r="KM639" s="36"/>
      <c r="KN639" s="36"/>
      <c r="KO639" s="36"/>
      <c r="KP639" s="36"/>
      <c r="KQ639" s="36"/>
      <c r="KR639" s="36"/>
      <c r="KS639" s="36"/>
      <c r="KT639" s="36"/>
      <c r="KU639" s="36"/>
      <c r="KV639" s="36"/>
      <c r="KW639" s="36"/>
      <c r="KX639" s="36"/>
      <c r="KY639" s="36"/>
      <c r="KZ639" s="36"/>
      <c r="LA639" s="36"/>
      <c r="LB639" s="36"/>
      <c r="LC639" s="36"/>
      <c r="LD639" s="36"/>
      <c r="LE639" s="36"/>
      <c r="LF639" s="36"/>
      <c r="LG639" s="36"/>
      <c r="LH639" s="36"/>
      <c r="LI639" s="36"/>
      <c r="LJ639" s="36"/>
      <c r="LK639" s="36"/>
      <c r="LL639" s="36"/>
      <c r="LM639" s="36"/>
      <c r="LN639" s="36"/>
      <c r="LO639" s="36"/>
      <c r="LP639" s="36"/>
      <c r="LQ639" s="36"/>
      <c r="LR639" s="36"/>
      <c r="LS639" s="36"/>
      <c r="LT639" s="36"/>
      <c r="LU639" s="36"/>
      <c r="LV639" s="36"/>
      <c r="LW639" s="36"/>
      <c r="LX639" s="36"/>
      <c r="LY639" s="36"/>
      <c r="LZ639" s="36"/>
      <c r="MA639" s="36"/>
      <c r="MB639" s="36"/>
      <c r="MC639" s="36"/>
      <c r="MD639" s="36"/>
      <c r="ME639" s="36"/>
      <c r="MF639" s="36"/>
      <c r="MG639" s="36"/>
      <c r="MH639" s="36"/>
      <c r="MI639" s="36"/>
      <c r="MJ639" s="36"/>
      <c r="MK639" s="36"/>
      <c r="ML639" s="36"/>
      <c r="MM639" s="36"/>
      <c r="MN639" s="36"/>
      <c r="MO639" s="36"/>
      <c r="MP639" s="36"/>
      <c r="MQ639" s="36"/>
      <c r="MR639" s="36"/>
      <c r="MS639" s="36"/>
      <c r="MT639" s="36"/>
      <c r="MU639" s="36"/>
      <c r="MV639" s="36"/>
      <c r="MW639" s="36"/>
      <c r="MX639" s="36"/>
      <c r="MY639" s="36"/>
      <c r="MZ639" s="36"/>
      <c r="NA639" s="36"/>
      <c r="NB639" s="36"/>
      <c r="NC639" s="36"/>
      <c r="ND639" s="36"/>
      <c r="NE639" s="36"/>
      <c r="NF639" s="36"/>
      <c r="NG639" s="36"/>
      <c r="NH639" s="36"/>
      <c r="NI639" s="36"/>
      <c r="NJ639" s="36"/>
      <c r="NK639" s="36"/>
      <c r="NL639" s="36"/>
      <c r="NM639" s="36"/>
      <c r="NN639" s="36"/>
      <c r="NO639" s="36"/>
      <c r="NP639" s="36"/>
      <c r="NQ639" s="36"/>
      <c r="NR639" s="36"/>
      <c r="NS639" s="36"/>
      <c r="NT639" s="36"/>
      <c r="NU639" s="36"/>
      <c r="NV639" s="36"/>
      <c r="NW639" s="36"/>
      <c r="NX639" s="36"/>
      <c r="NY639" s="36"/>
      <c r="NZ639" s="36"/>
      <c r="OA639" s="36"/>
      <c r="OB639" s="36"/>
      <c r="OC639" s="36"/>
      <c r="OD639" s="36"/>
      <c r="OE639" s="36"/>
      <c r="OF639" s="36"/>
      <c r="OG639" s="36"/>
      <c r="OH639" s="36"/>
      <c r="OI639" s="36"/>
      <c r="OJ639" s="36"/>
      <c r="OK639" s="36"/>
      <c r="OL639" s="36"/>
      <c r="OM639" s="36"/>
      <c r="ON639" s="36"/>
      <c r="OO639" s="36"/>
      <c r="OP639" s="36"/>
      <c r="OQ639" s="36"/>
      <c r="OR639" s="36"/>
      <c r="OS639" s="36"/>
      <c r="OT639" s="36"/>
      <c r="OU639" s="36"/>
      <c r="OV639" s="36"/>
      <c r="OW639" s="36"/>
      <c r="OX639" s="36"/>
    </row>
    <row r="640" spans="2:414" s="27" customFormat="1" ht="15.6">
      <c r="B640" s="109" t="s">
        <v>1132</v>
      </c>
      <c r="D640" s="29"/>
      <c r="G640" s="49"/>
      <c r="H640" s="89"/>
      <c r="I640" s="38"/>
      <c r="K640" s="49"/>
      <c r="L640" s="90"/>
      <c r="M640" s="38"/>
      <c r="O640" s="49"/>
      <c r="P640" s="38"/>
      <c r="Q640" s="38"/>
      <c r="R640" s="43">
        <f t="shared" si="179"/>
        <v>0</v>
      </c>
      <c r="S640" s="38">
        <v>200782.26</v>
      </c>
      <c r="U640" s="52"/>
      <c r="V640" s="38">
        <v>200782.26</v>
      </c>
      <c r="W640" s="52"/>
      <c r="X640" s="52"/>
      <c r="Y640" s="35"/>
      <c r="Z640" s="78"/>
      <c r="AF640" s="42"/>
      <c r="AU640" s="100"/>
      <c r="AV640" s="35"/>
      <c r="AW640" s="78"/>
      <c r="BD640" s="38"/>
      <c r="BH640" s="38"/>
      <c r="BL640" s="38"/>
      <c r="BR640" s="42">
        <f t="shared" si="187"/>
        <v>200782.26</v>
      </c>
      <c r="BS640" s="43">
        <f t="shared" si="188"/>
        <v>0</v>
      </c>
      <c r="BU640" s="36"/>
      <c r="BV640" s="36"/>
      <c r="BW640" s="36"/>
      <c r="BX640" s="36"/>
      <c r="BY640" s="36"/>
      <c r="BZ640" s="36"/>
      <c r="CA640" s="36"/>
      <c r="CB640" s="36"/>
      <c r="CC640" s="36"/>
      <c r="CD640" s="36"/>
      <c r="CE640" s="36"/>
      <c r="CF640" s="36"/>
      <c r="CG640" s="36"/>
      <c r="CH640" s="36"/>
      <c r="CI640" s="36"/>
      <c r="CJ640" s="36"/>
      <c r="CK640" s="36"/>
      <c r="CL640" s="36"/>
      <c r="CM640" s="36"/>
      <c r="CN640" s="36"/>
      <c r="CO640" s="36"/>
      <c r="CP640" s="36"/>
      <c r="CQ640" s="36"/>
      <c r="CR640" s="36"/>
      <c r="CS640" s="36"/>
      <c r="CT640" s="36"/>
      <c r="CU640" s="36"/>
      <c r="CV640" s="36"/>
      <c r="CW640" s="36"/>
      <c r="CX640" s="36"/>
      <c r="CY640" s="36"/>
      <c r="CZ640" s="36"/>
      <c r="DA640" s="36"/>
      <c r="DB640" s="36"/>
      <c r="DC640" s="36"/>
      <c r="DD640" s="36"/>
      <c r="DE640" s="36"/>
      <c r="DF640" s="36"/>
      <c r="DG640" s="36"/>
      <c r="DH640" s="36"/>
      <c r="DI640" s="36"/>
      <c r="DJ640" s="36"/>
      <c r="DK640" s="36"/>
      <c r="DL640" s="36"/>
      <c r="DM640" s="36"/>
      <c r="DN640" s="36"/>
      <c r="DO640" s="36"/>
      <c r="DP640" s="36"/>
      <c r="DQ640" s="36"/>
      <c r="DR640" s="36"/>
      <c r="DS640" s="36"/>
      <c r="DT640" s="36"/>
      <c r="DU640" s="36"/>
      <c r="DV640" s="36"/>
      <c r="DW640" s="36"/>
      <c r="DX640" s="36"/>
      <c r="DY640" s="36"/>
      <c r="DZ640" s="36"/>
      <c r="EA640" s="36"/>
      <c r="EB640" s="36"/>
      <c r="EC640" s="36"/>
      <c r="ED640" s="36"/>
      <c r="EE640" s="36"/>
      <c r="EF640" s="36"/>
      <c r="EG640" s="36"/>
      <c r="EH640" s="36"/>
      <c r="EI640" s="36"/>
      <c r="EJ640" s="36"/>
      <c r="EK640" s="36"/>
      <c r="EL640" s="36"/>
      <c r="EM640" s="36"/>
      <c r="EN640" s="36"/>
      <c r="EO640" s="36"/>
      <c r="EP640" s="36"/>
      <c r="EQ640" s="36"/>
      <c r="ER640" s="36"/>
      <c r="ES640" s="36"/>
      <c r="ET640" s="36"/>
      <c r="EU640" s="36"/>
      <c r="EV640" s="36"/>
      <c r="EW640" s="36"/>
      <c r="EX640" s="36"/>
      <c r="EY640" s="36"/>
      <c r="EZ640" s="36"/>
      <c r="FA640" s="36"/>
      <c r="FB640" s="36"/>
      <c r="FC640" s="36"/>
      <c r="FD640" s="36"/>
      <c r="FE640" s="36"/>
      <c r="FF640" s="36"/>
      <c r="FG640" s="36"/>
      <c r="FH640" s="36"/>
      <c r="FI640" s="36"/>
      <c r="FJ640" s="36"/>
      <c r="FK640" s="36"/>
      <c r="FL640" s="36"/>
      <c r="FM640" s="36"/>
      <c r="FN640" s="36"/>
      <c r="FO640" s="36"/>
      <c r="FP640" s="36"/>
      <c r="FQ640" s="36"/>
      <c r="FR640" s="36"/>
      <c r="FS640" s="36"/>
      <c r="FT640" s="36"/>
      <c r="FU640" s="36"/>
      <c r="FV640" s="36"/>
      <c r="FW640" s="36"/>
      <c r="FX640" s="36"/>
      <c r="FY640" s="36"/>
      <c r="FZ640" s="36"/>
      <c r="GA640" s="36"/>
      <c r="GB640" s="36"/>
      <c r="GC640" s="36"/>
      <c r="GD640" s="36"/>
      <c r="GE640" s="36"/>
      <c r="GF640" s="36"/>
      <c r="GG640" s="36"/>
      <c r="GH640" s="36"/>
      <c r="GI640" s="36"/>
      <c r="GJ640" s="36"/>
      <c r="GK640" s="36"/>
      <c r="GL640" s="36"/>
      <c r="GM640" s="36"/>
      <c r="GN640" s="36"/>
      <c r="GO640" s="36"/>
      <c r="GP640" s="36"/>
      <c r="GQ640" s="36"/>
      <c r="GR640" s="36"/>
      <c r="GS640" s="36"/>
      <c r="GT640" s="36"/>
      <c r="GU640" s="36"/>
      <c r="GV640" s="36"/>
      <c r="GW640" s="36"/>
      <c r="GX640" s="36"/>
      <c r="GY640" s="36"/>
      <c r="GZ640" s="36"/>
      <c r="HA640" s="36"/>
      <c r="HB640" s="36"/>
      <c r="HC640" s="36"/>
      <c r="HD640" s="36"/>
      <c r="HE640" s="36"/>
      <c r="HF640" s="36"/>
      <c r="HG640" s="36"/>
      <c r="HH640" s="36"/>
      <c r="HI640" s="36"/>
      <c r="HJ640" s="36"/>
      <c r="HK640" s="36"/>
      <c r="HL640" s="36"/>
      <c r="HM640" s="36"/>
      <c r="HN640" s="36"/>
      <c r="HO640" s="36"/>
      <c r="HP640" s="36"/>
      <c r="HQ640" s="36"/>
      <c r="HR640" s="36"/>
      <c r="HS640" s="36"/>
      <c r="HT640" s="36"/>
      <c r="HU640" s="36"/>
      <c r="HV640" s="36"/>
      <c r="HW640" s="36"/>
      <c r="HX640" s="36"/>
      <c r="HY640" s="36"/>
      <c r="HZ640" s="36"/>
      <c r="IA640" s="36"/>
      <c r="IB640" s="36"/>
      <c r="IC640" s="36"/>
      <c r="ID640" s="36"/>
      <c r="IE640" s="36"/>
      <c r="IF640" s="36"/>
      <c r="IG640" s="36"/>
      <c r="IH640" s="36"/>
      <c r="II640" s="36"/>
      <c r="IJ640" s="36"/>
      <c r="IK640" s="36"/>
      <c r="IL640" s="36"/>
      <c r="IM640" s="36"/>
      <c r="IN640" s="36"/>
      <c r="IO640" s="36"/>
      <c r="IP640" s="36"/>
      <c r="IQ640" s="36"/>
      <c r="IR640" s="36"/>
      <c r="IS640" s="36"/>
      <c r="IT640" s="36"/>
      <c r="IU640" s="36"/>
      <c r="IV640" s="36"/>
      <c r="IW640" s="36"/>
      <c r="IX640" s="36"/>
      <c r="IY640" s="36"/>
      <c r="IZ640" s="36"/>
      <c r="JA640" s="36"/>
      <c r="JB640" s="36"/>
      <c r="JC640" s="36"/>
      <c r="JD640" s="36"/>
      <c r="JE640" s="36"/>
      <c r="JF640" s="36"/>
      <c r="JG640" s="36"/>
      <c r="JH640" s="36"/>
      <c r="JI640" s="36"/>
      <c r="JJ640" s="36"/>
      <c r="JK640" s="36"/>
      <c r="JL640" s="36"/>
      <c r="JM640" s="36"/>
      <c r="JN640" s="36"/>
      <c r="JO640" s="36"/>
      <c r="JP640" s="36"/>
      <c r="JQ640" s="36"/>
      <c r="JR640" s="36"/>
      <c r="JS640" s="36"/>
      <c r="JT640" s="36"/>
      <c r="JU640" s="36"/>
      <c r="JV640" s="36"/>
      <c r="JW640" s="36"/>
      <c r="JX640" s="36"/>
      <c r="JY640" s="36"/>
      <c r="JZ640" s="36"/>
      <c r="KA640" s="36"/>
      <c r="KB640" s="36"/>
      <c r="KC640" s="36"/>
      <c r="KD640" s="36"/>
      <c r="KE640" s="36"/>
      <c r="KF640" s="36"/>
      <c r="KG640" s="36"/>
      <c r="KH640" s="36"/>
      <c r="KI640" s="36"/>
      <c r="KJ640" s="36"/>
      <c r="KK640" s="36"/>
      <c r="KL640" s="36"/>
      <c r="KM640" s="36"/>
      <c r="KN640" s="36"/>
      <c r="KO640" s="36"/>
      <c r="KP640" s="36"/>
      <c r="KQ640" s="36"/>
      <c r="KR640" s="36"/>
      <c r="KS640" s="36"/>
      <c r="KT640" s="36"/>
      <c r="KU640" s="36"/>
      <c r="KV640" s="36"/>
      <c r="KW640" s="36"/>
      <c r="KX640" s="36"/>
      <c r="KY640" s="36"/>
      <c r="KZ640" s="36"/>
      <c r="LA640" s="36"/>
      <c r="LB640" s="36"/>
      <c r="LC640" s="36"/>
      <c r="LD640" s="36"/>
      <c r="LE640" s="36"/>
      <c r="LF640" s="36"/>
      <c r="LG640" s="36"/>
      <c r="LH640" s="36"/>
      <c r="LI640" s="36"/>
      <c r="LJ640" s="36"/>
      <c r="LK640" s="36"/>
      <c r="LL640" s="36"/>
      <c r="LM640" s="36"/>
      <c r="LN640" s="36"/>
      <c r="LO640" s="36"/>
      <c r="LP640" s="36"/>
      <c r="LQ640" s="36"/>
      <c r="LR640" s="36"/>
      <c r="LS640" s="36"/>
      <c r="LT640" s="36"/>
      <c r="LU640" s="36"/>
      <c r="LV640" s="36"/>
      <c r="LW640" s="36"/>
      <c r="LX640" s="36"/>
      <c r="LY640" s="36"/>
      <c r="LZ640" s="36"/>
      <c r="MA640" s="36"/>
      <c r="MB640" s="36"/>
      <c r="MC640" s="36"/>
      <c r="MD640" s="36"/>
      <c r="ME640" s="36"/>
      <c r="MF640" s="36"/>
      <c r="MG640" s="36"/>
      <c r="MH640" s="36"/>
      <c r="MI640" s="36"/>
      <c r="MJ640" s="36"/>
      <c r="MK640" s="36"/>
      <c r="ML640" s="36"/>
      <c r="MM640" s="36"/>
      <c r="MN640" s="36"/>
      <c r="MO640" s="36"/>
      <c r="MP640" s="36"/>
      <c r="MQ640" s="36"/>
      <c r="MR640" s="36"/>
      <c r="MS640" s="36"/>
      <c r="MT640" s="36"/>
      <c r="MU640" s="36"/>
      <c r="MV640" s="36"/>
      <c r="MW640" s="36"/>
      <c r="MX640" s="36"/>
      <c r="MY640" s="36"/>
      <c r="MZ640" s="36"/>
      <c r="NA640" s="36"/>
      <c r="NB640" s="36"/>
      <c r="NC640" s="36"/>
      <c r="ND640" s="36"/>
      <c r="NE640" s="36"/>
      <c r="NF640" s="36"/>
      <c r="NG640" s="36"/>
      <c r="NH640" s="36"/>
      <c r="NI640" s="36"/>
      <c r="NJ640" s="36"/>
      <c r="NK640" s="36"/>
      <c r="NL640" s="36"/>
      <c r="NM640" s="36"/>
      <c r="NN640" s="36"/>
      <c r="NO640" s="36"/>
      <c r="NP640" s="36"/>
      <c r="NQ640" s="36"/>
      <c r="NR640" s="36"/>
      <c r="NS640" s="36"/>
      <c r="NT640" s="36"/>
      <c r="NU640" s="36"/>
      <c r="NV640" s="36"/>
      <c r="NW640" s="36"/>
      <c r="NX640" s="36"/>
      <c r="NY640" s="36"/>
      <c r="NZ640" s="36"/>
      <c r="OA640" s="36"/>
      <c r="OB640" s="36"/>
      <c r="OC640" s="36"/>
      <c r="OD640" s="36"/>
      <c r="OE640" s="36"/>
      <c r="OF640" s="36"/>
      <c r="OG640" s="36"/>
      <c r="OH640" s="36"/>
      <c r="OI640" s="36"/>
      <c r="OJ640" s="36"/>
      <c r="OK640" s="36"/>
      <c r="OL640" s="36"/>
      <c r="OM640" s="36"/>
      <c r="ON640" s="36"/>
      <c r="OO640" s="36"/>
      <c r="OP640" s="36"/>
      <c r="OQ640" s="36"/>
      <c r="OR640" s="36"/>
      <c r="OS640" s="36"/>
      <c r="OT640" s="36"/>
      <c r="OU640" s="36"/>
      <c r="OV640" s="36"/>
      <c r="OW640" s="36"/>
      <c r="OX640" s="36"/>
    </row>
    <row r="641" spans="1:414" s="27" customFormat="1" ht="15.6">
      <c r="B641" s="109"/>
      <c r="D641" s="29"/>
      <c r="G641" s="49"/>
      <c r="H641" s="89"/>
      <c r="I641" s="38"/>
      <c r="K641" s="49"/>
      <c r="L641" s="90"/>
      <c r="M641" s="38"/>
      <c r="O641" s="49"/>
      <c r="P641" s="38"/>
      <c r="Q641" s="38"/>
      <c r="R641" s="43"/>
      <c r="S641" s="38">
        <f>O641*P641</f>
        <v>0</v>
      </c>
      <c r="U641" s="52"/>
      <c r="V641" s="38"/>
      <c r="W641" s="52"/>
      <c r="X641" s="52"/>
      <c r="Y641" s="35"/>
      <c r="Z641" s="78"/>
      <c r="AF641" s="42"/>
      <c r="AU641" s="100"/>
      <c r="AV641" s="35"/>
      <c r="AW641" s="78"/>
      <c r="BD641" s="38"/>
      <c r="BH641" s="38"/>
      <c r="BL641" s="38"/>
      <c r="BR641" s="42">
        <f t="shared" si="187"/>
        <v>0</v>
      </c>
      <c r="BS641" s="43">
        <f t="shared" si="188"/>
        <v>0</v>
      </c>
      <c r="BU641" s="36"/>
      <c r="BV641" s="36"/>
      <c r="BW641" s="36"/>
      <c r="BX641" s="36"/>
      <c r="BY641" s="36"/>
      <c r="BZ641" s="36"/>
      <c r="CA641" s="36"/>
      <c r="CB641" s="36"/>
      <c r="CC641" s="36"/>
      <c r="CD641" s="36"/>
      <c r="CE641" s="36"/>
      <c r="CF641" s="36"/>
      <c r="CG641" s="36"/>
      <c r="CH641" s="36"/>
      <c r="CI641" s="36"/>
      <c r="CJ641" s="36"/>
      <c r="CK641" s="36"/>
      <c r="CL641" s="36"/>
      <c r="CM641" s="36"/>
      <c r="CN641" s="36"/>
      <c r="CO641" s="36"/>
      <c r="CP641" s="36"/>
      <c r="CQ641" s="36"/>
      <c r="CR641" s="36"/>
      <c r="CS641" s="36"/>
      <c r="CT641" s="36"/>
      <c r="CU641" s="36"/>
      <c r="CV641" s="36"/>
      <c r="CW641" s="36"/>
      <c r="CX641" s="36"/>
      <c r="CY641" s="36"/>
      <c r="CZ641" s="36"/>
      <c r="DA641" s="36"/>
      <c r="DB641" s="36"/>
      <c r="DC641" s="36"/>
      <c r="DD641" s="36"/>
      <c r="DE641" s="36"/>
      <c r="DF641" s="36"/>
      <c r="DG641" s="36"/>
      <c r="DH641" s="36"/>
      <c r="DI641" s="36"/>
      <c r="DJ641" s="36"/>
      <c r="DK641" s="36"/>
      <c r="DL641" s="36"/>
      <c r="DM641" s="36"/>
      <c r="DN641" s="36"/>
      <c r="DO641" s="36"/>
      <c r="DP641" s="36"/>
      <c r="DQ641" s="36"/>
      <c r="DR641" s="36"/>
      <c r="DS641" s="36"/>
      <c r="DT641" s="36"/>
      <c r="DU641" s="36"/>
      <c r="DV641" s="36"/>
      <c r="DW641" s="36"/>
      <c r="DX641" s="36"/>
      <c r="DY641" s="36"/>
      <c r="DZ641" s="36"/>
      <c r="EA641" s="36"/>
      <c r="EB641" s="36"/>
      <c r="EC641" s="36"/>
      <c r="ED641" s="36"/>
      <c r="EE641" s="36"/>
      <c r="EF641" s="36"/>
      <c r="EG641" s="36"/>
      <c r="EH641" s="36"/>
      <c r="EI641" s="36"/>
      <c r="EJ641" s="36"/>
      <c r="EK641" s="36"/>
      <c r="EL641" s="36"/>
      <c r="EM641" s="36"/>
      <c r="EN641" s="36"/>
      <c r="EO641" s="36"/>
      <c r="EP641" s="36"/>
      <c r="EQ641" s="36"/>
      <c r="ER641" s="36"/>
      <c r="ES641" s="36"/>
      <c r="ET641" s="36"/>
      <c r="EU641" s="36"/>
      <c r="EV641" s="36"/>
      <c r="EW641" s="36"/>
      <c r="EX641" s="36"/>
      <c r="EY641" s="36"/>
      <c r="EZ641" s="36"/>
      <c r="FA641" s="36"/>
      <c r="FB641" s="36"/>
      <c r="FC641" s="36"/>
      <c r="FD641" s="36"/>
      <c r="FE641" s="36"/>
      <c r="FF641" s="36"/>
      <c r="FG641" s="36"/>
      <c r="FH641" s="36"/>
      <c r="FI641" s="36"/>
      <c r="FJ641" s="36"/>
      <c r="FK641" s="36"/>
      <c r="FL641" s="36"/>
      <c r="FM641" s="36"/>
      <c r="FN641" s="36"/>
      <c r="FO641" s="36"/>
      <c r="FP641" s="36"/>
      <c r="FQ641" s="36"/>
      <c r="FR641" s="36"/>
      <c r="FS641" s="36"/>
      <c r="FT641" s="36"/>
      <c r="FU641" s="36"/>
      <c r="FV641" s="36"/>
      <c r="FW641" s="36"/>
      <c r="FX641" s="36"/>
      <c r="FY641" s="36"/>
      <c r="FZ641" s="36"/>
      <c r="GA641" s="36"/>
      <c r="GB641" s="36"/>
      <c r="GC641" s="36"/>
      <c r="GD641" s="36"/>
      <c r="GE641" s="36"/>
      <c r="GF641" s="36"/>
      <c r="GG641" s="36"/>
      <c r="GH641" s="36"/>
      <c r="GI641" s="36"/>
      <c r="GJ641" s="36"/>
      <c r="GK641" s="36"/>
      <c r="GL641" s="36"/>
      <c r="GM641" s="36"/>
      <c r="GN641" s="36"/>
      <c r="GO641" s="36"/>
      <c r="GP641" s="36"/>
      <c r="GQ641" s="36"/>
      <c r="GR641" s="36"/>
      <c r="GS641" s="36"/>
      <c r="GT641" s="36"/>
      <c r="GU641" s="36"/>
      <c r="GV641" s="36"/>
      <c r="GW641" s="36"/>
      <c r="GX641" s="36"/>
      <c r="GY641" s="36"/>
      <c r="GZ641" s="36"/>
      <c r="HA641" s="36"/>
      <c r="HB641" s="36"/>
      <c r="HC641" s="36"/>
      <c r="HD641" s="36"/>
      <c r="HE641" s="36"/>
      <c r="HF641" s="36"/>
      <c r="HG641" s="36"/>
      <c r="HH641" s="36"/>
      <c r="HI641" s="36"/>
      <c r="HJ641" s="36"/>
      <c r="HK641" s="36"/>
      <c r="HL641" s="36"/>
      <c r="HM641" s="36"/>
      <c r="HN641" s="36"/>
      <c r="HO641" s="36"/>
      <c r="HP641" s="36"/>
      <c r="HQ641" s="36"/>
      <c r="HR641" s="36"/>
      <c r="HS641" s="36"/>
      <c r="HT641" s="36"/>
      <c r="HU641" s="36"/>
      <c r="HV641" s="36"/>
      <c r="HW641" s="36"/>
      <c r="HX641" s="36"/>
      <c r="HY641" s="36"/>
      <c r="HZ641" s="36"/>
      <c r="IA641" s="36"/>
      <c r="IB641" s="36"/>
      <c r="IC641" s="36"/>
      <c r="ID641" s="36"/>
      <c r="IE641" s="36"/>
      <c r="IF641" s="36"/>
      <c r="IG641" s="36"/>
      <c r="IH641" s="36"/>
      <c r="II641" s="36"/>
      <c r="IJ641" s="36"/>
      <c r="IK641" s="36"/>
      <c r="IL641" s="36"/>
      <c r="IM641" s="36"/>
      <c r="IN641" s="36"/>
      <c r="IO641" s="36"/>
      <c r="IP641" s="36"/>
      <c r="IQ641" s="36"/>
      <c r="IR641" s="36"/>
      <c r="IS641" s="36"/>
      <c r="IT641" s="36"/>
      <c r="IU641" s="36"/>
      <c r="IV641" s="36"/>
      <c r="IW641" s="36"/>
      <c r="IX641" s="36"/>
      <c r="IY641" s="36"/>
      <c r="IZ641" s="36"/>
      <c r="JA641" s="36"/>
      <c r="JB641" s="36"/>
      <c r="JC641" s="36"/>
      <c r="JD641" s="36"/>
      <c r="JE641" s="36"/>
      <c r="JF641" s="36"/>
      <c r="JG641" s="36"/>
      <c r="JH641" s="36"/>
      <c r="JI641" s="36"/>
      <c r="JJ641" s="36"/>
      <c r="JK641" s="36"/>
      <c r="JL641" s="36"/>
      <c r="JM641" s="36"/>
      <c r="JN641" s="36"/>
      <c r="JO641" s="36"/>
      <c r="JP641" s="36"/>
      <c r="JQ641" s="36"/>
      <c r="JR641" s="36"/>
      <c r="JS641" s="36"/>
      <c r="JT641" s="36"/>
      <c r="JU641" s="36"/>
      <c r="JV641" s="36"/>
      <c r="JW641" s="36"/>
      <c r="JX641" s="36"/>
      <c r="JY641" s="36"/>
      <c r="JZ641" s="36"/>
      <c r="KA641" s="36"/>
      <c r="KB641" s="36"/>
      <c r="KC641" s="36"/>
      <c r="KD641" s="36"/>
      <c r="KE641" s="36"/>
      <c r="KF641" s="36"/>
      <c r="KG641" s="36"/>
      <c r="KH641" s="36"/>
      <c r="KI641" s="36"/>
      <c r="KJ641" s="36"/>
      <c r="KK641" s="36"/>
      <c r="KL641" s="36"/>
      <c r="KM641" s="36"/>
      <c r="KN641" s="36"/>
      <c r="KO641" s="36"/>
      <c r="KP641" s="36"/>
      <c r="KQ641" s="36"/>
      <c r="KR641" s="36"/>
      <c r="KS641" s="36"/>
      <c r="KT641" s="36"/>
      <c r="KU641" s="36"/>
      <c r="KV641" s="36"/>
      <c r="KW641" s="36"/>
      <c r="KX641" s="36"/>
      <c r="KY641" s="36"/>
      <c r="KZ641" s="36"/>
      <c r="LA641" s="36"/>
      <c r="LB641" s="36"/>
      <c r="LC641" s="36"/>
      <c r="LD641" s="36"/>
      <c r="LE641" s="36"/>
      <c r="LF641" s="36"/>
      <c r="LG641" s="36"/>
      <c r="LH641" s="36"/>
      <c r="LI641" s="36"/>
      <c r="LJ641" s="36"/>
      <c r="LK641" s="36"/>
      <c r="LL641" s="36"/>
      <c r="LM641" s="36"/>
      <c r="LN641" s="36"/>
      <c r="LO641" s="36"/>
      <c r="LP641" s="36"/>
      <c r="LQ641" s="36"/>
      <c r="LR641" s="36"/>
      <c r="LS641" s="36"/>
      <c r="LT641" s="36"/>
      <c r="LU641" s="36"/>
      <c r="LV641" s="36"/>
      <c r="LW641" s="36"/>
      <c r="LX641" s="36"/>
      <c r="LY641" s="36"/>
      <c r="LZ641" s="36"/>
      <c r="MA641" s="36"/>
      <c r="MB641" s="36"/>
      <c r="MC641" s="36"/>
      <c r="MD641" s="36"/>
      <c r="ME641" s="36"/>
      <c r="MF641" s="36"/>
      <c r="MG641" s="36"/>
      <c r="MH641" s="36"/>
      <c r="MI641" s="36"/>
      <c r="MJ641" s="36"/>
      <c r="MK641" s="36"/>
      <c r="ML641" s="36"/>
      <c r="MM641" s="36"/>
      <c r="MN641" s="36"/>
      <c r="MO641" s="36"/>
      <c r="MP641" s="36"/>
      <c r="MQ641" s="36"/>
      <c r="MR641" s="36"/>
      <c r="MS641" s="36"/>
      <c r="MT641" s="36"/>
      <c r="MU641" s="36"/>
      <c r="MV641" s="36"/>
      <c r="MW641" s="36"/>
      <c r="MX641" s="36"/>
      <c r="MY641" s="36"/>
      <c r="MZ641" s="36"/>
      <c r="NA641" s="36"/>
      <c r="NB641" s="36"/>
      <c r="NC641" s="36"/>
      <c r="ND641" s="36"/>
      <c r="NE641" s="36"/>
      <c r="NF641" s="36"/>
      <c r="NG641" s="36"/>
      <c r="NH641" s="36"/>
      <c r="NI641" s="36"/>
      <c r="NJ641" s="36"/>
      <c r="NK641" s="36"/>
      <c r="NL641" s="36"/>
      <c r="NM641" s="36"/>
      <c r="NN641" s="36"/>
      <c r="NO641" s="36"/>
      <c r="NP641" s="36"/>
      <c r="NQ641" s="36"/>
      <c r="NR641" s="36"/>
      <c r="NS641" s="36"/>
      <c r="NT641" s="36"/>
      <c r="NU641" s="36"/>
      <c r="NV641" s="36"/>
      <c r="NW641" s="36"/>
      <c r="NX641" s="36"/>
      <c r="NY641" s="36"/>
      <c r="NZ641" s="36"/>
      <c r="OA641" s="36"/>
      <c r="OB641" s="36"/>
      <c r="OC641" s="36"/>
      <c r="OD641" s="36"/>
      <c r="OE641" s="36"/>
      <c r="OF641" s="36"/>
      <c r="OG641" s="36"/>
      <c r="OH641" s="36"/>
      <c r="OI641" s="36"/>
      <c r="OJ641" s="36"/>
      <c r="OK641" s="36"/>
      <c r="OL641" s="36"/>
      <c r="OM641" s="36"/>
      <c r="ON641" s="36"/>
      <c r="OO641" s="36"/>
      <c r="OP641" s="36"/>
      <c r="OQ641" s="36"/>
      <c r="OR641" s="36"/>
      <c r="OS641" s="36"/>
      <c r="OT641" s="36"/>
      <c r="OU641" s="36"/>
      <c r="OV641" s="36"/>
      <c r="OW641" s="36"/>
      <c r="OX641" s="36"/>
    </row>
    <row r="642" spans="1:414" s="27" customFormat="1" ht="15.6">
      <c r="B642" s="51"/>
      <c r="D642" s="29"/>
      <c r="G642" s="49"/>
      <c r="H642" s="89"/>
      <c r="I642" s="38"/>
      <c r="K642" s="49"/>
      <c r="L642" s="90"/>
      <c r="M642" s="38"/>
      <c r="O642" s="49"/>
      <c r="P642" s="38"/>
      <c r="Q642" s="38"/>
      <c r="R642" s="43"/>
      <c r="S642" s="38"/>
      <c r="U642" s="52"/>
      <c r="V642" s="38"/>
      <c r="W642" s="52"/>
      <c r="X642" s="52"/>
      <c r="Y642" s="35"/>
      <c r="Z642" s="78"/>
      <c r="AF642" s="42"/>
      <c r="AU642" s="100"/>
      <c r="AV642" s="35"/>
      <c r="AW642" s="78"/>
      <c r="BD642" s="38"/>
      <c r="BH642" s="38"/>
      <c r="BL642" s="38"/>
      <c r="BR642" s="42">
        <f t="shared" si="187"/>
        <v>0</v>
      </c>
      <c r="BS642" s="43">
        <f t="shared" si="188"/>
        <v>0</v>
      </c>
      <c r="BU642" s="36"/>
      <c r="BV642" s="36"/>
      <c r="BW642" s="36"/>
      <c r="BX642" s="36"/>
      <c r="BY642" s="36"/>
      <c r="BZ642" s="36"/>
      <c r="CA642" s="36"/>
      <c r="CB642" s="36"/>
      <c r="CC642" s="36"/>
      <c r="CD642" s="36"/>
      <c r="CE642" s="36"/>
      <c r="CF642" s="36"/>
      <c r="CG642" s="36"/>
      <c r="CH642" s="36"/>
      <c r="CI642" s="36"/>
      <c r="CJ642" s="36"/>
      <c r="CK642" s="36"/>
      <c r="CL642" s="36"/>
      <c r="CM642" s="36"/>
      <c r="CN642" s="36"/>
      <c r="CO642" s="36"/>
      <c r="CP642" s="36"/>
      <c r="CQ642" s="36"/>
      <c r="CR642" s="36"/>
      <c r="CS642" s="36"/>
      <c r="CT642" s="36"/>
      <c r="CU642" s="36"/>
      <c r="CV642" s="36"/>
      <c r="CW642" s="36"/>
      <c r="CX642" s="36"/>
      <c r="CY642" s="36"/>
      <c r="CZ642" s="36"/>
      <c r="DA642" s="36"/>
      <c r="DB642" s="36"/>
      <c r="DC642" s="36"/>
      <c r="DD642" s="36"/>
      <c r="DE642" s="36"/>
      <c r="DF642" s="36"/>
      <c r="DG642" s="36"/>
      <c r="DH642" s="36"/>
      <c r="DI642" s="36"/>
      <c r="DJ642" s="36"/>
      <c r="DK642" s="36"/>
      <c r="DL642" s="36"/>
      <c r="DM642" s="36"/>
      <c r="DN642" s="36"/>
      <c r="DO642" s="36"/>
      <c r="DP642" s="36"/>
      <c r="DQ642" s="36"/>
      <c r="DR642" s="36"/>
      <c r="DS642" s="36"/>
      <c r="DT642" s="36"/>
      <c r="DU642" s="36"/>
      <c r="DV642" s="36"/>
      <c r="DW642" s="36"/>
      <c r="DX642" s="36"/>
      <c r="DY642" s="36"/>
      <c r="DZ642" s="36"/>
      <c r="EA642" s="36"/>
      <c r="EB642" s="36"/>
      <c r="EC642" s="36"/>
      <c r="ED642" s="36"/>
      <c r="EE642" s="36"/>
      <c r="EF642" s="36"/>
      <c r="EG642" s="36"/>
      <c r="EH642" s="36"/>
      <c r="EI642" s="36"/>
      <c r="EJ642" s="36"/>
      <c r="EK642" s="36"/>
      <c r="EL642" s="36"/>
      <c r="EM642" s="36"/>
      <c r="EN642" s="36"/>
      <c r="EO642" s="36"/>
      <c r="EP642" s="36"/>
      <c r="EQ642" s="36"/>
      <c r="ER642" s="36"/>
      <c r="ES642" s="36"/>
      <c r="ET642" s="36"/>
      <c r="EU642" s="36"/>
      <c r="EV642" s="36"/>
      <c r="EW642" s="36"/>
      <c r="EX642" s="36"/>
      <c r="EY642" s="36"/>
      <c r="EZ642" s="36"/>
      <c r="FA642" s="36"/>
      <c r="FB642" s="36"/>
      <c r="FC642" s="36"/>
      <c r="FD642" s="36"/>
      <c r="FE642" s="36"/>
      <c r="FF642" s="36"/>
      <c r="FG642" s="36"/>
      <c r="FH642" s="36"/>
      <c r="FI642" s="36"/>
      <c r="FJ642" s="36"/>
      <c r="FK642" s="36"/>
      <c r="FL642" s="36"/>
      <c r="FM642" s="36"/>
      <c r="FN642" s="36"/>
      <c r="FO642" s="36"/>
      <c r="FP642" s="36"/>
      <c r="FQ642" s="36"/>
      <c r="FR642" s="36"/>
      <c r="FS642" s="36"/>
      <c r="FT642" s="36"/>
      <c r="FU642" s="36"/>
      <c r="FV642" s="36"/>
      <c r="FW642" s="36"/>
      <c r="FX642" s="36"/>
      <c r="FY642" s="36"/>
      <c r="FZ642" s="36"/>
      <c r="GA642" s="36"/>
      <c r="GB642" s="36"/>
      <c r="GC642" s="36"/>
      <c r="GD642" s="36"/>
      <c r="GE642" s="36"/>
      <c r="GF642" s="36"/>
      <c r="GG642" s="36"/>
      <c r="GH642" s="36"/>
      <c r="GI642" s="36"/>
      <c r="GJ642" s="36"/>
      <c r="GK642" s="36"/>
      <c r="GL642" s="36"/>
      <c r="GM642" s="36"/>
      <c r="GN642" s="36"/>
      <c r="GO642" s="36"/>
      <c r="GP642" s="36"/>
      <c r="GQ642" s="36"/>
      <c r="GR642" s="36"/>
      <c r="GS642" s="36"/>
      <c r="GT642" s="36"/>
      <c r="GU642" s="36"/>
      <c r="GV642" s="36"/>
      <c r="GW642" s="36"/>
      <c r="GX642" s="36"/>
      <c r="GY642" s="36"/>
      <c r="GZ642" s="36"/>
      <c r="HA642" s="36"/>
      <c r="HB642" s="36"/>
      <c r="HC642" s="36"/>
      <c r="HD642" s="36"/>
      <c r="HE642" s="36"/>
      <c r="HF642" s="36"/>
      <c r="HG642" s="36"/>
      <c r="HH642" s="36"/>
      <c r="HI642" s="36"/>
      <c r="HJ642" s="36"/>
      <c r="HK642" s="36"/>
      <c r="HL642" s="36"/>
      <c r="HM642" s="36"/>
      <c r="HN642" s="36"/>
      <c r="HO642" s="36"/>
      <c r="HP642" s="36"/>
      <c r="HQ642" s="36"/>
      <c r="HR642" s="36"/>
      <c r="HS642" s="36"/>
      <c r="HT642" s="36"/>
      <c r="HU642" s="36"/>
      <c r="HV642" s="36"/>
      <c r="HW642" s="36"/>
      <c r="HX642" s="36"/>
      <c r="HY642" s="36"/>
      <c r="HZ642" s="36"/>
      <c r="IA642" s="36"/>
      <c r="IB642" s="36"/>
      <c r="IC642" s="36"/>
      <c r="ID642" s="36"/>
      <c r="IE642" s="36"/>
      <c r="IF642" s="36"/>
      <c r="IG642" s="36"/>
      <c r="IH642" s="36"/>
      <c r="II642" s="36"/>
      <c r="IJ642" s="36"/>
      <c r="IK642" s="36"/>
      <c r="IL642" s="36"/>
      <c r="IM642" s="36"/>
      <c r="IN642" s="36"/>
      <c r="IO642" s="36"/>
      <c r="IP642" s="36"/>
      <c r="IQ642" s="36"/>
      <c r="IR642" s="36"/>
      <c r="IS642" s="36"/>
      <c r="IT642" s="36"/>
      <c r="IU642" s="36"/>
      <c r="IV642" s="36"/>
      <c r="IW642" s="36"/>
      <c r="IX642" s="36"/>
      <c r="IY642" s="36"/>
      <c r="IZ642" s="36"/>
      <c r="JA642" s="36"/>
      <c r="JB642" s="36"/>
      <c r="JC642" s="36"/>
      <c r="JD642" s="36"/>
      <c r="JE642" s="36"/>
      <c r="JF642" s="36"/>
      <c r="JG642" s="36"/>
      <c r="JH642" s="36"/>
      <c r="JI642" s="36"/>
      <c r="JJ642" s="36"/>
      <c r="JK642" s="36"/>
      <c r="JL642" s="36"/>
      <c r="JM642" s="36"/>
      <c r="JN642" s="36"/>
      <c r="JO642" s="36"/>
      <c r="JP642" s="36"/>
      <c r="JQ642" s="36"/>
      <c r="JR642" s="36"/>
      <c r="JS642" s="36"/>
      <c r="JT642" s="36"/>
      <c r="JU642" s="36"/>
      <c r="JV642" s="36"/>
      <c r="JW642" s="36"/>
      <c r="JX642" s="36"/>
      <c r="JY642" s="36"/>
      <c r="JZ642" s="36"/>
      <c r="KA642" s="36"/>
      <c r="KB642" s="36"/>
      <c r="KC642" s="36"/>
      <c r="KD642" s="36"/>
      <c r="KE642" s="36"/>
      <c r="KF642" s="36"/>
      <c r="KG642" s="36"/>
      <c r="KH642" s="36"/>
      <c r="KI642" s="36"/>
      <c r="KJ642" s="36"/>
      <c r="KK642" s="36"/>
      <c r="KL642" s="36"/>
      <c r="KM642" s="36"/>
      <c r="KN642" s="36"/>
      <c r="KO642" s="36"/>
      <c r="KP642" s="36"/>
      <c r="KQ642" s="36"/>
      <c r="KR642" s="36"/>
      <c r="KS642" s="36"/>
      <c r="KT642" s="36"/>
      <c r="KU642" s="36"/>
      <c r="KV642" s="36"/>
      <c r="KW642" s="36"/>
      <c r="KX642" s="36"/>
      <c r="KY642" s="36"/>
      <c r="KZ642" s="36"/>
      <c r="LA642" s="36"/>
      <c r="LB642" s="36"/>
      <c r="LC642" s="36"/>
      <c r="LD642" s="36"/>
      <c r="LE642" s="36"/>
      <c r="LF642" s="36"/>
      <c r="LG642" s="36"/>
      <c r="LH642" s="36"/>
      <c r="LI642" s="36"/>
      <c r="LJ642" s="36"/>
      <c r="LK642" s="36"/>
      <c r="LL642" s="36"/>
      <c r="LM642" s="36"/>
      <c r="LN642" s="36"/>
      <c r="LO642" s="36"/>
      <c r="LP642" s="36"/>
      <c r="LQ642" s="36"/>
      <c r="LR642" s="36"/>
      <c r="LS642" s="36"/>
      <c r="LT642" s="36"/>
      <c r="LU642" s="36"/>
      <c r="LV642" s="36"/>
      <c r="LW642" s="36"/>
      <c r="LX642" s="36"/>
      <c r="LY642" s="36"/>
      <c r="LZ642" s="36"/>
      <c r="MA642" s="36"/>
      <c r="MB642" s="36"/>
      <c r="MC642" s="36"/>
      <c r="MD642" s="36"/>
      <c r="ME642" s="36"/>
      <c r="MF642" s="36"/>
      <c r="MG642" s="36"/>
      <c r="MH642" s="36"/>
      <c r="MI642" s="36"/>
      <c r="MJ642" s="36"/>
      <c r="MK642" s="36"/>
      <c r="ML642" s="36"/>
      <c r="MM642" s="36"/>
      <c r="MN642" s="36"/>
      <c r="MO642" s="36"/>
      <c r="MP642" s="36"/>
      <c r="MQ642" s="36"/>
      <c r="MR642" s="36"/>
      <c r="MS642" s="36"/>
      <c r="MT642" s="36"/>
      <c r="MU642" s="36"/>
      <c r="MV642" s="36"/>
      <c r="MW642" s="36"/>
      <c r="MX642" s="36"/>
      <c r="MY642" s="36"/>
      <c r="MZ642" s="36"/>
      <c r="NA642" s="36"/>
      <c r="NB642" s="36"/>
      <c r="NC642" s="36"/>
      <c r="ND642" s="36"/>
      <c r="NE642" s="36"/>
      <c r="NF642" s="36"/>
      <c r="NG642" s="36"/>
      <c r="NH642" s="36"/>
      <c r="NI642" s="36"/>
      <c r="NJ642" s="36"/>
      <c r="NK642" s="36"/>
      <c r="NL642" s="36"/>
      <c r="NM642" s="36"/>
      <c r="NN642" s="36"/>
      <c r="NO642" s="36"/>
      <c r="NP642" s="36"/>
      <c r="NQ642" s="36"/>
      <c r="NR642" s="36"/>
      <c r="NS642" s="36"/>
      <c r="NT642" s="36"/>
      <c r="NU642" s="36"/>
      <c r="NV642" s="36"/>
      <c r="NW642" s="36"/>
      <c r="NX642" s="36"/>
      <c r="NY642" s="36"/>
      <c r="NZ642" s="36"/>
      <c r="OA642" s="36"/>
      <c r="OB642" s="36"/>
      <c r="OC642" s="36"/>
      <c r="OD642" s="36"/>
      <c r="OE642" s="36"/>
      <c r="OF642" s="36"/>
      <c r="OG642" s="36"/>
      <c r="OH642" s="36"/>
      <c r="OI642" s="36"/>
      <c r="OJ642" s="36"/>
      <c r="OK642" s="36"/>
      <c r="OL642" s="36"/>
      <c r="OM642" s="36"/>
      <c r="ON642" s="36"/>
      <c r="OO642" s="36"/>
      <c r="OP642" s="36"/>
      <c r="OQ642" s="36"/>
      <c r="OR642" s="36"/>
      <c r="OS642" s="36"/>
      <c r="OT642" s="36"/>
      <c r="OU642" s="36"/>
      <c r="OV642" s="36"/>
      <c r="OW642" s="36"/>
      <c r="OX642" s="36"/>
    </row>
    <row r="643" spans="1:414" s="27" customFormat="1" ht="15.6">
      <c r="B643" s="51"/>
      <c r="D643" s="29"/>
      <c r="G643" s="49"/>
      <c r="H643" s="89"/>
      <c r="I643" s="38"/>
      <c r="K643" s="49"/>
      <c r="L643" s="90"/>
      <c r="M643" s="38"/>
      <c r="O643" s="49"/>
      <c r="P643" s="38"/>
      <c r="Q643" s="38"/>
      <c r="R643" s="43"/>
      <c r="S643" s="38"/>
      <c r="U643" s="52"/>
      <c r="V643" s="38"/>
      <c r="W643" s="52"/>
      <c r="X643" s="52"/>
      <c r="Y643" s="35"/>
      <c r="Z643" s="78"/>
      <c r="AF643" s="42"/>
      <c r="AU643" s="100"/>
      <c r="AV643" s="35"/>
      <c r="AW643" s="78"/>
      <c r="BD643" s="38"/>
      <c r="BH643" s="38"/>
      <c r="BL643" s="38"/>
      <c r="BR643" s="42">
        <f t="shared" si="187"/>
        <v>0</v>
      </c>
      <c r="BS643" s="43">
        <f t="shared" si="188"/>
        <v>0</v>
      </c>
      <c r="BU643" s="36"/>
      <c r="BV643" s="36"/>
      <c r="BW643" s="36"/>
      <c r="BX643" s="36"/>
      <c r="BY643" s="36"/>
      <c r="BZ643" s="36"/>
      <c r="CA643" s="36"/>
      <c r="CB643" s="36"/>
      <c r="CC643" s="36"/>
      <c r="CD643" s="36"/>
      <c r="CE643" s="36"/>
      <c r="CF643" s="36"/>
      <c r="CG643" s="36"/>
      <c r="CH643" s="36"/>
      <c r="CI643" s="36"/>
      <c r="CJ643" s="36"/>
      <c r="CK643" s="36"/>
      <c r="CL643" s="36"/>
      <c r="CM643" s="36"/>
      <c r="CN643" s="36"/>
      <c r="CO643" s="36"/>
      <c r="CP643" s="36"/>
      <c r="CQ643" s="36"/>
      <c r="CR643" s="36"/>
      <c r="CS643" s="36"/>
      <c r="CT643" s="36"/>
      <c r="CU643" s="36"/>
      <c r="CV643" s="36"/>
      <c r="CW643" s="36"/>
      <c r="CX643" s="36"/>
      <c r="CY643" s="36"/>
      <c r="CZ643" s="36"/>
      <c r="DA643" s="36"/>
      <c r="DB643" s="36"/>
      <c r="DC643" s="36"/>
      <c r="DD643" s="36"/>
      <c r="DE643" s="36"/>
      <c r="DF643" s="36"/>
      <c r="DG643" s="36"/>
      <c r="DH643" s="36"/>
      <c r="DI643" s="36"/>
      <c r="DJ643" s="36"/>
      <c r="DK643" s="36"/>
      <c r="DL643" s="36"/>
      <c r="DM643" s="36"/>
      <c r="DN643" s="36"/>
      <c r="DO643" s="36"/>
      <c r="DP643" s="36"/>
      <c r="DQ643" s="36"/>
      <c r="DR643" s="36"/>
      <c r="DS643" s="36"/>
      <c r="DT643" s="36"/>
      <c r="DU643" s="36"/>
      <c r="DV643" s="36"/>
      <c r="DW643" s="36"/>
      <c r="DX643" s="36"/>
      <c r="DY643" s="36"/>
      <c r="DZ643" s="36"/>
      <c r="EA643" s="36"/>
      <c r="EB643" s="36"/>
      <c r="EC643" s="36"/>
      <c r="ED643" s="36"/>
      <c r="EE643" s="36"/>
      <c r="EF643" s="36"/>
      <c r="EG643" s="36"/>
      <c r="EH643" s="36"/>
      <c r="EI643" s="36"/>
      <c r="EJ643" s="36"/>
      <c r="EK643" s="36"/>
      <c r="EL643" s="36"/>
      <c r="EM643" s="36"/>
      <c r="EN643" s="36"/>
      <c r="EO643" s="36"/>
      <c r="EP643" s="36"/>
      <c r="EQ643" s="36"/>
      <c r="ER643" s="36"/>
      <c r="ES643" s="36"/>
      <c r="ET643" s="36"/>
      <c r="EU643" s="36"/>
      <c r="EV643" s="36"/>
      <c r="EW643" s="36"/>
      <c r="EX643" s="36"/>
      <c r="EY643" s="36"/>
      <c r="EZ643" s="36"/>
      <c r="FA643" s="36"/>
      <c r="FB643" s="36"/>
      <c r="FC643" s="36"/>
      <c r="FD643" s="36"/>
      <c r="FE643" s="36"/>
      <c r="FF643" s="36"/>
      <c r="FG643" s="36"/>
      <c r="FH643" s="36"/>
      <c r="FI643" s="36"/>
      <c r="FJ643" s="36"/>
      <c r="FK643" s="36"/>
      <c r="FL643" s="36"/>
      <c r="FM643" s="36"/>
      <c r="FN643" s="36"/>
      <c r="FO643" s="36"/>
      <c r="FP643" s="36"/>
      <c r="FQ643" s="36"/>
      <c r="FR643" s="36"/>
      <c r="FS643" s="36"/>
      <c r="FT643" s="36"/>
      <c r="FU643" s="36"/>
      <c r="FV643" s="36"/>
      <c r="FW643" s="36"/>
      <c r="FX643" s="36"/>
      <c r="FY643" s="36"/>
      <c r="FZ643" s="36"/>
      <c r="GA643" s="36"/>
      <c r="GB643" s="36"/>
      <c r="GC643" s="36"/>
      <c r="GD643" s="36"/>
      <c r="GE643" s="36"/>
      <c r="GF643" s="36"/>
      <c r="GG643" s="36"/>
      <c r="GH643" s="36"/>
      <c r="GI643" s="36"/>
      <c r="GJ643" s="36"/>
      <c r="GK643" s="36"/>
      <c r="GL643" s="36"/>
      <c r="GM643" s="36"/>
      <c r="GN643" s="36"/>
      <c r="GO643" s="36"/>
      <c r="GP643" s="36"/>
      <c r="GQ643" s="36"/>
      <c r="GR643" s="36"/>
      <c r="GS643" s="36"/>
      <c r="GT643" s="36"/>
      <c r="GU643" s="36"/>
      <c r="GV643" s="36"/>
      <c r="GW643" s="36"/>
      <c r="GX643" s="36"/>
      <c r="GY643" s="36"/>
      <c r="GZ643" s="36"/>
      <c r="HA643" s="36"/>
      <c r="HB643" s="36"/>
      <c r="HC643" s="36"/>
      <c r="HD643" s="36"/>
      <c r="HE643" s="36"/>
      <c r="HF643" s="36"/>
      <c r="HG643" s="36"/>
      <c r="HH643" s="36"/>
      <c r="HI643" s="36"/>
      <c r="HJ643" s="36"/>
      <c r="HK643" s="36"/>
      <c r="HL643" s="36"/>
      <c r="HM643" s="36"/>
      <c r="HN643" s="36"/>
      <c r="HO643" s="36"/>
      <c r="HP643" s="36"/>
      <c r="HQ643" s="36"/>
      <c r="HR643" s="36"/>
      <c r="HS643" s="36"/>
      <c r="HT643" s="36"/>
      <c r="HU643" s="36"/>
      <c r="HV643" s="36"/>
      <c r="HW643" s="36"/>
      <c r="HX643" s="36"/>
      <c r="HY643" s="36"/>
      <c r="HZ643" s="36"/>
      <c r="IA643" s="36"/>
      <c r="IB643" s="36"/>
      <c r="IC643" s="36"/>
      <c r="ID643" s="36"/>
      <c r="IE643" s="36"/>
      <c r="IF643" s="36"/>
      <c r="IG643" s="36"/>
      <c r="IH643" s="36"/>
      <c r="II643" s="36"/>
      <c r="IJ643" s="36"/>
      <c r="IK643" s="36"/>
      <c r="IL643" s="36"/>
      <c r="IM643" s="36"/>
      <c r="IN643" s="36"/>
      <c r="IO643" s="36"/>
      <c r="IP643" s="36"/>
      <c r="IQ643" s="36"/>
      <c r="IR643" s="36"/>
      <c r="IS643" s="36"/>
      <c r="IT643" s="36"/>
      <c r="IU643" s="36"/>
      <c r="IV643" s="36"/>
      <c r="IW643" s="36"/>
      <c r="IX643" s="36"/>
      <c r="IY643" s="36"/>
      <c r="IZ643" s="36"/>
      <c r="JA643" s="36"/>
      <c r="JB643" s="36"/>
      <c r="JC643" s="36"/>
      <c r="JD643" s="36"/>
      <c r="JE643" s="36"/>
      <c r="JF643" s="36"/>
      <c r="JG643" s="36"/>
      <c r="JH643" s="36"/>
      <c r="JI643" s="36"/>
      <c r="JJ643" s="36"/>
      <c r="JK643" s="36"/>
      <c r="JL643" s="36"/>
      <c r="JM643" s="36"/>
      <c r="JN643" s="36"/>
      <c r="JO643" s="36"/>
      <c r="JP643" s="36"/>
      <c r="JQ643" s="36"/>
      <c r="JR643" s="36"/>
      <c r="JS643" s="36"/>
      <c r="JT643" s="36"/>
      <c r="JU643" s="36"/>
      <c r="JV643" s="36"/>
      <c r="JW643" s="36"/>
      <c r="JX643" s="36"/>
      <c r="JY643" s="36"/>
      <c r="JZ643" s="36"/>
      <c r="KA643" s="36"/>
      <c r="KB643" s="36"/>
      <c r="KC643" s="36"/>
      <c r="KD643" s="36"/>
      <c r="KE643" s="36"/>
      <c r="KF643" s="36"/>
      <c r="KG643" s="36"/>
      <c r="KH643" s="36"/>
      <c r="KI643" s="36"/>
      <c r="KJ643" s="36"/>
      <c r="KK643" s="36"/>
      <c r="KL643" s="36"/>
      <c r="KM643" s="36"/>
      <c r="KN643" s="36"/>
      <c r="KO643" s="36"/>
      <c r="KP643" s="36"/>
      <c r="KQ643" s="36"/>
      <c r="KR643" s="36"/>
      <c r="KS643" s="36"/>
      <c r="KT643" s="36"/>
      <c r="KU643" s="36"/>
      <c r="KV643" s="36"/>
      <c r="KW643" s="36"/>
      <c r="KX643" s="36"/>
      <c r="KY643" s="36"/>
      <c r="KZ643" s="36"/>
      <c r="LA643" s="36"/>
      <c r="LB643" s="36"/>
      <c r="LC643" s="36"/>
      <c r="LD643" s="36"/>
      <c r="LE643" s="36"/>
      <c r="LF643" s="36"/>
      <c r="LG643" s="36"/>
      <c r="LH643" s="36"/>
      <c r="LI643" s="36"/>
      <c r="LJ643" s="36"/>
      <c r="LK643" s="36"/>
      <c r="LL643" s="36"/>
      <c r="LM643" s="36"/>
      <c r="LN643" s="36"/>
      <c r="LO643" s="36"/>
      <c r="LP643" s="36"/>
      <c r="LQ643" s="36"/>
      <c r="LR643" s="36"/>
      <c r="LS643" s="36"/>
      <c r="LT643" s="36"/>
      <c r="LU643" s="36"/>
      <c r="LV643" s="36"/>
      <c r="LW643" s="36"/>
      <c r="LX643" s="36"/>
      <c r="LY643" s="36"/>
      <c r="LZ643" s="36"/>
      <c r="MA643" s="36"/>
      <c r="MB643" s="36"/>
      <c r="MC643" s="36"/>
      <c r="MD643" s="36"/>
      <c r="ME643" s="36"/>
      <c r="MF643" s="36"/>
      <c r="MG643" s="36"/>
      <c r="MH643" s="36"/>
      <c r="MI643" s="36"/>
      <c r="MJ643" s="36"/>
      <c r="MK643" s="36"/>
      <c r="ML643" s="36"/>
      <c r="MM643" s="36"/>
      <c r="MN643" s="36"/>
      <c r="MO643" s="36"/>
      <c r="MP643" s="36"/>
      <c r="MQ643" s="36"/>
      <c r="MR643" s="36"/>
      <c r="MS643" s="36"/>
      <c r="MT643" s="36"/>
      <c r="MU643" s="36"/>
      <c r="MV643" s="36"/>
      <c r="MW643" s="36"/>
      <c r="MX643" s="36"/>
      <c r="MY643" s="36"/>
      <c r="MZ643" s="36"/>
      <c r="NA643" s="36"/>
      <c r="NB643" s="36"/>
      <c r="NC643" s="36"/>
      <c r="ND643" s="36"/>
      <c r="NE643" s="36"/>
      <c r="NF643" s="36"/>
      <c r="NG643" s="36"/>
      <c r="NH643" s="36"/>
      <c r="NI643" s="36"/>
      <c r="NJ643" s="36"/>
      <c r="NK643" s="36"/>
      <c r="NL643" s="36"/>
      <c r="NM643" s="36"/>
      <c r="NN643" s="36"/>
      <c r="NO643" s="36"/>
      <c r="NP643" s="36"/>
      <c r="NQ643" s="36"/>
      <c r="NR643" s="36"/>
      <c r="NS643" s="36"/>
      <c r="NT643" s="36"/>
      <c r="NU643" s="36"/>
      <c r="NV643" s="36"/>
      <c r="NW643" s="36"/>
      <c r="NX643" s="36"/>
      <c r="NY643" s="36"/>
      <c r="NZ643" s="36"/>
      <c r="OA643" s="36"/>
      <c r="OB643" s="36"/>
      <c r="OC643" s="36"/>
      <c r="OD643" s="36"/>
      <c r="OE643" s="36"/>
      <c r="OF643" s="36"/>
      <c r="OG643" s="36"/>
      <c r="OH643" s="36"/>
      <c r="OI643" s="36"/>
      <c r="OJ643" s="36"/>
      <c r="OK643" s="36"/>
      <c r="OL643" s="36"/>
      <c r="OM643" s="36"/>
      <c r="ON643" s="36"/>
      <c r="OO643" s="36"/>
      <c r="OP643" s="36"/>
      <c r="OQ643" s="36"/>
      <c r="OR643" s="36"/>
      <c r="OS643" s="36"/>
      <c r="OT643" s="36"/>
      <c r="OU643" s="36"/>
      <c r="OV643" s="36"/>
      <c r="OW643" s="36"/>
      <c r="OX643" s="36"/>
    </row>
    <row r="644" spans="1:414" s="27" customFormat="1" ht="15.6">
      <c r="B644" s="51"/>
      <c r="D644" s="29"/>
      <c r="G644" s="49"/>
      <c r="H644" s="89"/>
      <c r="I644" s="38"/>
      <c r="K644" s="49"/>
      <c r="L644" s="90"/>
      <c r="M644" s="38"/>
      <c r="O644" s="49"/>
      <c r="P644" s="38"/>
      <c r="Q644" s="38"/>
      <c r="R644" s="43"/>
      <c r="S644" s="38"/>
      <c r="U644" s="52"/>
      <c r="V644" s="38"/>
      <c r="W644" s="52"/>
      <c r="X644" s="52"/>
      <c r="Y644" s="35"/>
      <c r="Z644" s="78"/>
      <c r="AF644" s="42"/>
      <c r="AU644" s="100"/>
      <c r="AV644" s="35"/>
      <c r="AW644" s="78"/>
      <c r="BD644" s="38"/>
      <c r="BH644" s="38"/>
      <c r="BL644" s="38"/>
      <c r="BR644" s="42">
        <f t="shared" si="187"/>
        <v>0</v>
      </c>
      <c r="BS644" s="43">
        <f t="shared" si="188"/>
        <v>0</v>
      </c>
      <c r="BU644" s="36"/>
      <c r="BV644" s="36"/>
      <c r="BW644" s="36"/>
      <c r="BX644" s="36"/>
      <c r="BY644" s="36"/>
      <c r="BZ644" s="36"/>
      <c r="CA644" s="36"/>
      <c r="CB644" s="36"/>
      <c r="CC644" s="36"/>
      <c r="CD644" s="36"/>
      <c r="CE644" s="36"/>
      <c r="CF644" s="36"/>
      <c r="CG644" s="36"/>
      <c r="CH644" s="36"/>
      <c r="CI644" s="36"/>
      <c r="CJ644" s="36"/>
      <c r="CK644" s="36"/>
      <c r="CL644" s="36"/>
      <c r="CM644" s="36"/>
      <c r="CN644" s="36"/>
      <c r="CO644" s="36"/>
      <c r="CP644" s="36"/>
      <c r="CQ644" s="36"/>
      <c r="CR644" s="36"/>
      <c r="CS644" s="36"/>
      <c r="CT644" s="36"/>
      <c r="CU644" s="36"/>
      <c r="CV644" s="36"/>
      <c r="CW644" s="36"/>
      <c r="CX644" s="36"/>
      <c r="CY644" s="36"/>
      <c r="CZ644" s="36"/>
      <c r="DA644" s="36"/>
      <c r="DB644" s="36"/>
      <c r="DC644" s="36"/>
      <c r="DD644" s="36"/>
      <c r="DE644" s="36"/>
      <c r="DF644" s="36"/>
      <c r="DG644" s="36"/>
      <c r="DH644" s="36"/>
      <c r="DI644" s="36"/>
      <c r="DJ644" s="36"/>
      <c r="DK644" s="36"/>
      <c r="DL644" s="36"/>
      <c r="DM644" s="36"/>
      <c r="DN644" s="36"/>
      <c r="DO644" s="36"/>
      <c r="DP644" s="36"/>
      <c r="DQ644" s="36"/>
      <c r="DR644" s="36"/>
      <c r="DS644" s="36"/>
      <c r="DT644" s="36"/>
      <c r="DU644" s="36"/>
      <c r="DV644" s="36"/>
      <c r="DW644" s="36"/>
      <c r="DX644" s="36"/>
      <c r="DY644" s="36"/>
      <c r="DZ644" s="36"/>
      <c r="EA644" s="36"/>
      <c r="EB644" s="36"/>
      <c r="EC644" s="36"/>
      <c r="ED644" s="36"/>
      <c r="EE644" s="36"/>
      <c r="EF644" s="36"/>
      <c r="EG644" s="36"/>
      <c r="EH644" s="36"/>
      <c r="EI644" s="36"/>
      <c r="EJ644" s="36"/>
      <c r="EK644" s="36"/>
      <c r="EL644" s="36"/>
      <c r="EM644" s="36"/>
      <c r="EN644" s="36"/>
      <c r="EO644" s="36"/>
      <c r="EP644" s="36"/>
      <c r="EQ644" s="36"/>
      <c r="ER644" s="36"/>
      <c r="ES644" s="36"/>
      <c r="ET644" s="36"/>
      <c r="EU644" s="36"/>
      <c r="EV644" s="36"/>
      <c r="EW644" s="36"/>
      <c r="EX644" s="36"/>
      <c r="EY644" s="36"/>
      <c r="EZ644" s="36"/>
      <c r="FA644" s="36"/>
      <c r="FB644" s="36"/>
      <c r="FC644" s="36"/>
      <c r="FD644" s="36"/>
      <c r="FE644" s="36"/>
      <c r="FF644" s="36"/>
      <c r="FG644" s="36"/>
      <c r="FH644" s="36"/>
      <c r="FI644" s="36"/>
      <c r="FJ644" s="36"/>
      <c r="FK644" s="36"/>
      <c r="FL644" s="36"/>
      <c r="FM644" s="36"/>
      <c r="FN644" s="36"/>
      <c r="FO644" s="36"/>
      <c r="FP644" s="36"/>
      <c r="FQ644" s="36"/>
      <c r="FR644" s="36"/>
      <c r="FS644" s="36"/>
      <c r="FT644" s="36"/>
      <c r="FU644" s="36"/>
      <c r="FV644" s="36"/>
      <c r="FW644" s="36"/>
      <c r="FX644" s="36"/>
      <c r="FY644" s="36"/>
      <c r="FZ644" s="36"/>
      <c r="GA644" s="36"/>
      <c r="GB644" s="36"/>
      <c r="GC644" s="36"/>
      <c r="GD644" s="36"/>
      <c r="GE644" s="36"/>
      <c r="GF644" s="36"/>
      <c r="GG644" s="36"/>
      <c r="GH644" s="36"/>
      <c r="GI644" s="36"/>
      <c r="GJ644" s="36"/>
      <c r="GK644" s="36"/>
      <c r="GL644" s="36"/>
      <c r="GM644" s="36"/>
      <c r="GN644" s="36"/>
      <c r="GO644" s="36"/>
      <c r="GP644" s="36"/>
      <c r="GQ644" s="36"/>
      <c r="GR644" s="36"/>
      <c r="GS644" s="36"/>
      <c r="GT644" s="36"/>
      <c r="GU644" s="36"/>
      <c r="GV644" s="36"/>
      <c r="GW644" s="36"/>
      <c r="GX644" s="36"/>
      <c r="GY644" s="36"/>
      <c r="GZ644" s="36"/>
      <c r="HA644" s="36"/>
      <c r="HB644" s="36"/>
      <c r="HC644" s="36"/>
      <c r="HD644" s="36"/>
      <c r="HE644" s="36"/>
      <c r="HF644" s="36"/>
      <c r="HG644" s="36"/>
      <c r="HH644" s="36"/>
      <c r="HI644" s="36"/>
      <c r="HJ644" s="36"/>
      <c r="HK644" s="36"/>
      <c r="HL644" s="36"/>
      <c r="HM644" s="36"/>
      <c r="HN644" s="36"/>
      <c r="HO644" s="36"/>
      <c r="HP644" s="36"/>
      <c r="HQ644" s="36"/>
      <c r="HR644" s="36"/>
      <c r="HS644" s="36"/>
      <c r="HT644" s="36"/>
      <c r="HU644" s="36"/>
      <c r="HV644" s="36"/>
      <c r="HW644" s="36"/>
      <c r="HX644" s="36"/>
      <c r="HY644" s="36"/>
      <c r="HZ644" s="36"/>
      <c r="IA644" s="36"/>
      <c r="IB644" s="36"/>
      <c r="IC644" s="36"/>
      <c r="ID644" s="36"/>
      <c r="IE644" s="36"/>
      <c r="IF644" s="36"/>
      <c r="IG644" s="36"/>
      <c r="IH644" s="36"/>
      <c r="II644" s="36"/>
      <c r="IJ644" s="36"/>
      <c r="IK644" s="36"/>
      <c r="IL644" s="36"/>
      <c r="IM644" s="36"/>
      <c r="IN644" s="36"/>
      <c r="IO644" s="36"/>
      <c r="IP644" s="36"/>
      <c r="IQ644" s="36"/>
      <c r="IR644" s="36"/>
      <c r="IS644" s="36"/>
      <c r="IT644" s="36"/>
      <c r="IU644" s="36"/>
      <c r="IV644" s="36"/>
      <c r="IW644" s="36"/>
      <c r="IX644" s="36"/>
      <c r="IY644" s="36"/>
      <c r="IZ644" s="36"/>
      <c r="JA644" s="36"/>
      <c r="JB644" s="36"/>
      <c r="JC644" s="36"/>
      <c r="JD644" s="36"/>
      <c r="JE644" s="36"/>
      <c r="JF644" s="36"/>
      <c r="JG644" s="36"/>
      <c r="JH644" s="36"/>
      <c r="JI644" s="36"/>
      <c r="JJ644" s="36"/>
      <c r="JK644" s="36"/>
      <c r="JL644" s="36"/>
      <c r="JM644" s="36"/>
      <c r="JN644" s="36"/>
      <c r="JO644" s="36"/>
      <c r="JP644" s="36"/>
      <c r="JQ644" s="36"/>
      <c r="JR644" s="36"/>
      <c r="JS644" s="36"/>
      <c r="JT644" s="36"/>
      <c r="JU644" s="36"/>
      <c r="JV644" s="36"/>
      <c r="JW644" s="36"/>
      <c r="JX644" s="36"/>
      <c r="JY644" s="36"/>
      <c r="JZ644" s="36"/>
      <c r="KA644" s="36"/>
      <c r="KB644" s="36"/>
      <c r="KC644" s="36"/>
      <c r="KD644" s="36"/>
      <c r="KE644" s="36"/>
      <c r="KF644" s="36"/>
      <c r="KG644" s="36"/>
      <c r="KH644" s="36"/>
      <c r="KI644" s="36"/>
      <c r="KJ644" s="36"/>
      <c r="KK644" s="36"/>
      <c r="KL644" s="36"/>
      <c r="KM644" s="36"/>
      <c r="KN644" s="36"/>
      <c r="KO644" s="36"/>
      <c r="KP644" s="36"/>
      <c r="KQ644" s="36"/>
      <c r="KR644" s="36"/>
      <c r="KS644" s="36"/>
      <c r="KT644" s="36"/>
      <c r="KU644" s="36"/>
      <c r="KV644" s="36"/>
      <c r="KW644" s="36"/>
      <c r="KX644" s="36"/>
      <c r="KY644" s="36"/>
      <c r="KZ644" s="36"/>
      <c r="LA644" s="36"/>
      <c r="LB644" s="36"/>
      <c r="LC644" s="36"/>
      <c r="LD644" s="36"/>
      <c r="LE644" s="36"/>
      <c r="LF644" s="36"/>
      <c r="LG644" s="36"/>
      <c r="LH644" s="36"/>
      <c r="LI644" s="36"/>
      <c r="LJ644" s="36"/>
      <c r="LK644" s="36"/>
      <c r="LL644" s="36"/>
      <c r="LM644" s="36"/>
      <c r="LN644" s="36"/>
      <c r="LO644" s="36"/>
      <c r="LP644" s="36"/>
      <c r="LQ644" s="36"/>
      <c r="LR644" s="36"/>
      <c r="LS644" s="36"/>
      <c r="LT644" s="36"/>
      <c r="LU644" s="36"/>
      <c r="LV644" s="36"/>
      <c r="LW644" s="36"/>
      <c r="LX644" s="36"/>
      <c r="LY644" s="36"/>
      <c r="LZ644" s="36"/>
      <c r="MA644" s="36"/>
      <c r="MB644" s="36"/>
      <c r="MC644" s="36"/>
      <c r="MD644" s="36"/>
      <c r="ME644" s="36"/>
      <c r="MF644" s="36"/>
      <c r="MG644" s="36"/>
      <c r="MH644" s="36"/>
      <c r="MI644" s="36"/>
      <c r="MJ644" s="36"/>
      <c r="MK644" s="36"/>
      <c r="ML644" s="36"/>
      <c r="MM644" s="36"/>
      <c r="MN644" s="36"/>
      <c r="MO644" s="36"/>
      <c r="MP644" s="36"/>
      <c r="MQ644" s="36"/>
      <c r="MR644" s="36"/>
      <c r="MS644" s="36"/>
      <c r="MT644" s="36"/>
      <c r="MU644" s="36"/>
      <c r="MV644" s="36"/>
      <c r="MW644" s="36"/>
      <c r="MX644" s="36"/>
      <c r="MY644" s="36"/>
      <c r="MZ644" s="36"/>
      <c r="NA644" s="36"/>
      <c r="NB644" s="36"/>
      <c r="NC644" s="36"/>
      <c r="ND644" s="36"/>
      <c r="NE644" s="36"/>
      <c r="NF644" s="36"/>
      <c r="NG644" s="36"/>
      <c r="NH644" s="36"/>
      <c r="NI644" s="36"/>
      <c r="NJ644" s="36"/>
      <c r="NK644" s="36"/>
      <c r="NL644" s="36"/>
      <c r="NM644" s="36"/>
      <c r="NN644" s="36"/>
      <c r="NO644" s="36"/>
      <c r="NP644" s="36"/>
      <c r="NQ644" s="36"/>
      <c r="NR644" s="36"/>
      <c r="NS644" s="36"/>
      <c r="NT644" s="36"/>
      <c r="NU644" s="36"/>
      <c r="NV644" s="36"/>
      <c r="NW644" s="36"/>
      <c r="NX644" s="36"/>
      <c r="NY644" s="36"/>
      <c r="NZ644" s="36"/>
      <c r="OA644" s="36"/>
      <c r="OB644" s="36"/>
      <c r="OC644" s="36"/>
      <c r="OD644" s="36"/>
      <c r="OE644" s="36"/>
      <c r="OF644" s="36"/>
      <c r="OG644" s="36"/>
      <c r="OH644" s="36"/>
      <c r="OI644" s="36"/>
      <c r="OJ644" s="36"/>
      <c r="OK644" s="36"/>
      <c r="OL644" s="36"/>
      <c r="OM644" s="36"/>
      <c r="ON644" s="36"/>
      <c r="OO644" s="36"/>
      <c r="OP644" s="36"/>
      <c r="OQ644" s="36"/>
      <c r="OR644" s="36"/>
      <c r="OS644" s="36"/>
      <c r="OT644" s="36"/>
      <c r="OU644" s="36"/>
      <c r="OV644" s="36"/>
      <c r="OW644" s="36"/>
      <c r="OX644" s="36"/>
    </row>
    <row r="645" spans="1:414" s="27" customFormat="1" ht="15.6">
      <c r="B645" s="51"/>
      <c r="D645" s="29"/>
      <c r="G645" s="49"/>
      <c r="H645" s="89"/>
      <c r="I645" s="38"/>
      <c r="K645" s="49"/>
      <c r="L645" s="90"/>
      <c r="M645" s="38"/>
      <c r="O645" s="49"/>
      <c r="P645" s="38"/>
      <c r="Q645" s="38"/>
      <c r="R645" s="43"/>
      <c r="S645" s="38"/>
      <c r="U645" s="52"/>
      <c r="V645" s="38"/>
      <c r="W645" s="52"/>
      <c r="X645" s="52"/>
      <c r="Y645" s="35"/>
      <c r="Z645" s="78"/>
      <c r="AF645" s="42"/>
      <c r="AU645" s="100"/>
      <c r="AV645" s="35"/>
      <c r="AW645" s="78"/>
      <c r="BD645" s="38"/>
      <c r="BH645" s="38"/>
      <c r="BL645" s="38"/>
      <c r="BR645" s="42">
        <f t="shared" si="187"/>
        <v>0</v>
      </c>
      <c r="BS645" s="43">
        <f t="shared" si="188"/>
        <v>0</v>
      </c>
      <c r="BU645" s="36"/>
      <c r="BV645" s="36"/>
      <c r="BW645" s="36"/>
      <c r="BX645" s="36"/>
      <c r="BY645" s="36"/>
      <c r="BZ645" s="36"/>
      <c r="CA645" s="36"/>
      <c r="CB645" s="36"/>
      <c r="CC645" s="36"/>
      <c r="CD645" s="36"/>
      <c r="CE645" s="36"/>
      <c r="CF645" s="36"/>
      <c r="CG645" s="36"/>
      <c r="CH645" s="36"/>
      <c r="CI645" s="36"/>
      <c r="CJ645" s="36"/>
      <c r="CK645" s="36"/>
      <c r="CL645" s="36"/>
      <c r="CM645" s="36"/>
      <c r="CN645" s="36"/>
      <c r="CO645" s="36"/>
      <c r="CP645" s="36"/>
      <c r="CQ645" s="36"/>
      <c r="CR645" s="36"/>
      <c r="CS645" s="36"/>
      <c r="CT645" s="36"/>
      <c r="CU645" s="36"/>
      <c r="CV645" s="36"/>
      <c r="CW645" s="36"/>
      <c r="CX645" s="36"/>
      <c r="CY645" s="36"/>
      <c r="CZ645" s="36"/>
      <c r="DA645" s="36"/>
      <c r="DB645" s="36"/>
      <c r="DC645" s="36"/>
      <c r="DD645" s="36"/>
      <c r="DE645" s="36"/>
      <c r="DF645" s="36"/>
      <c r="DG645" s="36"/>
      <c r="DH645" s="36"/>
      <c r="DI645" s="36"/>
      <c r="DJ645" s="36"/>
      <c r="DK645" s="36"/>
      <c r="DL645" s="36"/>
      <c r="DM645" s="36"/>
      <c r="DN645" s="36"/>
      <c r="DO645" s="36"/>
      <c r="DP645" s="36"/>
      <c r="DQ645" s="36"/>
      <c r="DR645" s="36"/>
      <c r="DS645" s="36"/>
      <c r="DT645" s="36"/>
      <c r="DU645" s="36"/>
      <c r="DV645" s="36"/>
      <c r="DW645" s="36"/>
      <c r="DX645" s="36"/>
      <c r="DY645" s="36"/>
      <c r="DZ645" s="36"/>
      <c r="EA645" s="36"/>
      <c r="EB645" s="36"/>
      <c r="EC645" s="36"/>
      <c r="ED645" s="36"/>
      <c r="EE645" s="36"/>
      <c r="EF645" s="36"/>
      <c r="EG645" s="36"/>
      <c r="EH645" s="36"/>
      <c r="EI645" s="36"/>
      <c r="EJ645" s="36"/>
      <c r="EK645" s="36"/>
      <c r="EL645" s="36"/>
      <c r="EM645" s="36"/>
      <c r="EN645" s="36"/>
      <c r="EO645" s="36"/>
      <c r="EP645" s="36"/>
      <c r="EQ645" s="36"/>
      <c r="ER645" s="36"/>
      <c r="ES645" s="36"/>
      <c r="ET645" s="36"/>
      <c r="EU645" s="36"/>
      <c r="EV645" s="36"/>
      <c r="EW645" s="36"/>
      <c r="EX645" s="36"/>
      <c r="EY645" s="36"/>
      <c r="EZ645" s="36"/>
      <c r="FA645" s="36"/>
      <c r="FB645" s="36"/>
      <c r="FC645" s="36"/>
      <c r="FD645" s="36"/>
      <c r="FE645" s="36"/>
      <c r="FF645" s="36"/>
      <c r="FG645" s="36"/>
      <c r="FH645" s="36"/>
      <c r="FI645" s="36"/>
      <c r="FJ645" s="36"/>
      <c r="FK645" s="36"/>
      <c r="FL645" s="36"/>
      <c r="FM645" s="36"/>
      <c r="FN645" s="36"/>
      <c r="FO645" s="36"/>
      <c r="FP645" s="36"/>
      <c r="FQ645" s="36"/>
      <c r="FR645" s="36"/>
      <c r="FS645" s="36"/>
      <c r="FT645" s="36"/>
      <c r="FU645" s="36"/>
      <c r="FV645" s="36"/>
      <c r="FW645" s="36"/>
      <c r="FX645" s="36"/>
      <c r="FY645" s="36"/>
      <c r="FZ645" s="36"/>
      <c r="GA645" s="36"/>
      <c r="GB645" s="36"/>
      <c r="GC645" s="36"/>
      <c r="GD645" s="36"/>
      <c r="GE645" s="36"/>
      <c r="GF645" s="36"/>
      <c r="GG645" s="36"/>
      <c r="GH645" s="36"/>
      <c r="GI645" s="36"/>
      <c r="GJ645" s="36"/>
      <c r="GK645" s="36"/>
      <c r="GL645" s="36"/>
      <c r="GM645" s="36"/>
      <c r="GN645" s="36"/>
      <c r="GO645" s="36"/>
      <c r="GP645" s="36"/>
      <c r="GQ645" s="36"/>
      <c r="GR645" s="36"/>
      <c r="GS645" s="36"/>
      <c r="GT645" s="36"/>
      <c r="GU645" s="36"/>
      <c r="GV645" s="36"/>
      <c r="GW645" s="36"/>
      <c r="GX645" s="36"/>
      <c r="GY645" s="36"/>
      <c r="GZ645" s="36"/>
      <c r="HA645" s="36"/>
      <c r="HB645" s="36"/>
      <c r="HC645" s="36"/>
      <c r="HD645" s="36"/>
      <c r="HE645" s="36"/>
      <c r="HF645" s="36"/>
      <c r="HG645" s="36"/>
      <c r="HH645" s="36"/>
      <c r="HI645" s="36"/>
      <c r="HJ645" s="36"/>
      <c r="HK645" s="36"/>
      <c r="HL645" s="36"/>
      <c r="HM645" s="36"/>
      <c r="HN645" s="36"/>
      <c r="HO645" s="36"/>
      <c r="HP645" s="36"/>
      <c r="HQ645" s="36"/>
      <c r="HR645" s="36"/>
      <c r="HS645" s="36"/>
      <c r="HT645" s="36"/>
      <c r="HU645" s="36"/>
      <c r="HV645" s="36"/>
      <c r="HW645" s="36"/>
      <c r="HX645" s="36"/>
      <c r="HY645" s="36"/>
      <c r="HZ645" s="36"/>
      <c r="IA645" s="36"/>
      <c r="IB645" s="36"/>
      <c r="IC645" s="36"/>
      <c r="ID645" s="36"/>
      <c r="IE645" s="36"/>
      <c r="IF645" s="36"/>
      <c r="IG645" s="36"/>
      <c r="IH645" s="36"/>
      <c r="II645" s="36"/>
      <c r="IJ645" s="36"/>
      <c r="IK645" s="36"/>
      <c r="IL645" s="36"/>
      <c r="IM645" s="36"/>
      <c r="IN645" s="36"/>
      <c r="IO645" s="36"/>
      <c r="IP645" s="36"/>
      <c r="IQ645" s="36"/>
      <c r="IR645" s="36"/>
      <c r="IS645" s="36"/>
      <c r="IT645" s="36"/>
      <c r="IU645" s="36"/>
      <c r="IV645" s="36"/>
      <c r="IW645" s="36"/>
      <c r="IX645" s="36"/>
      <c r="IY645" s="36"/>
      <c r="IZ645" s="36"/>
      <c r="JA645" s="36"/>
      <c r="JB645" s="36"/>
      <c r="JC645" s="36"/>
      <c r="JD645" s="36"/>
      <c r="JE645" s="36"/>
      <c r="JF645" s="36"/>
      <c r="JG645" s="36"/>
      <c r="JH645" s="36"/>
      <c r="JI645" s="36"/>
      <c r="JJ645" s="36"/>
      <c r="JK645" s="36"/>
      <c r="JL645" s="36"/>
      <c r="JM645" s="36"/>
      <c r="JN645" s="36"/>
      <c r="JO645" s="36"/>
      <c r="JP645" s="36"/>
      <c r="JQ645" s="36"/>
      <c r="JR645" s="36"/>
      <c r="JS645" s="36"/>
      <c r="JT645" s="36"/>
      <c r="JU645" s="36"/>
      <c r="JV645" s="36"/>
      <c r="JW645" s="36"/>
      <c r="JX645" s="36"/>
      <c r="JY645" s="36"/>
      <c r="JZ645" s="36"/>
      <c r="KA645" s="36"/>
      <c r="KB645" s="36"/>
      <c r="KC645" s="36"/>
      <c r="KD645" s="36"/>
      <c r="KE645" s="36"/>
      <c r="KF645" s="36"/>
      <c r="KG645" s="36"/>
      <c r="KH645" s="36"/>
      <c r="KI645" s="36"/>
      <c r="KJ645" s="36"/>
      <c r="KK645" s="36"/>
      <c r="KL645" s="36"/>
      <c r="KM645" s="36"/>
      <c r="KN645" s="36"/>
      <c r="KO645" s="36"/>
      <c r="KP645" s="36"/>
      <c r="KQ645" s="36"/>
      <c r="KR645" s="36"/>
      <c r="KS645" s="36"/>
      <c r="KT645" s="36"/>
      <c r="KU645" s="36"/>
      <c r="KV645" s="36"/>
      <c r="KW645" s="36"/>
      <c r="KX645" s="36"/>
      <c r="KY645" s="36"/>
      <c r="KZ645" s="36"/>
      <c r="LA645" s="36"/>
      <c r="LB645" s="36"/>
      <c r="LC645" s="36"/>
      <c r="LD645" s="36"/>
      <c r="LE645" s="36"/>
      <c r="LF645" s="36"/>
      <c r="LG645" s="36"/>
      <c r="LH645" s="36"/>
      <c r="LI645" s="36"/>
      <c r="LJ645" s="36"/>
      <c r="LK645" s="36"/>
      <c r="LL645" s="36"/>
      <c r="LM645" s="36"/>
      <c r="LN645" s="36"/>
      <c r="LO645" s="36"/>
      <c r="LP645" s="36"/>
      <c r="LQ645" s="36"/>
      <c r="LR645" s="36"/>
      <c r="LS645" s="36"/>
      <c r="LT645" s="36"/>
      <c r="LU645" s="36"/>
      <c r="LV645" s="36"/>
      <c r="LW645" s="36"/>
      <c r="LX645" s="36"/>
      <c r="LY645" s="36"/>
      <c r="LZ645" s="36"/>
      <c r="MA645" s="36"/>
      <c r="MB645" s="36"/>
      <c r="MC645" s="36"/>
      <c r="MD645" s="36"/>
      <c r="ME645" s="36"/>
      <c r="MF645" s="36"/>
      <c r="MG645" s="36"/>
      <c r="MH645" s="36"/>
      <c r="MI645" s="36"/>
      <c r="MJ645" s="36"/>
      <c r="MK645" s="36"/>
      <c r="ML645" s="36"/>
      <c r="MM645" s="36"/>
      <c r="MN645" s="36"/>
      <c r="MO645" s="36"/>
      <c r="MP645" s="36"/>
      <c r="MQ645" s="36"/>
      <c r="MR645" s="36"/>
      <c r="MS645" s="36"/>
      <c r="MT645" s="36"/>
      <c r="MU645" s="36"/>
      <c r="MV645" s="36"/>
      <c r="MW645" s="36"/>
      <c r="MX645" s="36"/>
      <c r="MY645" s="36"/>
      <c r="MZ645" s="36"/>
      <c r="NA645" s="36"/>
      <c r="NB645" s="36"/>
      <c r="NC645" s="36"/>
      <c r="ND645" s="36"/>
      <c r="NE645" s="36"/>
      <c r="NF645" s="36"/>
      <c r="NG645" s="36"/>
      <c r="NH645" s="36"/>
      <c r="NI645" s="36"/>
      <c r="NJ645" s="36"/>
      <c r="NK645" s="36"/>
      <c r="NL645" s="36"/>
      <c r="NM645" s="36"/>
      <c r="NN645" s="36"/>
      <c r="NO645" s="36"/>
      <c r="NP645" s="36"/>
      <c r="NQ645" s="36"/>
      <c r="NR645" s="36"/>
      <c r="NS645" s="36"/>
      <c r="NT645" s="36"/>
      <c r="NU645" s="36"/>
      <c r="NV645" s="36"/>
      <c r="NW645" s="36"/>
      <c r="NX645" s="36"/>
      <c r="NY645" s="36"/>
      <c r="NZ645" s="36"/>
      <c r="OA645" s="36"/>
      <c r="OB645" s="36"/>
      <c r="OC645" s="36"/>
      <c r="OD645" s="36"/>
      <c r="OE645" s="36"/>
      <c r="OF645" s="36"/>
      <c r="OG645" s="36"/>
      <c r="OH645" s="36"/>
      <c r="OI645" s="36"/>
      <c r="OJ645" s="36"/>
      <c r="OK645" s="36"/>
      <c r="OL645" s="36"/>
      <c r="OM645" s="36"/>
      <c r="ON645" s="36"/>
      <c r="OO645" s="36"/>
      <c r="OP645" s="36"/>
      <c r="OQ645" s="36"/>
      <c r="OR645" s="36"/>
      <c r="OS645" s="36"/>
      <c r="OT645" s="36"/>
      <c r="OU645" s="36"/>
      <c r="OV645" s="36"/>
      <c r="OW645" s="36"/>
      <c r="OX645" s="36"/>
    </row>
    <row r="646" spans="1:414" s="27" customFormat="1" ht="15.6">
      <c r="B646" s="51"/>
      <c r="D646" s="29"/>
      <c r="G646" s="49"/>
      <c r="H646" s="89"/>
      <c r="I646" s="38"/>
      <c r="K646" s="49"/>
      <c r="L646" s="90"/>
      <c r="M646" s="38"/>
      <c r="O646" s="49"/>
      <c r="P646" s="38"/>
      <c r="Q646" s="38"/>
      <c r="R646" s="43"/>
      <c r="S646" s="38"/>
      <c r="U646" s="52"/>
      <c r="V646" s="38"/>
      <c r="W646" s="52"/>
      <c r="X646" s="52"/>
      <c r="Y646" s="35"/>
      <c r="Z646" s="78"/>
      <c r="AF646" s="42"/>
      <c r="AU646" s="100"/>
      <c r="AV646" s="35"/>
      <c r="AW646" s="78"/>
      <c r="BD646" s="38"/>
      <c r="BH646" s="38"/>
      <c r="BL646" s="38"/>
      <c r="BR646" s="42">
        <f t="shared" si="187"/>
        <v>0</v>
      </c>
      <c r="BS646" s="43">
        <f t="shared" si="188"/>
        <v>0</v>
      </c>
      <c r="BU646" s="36"/>
      <c r="BV646" s="36"/>
      <c r="BW646" s="36"/>
      <c r="BX646" s="36"/>
      <c r="BY646" s="36"/>
      <c r="BZ646" s="36"/>
      <c r="CA646" s="36"/>
      <c r="CB646" s="36"/>
      <c r="CC646" s="36"/>
      <c r="CD646" s="36"/>
      <c r="CE646" s="36"/>
      <c r="CF646" s="36"/>
      <c r="CG646" s="36"/>
      <c r="CH646" s="36"/>
      <c r="CI646" s="36"/>
      <c r="CJ646" s="36"/>
      <c r="CK646" s="36"/>
      <c r="CL646" s="36"/>
      <c r="CM646" s="36"/>
      <c r="CN646" s="36"/>
      <c r="CO646" s="36"/>
      <c r="CP646" s="36"/>
      <c r="CQ646" s="36"/>
      <c r="CR646" s="36"/>
      <c r="CS646" s="36"/>
      <c r="CT646" s="36"/>
      <c r="CU646" s="36"/>
      <c r="CV646" s="36"/>
      <c r="CW646" s="36"/>
      <c r="CX646" s="36"/>
      <c r="CY646" s="36"/>
      <c r="CZ646" s="36"/>
      <c r="DA646" s="36"/>
      <c r="DB646" s="36"/>
      <c r="DC646" s="36"/>
      <c r="DD646" s="36"/>
      <c r="DE646" s="36"/>
      <c r="DF646" s="36"/>
      <c r="DG646" s="36"/>
      <c r="DH646" s="36"/>
      <c r="DI646" s="36"/>
      <c r="DJ646" s="36"/>
      <c r="DK646" s="36"/>
      <c r="DL646" s="36"/>
      <c r="DM646" s="36"/>
      <c r="DN646" s="36"/>
      <c r="DO646" s="36"/>
      <c r="DP646" s="36"/>
      <c r="DQ646" s="36"/>
      <c r="DR646" s="36"/>
      <c r="DS646" s="36"/>
      <c r="DT646" s="36"/>
      <c r="DU646" s="36"/>
      <c r="DV646" s="36"/>
      <c r="DW646" s="36"/>
      <c r="DX646" s="36"/>
      <c r="DY646" s="36"/>
      <c r="DZ646" s="36"/>
      <c r="EA646" s="36"/>
      <c r="EB646" s="36"/>
      <c r="EC646" s="36"/>
      <c r="ED646" s="36"/>
      <c r="EE646" s="36"/>
      <c r="EF646" s="36"/>
      <c r="EG646" s="36"/>
      <c r="EH646" s="36"/>
      <c r="EI646" s="36"/>
      <c r="EJ646" s="36"/>
      <c r="EK646" s="36"/>
      <c r="EL646" s="36"/>
      <c r="EM646" s="36"/>
      <c r="EN646" s="36"/>
      <c r="EO646" s="36"/>
      <c r="EP646" s="36"/>
      <c r="EQ646" s="36"/>
      <c r="ER646" s="36"/>
      <c r="ES646" s="36"/>
      <c r="ET646" s="36"/>
      <c r="EU646" s="36"/>
      <c r="EV646" s="36"/>
      <c r="EW646" s="36"/>
      <c r="EX646" s="36"/>
      <c r="EY646" s="36"/>
      <c r="EZ646" s="36"/>
      <c r="FA646" s="36"/>
      <c r="FB646" s="36"/>
      <c r="FC646" s="36"/>
      <c r="FD646" s="36"/>
      <c r="FE646" s="36"/>
      <c r="FF646" s="36"/>
      <c r="FG646" s="36"/>
      <c r="FH646" s="36"/>
      <c r="FI646" s="36"/>
      <c r="FJ646" s="36"/>
      <c r="FK646" s="36"/>
      <c r="FL646" s="36"/>
      <c r="FM646" s="36"/>
      <c r="FN646" s="36"/>
      <c r="FO646" s="36"/>
      <c r="FP646" s="36"/>
      <c r="FQ646" s="36"/>
      <c r="FR646" s="36"/>
      <c r="FS646" s="36"/>
      <c r="FT646" s="36"/>
      <c r="FU646" s="36"/>
      <c r="FV646" s="36"/>
      <c r="FW646" s="36"/>
      <c r="FX646" s="36"/>
      <c r="FY646" s="36"/>
      <c r="FZ646" s="36"/>
      <c r="GA646" s="36"/>
      <c r="GB646" s="36"/>
      <c r="GC646" s="36"/>
      <c r="GD646" s="36"/>
      <c r="GE646" s="36"/>
      <c r="GF646" s="36"/>
      <c r="GG646" s="36"/>
      <c r="GH646" s="36"/>
      <c r="GI646" s="36"/>
      <c r="GJ646" s="36"/>
      <c r="GK646" s="36"/>
      <c r="GL646" s="36"/>
      <c r="GM646" s="36"/>
      <c r="GN646" s="36"/>
      <c r="GO646" s="36"/>
      <c r="GP646" s="36"/>
      <c r="GQ646" s="36"/>
      <c r="GR646" s="36"/>
      <c r="GS646" s="36"/>
      <c r="GT646" s="36"/>
      <c r="GU646" s="36"/>
      <c r="GV646" s="36"/>
      <c r="GW646" s="36"/>
      <c r="GX646" s="36"/>
      <c r="GY646" s="36"/>
      <c r="GZ646" s="36"/>
      <c r="HA646" s="36"/>
      <c r="HB646" s="36"/>
      <c r="HC646" s="36"/>
      <c r="HD646" s="36"/>
      <c r="HE646" s="36"/>
      <c r="HF646" s="36"/>
      <c r="HG646" s="36"/>
      <c r="HH646" s="36"/>
      <c r="HI646" s="36"/>
      <c r="HJ646" s="36"/>
      <c r="HK646" s="36"/>
      <c r="HL646" s="36"/>
      <c r="HM646" s="36"/>
      <c r="HN646" s="36"/>
      <c r="HO646" s="36"/>
      <c r="HP646" s="36"/>
      <c r="HQ646" s="36"/>
      <c r="HR646" s="36"/>
      <c r="HS646" s="36"/>
      <c r="HT646" s="36"/>
      <c r="HU646" s="36"/>
      <c r="HV646" s="36"/>
      <c r="HW646" s="36"/>
      <c r="HX646" s="36"/>
      <c r="HY646" s="36"/>
      <c r="HZ646" s="36"/>
      <c r="IA646" s="36"/>
      <c r="IB646" s="36"/>
      <c r="IC646" s="36"/>
      <c r="ID646" s="36"/>
      <c r="IE646" s="36"/>
      <c r="IF646" s="36"/>
      <c r="IG646" s="36"/>
      <c r="IH646" s="36"/>
      <c r="II646" s="36"/>
      <c r="IJ646" s="36"/>
      <c r="IK646" s="36"/>
      <c r="IL646" s="36"/>
      <c r="IM646" s="36"/>
      <c r="IN646" s="36"/>
      <c r="IO646" s="36"/>
      <c r="IP646" s="36"/>
      <c r="IQ646" s="36"/>
      <c r="IR646" s="36"/>
      <c r="IS646" s="36"/>
      <c r="IT646" s="36"/>
      <c r="IU646" s="36"/>
      <c r="IV646" s="36"/>
      <c r="IW646" s="36"/>
      <c r="IX646" s="36"/>
      <c r="IY646" s="36"/>
      <c r="IZ646" s="36"/>
      <c r="JA646" s="36"/>
      <c r="JB646" s="36"/>
      <c r="JC646" s="36"/>
      <c r="JD646" s="36"/>
      <c r="JE646" s="36"/>
      <c r="JF646" s="36"/>
      <c r="JG646" s="36"/>
      <c r="JH646" s="36"/>
      <c r="JI646" s="36"/>
      <c r="JJ646" s="36"/>
      <c r="JK646" s="36"/>
      <c r="JL646" s="36"/>
      <c r="JM646" s="36"/>
      <c r="JN646" s="36"/>
      <c r="JO646" s="36"/>
      <c r="JP646" s="36"/>
      <c r="JQ646" s="36"/>
      <c r="JR646" s="36"/>
      <c r="JS646" s="36"/>
      <c r="JT646" s="36"/>
      <c r="JU646" s="36"/>
      <c r="JV646" s="36"/>
      <c r="JW646" s="36"/>
      <c r="JX646" s="36"/>
      <c r="JY646" s="36"/>
      <c r="JZ646" s="36"/>
      <c r="KA646" s="36"/>
      <c r="KB646" s="36"/>
      <c r="KC646" s="36"/>
      <c r="KD646" s="36"/>
      <c r="KE646" s="36"/>
      <c r="KF646" s="36"/>
      <c r="KG646" s="36"/>
      <c r="KH646" s="36"/>
      <c r="KI646" s="36"/>
      <c r="KJ646" s="36"/>
      <c r="KK646" s="36"/>
      <c r="KL646" s="36"/>
      <c r="KM646" s="36"/>
      <c r="KN646" s="36"/>
      <c r="KO646" s="36"/>
      <c r="KP646" s="36"/>
      <c r="KQ646" s="36"/>
      <c r="KR646" s="36"/>
      <c r="KS646" s="36"/>
      <c r="KT646" s="36"/>
      <c r="KU646" s="36"/>
      <c r="KV646" s="36"/>
      <c r="KW646" s="36"/>
      <c r="KX646" s="36"/>
      <c r="KY646" s="36"/>
      <c r="KZ646" s="36"/>
      <c r="LA646" s="36"/>
      <c r="LB646" s="36"/>
      <c r="LC646" s="36"/>
      <c r="LD646" s="36"/>
      <c r="LE646" s="36"/>
      <c r="LF646" s="36"/>
      <c r="LG646" s="36"/>
      <c r="LH646" s="36"/>
      <c r="LI646" s="36"/>
      <c r="LJ646" s="36"/>
      <c r="LK646" s="36"/>
      <c r="LL646" s="36"/>
      <c r="LM646" s="36"/>
      <c r="LN646" s="36"/>
      <c r="LO646" s="36"/>
      <c r="LP646" s="36"/>
      <c r="LQ646" s="36"/>
      <c r="LR646" s="36"/>
      <c r="LS646" s="36"/>
      <c r="LT646" s="36"/>
      <c r="LU646" s="36"/>
      <c r="LV646" s="36"/>
      <c r="LW646" s="36"/>
      <c r="LX646" s="36"/>
      <c r="LY646" s="36"/>
      <c r="LZ646" s="36"/>
      <c r="MA646" s="36"/>
      <c r="MB646" s="36"/>
      <c r="MC646" s="36"/>
      <c r="MD646" s="36"/>
      <c r="ME646" s="36"/>
      <c r="MF646" s="36"/>
      <c r="MG646" s="36"/>
      <c r="MH646" s="36"/>
      <c r="MI646" s="36"/>
      <c r="MJ646" s="36"/>
      <c r="MK646" s="36"/>
      <c r="ML646" s="36"/>
      <c r="MM646" s="36"/>
      <c r="MN646" s="36"/>
      <c r="MO646" s="36"/>
      <c r="MP646" s="36"/>
      <c r="MQ646" s="36"/>
      <c r="MR646" s="36"/>
      <c r="MS646" s="36"/>
      <c r="MT646" s="36"/>
      <c r="MU646" s="36"/>
      <c r="MV646" s="36"/>
      <c r="MW646" s="36"/>
      <c r="MX646" s="36"/>
      <c r="MY646" s="36"/>
      <c r="MZ646" s="36"/>
      <c r="NA646" s="36"/>
      <c r="NB646" s="36"/>
      <c r="NC646" s="36"/>
      <c r="ND646" s="36"/>
      <c r="NE646" s="36"/>
      <c r="NF646" s="36"/>
      <c r="NG646" s="36"/>
      <c r="NH646" s="36"/>
      <c r="NI646" s="36"/>
      <c r="NJ646" s="36"/>
      <c r="NK646" s="36"/>
      <c r="NL646" s="36"/>
      <c r="NM646" s="36"/>
      <c r="NN646" s="36"/>
      <c r="NO646" s="36"/>
      <c r="NP646" s="36"/>
      <c r="NQ646" s="36"/>
      <c r="NR646" s="36"/>
      <c r="NS646" s="36"/>
      <c r="NT646" s="36"/>
      <c r="NU646" s="36"/>
      <c r="NV646" s="36"/>
      <c r="NW646" s="36"/>
      <c r="NX646" s="36"/>
      <c r="NY646" s="36"/>
      <c r="NZ646" s="36"/>
      <c r="OA646" s="36"/>
      <c r="OB646" s="36"/>
      <c r="OC646" s="36"/>
      <c r="OD646" s="36"/>
      <c r="OE646" s="36"/>
      <c r="OF646" s="36"/>
      <c r="OG646" s="36"/>
      <c r="OH646" s="36"/>
      <c r="OI646" s="36"/>
      <c r="OJ646" s="36"/>
      <c r="OK646" s="36"/>
      <c r="OL646" s="36"/>
      <c r="OM646" s="36"/>
      <c r="ON646" s="36"/>
      <c r="OO646" s="36"/>
      <c r="OP646" s="36"/>
      <c r="OQ646" s="36"/>
      <c r="OR646" s="36"/>
      <c r="OS646" s="36"/>
      <c r="OT646" s="36"/>
      <c r="OU646" s="36"/>
      <c r="OV646" s="36"/>
      <c r="OW646" s="36"/>
      <c r="OX646" s="36"/>
    </row>
    <row r="647" spans="1:414" s="27" customFormat="1" ht="15.6">
      <c r="B647" s="51"/>
      <c r="D647" s="29"/>
      <c r="G647" s="49"/>
      <c r="H647" s="89"/>
      <c r="I647" s="38"/>
      <c r="K647" s="49"/>
      <c r="L647" s="90"/>
      <c r="M647" s="38"/>
      <c r="O647" s="49"/>
      <c r="P647" s="38"/>
      <c r="Q647" s="38"/>
      <c r="R647" s="43"/>
      <c r="S647" s="38"/>
      <c r="U647" s="52"/>
      <c r="V647" s="38"/>
      <c r="W647" s="52"/>
      <c r="X647" s="52"/>
      <c r="Y647" s="35"/>
      <c r="Z647" s="78"/>
      <c r="AF647" s="42"/>
      <c r="AU647" s="100"/>
      <c r="AV647" s="35"/>
      <c r="AW647" s="78"/>
      <c r="BD647" s="38"/>
      <c r="BH647" s="38"/>
      <c r="BL647" s="38"/>
      <c r="BR647" s="42">
        <f t="shared" si="187"/>
        <v>0</v>
      </c>
      <c r="BS647" s="43">
        <f t="shared" si="188"/>
        <v>0</v>
      </c>
      <c r="BU647" s="36"/>
      <c r="BV647" s="36"/>
      <c r="BW647" s="36"/>
      <c r="BX647" s="36"/>
      <c r="BY647" s="36"/>
      <c r="BZ647" s="36"/>
      <c r="CA647" s="36"/>
      <c r="CB647" s="36"/>
      <c r="CC647" s="36"/>
      <c r="CD647" s="36"/>
      <c r="CE647" s="36"/>
      <c r="CF647" s="36"/>
      <c r="CG647" s="36"/>
      <c r="CH647" s="36"/>
      <c r="CI647" s="36"/>
      <c r="CJ647" s="36"/>
      <c r="CK647" s="36"/>
      <c r="CL647" s="36"/>
      <c r="CM647" s="36"/>
      <c r="CN647" s="36"/>
      <c r="CO647" s="36"/>
      <c r="CP647" s="36"/>
      <c r="CQ647" s="36"/>
      <c r="CR647" s="36"/>
      <c r="CS647" s="36"/>
      <c r="CT647" s="36"/>
      <c r="CU647" s="36"/>
      <c r="CV647" s="36"/>
      <c r="CW647" s="36"/>
      <c r="CX647" s="36"/>
      <c r="CY647" s="36"/>
      <c r="CZ647" s="36"/>
      <c r="DA647" s="36"/>
      <c r="DB647" s="36"/>
      <c r="DC647" s="36"/>
      <c r="DD647" s="36"/>
      <c r="DE647" s="36"/>
      <c r="DF647" s="36"/>
      <c r="DG647" s="36"/>
      <c r="DH647" s="36"/>
      <c r="DI647" s="36"/>
      <c r="DJ647" s="36"/>
      <c r="DK647" s="36"/>
      <c r="DL647" s="36"/>
      <c r="DM647" s="36"/>
      <c r="DN647" s="36"/>
      <c r="DO647" s="36"/>
      <c r="DP647" s="36"/>
      <c r="DQ647" s="36"/>
      <c r="DR647" s="36"/>
      <c r="DS647" s="36"/>
      <c r="DT647" s="36"/>
      <c r="DU647" s="36"/>
      <c r="DV647" s="36"/>
      <c r="DW647" s="36"/>
      <c r="DX647" s="36"/>
      <c r="DY647" s="36"/>
      <c r="DZ647" s="36"/>
      <c r="EA647" s="36"/>
      <c r="EB647" s="36"/>
      <c r="EC647" s="36"/>
      <c r="ED647" s="36"/>
      <c r="EE647" s="36"/>
      <c r="EF647" s="36"/>
      <c r="EG647" s="36"/>
      <c r="EH647" s="36"/>
      <c r="EI647" s="36"/>
      <c r="EJ647" s="36"/>
      <c r="EK647" s="36"/>
      <c r="EL647" s="36"/>
      <c r="EM647" s="36"/>
      <c r="EN647" s="36"/>
      <c r="EO647" s="36"/>
      <c r="EP647" s="36"/>
      <c r="EQ647" s="36"/>
      <c r="ER647" s="36"/>
      <c r="ES647" s="36"/>
      <c r="ET647" s="36"/>
      <c r="EU647" s="36"/>
      <c r="EV647" s="36"/>
      <c r="EW647" s="36"/>
      <c r="EX647" s="36"/>
      <c r="EY647" s="36"/>
      <c r="EZ647" s="36"/>
      <c r="FA647" s="36"/>
      <c r="FB647" s="36"/>
      <c r="FC647" s="36"/>
      <c r="FD647" s="36"/>
      <c r="FE647" s="36"/>
      <c r="FF647" s="36"/>
      <c r="FG647" s="36"/>
      <c r="FH647" s="36"/>
      <c r="FI647" s="36"/>
      <c r="FJ647" s="36"/>
      <c r="FK647" s="36"/>
      <c r="FL647" s="36"/>
      <c r="FM647" s="36"/>
      <c r="FN647" s="36"/>
      <c r="FO647" s="36"/>
      <c r="FP647" s="36"/>
      <c r="FQ647" s="36"/>
      <c r="FR647" s="36"/>
      <c r="FS647" s="36"/>
      <c r="FT647" s="36"/>
      <c r="FU647" s="36"/>
      <c r="FV647" s="36"/>
      <c r="FW647" s="36"/>
      <c r="FX647" s="36"/>
      <c r="FY647" s="36"/>
      <c r="FZ647" s="36"/>
      <c r="GA647" s="36"/>
      <c r="GB647" s="36"/>
      <c r="GC647" s="36"/>
      <c r="GD647" s="36"/>
      <c r="GE647" s="36"/>
      <c r="GF647" s="36"/>
      <c r="GG647" s="36"/>
      <c r="GH647" s="36"/>
      <c r="GI647" s="36"/>
      <c r="GJ647" s="36"/>
      <c r="GK647" s="36"/>
      <c r="GL647" s="36"/>
      <c r="GM647" s="36"/>
      <c r="GN647" s="36"/>
      <c r="GO647" s="36"/>
      <c r="GP647" s="36"/>
      <c r="GQ647" s="36"/>
      <c r="GR647" s="36"/>
      <c r="GS647" s="36"/>
      <c r="GT647" s="36"/>
      <c r="GU647" s="36"/>
      <c r="GV647" s="36"/>
      <c r="GW647" s="36"/>
      <c r="GX647" s="36"/>
      <c r="GY647" s="36"/>
      <c r="GZ647" s="36"/>
      <c r="HA647" s="36"/>
      <c r="HB647" s="36"/>
      <c r="HC647" s="36"/>
      <c r="HD647" s="36"/>
      <c r="HE647" s="36"/>
      <c r="HF647" s="36"/>
      <c r="HG647" s="36"/>
      <c r="HH647" s="36"/>
      <c r="HI647" s="36"/>
      <c r="HJ647" s="36"/>
      <c r="HK647" s="36"/>
      <c r="HL647" s="36"/>
      <c r="HM647" s="36"/>
      <c r="HN647" s="36"/>
      <c r="HO647" s="36"/>
      <c r="HP647" s="36"/>
      <c r="HQ647" s="36"/>
      <c r="HR647" s="36"/>
      <c r="HS647" s="36"/>
      <c r="HT647" s="36"/>
      <c r="HU647" s="36"/>
      <c r="HV647" s="36"/>
      <c r="HW647" s="36"/>
      <c r="HX647" s="36"/>
      <c r="HY647" s="36"/>
      <c r="HZ647" s="36"/>
      <c r="IA647" s="36"/>
      <c r="IB647" s="36"/>
      <c r="IC647" s="36"/>
      <c r="ID647" s="36"/>
      <c r="IE647" s="36"/>
      <c r="IF647" s="36"/>
      <c r="IG647" s="36"/>
      <c r="IH647" s="36"/>
      <c r="II647" s="36"/>
      <c r="IJ647" s="36"/>
      <c r="IK647" s="36"/>
      <c r="IL647" s="36"/>
      <c r="IM647" s="36"/>
      <c r="IN647" s="36"/>
      <c r="IO647" s="36"/>
      <c r="IP647" s="36"/>
      <c r="IQ647" s="36"/>
      <c r="IR647" s="36"/>
      <c r="IS647" s="36"/>
      <c r="IT647" s="36"/>
      <c r="IU647" s="36"/>
      <c r="IV647" s="36"/>
      <c r="IW647" s="36"/>
      <c r="IX647" s="36"/>
      <c r="IY647" s="36"/>
      <c r="IZ647" s="36"/>
      <c r="JA647" s="36"/>
      <c r="JB647" s="36"/>
      <c r="JC647" s="36"/>
      <c r="JD647" s="36"/>
      <c r="JE647" s="36"/>
      <c r="JF647" s="36"/>
      <c r="JG647" s="36"/>
      <c r="JH647" s="36"/>
      <c r="JI647" s="36"/>
      <c r="JJ647" s="36"/>
      <c r="JK647" s="36"/>
      <c r="JL647" s="36"/>
      <c r="JM647" s="36"/>
      <c r="JN647" s="36"/>
      <c r="JO647" s="36"/>
      <c r="JP647" s="36"/>
      <c r="JQ647" s="36"/>
      <c r="JR647" s="36"/>
      <c r="JS647" s="36"/>
      <c r="JT647" s="36"/>
      <c r="JU647" s="36"/>
      <c r="JV647" s="36"/>
      <c r="JW647" s="36"/>
      <c r="JX647" s="36"/>
      <c r="JY647" s="36"/>
      <c r="JZ647" s="36"/>
      <c r="KA647" s="36"/>
      <c r="KB647" s="36"/>
      <c r="KC647" s="36"/>
      <c r="KD647" s="36"/>
      <c r="KE647" s="36"/>
      <c r="KF647" s="36"/>
      <c r="KG647" s="36"/>
      <c r="KH647" s="36"/>
      <c r="KI647" s="36"/>
      <c r="KJ647" s="36"/>
      <c r="KK647" s="36"/>
      <c r="KL647" s="36"/>
      <c r="KM647" s="36"/>
      <c r="KN647" s="36"/>
      <c r="KO647" s="36"/>
      <c r="KP647" s="36"/>
      <c r="KQ647" s="36"/>
      <c r="KR647" s="36"/>
      <c r="KS647" s="36"/>
      <c r="KT647" s="36"/>
      <c r="KU647" s="36"/>
      <c r="KV647" s="36"/>
      <c r="KW647" s="36"/>
      <c r="KX647" s="36"/>
      <c r="KY647" s="36"/>
      <c r="KZ647" s="36"/>
      <c r="LA647" s="36"/>
      <c r="LB647" s="36"/>
      <c r="LC647" s="36"/>
      <c r="LD647" s="36"/>
      <c r="LE647" s="36"/>
      <c r="LF647" s="36"/>
      <c r="LG647" s="36"/>
      <c r="LH647" s="36"/>
      <c r="LI647" s="36"/>
      <c r="LJ647" s="36"/>
      <c r="LK647" s="36"/>
      <c r="LL647" s="36"/>
      <c r="LM647" s="36"/>
      <c r="LN647" s="36"/>
      <c r="LO647" s="36"/>
      <c r="LP647" s="36"/>
      <c r="LQ647" s="36"/>
      <c r="LR647" s="36"/>
      <c r="LS647" s="36"/>
      <c r="LT647" s="36"/>
      <c r="LU647" s="36"/>
      <c r="LV647" s="36"/>
      <c r="LW647" s="36"/>
      <c r="LX647" s="36"/>
      <c r="LY647" s="36"/>
      <c r="LZ647" s="36"/>
      <c r="MA647" s="36"/>
      <c r="MB647" s="36"/>
      <c r="MC647" s="36"/>
      <c r="MD647" s="36"/>
      <c r="ME647" s="36"/>
      <c r="MF647" s="36"/>
      <c r="MG647" s="36"/>
      <c r="MH647" s="36"/>
      <c r="MI647" s="36"/>
      <c r="MJ647" s="36"/>
      <c r="MK647" s="36"/>
      <c r="ML647" s="36"/>
      <c r="MM647" s="36"/>
      <c r="MN647" s="36"/>
      <c r="MO647" s="36"/>
      <c r="MP647" s="36"/>
      <c r="MQ647" s="36"/>
      <c r="MR647" s="36"/>
      <c r="MS647" s="36"/>
      <c r="MT647" s="36"/>
      <c r="MU647" s="36"/>
      <c r="MV647" s="36"/>
      <c r="MW647" s="36"/>
      <c r="MX647" s="36"/>
      <c r="MY647" s="36"/>
      <c r="MZ647" s="36"/>
      <c r="NA647" s="36"/>
      <c r="NB647" s="36"/>
      <c r="NC647" s="36"/>
      <c r="ND647" s="36"/>
      <c r="NE647" s="36"/>
      <c r="NF647" s="36"/>
      <c r="NG647" s="36"/>
      <c r="NH647" s="36"/>
      <c r="NI647" s="36"/>
      <c r="NJ647" s="36"/>
      <c r="NK647" s="36"/>
      <c r="NL647" s="36"/>
      <c r="NM647" s="36"/>
      <c r="NN647" s="36"/>
      <c r="NO647" s="36"/>
      <c r="NP647" s="36"/>
      <c r="NQ647" s="36"/>
      <c r="NR647" s="36"/>
      <c r="NS647" s="36"/>
      <c r="NT647" s="36"/>
      <c r="NU647" s="36"/>
      <c r="NV647" s="36"/>
      <c r="NW647" s="36"/>
      <c r="NX647" s="36"/>
      <c r="NY647" s="36"/>
      <c r="NZ647" s="36"/>
      <c r="OA647" s="36"/>
      <c r="OB647" s="36"/>
      <c r="OC647" s="36"/>
      <c r="OD647" s="36"/>
      <c r="OE647" s="36"/>
      <c r="OF647" s="36"/>
      <c r="OG647" s="36"/>
      <c r="OH647" s="36"/>
      <c r="OI647" s="36"/>
      <c r="OJ647" s="36"/>
      <c r="OK647" s="36"/>
      <c r="OL647" s="36"/>
      <c r="OM647" s="36"/>
      <c r="ON647" s="36"/>
      <c r="OO647" s="36"/>
      <c r="OP647" s="36"/>
      <c r="OQ647" s="36"/>
      <c r="OR647" s="36"/>
      <c r="OS647" s="36"/>
      <c r="OT647" s="36"/>
      <c r="OU647" s="36"/>
      <c r="OV647" s="36"/>
      <c r="OW647" s="36"/>
      <c r="OX647" s="36"/>
    </row>
    <row r="648" spans="1:414" s="27" customFormat="1" ht="15.6">
      <c r="B648" s="51"/>
      <c r="D648" s="29"/>
      <c r="G648" s="49"/>
      <c r="H648" s="89"/>
      <c r="I648" s="38"/>
      <c r="K648" s="49"/>
      <c r="L648" s="90"/>
      <c r="M648" s="38"/>
      <c r="O648" s="49"/>
      <c r="P648" s="38"/>
      <c r="Q648" s="38"/>
      <c r="R648" s="43"/>
      <c r="S648" s="38"/>
      <c r="U648" s="52"/>
      <c r="V648" s="38"/>
      <c r="W648" s="52"/>
      <c r="X648" s="52"/>
      <c r="Y648" s="35"/>
      <c r="Z648" s="78"/>
      <c r="AF648" s="42"/>
      <c r="AU648" s="100"/>
      <c r="AV648" s="35"/>
      <c r="AW648" s="78"/>
      <c r="BD648" s="38"/>
      <c r="BH648" s="38"/>
      <c r="BL648" s="38"/>
      <c r="BR648" s="42">
        <f t="shared" si="187"/>
        <v>0</v>
      </c>
      <c r="BS648" s="43">
        <f t="shared" si="188"/>
        <v>0</v>
      </c>
      <c r="BU648" s="36"/>
      <c r="BV648" s="36"/>
      <c r="BW648" s="36"/>
      <c r="BX648" s="36"/>
      <c r="BY648" s="36"/>
      <c r="BZ648" s="36"/>
      <c r="CA648" s="36"/>
      <c r="CB648" s="36"/>
      <c r="CC648" s="36"/>
      <c r="CD648" s="36"/>
      <c r="CE648" s="36"/>
      <c r="CF648" s="36"/>
      <c r="CG648" s="36"/>
      <c r="CH648" s="36"/>
      <c r="CI648" s="36"/>
      <c r="CJ648" s="36"/>
      <c r="CK648" s="36"/>
      <c r="CL648" s="36"/>
      <c r="CM648" s="36"/>
      <c r="CN648" s="36"/>
      <c r="CO648" s="36"/>
      <c r="CP648" s="36"/>
      <c r="CQ648" s="36"/>
      <c r="CR648" s="36"/>
      <c r="CS648" s="36"/>
      <c r="CT648" s="36"/>
      <c r="CU648" s="36"/>
      <c r="CV648" s="36"/>
      <c r="CW648" s="36"/>
      <c r="CX648" s="36"/>
      <c r="CY648" s="36"/>
      <c r="CZ648" s="36"/>
      <c r="DA648" s="36"/>
      <c r="DB648" s="36"/>
      <c r="DC648" s="36"/>
      <c r="DD648" s="36"/>
      <c r="DE648" s="36"/>
      <c r="DF648" s="36"/>
      <c r="DG648" s="36"/>
      <c r="DH648" s="36"/>
      <c r="DI648" s="36"/>
      <c r="DJ648" s="36"/>
      <c r="DK648" s="36"/>
      <c r="DL648" s="36"/>
      <c r="DM648" s="36"/>
      <c r="DN648" s="36"/>
      <c r="DO648" s="36"/>
      <c r="DP648" s="36"/>
      <c r="DQ648" s="36"/>
      <c r="DR648" s="36"/>
      <c r="DS648" s="36"/>
      <c r="DT648" s="36"/>
      <c r="DU648" s="36"/>
      <c r="DV648" s="36"/>
      <c r="DW648" s="36"/>
      <c r="DX648" s="36"/>
      <c r="DY648" s="36"/>
      <c r="DZ648" s="36"/>
      <c r="EA648" s="36"/>
      <c r="EB648" s="36"/>
      <c r="EC648" s="36"/>
      <c r="ED648" s="36"/>
      <c r="EE648" s="36"/>
      <c r="EF648" s="36"/>
      <c r="EG648" s="36"/>
      <c r="EH648" s="36"/>
      <c r="EI648" s="36"/>
      <c r="EJ648" s="36"/>
      <c r="EK648" s="36"/>
      <c r="EL648" s="36"/>
      <c r="EM648" s="36"/>
      <c r="EN648" s="36"/>
      <c r="EO648" s="36"/>
      <c r="EP648" s="36"/>
      <c r="EQ648" s="36"/>
      <c r="ER648" s="36"/>
      <c r="ES648" s="36"/>
      <c r="ET648" s="36"/>
      <c r="EU648" s="36"/>
      <c r="EV648" s="36"/>
      <c r="EW648" s="36"/>
      <c r="EX648" s="36"/>
      <c r="EY648" s="36"/>
      <c r="EZ648" s="36"/>
      <c r="FA648" s="36"/>
      <c r="FB648" s="36"/>
      <c r="FC648" s="36"/>
      <c r="FD648" s="36"/>
      <c r="FE648" s="36"/>
      <c r="FF648" s="36"/>
      <c r="FG648" s="36"/>
      <c r="FH648" s="36"/>
      <c r="FI648" s="36"/>
      <c r="FJ648" s="36"/>
      <c r="FK648" s="36"/>
      <c r="FL648" s="36"/>
      <c r="FM648" s="36"/>
      <c r="FN648" s="36"/>
      <c r="FO648" s="36"/>
      <c r="FP648" s="36"/>
      <c r="FQ648" s="36"/>
      <c r="FR648" s="36"/>
      <c r="FS648" s="36"/>
      <c r="FT648" s="36"/>
      <c r="FU648" s="36"/>
      <c r="FV648" s="36"/>
      <c r="FW648" s="36"/>
      <c r="FX648" s="36"/>
      <c r="FY648" s="36"/>
      <c r="FZ648" s="36"/>
      <c r="GA648" s="36"/>
      <c r="GB648" s="36"/>
      <c r="GC648" s="36"/>
      <c r="GD648" s="36"/>
      <c r="GE648" s="36"/>
      <c r="GF648" s="36"/>
      <c r="GG648" s="36"/>
      <c r="GH648" s="36"/>
      <c r="GI648" s="36"/>
      <c r="GJ648" s="36"/>
      <c r="GK648" s="36"/>
      <c r="GL648" s="36"/>
      <c r="GM648" s="36"/>
      <c r="GN648" s="36"/>
      <c r="GO648" s="36"/>
      <c r="GP648" s="36"/>
      <c r="GQ648" s="36"/>
      <c r="GR648" s="36"/>
      <c r="GS648" s="36"/>
      <c r="GT648" s="36"/>
      <c r="GU648" s="36"/>
      <c r="GV648" s="36"/>
      <c r="GW648" s="36"/>
      <c r="GX648" s="36"/>
      <c r="GY648" s="36"/>
      <c r="GZ648" s="36"/>
      <c r="HA648" s="36"/>
      <c r="HB648" s="36"/>
      <c r="HC648" s="36"/>
      <c r="HD648" s="36"/>
      <c r="HE648" s="36"/>
      <c r="HF648" s="36"/>
      <c r="HG648" s="36"/>
      <c r="HH648" s="36"/>
      <c r="HI648" s="36"/>
      <c r="HJ648" s="36"/>
      <c r="HK648" s="36"/>
      <c r="HL648" s="36"/>
      <c r="HM648" s="36"/>
      <c r="HN648" s="36"/>
      <c r="HO648" s="36"/>
      <c r="HP648" s="36"/>
      <c r="HQ648" s="36"/>
      <c r="HR648" s="36"/>
      <c r="HS648" s="36"/>
      <c r="HT648" s="36"/>
      <c r="HU648" s="36"/>
      <c r="HV648" s="36"/>
      <c r="HW648" s="36"/>
      <c r="HX648" s="36"/>
      <c r="HY648" s="36"/>
      <c r="HZ648" s="36"/>
      <c r="IA648" s="36"/>
      <c r="IB648" s="36"/>
      <c r="IC648" s="36"/>
      <c r="ID648" s="36"/>
      <c r="IE648" s="36"/>
      <c r="IF648" s="36"/>
      <c r="IG648" s="36"/>
      <c r="IH648" s="36"/>
      <c r="II648" s="36"/>
      <c r="IJ648" s="36"/>
      <c r="IK648" s="36"/>
      <c r="IL648" s="36"/>
      <c r="IM648" s="36"/>
      <c r="IN648" s="36"/>
      <c r="IO648" s="36"/>
      <c r="IP648" s="36"/>
      <c r="IQ648" s="36"/>
      <c r="IR648" s="36"/>
      <c r="IS648" s="36"/>
      <c r="IT648" s="36"/>
      <c r="IU648" s="36"/>
      <c r="IV648" s="36"/>
      <c r="IW648" s="36"/>
      <c r="IX648" s="36"/>
      <c r="IY648" s="36"/>
      <c r="IZ648" s="36"/>
      <c r="JA648" s="36"/>
      <c r="JB648" s="36"/>
      <c r="JC648" s="36"/>
      <c r="JD648" s="36"/>
      <c r="JE648" s="36"/>
      <c r="JF648" s="36"/>
      <c r="JG648" s="36"/>
      <c r="JH648" s="36"/>
      <c r="JI648" s="36"/>
      <c r="JJ648" s="36"/>
      <c r="JK648" s="36"/>
      <c r="JL648" s="36"/>
      <c r="JM648" s="36"/>
      <c r="JN648" s="36"/>
      <c r="JO648" s="36"/>
      <c r="JP648" s="36"/>
      <c r="JQ648" s="36"/>
      <c r="JR648" s="36"/>
      <c r="JS648" s="36"/>
      <c r="JT648" s="36"/>
      <c r="JU648" s="36"/>
      <c r="JV648" s="36"/>
      <c r="JW648" s="36"/>
      <c r="JX648" s="36"/>
      <c r="JY648" s="36"/>
      <c r="JZ648" s="36"/>
      <c r="KA648" s="36"/>
      <c r="KB648" s="36"/>
      <c r="KC648" s="36"/>
      <c r="KD648" s="36"/>
      <c r="KE648" s="36"/>
      <c r="KF648" s="36"/>
      <c r="KG648" s="36"/>
      <c r="KH648" s="36"/>
      <c r="KI648" s="36"/>
      <c r="KJ648" s="36"/>
      <c r="KK648" s="36"/>
      <c r="KL648" s="36"/>
      <c r="KM648" s="36"/>
      <c r="KN648" s="36"/>
      <c r="KO648" s="36"/>
      <c r="KP648" s="36"/>
      <c r="KQ648" s="36"/>
      <c r="KR648" s="36"/>
      <c r="KS648" s="36"/>
      <c r="KT648" s="36"/>
      <c r="KU648" s="36"/>
      <c r="KV648" s="36"/>
      <c r="KW648" s="36"/>
      <c r="KX648" s="36"/>
      <c r="KY648" s="36"/>
      <c r="KZ648" s="36"/>
      <c r="LA648" s="36"/>
      <c r="LB648" s="36"/>
      <c r="LC648" s="36"/>
      <c r="LD648" s="36"/>
      <c r="LE648" s="36"/>
      <c r="LF648" s="36"/>
      <c r="LG648" s="36"/>
      <c r="LH648" s="36"/>
      <c r="LI648" s="36"/>
      <c r="LJ648" s="36"/>
      <c r="LK648" s="36"/>
      <c r="LL648" s="36"/>
      <c r="LM648" s="36"/>
      <c r="LN648" s="36"/>
      <c r="LO648" s="36"/>
      <c r="LP648" s="36"/>
      <c r="LQ648" s="36"/>
      <c r="LR648" s="36"/>
      <c r="LS648" s="36"/>
      <c r="LT648" s="36"/>
      <c r="LU648" s="36"/>
      <c r="LV648" s="36"/>
      <c r="LW648" s="36"/>
      <c r="LX648" s="36"/>
      <c r="LY648" s="36"/>
      <c r="LZ648" s="36"/>
      <c r="MA648" s="36"/>
      <c r="MB648" s="36"/>
      <c r="MC648" s="36"/>
      <c r="MD648" s="36"/>
      <c r="ME648" s="36"/>
      <c r="MF648" s="36"/>
      <c r="MG648" s="36"/>
      <c r="MH648" s="36"/>
      <c r="MI648" s="36"/>
      <c r="MJ648" s="36"/>
      <c r="MK648" s="36"/>
      <c r="ML648" s="36"/>
      <c r="MM648" s="36"/>
      <c r="MN648" s="36"/>
      <c r="MO648" s="36"/>
      <c r="MP648" s="36"/>
      <c r="MQ648" s="36"/>
      <c r="MR648" s="36"/>
      <c r="MS648" s="36"/>
      <c r="MT648" s="36"/>
      <c r="MU648" s="36"/>
      <c r="MV648" s="36"/>
      <c r="MW648" s="36"/>
      <c r="MX648" s="36"/>
      <c r="MY648" s="36"/>
      <c r="MZ648" s="36"/>
      <c r="NA648" s="36"/>
      <c r="NB648" s="36"/>
      <c r="NC648" s="36"/>
      <c r="ND648" s="36"/>
      <c r="NE648" s="36"/>
      <c r="NF648" s="36"/>
      <c r="NG648" s="36"/>
      <c r="NH648" s="36"/>
      <c r="NI648" s="36"/>
      <c r="NJ648" s="36"/>
      <c r="NK648" s="36"/>
      <c r="NL648" s="36"/>
      <c r="NM648" s="36"/>
      <c r="NN648" s="36"/>
      <c r="NO648" s="36"/>
      <c r="NP648" s="36"/>
      <c r="NQ648" s="36"/>
      <c r="NR648" s="36"/>
      <c r="NS648" s="36"/>
      <c r="NT648" s="36"/>
      <c r="NU648" s="36"/>
      <c r="NV648" s="36"/>
      <c r="NW648" s="36"/>
      <c r="NX648" s="36"/>
      <c r="NY648" s="36"/>
      <c r="NZ648" s="36"/>
      <c r="OA648" s="36"/>
      <c r="OB648" s="36"/>
      <c r="OC648" s="36"/>
      <c r="OD648" s="36"/>
      <c r="OE648" s="36"/>
      <c r="OF648" s="36"/>
      <c r="OG648" s="36"/>
      <c r="OH648" s="36"/>
      <c r="OI648" s="36"/>
      <c r="OJ648" s="36"/>
      <c r="OK648" s="36"/>
      <c r="OL648" s="36"/>
      <c r="OM648" s="36"/>
      <c r="ON648" s="36"/>
      <c r="OO648" s="36"/>
      <c r="OP648" s="36"/>
      <c r="OQ648" s="36"/>
      <c r="OR648" s="36"/>
      <c r="OS648" s="36"/>
      <c r="OT648" s="36"/>
      <c r="OU648" s="36"/>
      <c r="OV648" s="36"/>
      <c r="OW648" s="36"/>
      <c r="OX648" s="36"/>
    </row>
    <row r="649" spans="1:414" s="60" customFormat="1" ht="15.6">
      <c r="A649" s="60" t="s">
        <v>9</v>
      </c>
      <c r="B649" s="61"/>
      <c r="D649" s="64"/>
      <c r="K649" s="62"/>
      <c r="L649" s="62"/>
      <c r="M649" s="62"/>
      <c r="S649" s="63">
        <f>SUM(S8:S648)</f>
        <v>15949905.23907584</v>
      </c>
      <c r="AU649" s="101"/>
      <c r="AV649" s="35"/>
      <c r="AW649" s="79"/>
      <c r="AZ649" s="42"/>
      <c r="BL649" s="38">
        <f t="shared" si="186"/>
        <v>0</v>
      </c>
      <c r="BR649" s="63">
        <f>SUM(BR8:BR636)</f>
        <v>11765481.788087502</v>
      </c>
      <c r="BS649" s="118">
        <f t="shared" si="188"/>
        <v>4184423.4509883374</v>
      </c>
      <c r="BT649" s="63">
        <f t="shared" ref="BT649" si="193">SUM(BT8:BT636)</f>
        <v>622647.3079999995</v>
      </c>
      <c r="BU649" s="93"/>
      <c r="BV649" s="93"/>
      <c r="BW649" s="93"/>
      <c r="BX649" s="93"/>
      <c r="BY649" s="93"/>
      <c r="BZ649" s="93"/>
      <c r="CA649" s="93"/>
      <c r="CB649" s="93"/>
      <c r="CC649" s="93"/>
      <c r="CD649" s="93"/>
      <c r="CE649" s="93"/>
      <c r="CF649" s="93"/>
      <c r="CG649" s="93"/>
      <c r="CH649" s="93"/>
      <c r="CI649" s="93"/>
      <c r="CJ649" s="93"/>
      <c r="CK649" s="93"/>
      <c r="CL649" s="93"/>
      <c r="CM649" s="93"/>
      <c r="CN649" s="93"/>
      <c r="CO649" s="93"/>
      <c r="CP649" s="93"/>
      <c r="CQ649" s="93"/>
      <c r="CR649" s="93"/>
      <c r="CS649" s="93"/>
      <c r="CT649" s="93"/>
      <c r="CU649" s="93"/>
      <c r="CV649" s="93"/>
      <c r="CW649" s="93"/>
      <c r="CX649" s="93"/>
      <c r="CY649" s="93"/>
      <c r="CZ649" s="93"/>
      <c r="DA649" s="93"/>
      <c r="DB649" s="93"/>
      <c r="DC649" s="93"/>
      <c r="DD649" s="93"/>
      <c r="DE649" s="93"/>
      <c r="DF649" s="93"/>
      <c r="DG649" s="93"/>
      <c r="DH649" s="93"/>
      <c r="DI649" s="93"/>
      <c r="DJ649" s="93"/>
      <c r="DK649" s="93"/>
      <c r="DL649" s="93"/>
      <c r="DM649" s="93"/>
      <c r="DN649" s="93"/>
      <c r="DO649" s="93"/>
      <c r="DP649" s="93"/>
      <c r="DQ649" s="93"/>
      <c r="DR649" s="93"/>
      <c r="DS649" s="93"/>
      <c r="DT649" s="93"/>
      <c r="DU649" s="93"/>
      <c r="DV649" s="93"/>
      <c r="DW649" s="93"/>
      <c r="DX649" s="93"/>
      <c r="DY649" s="93"/>
      <c r="DZ649" s="93"/>
      <c r="EA649" s="93"/>
      <c r="EB649" s="93"/>
      <c r="EC649" s="93"/>
      <c r="ED649" s="93"/>
      <c r="EE649" s="93"/>
      <c r="EF649" s="93"/>
      <c r="EG649" s="93"/>
      <c r="EH649" s="93"/>
      <c r="EI649" s="93"/>
      <c r="EJ649" s="93"/>
      <c r="EK649" s="93"/>
      <c r="EL649" s="93"/>
      <c r="EM649" s="93"/>
      <c r="EN649" s="93"/>
      <c r="EO649" s="93"/>
      <c r="EP649" s="93"/>
      <c r="EQ649" s="93"/>
      <c r="ER649" s="93"/>
      <c r="ES649" s="93"/>
      <c r="ET649" s="93"/>
      <c r="EU649" s="93"/>
      <c r="EV649" s="93"/>
      <c r="EW649" s="93"/>
      <c r="EX649" s="93"/>
      <c r="EY649" s="93"/>
      <c r="EZ649" s="93"/>
      <c r="FA649" s="93"/>
      <c r="FB649" s="93"/>
      <c r="FC649" s="93"/>
      <c r="FD649" s="93"/>
      <c r="FE649" s="93"/>
      <c r="FF649" s="93"/>
      <c r="FG649" s="93"/>
      <c r="FH649" s="93"/>
      <c r="FI649" s="93"/>
      <c r="FJ649" s="93"/>
      <c r="FK649" s="93"/>
      <c r="FL649" s="93"/>
      <c r="FM649" s="93"/>
      <c r="FN649" s="93"/>
      <c r="FO649" s="93"/>
      <c r="FP649" s="93"/>
      <c r="FQ649" s="93"/>
      <c r="FR649" s="93"/>
      <c r="FS649" s="93"/>
      <c r="FT649" s="93"/>
      <c r="FU649" s="93"/>
      <c r="FV649" s="93"/>
      <c r="FW649" s="93"/>
      <c r="FX649" s="93"/>
      <c r="FY649" s="93"/>
      <c r="FZ649" s="93"/>
      <c r="GA649" s="93"/>
      <c r="GB649" s="93"/>
      <c r="GC649" s="93"/>
      <c r="GD649" s="93"/>
      <c r="GE649" s="93"/>
      <c r="GF649" s="93"/>
      <c r="GG649" s="93"/>
      <c r="GH649" s="93"/>
      <c r="GI649" s="93"/>
      <c r="GJ649" s="93"/>
      <c r="GK649" s="93"/>
      <c r="GL649" s="93"/>
      <c r="GM649" s="93"/>
      <c r="GN649" s="93"/>
      <c r="GO649" s="93"/>
      <c r="GP649" s="93"/>
      <c r="GQ649" s="93"/>
      <c r="GR649" s="93"/>
      <c r="GS649" s="93"/>
      <c r="GT649" s="93"/>
      <c r="GU649" s="93"/>
      <c r="GV649" s="93"/>
      <c r="GW649" s="93"/>
      <c r="GX649" s="93"/>
      <c r="GY649" s="93"/>
      <c r="GZ649" s="93"/>
      <c r="HA649" s="93"/>
      <c r="HB649" s="93"/>
      <c r="HC649" s="93"/>
      <c r="HD649" s="93"/>
      <c r="HE649" s="93"/>
      <c r="HF649" s="93"/>
      <c r="HG649" s="93"/>
      <c r="HH649" s="93"/>
      <c r="HI649" s="93"/>
      <c r="HJ649" s="93"/>
      <c r="HK649" s="93"/>
      <c r="HL649" s="93"/>
      <c r="HM649" s="93"/>
      <c r="HN649" s="93"/>
      <c r="HO649" s="93"/>
      <c r="HP649" s="93"/>
      <c r="HQ649" s="93"/>
      <c r="HR649" s="93"/>
      <c r="HS649" s="93"/>
      <c r="HT649" s="93"/>
      <c r="HU649" s="93"/>
      <c r="HV649" s="93"/>
      <c r="HW649" s="93"/>
      <c r="HX649" s="93"/>
      <c r="HY649" s="93"/>
      <c r="HZ649" s="93"/>
      <c r="IA649" s="93"/>
      <c r="IB649" s="93"/>
      <c r="IC649" s="93"/>
      <c r="ID649" s="93"/>
      <c r="IE649" s="93"/>
      <c r="IF649" s="93"/>
      <c r="IG649" s="93"/>
      <c r="IH649" s="93"/>
      <c r="II649" s="93"/>
      <c r="IJ649" s="93"/>
      <c r="IK649" s="93"/>
      <c r="IL649" s="93"/>
      <c r="IM649" s="93"/>
      <c r="IN649" s="93"/>
      <c r="IO649" s="93"/>
      <c r="IP649" s="93"/>
      <c r="IQ649" s="93"/>
      <c r="IR649" s="93"/>
      <c r="IS649" s="93"/>
      <c r="IT649" s="93"/>
      <c r="IU649" s="93"/>
      <c r="IV649" s="93"/>
      <c r="IW649" s="93"/>
      <c r="IX649" s="93"/>
      <c r="IY649" s="93"/>
      <c r="IZ649" s="93"/>
      <c r="JA649" s="93"/>
      <c r="JB649" s="93"/>
      <c r="JC649" s="93"/>
      <c r="JD649" s="93"/>
      <c r="JE649" s="93"/>
      <c r="JF649" s="93"/>
      <c r="JG649" s="93"/>
      <c r="JH649" s="93"/>
      <c r="JI649" s="93"/>
      <c r="JJ649" s="93"/>
      <c r="JK649" s="93"/>
      <c r="JL649" s="93"/>
      <c r="JM649" s="93"/>
      <c r="JN649" s="93"/>
      <c r="JO649" s="93"/>
      <c r="JP649" s="93"/>
      <c r="JQ649" s="93"/>
      <c r="JR649" s="93"/>
      <c r="JS649" s="93"/>
      <c r="JT649" s="93"/>
      <c r="JU649" s="93"/>
      <c r="JV649" s="93"/>
      <c r="JW649" s="93"/>
      <c r="JX649" s="93"/>
      <c r="JY649" s="93"/>
      <c r="JZ649" s="93"/>
      <c r="KA649" s="93"/>
      <c r="KB649" s="93"/>
      <c r="KC649" s="93"/>
      <c r="KD649" s="93"/>
      <c r="KE649" s="93"/>
      <c r="KF649" s="93"/>
      <c r="KG649" s="93"/>
      <c r="KH649" s="93"/>
      <c r="KI649" s="93"/>
      <c r="KJ649" s="93"/>
      <c r="KK649" s="93"/>
      <c r="KL649" s="93"/>
      <c r="KM649" s="93"/>
      <c r="KN649" s="93"/>
      <c r="KO649" s="93"/>
      <c r="KP649" s="93"/>
      <c r="KQ649" s="93"/>
      <c r="KR649" s="93"/>
      <c r="KS649" s="93"/>
      <c r="KT649" s="93"/>
      <c r="KU649" s="93"/>
      <c r="KV649" s="93"/>
      <c r="KW649" s="93"/>
      <c r="KX649" s="93"/>
      <c r="KY649" s="93"/>
      <c r="KZ649" s="93"/>
      <c r="LA649" s="93"/>
      <c r="LB649" s="93"/>
      <c r="LC649" s="93"/>
      <c r="LD649" s="93"/>
      <c r="LE649" s="93"/>
      <c r="LF649" s="93"/>
      <c r="LG649" s="93"/>
      <c r="LH649" s="93"/>
      <c r="LI649" s="93"/>
      <c r="LJ649" s="93"/>
      <c r="LK649" s="93"/>
      <c r="LL649" s="93"/>
      <c r="LM649" s="93"/>
      <c r="LN649" s="93"/>
      <c r="LO649" s="93"/>
      <c r="LP649" s="93"/>
      <c r="LQ649" s="93"/>
      <c r="LR649" s="93"/>
      <c r="LS649" s="93"/>
      <c r="LT649" s="93"/>
      <c r="LU649" s="93"/>
      <c r="LV649" s="93"/>
      <c r="LW649" s="93"/>
      <c r="LX649" s="93"/>
      <c r="LY649" s="93"/>
      <c r="LZ649" s="93"/>
      <c r="MA649" s="93"/>
      <c r="MB649" s="93"/>
      <c r="MC649" s="93"/>
      <c r="MD649" s="93"/>
      <c r="ME649" s="93"/>
      <c r="MF649" s="93"/>
      <c r="MG649" s="93"/>
      <c r="MH649" s="93"/>
      <c r="MI649" s="93"/>
      <c r="MJ649" s="93"/>
      <c r="MK649" s="93"/>
      <c r="ML649" s="93"/>
      <c r="MM649" s="93"/>
      <c r="MN649" s="93"/>
      <c r="MO649" s="93"/>
      <c r="MP649" s="93"/>
      <c r="MQ649" s="93"/>
      <c r="MR649" s="93"/>
      <c r="MS649" s="93"/>
      <c r="MT649" s="93"/>
      <c r="MU649" s="93"/>
      <c r="MV649" s="93"/>
      <c r="MW649" s="93"/>
      <c r="MX649" s="93"/>
      <c r="MY649" s="93"/>
      <c r="MZ649" s="93"/>
      <c r="NA649" s="93"/>
      <c r="NB649" s="93"/>
      <c r="NC649" s="93"/>
      <c r="ND649" s="93"/>
      <c r="NE649" s="93"/>
      <c r="NF649" s="93"/>
      <c r="NG649" s="93"/>
      <c r="NH649" s="93"/>
      <c r="NI649" s="93"/>
      <c r="NJ649" s="93"/>
      <c r="NK649" s="93"/>
      <c r="NL649" s="93"/>
      <c r="NM649" s="93"/>
      <c r="NN649" s="93"/>
      <c r="NO649" s="93"/>
      <c r="NP649" s="93"/>
      <c r="NQ649" s="93"/>
      <c r="NR649" s="93"/>
      <c r="NS649" s="93"/>
      <c r="NT649" s="93"/>
      <c r="NU649" s="93"/>
      <c r="NV649" s="93"/>
      <c r="NW649" s="93"/>
      <c r="NX649" s="93"/>
      <c r="NY649" s="93"/>
      <c r="NZ649" s="93"/>
      <c r="OA649" s="93"/>
      <c r="OB649" s="93"/>
      <c r="OC649" s="93"/>
      <c r="OD649" s="93"/>
      <c r="OE649" s="93"/>
      <c r="OF649" s="93"/>
      <c r="OG649" s="93"/>
      <c r="OH649" s="93"/>
      <c r="OI649" s="93"/>
      <c r="OJ649" s="93"/>
      <c r="OK649" s="93"/>
      <c r="OL649" s="93"/>
      <c r="OM649" s="93"/>
      <c r="ON649" s="93"/>
      <c r="OO649" s="93"/>
      <c r="OP649" s="93"/>
      <c r="OQ649" s="93"/>
      <c r="OR649" s="93"/>
      <c r="OS649" s="93"/>
      <c r="OT649" s="93"/>
      <c r="OU649" s="93"/>
      <c r="OV649" s="93"/>
      <c r="OW649" s="93"/>
      <c r="OX649" s="93"/>
    </row>
    <row r="650" spans="1:414" s="15" customFormat="1" ht="15.6">
      <c r="B650" s="86"/>
      <c r="C650" s="87"/>
      <c r="D650" s="17"/>
      <c r="T650" s="116"/>
      <c r="AV650" s="107"/>
      <c r="AZ650" s="108"/>
      <c r="BS650" s="110"/>
      <c r="BT650" s="68"/>
    </row>
    <row r="651" spans="1:414" s="15" customFormat="1" ht="15.6">
      <c r="B651" s="86"/>
      <c r="C651" s="87"/>
      <c r="D651" s="17"/>
      <c r="T651" s="116"/>
      <c r="AV651" s="107"/>
      <c r="AZ651" s="108"/>
      <c r="BT651" s="68"/>
    </row>
    <row r="652" spans="1:414" s="15" customFormat="1" ht="15.6">
      <c r="B652" s="86"/>
      <c r="C652" s="87"/>
      <c r="D652" s="17"/>
      <c r="T652" s="116"/>
      <c r="AV652" s="107"/>
      <c r="AZ652" s="108"/>
      <c r="BT652" s="68"/>
    </row>
    <row r="653" spans="1:414" s="15" customFormat="1" ht="15.6">
      <c r="B653" s="86"/>
      <c r="C653" s="87"/>
      <c r="D653" s="17"/>
      <c r="T653" s="116"/>
      <c r="AV653" s="107"/>
      <c r="AZ653" s="108"/>
      <c r="BT653" s="68"/>
    </row>
    <row r="654" spans="1:414" s="15" customFormat="1" ht="15.6">
      <c r="B654" s="86"/>
      <c r="C654" s="87"/>
      <c r="D654" s="17"/>
      <c r="T654" s="116"/>
      <c r="AV654" s="107"/>
      <c r="AZ654" s="108"/>
      <c r="BT654" s="68"/>
    </row>
    <row r="655" spans="1:414" s="15" customFormat="1" ht="15.6">
      <c r="B655" s="86"/>
      <c r="C655" s="87"/>
      <c r="D655" s="17"/>
      <c r="T655" s="116"/>
      <c r="AV655" s="107"/>
      <c r="AZ655" s="108"/>
      <c r="BT655" s="68"/>
    </row>
    <row r="656" spans="1:414" s="15" customFormat="1" ht="15.6">
      <c r="B656" s="86"/>
      <c r="C656" s="87"/>
      <c r="D656" s="17"/>
      <c r="T656" s="116"/>
      <c r="AV656" s="107"/>
      <c r="AZ656" s="108"/>
      <c r="BT656" s="68"/>
    </row>
    <row r="657" spans="2:72" s="15" customFormat="1" ht="15.6">
      <c r="B657" s="86"/>
      <c r="C657" s="87"/>
      <c r="D657" s="17"/>
      <c r="T657" s="116"/>
      <c r="AV657" s="107"/>
      <c r="AZ657" s="108"/>
      <c r="BT657" s="68"/>
    </row>
    <row r="658" spans="2:72" s="15" customFormat="1" ht="15.6">
      <c r="B658" s="86"/>
      <c r="C658" s="87"/>
      <c r="D658" s="17"/>
      <c r="T658" s="116"/>
      <c r="AV658" s="107"/>
      <c r="AZ658" s="108"/>
      <c r="BT658" s="68"/>
    </row>
    <row r="659" spans="2:72" s="15" customFormat="1" ht="15.6">
      <c r="B659" s="86"/>
      <c r="C659" s="87"/>
      <c r="D659" s="17"/>
      <c r="T659" s="116"/>
      <c r="AV659" s="107"/>
      <c r="AZ659" s="108"/>
      <c r="BT659" s="68"/>
    </row>
    <row r="660" spans="2:72" s="15" customFormat="1" ht="15.6">
      <c r="B660" s="86"/>
      <c r="C660" s="87"/>
      <c r="D660" s="17"/>
      <c r="T660" s="116"/>
      <c r="AV660" s="107"/>
      <c r="AZ660" s="108"/>
      <c r="BT660" s="68"/>
    </row>
    <row r="661" spans="2:72" s="15" customFormat="1" ht="15.6">
      <c r="B661" s="86"/>
      <c r="C661" s="87"/>
      <c r="D661" s="17"/>
      <c r="T661" s="116"/>
      <c r="AV661" s="107"/>
      <c r="AZ661" s="108"/>
      <c r="BT661" s="68"/>
    </row>
    <row r="662" spans="2:72" s="15" customFormat="1" ht="15.6">
      <c r="B662" s="86"/>
      <c r="C662" s="87"/>
      <c r="D662" s="17"/>
      <c r="T662" s="116"/>
      <c r="AV662" s="107"/>
      <c r="AZ662" s="108"/>
      <c r="BT662" s="68"/>
    </row>
    <row r="663" spans="2:72" s="15" customFormat="1" ht="15.6">
      <c r="B663" s="86"/>
      <c r="C663" s="87"/>
      <c r="D663" s="17"/>
      <c r="T663" s="116"/>
      <c r="AV663" s="107"/>
      <c r="AZ663" s="108"/>
      <c r="BT663" s="68"/>
    </row>
    <row r="664" spans="2:72" s="15" customFormat="1">
      <c r="B664" s="86"/>
      <c r="C664" s="87"/>
      <c r="D664" s="17"/>
      <c r="T664" s="116"/>
      <c r="AV664" s="107"/>
      <c r="BT664" s="68"/>
    </row>
    <row r="665" spans="2:72" s="15" customFormat="1">
      <c r="B665" s="86"/>
      <c r="C665" s="87"/>
      <c r="D665" s="17"/>
      <c r="T665" s="116"/>
      <c r="AV665" s="107"/>
      <c r="BT665" s="68"/>
    </row>
    <row r="666" spans="2:72" s="15" customFormat="1">
      <c r="B666" s="86"/>
      <c r="C666" s="87"/>
      <c r="D666" s="17"/>
      <c r="T666" s="116"/>
      <c r="AV666" s="107"/>
      <c r="BT666" s="68"/>
    </row>
    <row r="667" spans="2:72" s="15" customFormat="1">
      <c r="B667" s="86"/>
      <c r="C667" s="87"/>
      <c r="D667" s="17"/>
      <c r="T667" s="116"/>
      <c r="AV667" s="107"/>
      <c r="BT667" s="68"/>
    </row>
    <row r="668" spans="2:72" s="15" customFormat="1">
      <c r="B668" s="86"/>
      <c r="C668" s="87"/>
      <c r="D668" s="17"/>
      <c r="T668" s="116"/>
      <c r="AV668" s="107"/>
      <c r="BT668" s="68"/>
    </row>
    <row r="669" spans="2:72" s="15" customFormat="1">
      <c r="B669" s="86"/>
      <c r="C669" s="87"/>
      <c r="D669" s="17"/>
      <c r="T669" s="116"/>
      <c r="AV669" s="107"/>
      <c r="BT669" s="68"/>
    </row>
    <row r="670" spans="2:72" s="15" customFormat="1">
      <c r="B670" s="86"/>
      <c r="C670" s="87"/>
      <c r="D670" s="17"/>
      <c r="T670" s="116"/>
      <c r="AV670" s="107"/>
      <c r="BT670" s="68"/>
    </row>
    <row r="671" spans="2:72" s="15" customFormat="1">
      <c r="B671" s="86"/>
      <c r="C671" s="87"/>
      <c r="D671" s="17"/>
      <c r="T671" s="116"/>
      <c r="AV671" s="107"/>
      <c r="BT671" s="68"/>
    </row>
    <row r="672" spans="2:72" s="15" customFormat="1">
      <c r="B672" s="86"/>
      <c r="C672" s="87"/>
      <c r="D672" s="17"/>
      <c r="T672" s="116"/>
      <c r="AV672" s="107"/>
      <c r="BT672" s="68"/>
    </row>
    <row r="673" spans="2:72" s="15" customFormat="1">
      <c r="B673" s="86"/>
      <c r="C673" s="87"/>
      <c r="D673" s="17"/>
      <c r="T673" s="116"/>
      <c r="AV673" s="107"/>
      <c r="BT673" s="68"/>
    </row>
    <row r="674" spans="2:72" s="15" customFormat="1">
      <c r="B674" s="86"/>
      <c r="C674" s="87"/>
      <c r="D674" s="17"/>
      <c r="T674" s="116"/>
      <c r="AV674" s="107"/>
      <c r="BT674" s="68"/>
    </row>
    <row r="675" spans="2:72" s="15" customFormat="1">
      <c r="B675" s="86"/>
      <c r="C675" s="87"/>
      <c r="D675" s="17"/>
      <c r="T675" s="116"/>
      <c r="AV675" s="107"/>
      <c r="BT675" s="68"/>
    </row>
    <row r="676" spans="2:72" s="15" customFormat="1">
      <c r="B676" s="86"/>
      <c r="C676" s="87"/>
      <c r="D676" s="17"/>
      <c r="T676" s="116"/>
      <c r="AV676" s="107"/>
      <c r="BT676" s="68"/>
    </row>
    <row r="677" spans="2:72" s="15" customFormat="1">
      <c r="B677" s="86"/>
      <c r="C677" s="87"/>
      <c r="D677" s="17"/>
      <c r="T677" s="116"/>
      <c r="AV677" s="107"/>
      <c r="BT677" s="68"/>
    </row>
    <row r="678" spans="2:72" s="15" customFormat="1">
      <c r="B678" s="86"/>
      <c r="C678" s="87"/>
      <c r="D678" s="17"/>
      <c r="T678" s="116"/>
      <c r="AV678" s="107"/>
      <c r="BT678" s="68"/>
    </row>
    <row r="679" spans="2:72" s="15" customFormat="1">
      <c r="B679" s="86"/>
      <c r="C679" s="87"/>
      <c r="D679" s="17"/>
      <c r="T679" s="116"/>
      <c r="AV679" s="107"/>
      <c r="BT679" s="68"/>
    </row>
    <row r="680" spans="2:72" s="15" customFormat="1">
      <c r="B680" s="86"/>
      <c r="C680" s="87"/>
      <c r="D680" s="17"/>
      <c r="T680" s="116"/>
      <c r="AV680" s="107"/>
      <c r="BT680" s="68"/>
    </row>
    <row r="681" spans="2:72" s="15" customFormat="1">
      <c r="B681" s="86"/>
      <c r="C681" s="87"/>
      <c r="D681" s="17"/>
      <c r="T681" s="116"/>
      <c r="AV681" s="107"/>
      <c r="BT681" s="68"/>
    </row>
    <row r="682" spans="2:72" s="15" customFormat="1">
      <c r="B682" s="86"/>
      <c r="C682" s="87"/>
      <c r="D682" s="17"/>
      <c r="T682" s="116"/>
      <c r="AV682" s="107"/>
      <c r="BT682" s="68"/>
    </row>
    <row r="683" spans="2:72" s="15" customFormat="1">
      <c r="B683" s="86"/>
      <c r="C683" s="87"/>
      <c r="D683" s="17"/>
      <c r="T683" s="116"/>
      <c r="AV683" s="107"/>
      <c r="BT683" s="68"/>
    </row>
    <row r="684" spans="2:72" s="15" customFormat="1">
      <c r="B684" s="86"/>
      <c r="C684" s="87"/>
      <c r="D684" s="17"/>
      <c r="T684" s="116"/>
      <c r="AV684" s="107"/>
      <c r="BT684" s="68"/>
    </row>
    <row r="685" spans="2:72" s="15" customFormat="1">
      <c r="B685" s="86"/>
      <c r="C685" s="87"/>
      <c r="D685" s="17"/>
      <c r="T685" s="116"/>
      <c r="AV685" s="107"/>
      <c r="BT685" s="68"/>
    </row>
    <row r="686" spans="2:72" s="15" customFormat="1">
      <c r="B686" s="86"/>
      <c r="C686" s="87"/>
      <c r="D686" s="17"/>
      <c r="T686" s="116"/>
      <c r="AV686" s="107"/>
      <c r="BT686" s="68"/>
    </row>
    <row r="687" spans="2:72" s="15" customFormat="1">
      <c r="B687" s="86"/>
      <c r="C687" s="87"/>
      <c r="D687" s="17"/>
      <c r="T687" s="116"/>
      <c r="AV687" s="107"/>
      <c r="BT687" s="68"/>
    </row>
    <row r="688" spans="2:72" s="15" customFormat="1">
      <c r="B688" s="86"/>
      <c r="C688" s="87"/>
      <c r="D688" s="17"/>
      <c r="T688" s="116"/>
      <c r="AV688" s="107"/>
      <c r="BT688" s="68"/>
    </row>
    <row r="689" spans="2:72" s="15" customFormat="1">
      <c r="B689" s="86"/>
      <c r="C689" s="87"/>
      <c r="D689" s="17"/>
      <c r="T689" s="116"/>
      <c r="AV689" s="107"/>
      <c r="BT689" s="68"/>
    </row>
    <row r="690" spans="2:72" s="15" customFormat="1">
      <c r="B690" s="86"/>
      <c r="C690" s="87"/>
      <c r="D690" s="17"/>
      <c r="T690" s="116"/>
      <c r="AV690" s="107"/>
      <c r="BT690" s="68"/>
    </row>
    <row r="691" spans="2:72" s="15" customFormat="1">
      <c r="B691" s="86"/>
      <c r="C691" s="87"/>
      <c r="D691" s="17"/>
      <c r="T691" s="116"/>
      <c r="AV691" s="107"/>
      <c r="BT691" s="68"/>
    </row>
    <row r="692" spans="2:72" s="15" customFormat="1">
      <c r="B692" s="86"/>
      <c r="C692" s="87"/>
      <c r="D692" s="17"/>
      <c r="T692" s="116"/>
      <c r="AV692" s="107"/>
      <c r="BT692" s="68"/>
    </row>
    <row r="693" spans="2:72" s="15" customFormat="1">
      <c r="B693" s="86"/>
      <c r="C693" s="87"/>
      <c r="D693" s="17"/>
      <c r="T693" s="116"/>
      <c r="AV693" s="107"/>
      <c r="BT693" s="68"/>
    </row>
    <row r="694" spans="2:72" s="15" customFormat="1">
      <c r="B694" s="86"/>
      <c r="C694" s="87"/>
      <c r="D694" s="17"/>
      <c r="T694" s="116"/>
      <c r="AV694" s="107"/>
      <c r="BT694" s="68"/>
    </row>
    <row r="695" spans="2:72" s="15" customFormat="1">
      <c r="B695" s="86"/>
      <c r="C695" s="87"/>
      <c r="D695" s="17"/>
      <c r="T695" s="116"/>
      <c r="AV695" s="107"/>
      <c r="BT695" s="68"/>
    </row>
    <row r="696" spans="2:72" s="15" customFormat="1">
      <c r="B696" s="86"/>
      <c r="C696" s="87"/>
      <c r="D696" s="17"/>
      <c r="T696" s="116"/>
      <c r="AV696" s="107"/>
      <c r="BT696" s="68"/>
    </row>
    <row r="697" spans="2:72" s="15" customFormat="1">
      <c r="B697" s="86"/>
      <c r="C697" s="87"/>
      <c r="D697" s="17"/>
      <c r="T697" s="116"/>
      <c r="AV697" s="107"/>
      <c r="BT697" s="68"/>
    </row>
    <row r="698" spans="2:72" s="15" customFormat="1">
      <c r="B698" s="86"/>
      <c r="C698" s="87"/>
      <c r="D698" s="17"/>
      <c r="T698" s="116"/>
      <c r="AV698" s="107"/>
      <c r="BT698" s="68"/>
    </row>
    <row r="699" spans="2:72" s="15" customFormat="1">
      <c r="B699" s="86"/>
      <c r="C699" s="87"/>
      <c r="D699" s="17"/>
      <c r="T699" s="116"/>
      <c r="AV699" s="107"/>
      <c r="BT699" s="68"/>
    </row>
    <row r="700" spans="2:72" s="15" customFormat="1">
      <c r="B700" s="86"/>
      <c r="C700" s="87"/>
      <c r="D700" s="17"/>
      <c r="T700" s="116"/>
      <c r="AV700" s="107"/>
      <c r="BT700" s="68"/>
    </row>
    <row r="701" spans="2:72" s="15" customFormat="1">
      <c r="B701" s="86"/>
      <c r="C701" s="87"/>
      <c r="D701" s="17"/>
      <c r="T701" s="116"/>
      <c r="AV701" s="107"/>
      <c r="BT701" s="68"/>
    </row>
    <row r="702" spans="2:72" s="15" customFormat="1">
      <c r="B702" s="86"/>
      <c r="C702" s="87"/>
      <c r="D702" s="17"/>
      <c r="T702" s="116"/>
      <c r="AV702" s="107"/>
      <c r="BT702" s="68"/>
    </row>
    <row r="703" spans="2:72" s="15" customFormat="1">
      <c r="B703" s="86"/>
      <c r="C703" s="87"/>
      <c r="D703" s="17"/>
      <c r="T703" s="116"/>
      <c r="AV703" s="107"/>
      <c r="BT703" s="68"/>
    </row>
    <row r="704" spans="2:72" s="15" customFormat="1">
      <c r="B704" s="86"/>
      <c r="C704" s="87"/>
      <c r="D704" s="17"/>
      <c r="T704" s="116"/>
      <c r="AV704" s="107"/>
      <c r="BT704" s="68"/>
    </row>
    <row r="705" spans="2:72" s="15" customFormat="1">
      <c r="B705" s="86"/>
      <c r="C705" s="87"/>
      <c r="D705" s="17"/>
      <c r="T705" s="116"/>
      <c r="AV705" s="107"/>
      <c r="BT705" s="68"/>
    </row>
    <row r="706" spans="2:72" s="15" customFormat="1">
      <c r="B706" s="86"/>
      <c r="C706" s="87"/>
      <c r="D706" s="17"/>
      <c r="T706" s="116"/>
      <c r="AV706" s="107"/>
      <c r="BT706" s="68"/>
    </row>
    <row r="707" spans="2:72" s="15" customFormat="1">
      <c r="B707" s="86"/>
      <c r="C707" s="87"/>
      <c r="D707" s="17"/>
      <c r="T707" s="116"/>
      <c r="AV707" s="107"/>
      <c r="BT707" s="68"/>
    </row>
    <row r="708" spans="2:72" s="15" customFormat="1">
      <c r="B708" s="86"/>
      <c r="C708" s="87"/>
      <c r="D708" s="17"/>
      <c r="T708" s="116"/>
      <c r="AV708" s="107"/>
      <c r="BT708" s="68"/>
    </row>
    <row r="709" spans="2:72" s="15" customFormat="1">
      <c r="B709" s="86"/>
      <c r="C709" s="87"/>
      <c r="D709" s="17"/>
      <c r="T709" s="116"/>
      <c r="AV709" s="107"/>
      <c r="BT709" s="68"/>
    </row>
    <row r="710" spans="2:72" s="15" customFormat="1">
      <c r="B710" s="86"/>
      <c r="C710" s="87"/>
      <c r="D710" s="17"/>
      <c r="T710" s="116"/>
      <c r="AV710" s="107"/>
      <c r="BT710" s="68"/>
    </row>
    <row r="711" spans="2:72" s="15" customFormat="1">
      <c r="B711" s="86"/>
      <c r="C711" s="87"/>
      <c r="D711" s="17"/>
      <c r="T711" s="116"/>
      <c r="AV711" s="107"/>
      <c r="BT711" s="68"/>
    </row>
    <row r="712" spans="2:72" s="15" customFormat="1">
      <c r="B712" s="86"/>
      <c r="C712" s="87"/>
      <c r="D712" s="17"/>
      <c r="T712" s="116"/>
      <c r="AV712" s="107"/>
      <c r="BT712" s="68"/>
    </row>
    <row r="713" spans="2:72" s="15" customFormat="1">
      <c r="B713" s="86"/>
      <c r="C713" s="87"/>
      <c r="D713" s="17"/>
      <c r="T713" s="116"/>
      <c r="AV713" s="107"/>
      <c r="BT713" s="68"/>
    </row>
    <row r="714" spans="2:72" s="15" customFormat="1">
      <c r="B714" s="86"/>
      <c r="C714" s="87"/>
      <c r="D714" s="17"/>
      <c r="T714" s="116"/>
      <c r="AV714" s="107"/>
      <c r="BT714" s="68"/>
    </row>
    <row r="715" spans="2:72" s="15" customFormat="1">
      <c r="B715" s="86"/>
      <c r="C715" s="87"/>
      <c r="D715" s="17"/>
      <c r="T715" s="116"/>
      <c r="AV715" s="107"/>
      <c r="BT715" s="68"/>
    </row>
    <row r="716" spans="2:72" s="15" customFormat="1">
      <c r="B716" s="86"/>
      <c r="C716" s="87"/>
      <c r="D716" s="17"/>
      <c r="T716" s="116"/>
      <c r="AV716" s="107"/>
      <c r="BT716" s="68"/>
    </row>
    <row r="717" spans="2:72" s="15" customFormat="1">
      <c r="B717" s="86"/>
      <c r="C717" s="87"/>
      <c r="D717" s="17"/>
      <c r="T717" s="116"/>
      <c r="AV717" s="107"/>
      <c r="BT717" s="68"/>
    </row>
    <row r="718" spans="2:72" s="15" customFormat="1">
      <c r="B718" s="86"/>
      <c r="C718" s="87"/>
      <c r="D718" s="17"/>
      <c r="T718" s="116"/>
      <c r="AV718" s="107"/>
      <c r="BT718" s="68"/>
    </row>
    <row r="719" spans="2:72" s="15" customFormat="1">
      <c r="B719" s="86"/>
      <c r="C719" s="87"/>
      <c r="D719" s="17"/>
      <c r="T719" s="116"/>
      <c r="AV719" s="107"/>
      <c r="BT719" s="68"/>
    </row>
    <row r="720" spans="2:72" s="15" customFormat="1">
      <c r="B720" s="86"/>
      <c r="C720" s="87"/>
      <c r="D720" s="17"/>
      <c r="T720" s="116"/>
      <c r="AV720" s="107"/>
      <c r="BT720" s="68"/>
    </row>
    <row r="721" spans="2:72" s="15" customFormat="1">
      <c r="B721" s="86"/>
      <c r="C721" s="87"/>
      <c r="D721" s="17"/>
      <c r="T721" s="116"/>
      <c r="AV721" s="107"/>
      <c r="BT721" s="68"/>
    </row>
    <row r="722" spans="2:72" s="15" customFormat="1">
      <c r="B722" s="86"/>
      <c r="C722" s="87"/>
      <c r="D722" s="17"/>
      <c r="T722" s="116"/>
      <c r="AV722" s="107"/>
      <c r="BT722" s="68"/>
    </row>
    <row r="723" spans="2:72" s="15" customFormat="1">
      <c r="B723" s="86"/>
      <c r="C723" s="87"/>
      <c r="D723" s="17"/>
      <c r="T723" s="116"/>
      <c r="AV723" s="107"/>
      <c r="BT723" s="68"/>
    </row>
    <row r="724" spans="2:72" s="15" customFormat="1">
      <c r="B724" s="86"/>
      <c r="C724" s="87"/>
      <c r="D724" s="17"/>
      <c r="T724" s="116"/>
      <c r="AV724" s="107"/>
      <c r="BT724" s="68"/>
    </row>
    <row r="725" spans="2:72" s="15" customFormat="1">
      <c r="B725" s="86"/>
      <c r="C725" s="87"/>
      <c r="D725" s="17"/>
      <c r="T725" s="116"/>
      <c r="AV725" s="107"/>
      <c r="BT725" s="68"/>
    </row>
    <row r="726" spans="2:72" s="15" customFormat="1">
      <c r="B726" s="86"/>
      <c r="C726" s="87"/>
      <c r="D726" s="17"/>
      <c r="T726" s="116"/>
      <c r="AV726" s="107"/>
      <c r="BT726" s="68"/>
    </row>
    <row r="727" spans="2:72" s="15" customFormat="1">
      <c r="B727" s="86"/>
      <c r="C727" s="87"/>
      <c r="D727" s="17"/>
      <c r="T727" s="116"/>
      <c r="AV727" s="107"/>
      <c r="BT727" s="68"/>
    </row>
    <row r="728" spans="2:72" s="15" customFormat="1">
      <c r="B728" s="86"/>
      <c r="C728" s="87"/>
      <c r="D728" s="17"/>
      <c r="T728" s="116"/>
      <c r="AV728" s="107"/>
      <c r="BT728" s="68"/>
    </row>
    <row r="729" spans="2:72" s="15" customFormat="1">
      <c r="B729" s="86"/>
      <c r="C729" s="87"/>
      <c r="D729" s="17"/>
      <c r="T729" s="116"/>
      <c r="AV729" s="107"/>
      <c r="BT729" s="68"/>
    </row>
    <row r="730" spans="2:72" s="15" customFormat="1">
      <c r="B730" s="86"/>
      <c r="C730" s="87"/>
      <c r="D730" s="17"/>
      <c r="T730" s="116"/>
      <c r="AV730" s="107"/>
      <c r="BT730" s="68"/>
    </row>
    <row r="731" spans="2:72" s="15" customFormat="1">
      <c r="B731" s="86"/>
      <c r="C731" s="87"/>
      <c r="D731" s="17"/>
      <c r="T731" s="116"/>
      <c r="AV731" s="107"/>
      <c r="BT731" s="68"/>
    </row>
    <row r="732" spans="2:72" s="15" customFormat="1">
      <c r="B732" s="86"/>
      <c r="C732" s="87"/>
      <c r="D732" s="17"/>
      <c r="T732" s="116"/>
      <c r="AV732" s="107"/>
      <c r="BT732" s="68"/>
    </row>
    <row r="733" spans="2:72" s="15" customFormat="1">
      <c r="B733" s="86"/>
      <c r="C733" s="87"/>
      <c r="D733" s="17"/>
      <c r="T733" s="116"/>
      <c r="AV733" s="107"/>
      <c r="BT733" s="68"/>
    </row>
    <row r="734" spans="2:72" s="15" customFormat="1">
      <c r="B734" s="86"/>
      <c r="C734" s="87"/>
      <c r="D734" s="17"/>
      <c r="T734" s="116"/>
      <c r="AV734" s="107"/>
      <c r="BT734" s="68"/>
    </row>
    <row r="735" spans="2:72" s="15" customFormat="1">
      <c r="B735" s="86"/>
      <c r="C735" s="87"/>
      <c r="D735" s="17"/>
      <c r="T735" s="116"/>
      <c r="AV735" s="107"/>
      <c r="BT735" s="68"/>
    </row>
    <row r="736" spans="2:72" s="15" customFormat="1">
      <c r="B736" s="86"/>
      <c r="C736" s="87"/>
      <c r="D736" s="17"/>
      <c r="T736" s="116"/>
      <c r="AV736" s="107"/>
      <c r="BT736" s="68"/>
    </row>
    <row r="737" spans="2:72" s="15" customFormat="1">
      <c r="B737" s="86"/>
      <c r="C737" s="87"/>
      <c r="D737" s="17"/>
      <c r="T737" s="116"/>
      <c r="AV737" s="107"/>
      <c r="BT737" s="68"/>
    </row>
    <row r="738" spans="2:72" s="15" customFormat="1">
      <c r="B738" s="86"/>
      <c r="C738" s="87"/>
      <c r="D738" s="17"/>
      <c r="T738" s="116"/>
      <c r="AV738" s="107"/>
      <c r="BT738" s="68"/>
    </row>
    <row r="739" spans="2:72" s="15" customFormat="1">
      <c r="B739" s="86"/>
      <c r="C739" s="87"/>
      <c r="D739" s="17"/>
      <c r="T739" s="116"/>
      <c r="AV739" s="107"/>
      <c r="BT739" s="68"/>
    </row>
    <row r="740" spans="2:72" s="15" customFormat="1">
      <c r="B740" s="86"/>
      <c r="C740" s="87"/>
      <c r="D740" s="17"/>
      <c r="T740" s="116"/>
      <c r="AV740" s="107"/>
      <c r="BT740" s="68"/>
    </row>
    <row r="741" spans="2:72" s="15" customFormat="1">
      <c r="B741" s="86"/>
      <c r="C741" s="87"/>
      <c r="D741" s="17"/>
      <c r="T741" s="116"/>
      <c r="AV741" s="107"/>
      <c r="BT741" s="68"/>
    </row>
    <row r="742" spans="2:72" s="15" customFormat="1">
      <c r="B742" s="86"/>
      <c r="C742" s="87"/>
      <c r="D742" s="17"/>
      <c r="T742" s="116"/>
      <c r="AV742" s="107"/>
      <c r="BT742" s="68"/>
    </row>
    <row r="743" spans="2:72" s="15" customFormat="1">
      <c r="B743" s="86"/>
      <c r="C743" s="87"/>
      <c r="D743" s="17"/>
      <c r="T743" s="116"/>
      <c r="AV743" s="107"/>
      <c r="BT743" s="68"/>
    </row>
    <row r="744" spans="2:72" s="15" customFormat="1">
      <c r="B744" s="86"/>
      <c r="C744" s="87"/>
      <c r="D744" s="17"/>
      <c r="T744" s="116"/>
      <c r="AV744" s="107"/>
      <c r="BT744" s="68"/>
    </row>
    <row r="745" spans="2:72" s="15" customFormat="1">
      <c r="B745" s="86"/>
      <c r="C745" s="87"/>
      <c r="D745" s="17"/>
      <c r="T745" s="116"/>
      <c r="AV745" s="107"/>
      <c r="BT745" s="68"/>
    </row>
    <row r="746" spans="2:72" s="15" customFormat="1">
      <c r="B746" s="86"/>
      <c r="C746" s="87"/>
      <c r="D746" s="17"/>
      <c r="T746" s="116"/>
      <c r="AV746" s="107"/>
      <c r="BT746" s="68"/>
    </row>
    <row r="747" spans="2:72" s="15" customFormat="1">
      <c r="B747" s="86"/>
      <c r="C747" s="87"/>
      <c r="D747" s="17"/>
      <c r="T747" s="116"/>
      <c r="AV747" s="107"/>
      <c r="BT747" s="68"/>
    </row>
    <row r="748" spans="2:72" s="15" customFormat="1">
      <c r="B748" s="86"/>
      <c r="C748" s="87"/>
      <c r="D748" s="17"/>
      <c r="T748" s="116"/>
      <c r="AV748" s="107"/>
      <c r="BT748" s="68"/>
    </row>
    <row r="749" spans="2:72" s="15" customFormat="1">
      <c r="B749" s="86"/>
      <c r="C749" s="87"/>
      <c r="D749" s="17"/>
      <c r="T749" s="116"/>
      <c r="AV749" s="107"/>
      <c r="BT749" s="68"/>
    </row>
    <row r="750" spans="2:72" s="15" customFormat="1">
      <c r="B750" s="86"/>
      <c r="C750" s="87"/>
      <c r="D750" s="17"/>
      <c r="T750" s="116"/>
      <c r="AV750" s="107"/>
      <c r="BT750" s="68"/>
    </row>
    <row r="751" spans="2:72" s="15" customFormat="1">
      <c r="B751" s="86"/>
      <c r="C751" s="87"/>
      <c r="D751" s="17"/>
      <c r="T751" s="116"/>
      <c r="AV751" s="107"/>
      <c r="BT751" s="68"/>
    </row>
    <row r="752" spans="2:72" s="15" customFormat="1">
      <c r="B752" s="86"/>
      <c r="C752" s="87"/>
      <c r="D752" s="17"/>
      <c r="T752" s="116"/>
      <c r="AV752" s="107"/>
      <c r="BT752" s="68"/>
    </row>
    <row r="753" spans="2:72" s="15" customFormat="1">
      <c r="B753" s="86"/>
      <c r="C753" s="87"/>
      <c r="D753" s="17"/>
      <c r="T753" s="116"/>
      <c r="AV753" s="107"/>
      <c r="BT753" s="68"/>
    </row>
    <row r="754" spans="2:72" s="15" customFormat="1">
      <c r="B754" s="86"/>
      <c r="C754" s="87"/>
      <c r="D754" s="17"/>
      <c r="T754" s="116"/>
      <c r="AV754" s="107"/>
      <c r="BT754" s="68"/>
    </row>
    <row r="755" spans="2:72" s="15" customFormat="1">
      <c r="B755" s="86"/>
      <c r="C755" s="87"/>
      <c r="D755" s="17"/>
      <c r="T755" s="116"/>
      <c r="AV755" s="107"/>
      <c r="BT755" s="68"/>
    </row>
    <row r="756" spans="2:72" s="15" customFormat="1">
      <c r="B756" s="86"/>
      <c r="C756" s="87"/>
      <c r="D756" s="17"/>
      <c r="T756" s="116"/>
      <c r="AV756" s="107"/>
      <c r="BT756" s="68"/>
    </row>
    <row r="757" spans="2:72" s="15" customFormat="1">
      <c r="B757" s="86"/>
      <c r="C757" s="87"/>
      <c r="D757" s="17"/>
      <c r="T757" s="116"/>
      <c r="AV757" s="107"/>
      <c r="BT757" s="68"/>
    </row>
    <row r="758" spans="2:72" s="15" customFormat="1">
      <c r="B758" s="86"/>
      <c r="C758" s="87"/>
      <c r="D758" s="17"/>
      <c r="T758" s="116"/>
      <c r="AV758" s="107"/>
      <c r="BT758" s="68"/>
    </row>
    <row r="759" spans="2:72" s="15" customFormat="1">
      <c r="B759" s="86"/>
      <c r="C759" s="87"/>
      <c r="D759" s="17"/>
      <c r="T759" s="116"/>
      <c r="AV759" s="107"/>
      <c r="BT759" s="68"/>
    </row>
    <row r="760" spans="2:72" s="15" customFormat="1">
      <c r="B760" s="86"/>
      <c r="C760" s="87"/>
      <c r="D760" s="17"/>
      <c r="T760" s="116"/>
      <c r="AV760" s="107"/>
      <c r="BT760" s="68"/>
    </row>
    <row r="761" spans="2:72" s="15" customFormat="1">
      <c r="B761" s="86"/>
      <c r="C761" s="87"/>
      <c r="D761" s="17"/>
      <c r="T761" s="116"/>
      <c r="AV761" s="107"/>
      <c r="BT761" s="68"/>
    </row>
    <row r="762" spans="2:72" s="15" customFormat="1">
      <c r="B762" s="86"/>
      <c r="C762" s="87"/>
      <c r="D762" s="17"/>
      <c r="T762" s="116"/>
      <c r="AV762" s="107"/>
      <c r="BT762" s="68"/>
    </row>
    <row r="763" spans="2:72" s="15" customFormat="1">
      <c r="B763" s="86"/>
      <c r="C763" s="87"/>
      <c r="D763" s="17"/>
      <c r="T763" s="116"/>
      <c r="AV763" s="107"/>
      <c r="BT763" s="68"/>
    </row>
    <row r="764" spans="2:72" s="15" customFormat="1">
      <c r="B764" s="86"/>
      <c r="C764" s="87"/>
      <c r="D764" s="17"/>
      <c r="T764" s="116"/>
      <c r="AV764" s="107"/>
      <c r="BT764" s="68"/>
    </row>
    <row r="765" spans="2:72" s="15" customFormat="1">
      <c r="B765" s="86"/>
      <c r="C765" s="87"/>
      <c r="D765" s="17"/>
      <c r="T765" s="116"/>
      <c r="AV765" s="107"/>
      <c r="BT765" s="68"/>
    </row>
    <row r="766" spans="2:72" s="15" customFormat="1">
      <c r="B766" s="86"/>
      <c r="C766" s="87"/>
      <c r="D766" s="17"/>
      <c r="T766" s="116"/>
      <c r="AV766" s="107"/>
      <c r="BT766" s="68"/>
    </row>
    <row r="767" spans="2:72" s="15" customFormat="1">
      <c r="B767" s="86"/>
      <c r="C767" s="87"/>
      <c r="D767" s="17"/>
      <c r="T767" s="116"/>
      <c r="AV767" s="107"/>
      <c r="BT767" s="68"/>
    </row>
    <row r="768" spans="2:72" s="15" customFormat="1">
      <c r="B768" s="86"/>
      <c r="C768" s="87"/>
      <c r="D768" s="17"/>
      <c r="T768" s="116"/>
      <c r="AV768" s="107"/>
      <c r="BT768" s="68"/>
    </row>
    <row r="769" spans="2:72" s="15" customFormat="1">
      <c r="B769" s="86"/>
      <c r="C769" s="87"/>
      <c r="D769" s="17"/>
      <c r="T769" s="116"/>
      <c r="AV769" s="107"/>
      <c r="BT769" s="68"/>
    </row>
    <row r="770" spans="2:72" s="15" customFormat="1">
      <c r="B770" s="86"/>
      <c r="C770" s="87"/>
      <c r="D770" s="17"/>
      <c r="T770" s="116"/>
      <c r="AV770" s="107"/>
      <c r="BT770" s="68"/>
    </row>
    <row r="771" spans="2:72" s="15" customFormat="1">
      <c r="B771" s="86"/>
      <c r="C771" s="87"/>
      <c r="D771" s="17"/>
      <c r="T771" s="116"/>
      <c r="AV771" s="107"/>
      <c r="BT771" s="68"/>
    </row>
    <row r="772" spans="2:72" s="15" customFormat="1">
      <c r="B772" s="86"/>
      <c r="C772" s="87"/>
      <c r="D772" s="17"/>
      <c r="T772" s="116"/>
      <c r="AV772" s="107"/>
      <c r="BT772" s="68"/>
    </row>
    <row r="773" spans="2:72" s="15" customFormat="1">
      <c r="B773" s="86"/>
      <c r="C773" s="87"/>
      <c r="D773" s="17"/>
      <c r="T773" s="116"/>
      <c r="AV773" s="107"/>
      <c r="BT773" s="68"/>
    </row>
    <row r="774" spans="2:72" s="15" customFormat="1">
      <c r="B774" s="86"/>
      <c r="C774" s="87"/>
      <c r="D774" s="17"/>
      <c r="T774" s="116"/>
      <c r="AV774" s="107"/>
      <c r="BT774" s="68"/>
    </row>
    <row r="775" spans="2:72" s="15" customFormat="1">
      <c r="B775" s="86"/>
      <c r="C775" s="87"/>
      <c r="D775" s="17"/>
      <c r="T775" s="116"/>
      <c r="AV775" s="107"/>
      <c r="BT775" s="68"/>
    </row>
    <row r="776" spans="2:72" s="15" customFormat="1">
      <c r="B776" s="86"/>
      <c r="C776" s="87"/>
      <c r="D776" s="17"/>
      <c r="T776" s="116"/>
      <c r="AV776" s="107"/>
      <c r="BT776" s="68"/>
    </row>
    <row r="777" spans="2:72" s="15" customFormat="1">
      <c r="B777" s="86"/>
      <c r="C777" s="87"/>
      <c r="D777" s="17"/>
      <c r="T777" s="116"/>
      <c r="AV777" s="107"/>
      <c r="BT777" s="68"/>
    </row>
    <row r="778" spans="2:72" s="15" customFormat="1">
      <c r="B778" s="86"/>
      <c r="C778" s="87"/>
      <c r="D778" s="17"/>
      <c r="T778" s="116"/>
      <c r="AV778" s="107"/>
      <c r="BT778" s="68"/>
    </row>
    <row r="779" spans="2:72" s="15" customFormat="1">
      <c r="B779" s="86"/>
      <c r="C779" s="87"/>
      <c r="D779" s="17"/>
      <c r="T779" s="116"/>
      <c r="AV779" s="107"/>
      <c r="BT779" s="68"/>
    </row>
    <row r="780" spans="2:72" s="15" customFormat="1">
      <c r="B780" s="86"/>
      <c r="C780" s="87"/>
      <c r="D780" s="17"/>
      <c r="T780" s="116"/>
      <c r="AV780" s="107"/>
      <c r="BT780" s="68"/>
    </row>
    <row r="781" spans="2:72" s="15" customFormat="1">
      <c r="B781" s="86"/>
      <c r="C781" s="87"/>
      <c r="D781" s="17"/>
      <c r="T781" s="116"/>
      <c r="AV781" s="107"/>
      <c r="BT781" s="68"/>
    </row>
    <row r="782" spans="2:72" s="15" customFormat="1">
      <c r="B782" s="86"/>
      <c r="C782" s="87"/>
      <c r="D782" s="17"/>
      <c r="T782" s="116"/>
      <c r="AV782" s="107"/>
      <c r="BT782" s="68"/>
    </row>
    <row r="783" spans="2:72" s="15" customFormat="1">
      <c r="B783" s="86"/>
      <c r="C783" s="87"/>
      <c r="D783" s="17"/>
      <c r="T783" s="116"/>
      <c r="AV783" s="107"/>
      <c r="BT783" s="68"/>
    </row>
    <row r="784" spans="2:72" s="15" customFormat="1">
      <c r="B784" s="86"/>
      <c r="C784" s="87"/>
      <c r="D784" s="17"/>
      <c r="T784" s="116"/>
      <c r="AV784" s="107"/>
      <c r="BT784" s="68"/>
    </row>
    <row r="785" spans="2:72" s="15" customFormat="1">
      <c r="B785" s="86"/>
      <c r="C785" s="87"/>
      <c r="D785" s="17"/>
      <c r="T785" s="116"/>
      <c r="AV785" s="107"/>
      <c r="BT785" s="68"/>
    </row>
    <row r="786" spans="2:72" s="15" customFormat="1">
      <c r="B786" s="86"/>
      <c r="C786" s="87"/>
      <c r="D786" s="17"/>
      <c r="T786" s="116"/>
      <c r="AV786" s="107"/>
      <c r="BT786" s="68"/>
    </row>
    <row r="787" spans="2:72" s="15" customFormat="1">
      <c r="B787" s="86"/>
      <c r="C787" s="87"/>
      <c r="D787" s="17"/>
      <c r="T787" s="116"/>
      <c r="AV787" s="107"/>
      <c r="BT787" s="68"/>
    </row>
    <row r="788" spans="2:72" s="15" customFormat="1">
      <c r="B788" s="86"/>
      <c r="C788" s="87"/>
      <c r="D788" s="17"/>
      <c r="T788" s="116"/>
      <c r="AV788" s="107"/>
      <c r="BT788" s="68"/>
    </row>
    <row r="789" spans="2:72" s="15" customFormat="1">
      <c r="B789" s="86"/>
      <c r="C789" s="87"/>
      <c r="D789" s="17"/>
      <c r="T789" s="116"/>
      <c r="AV789" s="107"/>
      <c r="BT789" s="68"/>
    </row>
    <row r="790" spans="2:72" s="15" customFormat="1">
      <c r="B790" s="86"/>
      <c r="C790" s="87"/>
      <c r="D790" s="17"/>
      <c r="T790" s="116"/>
      <c r="AV790" s="107"/>
      <c r="BT790" s="68"/>
    </row>
    <row r="791" spans="2:72" s="15" customFormat="1">
      <c r="B791" s="86"/>
      <c r="C791" s="87"/>
      <c r="D791" s="17"/>
      <c r="T791" s="116"/>
      <c r="AV791" s="107"/>
      <c r="BT791" s="68"/>
    </row>
    <row r="792" spans="2:72" s="15" customFormat="1">
      <c r="B792" s="86"/>
      <c r="C792" s="87"/>
      <c r="D792" s="17"/>
      <c r="T792" s="116"/>
      <c r="AV792" s="106"/>
      <c r="BT792" s="68"/>
    </row>
    <row r="793" spans="2:72" s="15" customFormat="1">
      <c r="B793" s="86"/>
      <c r="C793" s="87"/>
      <c r="D793" s="17"/>
      <c r="T793" s="116"/>
      <c r="AV793" s="35"/>
      <c r="BT793" s="68"/>
    </row>
    <row r="794" spans="2:72" s="15" customFormat="1">
      <c r="B794" s="86"/>
      <c r="C794" s="87"/>
      <c r="D794" s="17"/>
      <c r="T794" s="116"/>
      <c r="AV794" s="35"/>
      <c r="BT794" s="68"/>
    </row>
    <row r="795" spans="2:72" s="15" customFormat="1">
      <c r="B795" s="86"/>
      <c r="C795" s="87"/>
      <c r="D795" s="17"/>
      <c r="T795" s="116"/>
      <c r="AV795" s="35"/>
      <c r="BT795" s="68"/>
    </row>
    <row r="796" spans="2:72" s="15" customFormat="1">
      <c r="B796" s="86"/>
      <c r="C796" s="87"/>
      <c r="D796" s="17"/>
      <c r="T796" s="116"/>
      <c r="AV796" s="35"/>
      <c r="BT796" s="68"/>
    </row>
    <row r="797" spans="2:72" s="15" customFormat="1">
      <c r="B797" s="86"/>
      <c r="C797" s="87"/>
      <c r="D797" s="17"/>
      <c r="T797" s="116"/>
      <c r="AV797" s="35"/>
      <c r="BT797" s="68"/>
    </row>
    <row r="798" spans="2:72" s="15" customFormat="1">
      <c r="B798" s="86"/>
      <c r="C798" s="87"/>
      <c r="D798" s="17"/>
      <c r="T798" s="116"/>
      <c r="AV798" s="35"/>
      <c r="BT798" s="68"/>
    </row>
    <row r="799" spans="2:72" s="15" customFormat="1">
      <c r="B799" s="86"/>
      <c r="C799" s="87"/>
      <c r="D799" s="17"/>
      <c r="T799" s="116"/>
      <c r="AV799" s="35"/>
      <c r="BT799" s="68"/>
    </row>
    <row r="800" spans="2:72" s="15" customFormat="1">
      <c r="B800" s="86"/>
      <c r="C800" s="87"/>
      <c r="D800" s="17"/>
      <c r="T800" s="116"/>
      <c r="AV800" s="35"/>
      <c r="BT800" s="68"/>
    </row>
    <row r="801" spans="2:72" s="15" customFormat="1">
      <c r="B801" s="86"/>
      <c r="C801" s="87"/>
      <c r="D801" s="17"/>
      <c r="T801" s="116"/>
      <c r="AV801" s="35"/>
      <c r="BT801" s="68"/>
    </row>
    <row r="802" spans="2:72" s="15" customFormat="1">
      <c r="B802" s="86"/>
      <c r="C802" s="87"/>
      <c r="D802" s="17"/>
      <c r="T802" s="116"/>
      <c r="AV802" s="35"/>
      <c r="BT802" s="68"/>
    </row>
    <row r="803" spans="2:72" s="15" customFormat="1">
      <c r="B803" s="86"/>
      <c r="C803" s="87"/>
      <c r="D803" s="17"/>
      <c r="T803" s="116"/>
      <c r="AV803" s="35"/>
      <c r="BT803" s="68"/>
    </row>
    <row r="804" spans="2:72" s="15" customFormat="1">
      <c r="B804" s="86"/>
      <c r="C804" s="87"/>
      <c r="D804" s="17"/>
      <c r="T804" s="116"/>
      <c r="AV804" s="35"/>
      <c r="BT804" s="68"/>
    </row>
    <row r="805" spans="2:72" s="15" customFormat="1">
      <c r="B805" s="86"/>
      <c r="C805" s="87"/>
      <c r="D805" s="17"/>
      <c r="T805" s="116"/>
      <c r="AV805" s="35"/>
      <c r="BT805" s="68"/>
    </row>
    <row r="806" spans="2:72" s="15" customFormat="1">
      <c r="B806" s="86"/>
      <c r="C806" s="87"/>
      <c r="D806" s="17"/>
      <c r="T806" s="116"/>
      <c r="AV806" s="35"/>
      <c r="BT806" s="68"/>
    </row>
    <row r="807" spans="2:72" s="15" customFormat="1">
      <c r="B807" s="86"/>
      <c r="C807" s="87"/>
      <c r="D807" s="17"/>
      <c r="T807" s="116"/>
      <c r="AV807" s="35"/>
      <c r="BT807" s="68"/>
    </row>
    <row r="808" spans="2:72" s="15" customFormat="1">
      <c r="B808" s="86"/>
      <c r="C808" s="87"/>
      <c r="D808" s="17"/>
      <c r="T808" s="116"/>
      <c r="AV808" s="35"/>
      <c r="BT808" s="68"/>
    </row>
    <row r="809" spans="2:72" s="15" customFormat="1">
      <c r="B809" s="86"/>
      <c r="C809" s="87"/>
      <c r="D809" s="17"/>
      <c r="T809" s="116"/>
      <c r="AV809" s="35"/>
      <c r="BT809" s="68"/>
    </row>
    <row r="810" spans="2:72" s="15" customFormat="1">
      <c r="B810" s="86"/>
      <c r="C810" s="87"/>
      <c r="D810" s="17"/>
      <c r="T810" s="116"/>
      <c r="AV810" s="35"/>
      <c r="BT810" s="68"/>
    </row>
    <row r="811" spans="2:72" s="15" customFormat="1">
      <c r="B811" s="86"/>
      <c r="C811" s="87"/>
      <c r="D811" s="17"/>
      <c r="T811" s="116"/>
      <c r="AV811" s="35"/>
      <c r="BT811" s="68"/>
    </row>
    <row r="812" spans="2:72" s="15" customFormat="1">
      <c r="B812" s="86"/>
      <c r="C812" s="87"/>
      <c r="D812" s="17"/>
      <c r="T812" s="116"/>
      <c r="AV812" s="35"/>
      <c r="BT812" s="68"/>
    </row>
    <row r="813" spans="2:72" s="15" customFormat="1">
      <c r="B813" s="86"/>
      <c r="C813" s="87"/>
      <c r="D813" s="17"/>
      <c r="T813" s="116"/>
      <c r="AV813" s="35"/>
      <c r="BT813" s="68"/>
    </row>
    <row r="814" spans="2:72" s="15" customFormat="1">
      <c r="B814" s="86"/>
      <c r="C814" s="87"/>
      <c r="D814" s="17"/>
      <c r="T814" s="116"/>
      <c r="AV814" s="35"/>
      <c r="BT814" s="68"/>
    </row>
    <row r="815" spans="2:72" s="15" customFormat="1">
      <c r="B815" s="86"/>
      <c r="C815" s="87"/>
      <c r="D815" s="17"/>
      <c r="T815" s="116"/>
      <c r="AV815" s="35"/>
      <c r="BT815" s="68"/>
    </row>
    <row r="816" spans="2:72" s="15" customFormat="1">
      <c r="B816" s="86"/>
      <c r="C816" s="87"/>
      <c r="D816" s="17"/>
      <c r="T816" s="116"/>
      <c r="AV816" s="35"/>
      <c r="BT816" s="68"/>
    </row>
    <row r="817" spans="2:72" s="15" customFormat="1">
      <c r="B817" s="86"/>
      <c r="C817" s="87"/>
      <c r="D817" s="17"/>
      <c r="T817" s="116"/>
      <c r="AV817" s="35"/>
      <c r="BT817" s="68"/>
    </row>
    <row r="818" spans="2:72" s="15" customFormat="1">
      <c r="B818" s="86"/>
      <c r="C818" s="87"/>
      <c r="D818" s="17"/>
      <c r="T818" s="116"/>
      <c r="AV818" s="35"/>
      <c r="BT818" s="68"/>
    </row>
    <row r="819" spans="2:72" s="15" customFormat="1">
      <c r="B819" s="86"/>
      <c r="C819" s="87"/>
      <c r="D819" s="17"/>
      <c r="T819" s="116"/>
      <c r="AV819" s="35"/>
      <c r="BT819" s="68"/>
    </row>
    <row r="820" spans="2:72" s="15" customFormat="1">
      <c r="B820" s="86"/>
      <c r="C820" s="87"/>
      <c r="D820" s="17"/>
      <c r="T820" s="116"/>
      <c r="AV820" s="35"/>
      <c r="BT820" s="68"/>
    </row>
    <row r="821" spans="2:72" s="15" customFormat="1">
      <c r="B821" s="86"/>
      <c r="C821" s="87"/>
      <c r="D821" s="17"/>
      <c r="T821" s="116"/>
      <c r="AV821" s="35"/>
      <c r="BT821" s="68"/>
    </row>
    <row r="822" spans="2:72" s="15" customFormat="1">
      <c r="B822" s="86"/>
      <c r="C822" s="87"/>
      <c r="D822" s="17"/>
      <c r="T822" s="116"/>
      <c r="AV822" s="35"/>
      <c r="BT822" s="68"/>
    </row>
    <row r="823" spans="2:72" s="15" customFormat="1">
      <c r="B823" s="86"/>
      <c r="C823" s="87"/>
      <c r="D823" s="17"/>
      <c r="T823" s="116"/>
      <c r="AV823" s="35"/>
      <c r="BT823" s="68"/>
    </row>
    <row r="824" spans="2:72" s="15" customFormat="1">
      <c r="B824" s="86"/>
      <c r="C824" s="87"/>
      <c r="D824" s="17"/>
      <c r="T824" s="116"/>
      <c r="AV824" s="35"/>
      <c r="BT824" s="68"/>
    </row>
    <row r="825" spans="2:72" s="15" customFormat="1">
      <c r="B825" s="86"/>
      <c r="C825" s="87"/>
      <c r="D825" s="17"/>
      <c r="T825" s="116"/>
      <c r="AV825" s="35"/>
      <c r="BT825" s="68"/>
    </row>
    <row r="826" spans="2:72" s="15" customFormat="1">
      <c r="B826" s="86"/>
      <c r="C826" s="87"/>
      <c r="D826" s="17"/>
      <c r="T826" s="116"/>
      <c r="AV826" s="35"/>
      <c r="BT826" s="68"/>
    </row>
    <row r="827" spans="2:72" s="15" customFormat="1">
      <c r="B827" s="86"/>
      <c r="C827" s="87"/>
      <c r="D827" s="17"/>
      <c r="T827" s="116"/>
      <c r="AV827" s="35"/>
      <c r="BT827" s="68"/>
    </row>
    <row r="828" spans="2:72" s="15" customFormat="1">
      <c r="B828" s="86"/>
      <c r="C828" s="87"/>
      <c r="D828" s="17"/>
      <c r="T828" s="116"/>
      <c r="AV828" s="35"/>
      <c r="BT828" s="68"/>
    </row>
    <row r="829" spans="2:72" s="15" customFormat="1">
      <c r="B829" s="86"/>
      <c r="C829" s="87"/>
      <c r="D829" s="17"/>
      <c r="T829" s="116"/>
      <c r="AV829" s="35"/>
      <c r="BT829" s="68"/>
    </row>
    <row r="830" spans="2:72" s="15" customFormat="1">
      <c r="B830" s="86"/>
      <c r="C830" s="87"/>
      <c r="D830" s="17"/>
      <c r="T830" s="116"/>
      <c r="AV830" s="35"/>
      <c r="BT830" s="68"/>
    </row>
  </sheetData>
  <mergeCells count="1">
    <mergeCell ref="E5:AS5"/>
  </mergeCells>
  <pageMargins left="0.7" right="0.7" top="0.75" bottom="0.75" header="0.3" footer="0.3"/>
  <pageSetup orientation="portrait" horizontalDpi="360" verticalDpi="360" r:id="rId1"/>
  <ignoredErrors>
    <ignoredError sqref="I8:I337 M7:M337 Q7:Q337 S411:S636 AB534 S8:S195 I351:I636 M351:M636 Q351:Q636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53"/>
  <sheetViews>
    <sheetView tabSelected="1" zoomScaleNormal="100" workbookViewId="0">
      <selection activeCell="B5" sqref="B5"/>
    </sheetView>
  </sheetViews>
  <sheetFormatPr defaultRowHeight="14.4"/>
  <cols>
    <col min="1" max="1" width="25.88671875" customWidth="1"/>
    <col min="2" max="2" width="19.77734375" customWidth="1"/>
    <col min="3" max="3" width="18" customWidth="1"/>
    <col min="4" max="4" width="18.21875" customWidth="1"/>
    <col min="5" max="5" width="17.6640625" customWidth="1"/>
    <col min="6" max="6" width="17.88671875" customWidth="1"/>
    <col min="7" max="7" width="17.77734375" customWidth="1"/>
  </cols>
  <sheetData>
    <row r="1" spans="1:14" s="1" customFormat="1" ht="15.6">
      <c r="A1" s="128" t="s">
        <v>1764</v>
      </c>
      <c r="B1" s="7" t="s">
        <v>2</v>
      </c>
      <c r="C1" s="120" t="s">
        <v>1134</v>
      </c>
      <c r="D1" s="120" t="s">
        <v>1135</v>
      </c>
      <c r="E1" s="120" t="s">
        <v>1136</v>
      </c>
      <c r="F1" s="120" t="s">
        <v>1137</v>
      </c>
      <c r="G1" s="120" t="s">
        <v>1138</v>
      </c>
      <c r="H1" s="120" t="s">
        <v>1139</v>
      </c>
      <c r="I1" s="120" t="s">
        <v>1140</v>
      </c>
      <c r="J1" s="120" t="s">
        <v>1141</v>
      </c>
      <c r="K1" s="120" t="s">
        <v>1142</v>
      </c>
      <c r="L1" s="124" t="s">
        <v>1143</v>
      </c>
      <c r="M1" s="124" t="s">
        <v>1144</v>
      </c>
      <c r="N1" s="124" t="s">
        <v>1133</v>
      </c>
    </row>
    <row r="2" spans="1:14" ht="15.6">
      <c r="A2" s="127"/>
      <c r="B2" s="7"/>
      <c r="C2" s="22"/>
      <c r="D2" s="22"/>
      <c r="E2" s="22"/>
      <c r="F2" s="22"/>
      <c r="G2" s="22"/>
      <c r="H2" s="22"/>
      <c r="I2" s="22"/>
      <c r="J2" s="22"/>
      <c r="K2" s="22"/>
      <c r="L2" s="122"/>
      <c r="M2" s="122"/>
      <c r="N2" s="122"/>
    </row>
    <row r="3" spans="1:14" ht="15.6">
      <c r="A3" s="27"/>
      <c r="B3" s="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spans="1:14" ht="15.6">
      <c r="A4" s="27" t="s">
        <v>1145</v>
      </c>
      <c r="B4" s="37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.6">
      <c r="A5" s="27" t="s">
        <v>1146</v>
      </c>
      <c r="B5" s="37" t="s">
        <v>32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spans="1:14" ht="15.6">
      <c r="A6" s="27" t="s">
        <v>1147</v>
      </c>
      <c r="B6" s="37" t="s">
        <v>32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5.6">
      <c r="A7" s="27" t="s">
        <v>1148</v>
      </c>
      <c r="B7" s="23" t="s">
        <v>32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1:14" ht="15.6">
      <c r="A8" s="27" t="s">
        <v>1149</v>
      </c>
      <c r="B8" s="23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</row>
    <row r="9" spans="1:14" ht="15.6">
      <c r="A9" s="27" t="s">
        <v>1150</v>
      </c>
      <c r="B9" s="23" t="s">
        <v>32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</row>
    <row r="10" spans="1:14" ht="15.6">
      <c r="A10" s="27" t="s">
        <v>1151</v>
      </c>
      <c r="B10" s="23" t="s">
        <v>32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</row>
    <row r="11" spans="1:14" ht="15.6">
      <c r="A11" s="27" t="s">
        <v>1152</v>
      </c>
      <c r="B11" s="25" t="s">
        <v>32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spans="1:14" ht="15.6">
      <c r="A12" s="27" t="s">
        <v>1153</v>
      </c>
      <c r="B12" s="25" t="s">
        <v>32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</row>
    <row r="13" spans="1:14" ht="15.6">
      <c r="A13" s="27" t="s">
        <v>1154</v>
      </c>
      <c r="B13" s="25" t="s">
        <v>32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</row>
    <row r="14" spans="1:14" ht="15.6">
      <c r="A14" s="27" t="s">
        <v>1155</v>
      </c>
      <c r="B14" s="25" t="s">
        <v>32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spans="1:14" ht="15.6">
      <c r="A15" s="27" t="s">
        <v>1156</v>
      </c>
      <c r="B15" s="25" t="s">
        <v>32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spans="1:14" ht="15.6">
      <c r="A16" s="27" t="s">
        <v>1157</v>
      </c>
      <c r="B16" s="25" t="s">
        <v>32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</row>
    <row r="17" spans="1:14" ht="15.6">
      <c r="A17" s="27" t="s">
        <v>1158</v>
      </c>
      <c r="B17" s="25" t="s">
        <v>32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</row>
    <row r="18" spans="1:14" ht="15.6">
      <c r="A18" s="27" t="s">
        <v>1159</v>
      </c>
      <c r="B18" s="25" t="s">
        <v>32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spans="1:14" ht="15.6">
      <c r="A19" s="27" t="s">
        <v>1160</v>
      </c>
      <c r="B19" s="25" t="s">
        <v>32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spans="1:14" ht="15.6">
      <c r="A20" s="27" t="s">
        <v>1161</v>
      </c>
      <c r="B20" s="25" t="s">
        <v>32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spans="1:14" ht="15.6">
      <c r="A21" s="27" t="s">
        <v>1162</v>
      </c>
      <c r="B21" s="25" t="s">
        <v>32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</row>
    <row r="22" spans="1:14" ht="15.6">
      <c r="A22" s="27" t="s">
        <v>1163</v>
      </c>
      <c r="B22" s="25" t="s">
        <v>32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spans="1:14" ht="15.6">
      <c r="A23" s="27" t="s">
        <v>1164</v>
      </c>
      <c r="B23" s="25" t="s">
        <v>32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spans="1:14" ht="15.6">
      <c r="A24" s="27" t="s">
        <v>1165</v>
      </c>
      <c r="B24" s="25" t="s">
        <v>32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spans="1:14" ht="15.6">
      <c r="A25" s="27" t="s">
        <v>1166</v>
      </c>
      <c r="B25" s="25" t="s">
        <v>32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5.6">
      <c r="A26" s="27" t="s">
        <v>1167</v>
      </c>
      <c r="B26" s="25" t="s">
        <v>32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4" ht="15.6">
      <c r="A27" s="27" t="s">
        <v>1168</v>
      </c>
      <c r="B27" s="25" t="s">
        <v>32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.6">
      <c r="A28" s="27" t="s">
        <v>1169</v>
      </c>
      <c r="B28" s="25" t="s">
        <v>32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spans="1:14" ht="15.6">
      <c r="A29" s="27" t="s">
        <v>1170</v>
      </c>
      <c r="B29" s="25" t="s">
        <v>32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0" spans="1:14" ht="15.6">
      <c r="A30" s="27" t="s">
        <v>1171</v>
      </c>
      <c r="B30" s="25" t="s">
        <v>32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spans="1:14" ht="15.6">
      <c r="A31" s="27" t="s">
        <v>1172</v>
      </c>
      <c r="B31" s="25" t="s">
        <v>32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</row>
    <row r="32" spans="1:14" ht="15.6">
      <c r="A32" s="27" t="s">
        <v>1173</v>
      </c>
      <c r="B32" s="25" t="s">
        <v>32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spans="1:14" ht="15.6">
      <c r="A33" s="27" t="s">
        <v>1174</v>
      </c>
      <c r="B33" s="25" t="s">
        <v>32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spans="1:14" ht="15.6">
      <c r="A34" s="27" t="s">
        <v>1175</v>
      </c>
      <c r="B34" s="25" t="s">
        <v>32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</row>
    <row r="35" spans="1:14" ht="15.6">
      <c r="A35" s="27" t="s">
        <v>1176</v>
      </c>
      <c r="B35" s="25" t="s">
        <v>32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</row>
    <row r="36" spans="1:14" ht="15.6">
      <c r="A36" s="27" t="s">
        <v>1177</v>
      </c>
      <c r="B36" s="25" t="s">
        <v>32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</row>
    <row r="37" spans="1:14" ht="15.6">
      <c r="A37" s="27" t="s">
        <v>1178</v>
      </c>
      <c r="B37" s="25" t="s">
        <v>32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</row>
    <row r="38" spans="1:14" ht="15.6">
      <c r="A38" s="27" t="s">
        <v>1179</v>
      </c>
      <c r="B38" s="25" t="s">
        <v>32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spans="1:14" ht="15.6">
      <c r="A39" s="27" t="s">
        <v>1180</v>
      </c>
      <c r="B39" s="25" t="s">
        <v>32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5.6">
      <c r="A40" s="27" t="s">
        <v>1181</v>
      </c>
      <c r="B40" s="25" t="s">
        <v>32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</row>
    <row r="41" spans="1:14" ht="15.6">
      <c r="A41" s="27" t="s">
        <v>1182</v>
      </c>
      <c r="B41" s="25" t="s">
        <v>32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  <row r="42" spans="1:14" ht="15.6">
      <c r="A42" s="27" t="s">
        <v>1183</v>
      </c>
      <c r="B42" s="25" t="s">
        <v>32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spans="1:14" ht="15.6">
      <c r="A43" s="27" t="s">
        <v>1184</v>
      </c>
      <c r="B43" s="25" t="s">
        <v>32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spans="1:14" ht="15.6">
      <c r="A44" s="27" t="s">
        <v>1185</v>
      </c>
      <c r="B44" s="25" t="s">
        <v>32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spans="1:14" ht="15.6">
      <c r="A45" s="27" t="s">
        <v>1186</v>
      </c>
      <c r="B45" s="25" t="s">
        <v>32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spans="1:14" ht="15.6">
      <c r="A46" s="27" t="s">
        <v>1187</v>
      </c>
      <c r="B46" s="25" t="s">
        <v>32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spans="1:14" ht="15.6">
      <c r="A47" s="27" t="s">
        <v>1188</v>
      </c>
      <c r="B47" s="25" t="s">
        <v>32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spans="1:14" ht="15.6">
      <c r="A48" s="27" t="s">
        <v>1189</v>
      </c>
      <c r="B48" s="25" t="s">
        <v>32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spans="1:14" ht="15.6">
      <c r="A49" s="27" t="s">
        <v>1190</v>
      </c>
      <c r="B49" s="25" t="s">
        <v>32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spans="1:14" ht="15.6">
      <c r="A50" s="27" t="s">
        <v>1191</v>
      </c>
      <c r="B50" s="25" t="s">
        <v>32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5.6">
      <c r="A51" s="27" t="s">
        <v>1192</v>
      </c>
      <c r="B51" s="25" t="s">
        <v>32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spans="1:14" ht="15.6">
      <c r="A52" s="27" t="s">
        <v>1193</v>
      </c>
      <c r="B52" s="25" t="s">
        <v>32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spans="1:14" ht="15.6">
      <c r="A53" s="27" t="s">
        <v>1194</v>
      </c>
      <c r="B53" s="25" t="s">
        <v>32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spans="1:14" ht="15.6">
      <c r="A54" s="27" t="s">
        <v>1195</v>
      </c>
      <c r="B54" s="25" t="s">
        <v>105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spans="1:14" ht="15.6">
      <c r="A55" s="27" t="s">
        <v>1196</v>
      </c>
      <c r="B55" s="25" t="s">
        <v>105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spans="1:14" ht="15.6">
      <c r="A56" s="27" t="s">
        <v>1197</v>
      </c>
      <c r="B56" s="25" t="s">
        <v>105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spans="1:14" ht="15.6">
      <c r="A57" s="27" t="s">
        <v>1198</v>
      </c>
      <c r="B57" s="25" t="s">
        <v>105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spans="1:14" ht="15.6">
      <c r="A58" s="27" t="s">
        <v>1199</v>
      </c>
      <c r="B58" s="25" t="s">
        <v>105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spans="1:14" ht="15.6">
      <c r="A59" s="27" t="s">
        <v>1200</v>
      </c>
      <c r="B59" s="25" t="s">
        <v>105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spans="1:14" ht="15.6">
      <c r="A60" s="27" t="s">
        <v>1201</v>
      </c>
      <c r="B60" s="25" t="s">
        <v>105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spans="1:14" ht="15.6">
      <c r="A61" s="27" t="s">
        <v>1202</v>
      </c>
      <c r="B61" s="25" t="s">
        <v>105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spans="1:14" ht="15.6">
      <c r="A62" s="27" t="s">
        <v>1203</v>
      </c>
      <c r="B62" s="25" t="s">
        <v>105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spans="1:14" ht="15.6">
      <c r="A63" s="27" t="s">
        <v>1204</v>
      </c>
      <c r="B63" s="25" t="s">
        <v>105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spans="1:14" ht="15.6">
      <c r="A64" s="27" t="s">
        <v>1205</v>
      </c>
      <c r="B64" s="25" t="s">
        <v>105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1:14" ht="15.6">
      <c r="A65" s="27" t="s">
        <v>1206</v>
      </c>
      <c r="B65" s="25" t="s">
        <v>105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spans="1:14" ht="15.6">
      <c r="A66" s="27" t="s">
        <v>1207</v>
      </c>
      <c r="B66" s="25" t="s">
        <v>105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spans="1:14" ht="15.6">
      <c r="A67" s="27" t="s">
        <v>1208</v>
      </c>
      <c r="B67" s="25" t="s">
        <v>105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spans="1:14" ht="15.6">
      <c r="A68" s="27" t="s">
        <v>1209</v>
      </c>
      <c r="B68" s="25" t="s">
        <v>105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spans="1:14" ht="15.6">
      <c r="A69" s="27" t="s">
        <v>1210</v>
      </c>
      <c r="B69" s="25" t="s">
        <v>105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spans="1:14" ht="15.6">
      <c r="A70" s="27" t="s">
        <v>1211</v>
      </c>
      <c r="B70" s="25" t="s">
        <v>105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spans="1:14" ht="15.6">
      <c r="A71" s="27" t="s">
        <v>1212</v>
      </c>
      <c r="B71" s="25" t="s">
        <v>105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spans="1:14" ht="15.6">
      <c r="A72" s="27" t="s">
        <v>1213</v>
      </c>
      <c r="B72" s="25" t="s">
        <v>105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spans="1:14" ht="15.6">
      <c r="A73" s="27" t="s">
        <v>1214</v>
      </c>
      <c r="B73" s="25" t="s">
        <v>105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spans="1:14" ht="15.6">
      <c r="A74" s="27" t="s">
        <v>1215</v>
      </c>
      <c r="B74" s="25" t="s">
        <v>105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spans="1:14" ht="15.6">
      <c r="A75" s="27" t="s">
        <v>1216</v>
      </c>
      <c r="B75" s="25" t="s">
        <v>105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spans="1:14" ht="15.6">
      <c r="A76" s="27" t="s">
        <v>1217</v>
      </c>
      <c r="B76" s="25" t="s">
        <v>105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spans="1:14" ht="15.6">
      <c r="A77" s="27" t="s">
        <v>1218</v>
      </c>
      <c r="B77" s="25" t="s">
        <v>105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spans="1:14" ht="15.6">
      <c r="A78" s="27" t="s">
        <v>1219</v>
      </c>
      <c r="B78" s="25" t="s">
        <v>105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spans="1:14" ht="15.6">
      <c r="A79" s="27" t="s">
        <v>1220</v>
      </c>
      <c r="B79" s="25" t="s">
        <v>105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spans="1:14" ht="15.6">
      <c r="A80" s="27" t="s">
        <v>1221</v>
      </c>
      <c r="B80" s="25" t="s">
        <v>105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spans="1:14" ht="15.6">
      <c r="A81" s="27" t="s">
        <v>1222</v>
      </c>
      <c r="B81" s="25" t="s">
        <v>105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spans="1:14" ht="15.6">
      <c r="A82" s="27" t="s">
        <v>1223</v>
      </c>
      <c r="B82" s="25" t="s">
        <v>105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spans="1:14" ht="15.6">
      <c r="A83" s="27" t="s">
        <v>1224</v>
      </c>
      <c r="B83" s="25" t="s">
        <v>105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spans="1:14" ht="15.6">
      <c r="A84" s="27" t="s">
        <v>1225</v>
      </c>
      <c r="B84" s="25" t="s">
        <v>105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spans="1:14" ht="15.6">
      <c r="A85" s="27" t="s">
        <v>1226</v>
      </c>
      <c r="B85" s="25" t="s">
        <v>105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spans="1:14" ht="15.6">
      <c r="A86" s="27" t="s">
        <v>1227</v>
      </c>
      <c r="B86" s="25" t="s">
        <v>105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spans="1:14" ht="15.6">
      <c r="A87" s="27" t="s">
        <v>1228</v>
      </c>
      <c r="B87" s="25" t="s">
        <v>105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spans="1:14" ht="15.6">
      <c r="A88" s="27" t="s">
        <v>1229</v>
      </c>
      <c r="B88" s="25" t="s">
        <v>105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spans="1:14" ht="15.6">
      <c r="A89" s="27" t="s">
        <v>1230</v>
      </c>
      <c r="B89" s="25" t="s">
        <v>105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spans="1:14" ht="15.6">
      <c r="A90" s="27" t="s">
        <v>1231</v>
      </c>
      <c r="B90" s="25" t="s">
        <v>105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spans="1:14" ht="15.6">
      <c r="A91" s="27" t="s">
        <v>1232</v>
      </c>
      <c r="B91" s="25" t="s">
        <v>105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spans="1:14" ht="15.6">
      <c r="A92" s="27" t="s">
        <v>1233</v>
      </c>
      <c r="B92" s="25" t="s">
        <v>105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spans="1:14" ht="15.6">
      <c r="A93" s="27" t="s">
        <v>1234</v>
      </c>
      <c r="B93" s="25" t="s">
        <v>105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spans="1:14" ht="15.6">
      <c r="A94" s="27" t="s">
        <v>1235</v>
      </c>
      <c r="B94" s="25" t="s">
        <v>105</v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spans="1:14" ht="15.6">
      <c r="A95" s="27" t="s">
        <v>1236</v>
      </c>
      <c r="B95" s="25" t="s">
        <v>105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4" ht="15.6">
      <c r="A96" s="27" t="s">
        <v>1237</v>
      </c>
      <c r="B96" s="25" t="s">
        <v>105</v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spans="1:14" ht="15.6">
      <c r="A97" s="27" t="s">
        <v>1238</v>
      </c>
      <c r="B97" s="25" t="s">
        <v>105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spans="1:14" ht="15.6">
      <c r="A98" s="27" t="s">
        <v>1239</v>
      </c>
      <c r="B98" s="25" t="s">
        <v>105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spans="1:14" ht="15.6">
      <c r="A99" s="27" t="s">
        <v>1240</v>
      </c>
      <c r="B99" s="25" t="s">
        <v>105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spans="1:14" ht="15.6">
      <c r="A100" s="27" t="s">
        <v>1241</v>
      </c>
      <c r="B100" s="25" t="s">
        <v>105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spans="1:14" ht="15.6">
      <c r="A101" s="27" t="s">
        <v>1242</v>
      </c>
      <c r="B101" s="25" t="s">
        <v>105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spans="1:14" ht="15.6">
      <c r="A102" s="27" t="s">
        <v>1243</v>
      </c>
      <c r="B102" s="25" t="s">
        <v>105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spans="1:14" ht="15.6">
      <c r="A103" s="27" t="s">
        <v>1244</v>
      </c>
      <c r="B103" s="25" t="s">
        <v>105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4" ht="15.6">
      <c r="A104" s="27" t="s">
        <v>1245</v>
      </c>
      <c r="B104" s="25" t="s">
        <v>105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4" ht="15.6">
      <c r="A105" s="27" t="s">
        <v>1246</v>
      </c>
      <c r="B105" s="25" t="s">
        <v>105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spans="1:14" ht="15.6">
      <c r="A106" s="27" t="s">
        <v>1247</v>
      </c>
      <c r="B106" s="25" t="s">
        <v>105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spans="1:14" ht="15.6">
      <c r="A107" s="27" t="s">
        <v>1248</v>
      </c>
      <c r="B107" s="25" t="s">
        <v>105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spans="1:14" ht="15.6">
      <c r="A108" s="27" t="s">
        <v>1249</v>
      </c>
      <c r="B108" s="25" t="s">
        <v>105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spans="1:14" ht="15.6">
      <c r="A109" s="27" t="s">
        <v>1250</v>
      </c>
      <c r="B109" s="25" t="s">
        <v>105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spans="1:14" ht="15.6">
      <c r="A110" s="27" t="s">
        <v>1251</v>
      </c>
      <c r="B110" s="25" t="s">
        <v>105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spans="1:14" ht="15.6">
      <c r="A111" s="27" t="s">
        <v>1252</v>
      </c>
      <c r="B111" s="25" t="s">
        <v>105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spans="1:14" ht="15.6">
      <c r="A112" s="27" t="s">
        <v>1253</v>
      </c>
      <c r="B112" s="25" t="s">
        <v>105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.6">
      <c r="A113" s="27" t="s">
        <v>1254</v>
      </c>
      <c r="B113" s="25" t="s">
        <v>105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spans="1:14" ht="15.6">
      <c r="A114" s="27" t="s">
        <v>1255</v>
      </c>
      <c r="B114" s="25" t="s">
        <v>105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spans="1:14" ht="15.6">
      <c r="A115" s="27" t="s">
        <v>1256</v>
      </c>
      <c r="B115" s="25" t="s">
        <v>105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spans="1:14" ht="15.6">
      <c r="A116" s="27" t="s">
        <v>1257</v>
      </c>
      <c r="B116" s="25" t="s">
        <v>105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spans="1:14" ht="15.6">
      <c r="A117" s="27" t="s">
        <v>1258</v>
      </c>
      <c r="B117" s="25" t="s">
        <v>201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spans="1:14" ht="15.6">
      <c r="A118" s="27" t="s">
        <v>1259</v>
      </c>
      <c r="B118" s="25" t="s">
        <v>201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spans="1:14" ht="15.6">
      <c r="A119" s="27" t="s">
        <v>1260</v>
      </c>
      <c r="B119" s="25" t="s">
        <v>201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spans="1:14" ht="15.6">
      <c r="A120" s="27" t="s">
        <v>1261</v>
      </c>
      <c r="B120" s="25" t="s">
        <v>201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spans="1:14" ht="15.6">
      <c r="A121" s="27" t="s">
        <v>1262</v>
      </c>
      <c r="B121" s="25" t="s">
        <v>201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spans="1:14" ht="15.6">
      <c r="A122" s="27" t="s">
        <v>1263</v>
      </c>
      <c r="B122" s="25" t="s">
        <v>201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spans="1:14" ht="15.6">
      <c r="A123" s="27" t="s">
        <v>1264</v>
      </c>
      <c r="B123" s="25" t="s">
        <v>201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spans="1:14" ht="15.6">
      <c r="A124" s="27" t="s">
        <v>1265</v>
      </c>
      <c r="B124" s="25" t="s">
        <v>201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spans="1:14" ht="15.6">
      <c r="A125" s="27" t="s">
        <v>1266</v>
      </c>
      <c r="B125" s="25" t="s">
        <v>201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spans="1:14" ht="15.6">
      <c r="A126" s="27" t="s">
        <v>1267</v>
      </c>
      <c r="B126" s="25" t="s">
        <v>201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spans="1:14" ht="15.6">
      <c r="A127" s="27" t="s">
        <v>1268</v>
      </c>
      <c r="B127" s="25" t="s">
        <v>201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spans="1:14" ht="15.6">
      <c r="A128" s="27" t="s">
        <v>1269</v>
      </c>
      <c r="B128" s="25" t="s">
        <v>201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spans="1:14" ht="15.6">
      <c r="A129" s="27" t="s">
        <v>1270</v>
      </c>
      <c r="B129" s="25" t="s">
        <v>201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spans="1:14" ht="15.6">
      <c r="A130" s="27" t="s">
        <v>1271</v>
      </c>
      <c r="B130" s="25" t="s">
        <v>201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spans="1:14" ht="15.6">
      <c r="A131" s="27" t="s">
        <v>1272</v>
      </c>
      <c r="B131" s="25" t="s">
        <v>201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spans="1:14" ht="15.6">
      <c r="A132" s="27" t="s">
        <v>1273</v>
      </c>
      <c r="B132" s="25" t="s">
        <v>201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spans="1:14" ht="15.6">
      <c r="A133" s="27" t="s">
        <v>1274</v>
      </c>
      <c r="B133" s="25" t="s">
        <v>201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spans="1:14" ht="15.6">
      <c r="A134" s="27" t="s">
        <v>1275</v>
      </c>
      <c r="B134" s="25" t="s">
        <v>201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spans="1:14" ht="15.6">
      <c r="A135" s="27" t="s">
        <v>1276</v>
      </c>
      <c r="B135" s="25" t="s">
        <v>201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spans="1:14" ht="15.6">
      <c r="A136" s="27" t="s">
        <v>1277</v>
      </c>
      <c r="B136" s="25" t="s">
        <v>201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spans="1:14" ht="15.6">
      <c r="A137" s="27" t="s">
        <v>1278</v>
      </c>
      <c r="B137" s="25" t="s">
        <v>201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spans="1:14" ht="15.6">
      <c r="A138" s="27" t="s">
        <v>1258</v>
      </c>
      <c r="B138" s="25" t="s">
        <v>201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spans="1:14" ht="15.6">
      <c r="A139" s="27" t="s">
        <v>1279</v>
      </c>
      <c r="B139" s="25" t="s">
        <v>201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spans="1:14" ht="15.6">
      <c r="A140" s="27" t="s">
        <v>1280</v>
      </c>
      <c r="B140" s="25" t="s">
        <v>201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spans="1:14" ht="15.6">
      <c r="A141" s="27" t="s">
        <v>1281</v>
      </c>
      <c r="B141" s="25" t="s">
        <v>201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spans="1:14" ht="15.6">
      <c r="A142" s="27" t="s">
        <v>1282</v>
      </c>
      <c r="B142" s="25" t="s">
        <v>201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spans="1:14" ht="15.6">
      <c r="A143" s="27" t="s">
        <v>1283</v>
      </c>
      <c r="B143" s="25" t="s">
        <v>201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spans="1:14" ht="15.6">
      <c r="A144" s="27" t="s">
        <v>1284</v>
      </c>
      <c r="B144" s="25" t="s">
        <v>201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spans="1:14" ht="15.6">
      <c r="A145" s="27" t="s">
        <v>1285</v>
      </c>
      <c r="B145" s="25" t="s">
        <v>201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spans="1:14" ht="15.6">
      <c r="A146" s="27" t="s">
        <v>1286</v>
      </c>
      <c r="B146" s="25" t="s">
        <v>201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spans="1:14" ht="15.6">
      <c r="A147" s="27" t="s">
        <v>1287</v>
      </c>
      <c r="B147" s="25" t="s">
        <v>201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spans="1:14" ht="15.6">
      <c r="A148" s="27" t="s">
        <v>1288</v>
      </c>
      <c r="B148" s="25" t="s">
        <v>201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spans="1:14" ht="15.6">
      <c r="A149" s="27" t="s">
        <v>1289</v>
      </c>
      <c r="B149" s="25" t="s">
        <v>201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spans="1:14" ht="15.6">
      <c r="A150" s="27" t="s">
        <v>1290</v>
      </c>
      <c r="B150" s="25" t="s">
        <v>201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spans="1:14" ht="15.6">
      <c r="A151" s="27" t="s">
        <v>1291</v>
      </c>
      <c r="B151" s="25" t="s">
        <v>201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spans="1:14" ht="15.6">
      <c r="A152" s="27" t="s">
        <v>1292</v>
      </c>
      <c r="B152" s="25" t="s">
        <v>201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spans="1:14" ht="15.6">
      <c r="A153" s="27" t="s">
        <v>1293</v>
      </c>
      <c r="B153" s="25" t="s">
        <v>201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spans="1:14" ht="15.6">
      <c r="A154" s="27" t="s">
        <v>1294</v>
      </c>
      <c r="B154" s="25" t="s">
        <v>201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spans="1:14" ht="15.6">
      <c r="A155" s="27" t="s">
        <v>1295</v>
      </c>
      <c r="B155" s="25" t="s">
        <v>201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spans="1:14" ht="15.6">
      <c r="A156" s="27" t="s">
        <v>1296</v>
      </c>
      <c r="B156" s="25" t="s">
        <v>201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spans="1:14" ht="15.6">
      <c r="A157" s="27" t="s">
        <v>1297</v>
      </c>
      <c r="B157" s="25" t="s">
        <v>201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spans="1:14" ht="15.6">
      <c r="A158" s="27" t="s">
        <v>1298</v>
      </c>
      <c r="B158" s="25" t="s">
        <v>201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spans="1:14" ht="15.6">
      <c r="A159" s="27" t="s">
        <v>1299</v>
      </c>
      <c r="B159" s="25" t="s">
        <v>201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spans="1:14" ht="15.6">
      <c r="A160" s="27" t="s">
        <v>1300</v>
      </c>
      <c r="B160" s="25" t="s">
        <v>201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spans="1:14" ht="15.6">
      <c r="A161" s="27" t="s">
        <v>1301</v>
      </c>
      <c r="B161" s="25" t="s">
        <v>201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spans="1:14" ht="15.6">
      <c r="A162" s="27" t="s">
        <v>1302</v>
      </c>
      <c r="B162" s="25" t="s">
        <v>201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spans="1:14" ht="15.6">
      <c r="A163" s="27" t="s">
        <v>1303</v>
      </c>
      <c r="B163" s="25" t="s">
        <v>201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spans="1:14" ht="15.6">
      <c r="A164" s="27" t="s">
        <v>1304</v>
      </c>
      <c r="B164" s="25" t="s">
        <v>201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spans="1:14" ht="15.6">
      <c r="A165" s="27" t="s">
        <v>1305</v>
      </c>
      <c r="B165" s="25" t="s">
        <v>201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spans="1:14" ht="15.6">
      <c r="A166" s="27" t="s">
        <v>1306</v>
      </c>
      <c r="B166" s="25" t="s">
        <v>201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spans="1:14" ht="15.6">
      <c r="A167" s="27" t="s">
        <v>1307</v>
      </c>
      <c r="B167" s="25" t="s">
        <v>201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spans="1:14" ht="15.6">
      <c r="A168" s="27" t="s">
        <v>1308</v>
      </c>
      <c r="B168" s="25" t="s">
        <v>201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spans="1:14" ht="15.6">
      <c r="A169" s="27" t="s">
        <v>1309</v>
      </c>
      <c r="B169" s="25" t="s">
        <v>201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spans="1:14" ht="15.6">
      <c r="A170" s="27" t="s">
        <v>1310</v>
      </c>
      <c r="B170" s="25" t="s">
        <v>201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spans="1:14" ht="15.6">
      <c r="A171" s="27" t="s">
        <v>1311</v>
      </c>
      <c r="B171" s="25" t="s">
        <v>201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spans="1:14" ht="15.6">
      <c r="A172" s="27" t="s">
        <v>1312</v>
      </c>
      <c r="B172" s="25" t="s">
        <v>201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spans="1:14" ht="15.6">
      <c r="A173" s="27" t="s">
        <v>1313</v>
      </c>
      <c r="B173" s="25" t="s">
        <v>201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spans="1:14" ht="15.6">
      <c r="A174" s="27" t="s">
        <v>1314</v>
      </c>
      <c r="B174" s="25" t="s">
        <v>201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spans="1:14" ht="15.6">
      <c r="A175" s="27" t="s">
        <v>1315</v>
      </c>
      <c r="B175" s="25" t="s">
        <v>201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spans="1:14" ht="15.6">
      <c r="A176" s="27" t="s">
        <v>1316</v>
      </c>
      <c r="B176" s="25" t="s">
        <v>201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spans="1:14" ht="15.6">
      <c r="A177" s="27" t="s">
        <v>1317</v>
      </c>
      <c r="B177" s="25" t="s">
        <v>201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spans="1:14" ht="15.6">
      <c r="A178" s="27" t="s">
        <v>1318</v>
      </c>
      <c r="B178" s="25" t="s">
        <v>201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spans="1:14" ht="15.6">
      <c r="A179" s="27" t="s">
        <v>1319</v>
      </c>
      <c r="B179" s="25" t="s">
        <v>201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spans="1:14" ht="15.6">
      <c r="A180" s="27" t="s">
        <v>1320</v>
      </c>
      <c r="B180" s="25" t="s">
        <v>201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spans="1:14" ht="15.6">
      <c r="A181" s="27" t="s">
        <v>1321</v>
      </c>
      <c r="B181" s="25" t="s">
        <v>201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spans="1:14" ht="15.6">
      <c r="A182" s="27" t="s">
        <v>1322</v>
      </c>
      <c r="B182" s="25" t="s">
        <v>201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spans="1:14" ht="15.6">
      <c r="A183" s="27" t="s">
        <v>1323</v>
      </c>
      <c r="B183" s="25" t="s">
        <v>201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spans="1:14" ht="15.6">
      <c r="A184" s="27" t="s">
        <v>1324</v>
      </c>
      <c r="B184" s="25" t="s">
        <v>201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spans="1:14" ht="15.6">
      <c r="A185" s="27" t="s">
        <v>1325</v>
      </c>
      <c r="B185" s="25" t="s">
        <v>201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spans="1:14" ht="15.6">
      <c r="A186" s="27" t="s">
        <v>1326</v>
      </c>
      <c r="B186" s="25" t="s">
        <v>201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spans="1:14" ht="15.6">
      <c r="A187" s="27" t="s">
        <v>1327</v>
      </c>
      <c r="B187" s="25" t="s">
        <v>291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spans="1:14" ht="15.6">
      <c r="A188" s="27" t="s">
        <v>1328</v>
      </c>
      <c r="B188" s="25" t="s">
        <v>291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spans="1:14" ht="15.6">
      <c r="A189" s="27" t="s">
        <v>1329</v>
      </c>
      <c r="B189" s="25" t="s">
        <v>291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spans="1:14" ht="15.6">
      <c r="A190" s="27" t="s">
        <v>1330</v>
      </c>
      <c r="B190" s="25" t="s">
        <v>291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spans="1:14" ht="15.6">
      <c r="A191" s="27" t="s">
        <v>1331</v>
      </c>
      <c r="B191" s="25" t="s">
        <v>291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spans="1:14" ht="15.6">
      <c r="A192" s="27" t="s">
        <v>1332</v>
      </c>
      <c r="B192" s="25" t="s">
        <v>291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spans="1:14" ht="15.6">
      <c r="A193" s="27" t="s">
        <v>1333</v>
      </c>
      <c r="B193" s="25" t="s">
        <v>291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spans="1:14" ht="15.6">
      <c r="A194" s="27" t="s">
        <v>1334</v>
      </c>
      <c r="B194" s="25" t="s">
        <v>291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spans="1:14" ht="15.6">
      <c r="A195" s="27" t="s">
        <v>1335</v>
      </c>
      <c r="B195" s="25" t="s">
        <v>291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spans="1:14" ht="15.6">
      <c r="A196" s="27" t="s">
        <v>1336</v>
      </c>
      <c r="B196" s="25" t="s">
        <v>291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spans="1:14" ht="15.6">
      <c r="A197" s="27" t="s">
        <v>1337</v>
      </c>
      <c r="B197" s="25" t="s">
        <v>291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spans="1:14" ht="15.6">
      <c r="A198" s="27" t="s">
        <v>1338</v>
      </c>
      <c r="B198" s="25" t="s">
        <v>291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spans="1:14" ht="15.6">
      <c r="A199" s="27" t="s">
        <v>1339</v>
      </c>
      <c r="B199" s="25" t="s">
        <v>291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spans="1:14" ht="15.6">
      <c r="A200" s="27" t="s">
        <v>1340</v>
      </c>
      <c r="B200" s="25" t="s">
        <v>291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spans="1:14" ht="15.6">
      <c r="A201" s="27" t="s">
        <v>1341</v>
      </c>
      <c r="B201" s="25" t="s">
        <v>291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spans="1:14" ht="15.6">
      <c r="A202" s="27" t="s">
        <v>1342</v>
      </c>
      <c r="B202" s="25" t="s">
        <v>291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spans="1:14" ht="15.6">
      <c r="A203" s="27" t="s">
        <v>1343</v>
      </c>
      <c r="B203" s="25" t="s">
        <v>291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spans="1:14" ht="15.6">
      <c r="A204" s="27" t="s">
        <v>1344</v>
      </c>
      <c r="B204" s="25" t="s">
        <v>291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  <row r="205" spans="1:14" ht="15.6">
      <c r="A205" s="27" t="s">
        <v>1345</v>
      </c>
      <c r="B205" s="25" t="s">
        <v>291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</row>
    <row r="206" spans="1:14" ht="15.6">
      <c r="A206" s="27" t="s">
        <v>1346</v>
      </c>
      <c r="B206" s="25" t="s">
        <v>316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</row>
    <row r="207" spans="1:14" ht="15.6">
      <c r="A207" s="27" t="s">
        <v>1347</v>
      </c>
      <c r="B207" s="25" t="s">
        <v>316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</row>
    <row r="208" spans="1:14" ht="15.6">
      <c r="A208" s="27" t="s">
        <v>1348</v>
      </c>
      <c r="B208" s="25" t="s">
        <v>316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</row>
    <row r="209" spans="1:14" ht="15.6">
      <c r="A209" s="27" t="s">
        <v>1349</v>
      </c>
      <c r="B209" s="25" t="s">
        <v>316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</row>
    <row r="210" spans="1:14" ht="15.6">
      <c r="A210" s="27" t="s">
        <v>1350</v>
      </c>
      <c r="B210" s="25" t="s">
        <v>316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</row>
    <row r="211" spans="1:14" ht="15.6">
      <c r="A211" s="27" t="s">
        <v>1351</v>
      </c>
      <c r="B211" s="25" t="s">
        <v>316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</row>
    <row r="212" spans="1:14" ht="15.6">
      <c r="A212" s="27" t="s">
        <v>1352</v>
      </c>
      <c r="B212" s="25" t="s">
        <v>316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</row>
    <row r="213" spans="1:14" ht="15.6">
      <c r="A213" s="27" t="s">
        <v>1353</v>
      </c>
      <c r="B213" s="25" t="s">
        <v>316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</row>
    <row r="214" spans="1:14" ht="15.6">
      <c r="A214" s="27" t="s">
        <v>1354</v>
      </c>
      <c r="B214" s="25" t="s">
        <v>316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</row>
    <row r="215" spans="1:14" ht="15.6">
      <c r="A215" s="27" t="s">
        <v>1355</v>
      </c>
      <c r="B215" s="25" t="s">
        <v>316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</row>
    <row r="216" spans="1:14" ht="15.6">
      <c r="A216" s="27" t="s">
        <v>1356</v>
      </c>
      <c r="B216" s="25" t="s">
        <v>316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</row>
    <row r="217" spans="1:14" ht="15.6">
      <c r="A217" s="27" t="s">
        <v>1357</v>
      </c>
      <c r="B217" s="25" t="s">
        <v>316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</row>
    <row r="218" spans="1:14" ht="15.6">
      <c r="A218" s="27" t="s">
        <v>1358</v>
      </c>
      <c r="B218" s="25" t="s">
        <v>316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</row>
    <row r="219" spans="1:14" ht="15.6">
      <c r="A219" s="27" t="s">
        <v>1359</v>
      </c>
      <c r="B219" s="25" t="s">
        <v>316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</row>
    <row r="220" spans="1:14" ht="15.6">
      <c r="A220" s="27" t="s">
        <v>1360</v>
      </c>
      <c r="B220" s="25" t="s">
        <v>316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</row>
    <row r="221" spans="1:14" ht="15.6">
      <c r="A221" s="27" t="s">
        <v>1361</v>
      </c>
      <c r="B221" s="25" t="s">
        <v>316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</row>
    <row r="222" spans="1:14" ht="15.6">
      <c r="A222" s="27" t="s">
        <v>1362</v>
      </c>
      <c r="B222" s="25" t="s">
        <v>316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</row>
    <row r="223" spans="1:14" ht="15.6">
      <c r="A223" s="27" t="s">
        <v>1363</v>
      </c>
      <c r="B223" s="25" t="s">
        <v>316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</row>
    <row r="224" spans="1:14" ht="15.6">
      <c r="A224" s="27" t="s">
        <v>1364</v>
      </c>
      <c r="B224" s="25" t="s">
        <v>316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</row>
    <row r="225" spans="1:14" ht="15.6">
      <c r="A225" s="27" t="s">
        <v>1365</v>
      </c>
      <c r="B225" s="25" t="s">
        <v>316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</row>
    <row r="226" spans="1:14" ht="15.6">
      <c r="A226" s="27" t="s">
        <v>1366</v>
      </c>
      <c r="B226" s="25" t="s">
        <v>316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</row>
    <row r="227" spans="1:14" ht="15.6">
      <c r="A227" s="27" t="s">
        <v>1367</v>
      </c>
      <c r="B227" s="25" t="s">
        <v>316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</row>
    <row r="228" spans="1:14" ht="15.6">
      <c r="A228" s="27" t="s">
        <v>1321</v>
      </c>
      <c r="B228" s="25" t="s">
        <v>316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</row>
    <row r="229" spans="1:14" ht="15.6">
      <c r="A229" s="27" t="s">
        <v>1368</v>
      </c>
      <c r="B229" s="25" t="s">
        <v>316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</row>
    <row r="230" spans="1:14" ht="15.6">
      <c r="A230" s="27" t="s">
        <v>1369</v>
      </c>
      <c r="B230" s="25" t="s">
        <v>316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</row>
    <row r="231" spans="1:14" ht="15.6">
      <c r="A231" s="27" t="s">
        <v>1370</v>
      </c>
      <c r="B231" s="25" t="s">
        <v>355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</row>
    <row r="232" spans="1:14" ht="15.6">
      <c r="A232" s="27" t="s">
        <v>1371</v>
      </c>
      <c r="B232" s="25" t="s">
        <v>355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</row>
    <row r="233" spans="1:14" ht="15.6">
      <c r="A233" s="27" t="s">
        <v>1372</v>
      </c>
      <c r="B233" s="25" t="s">
        <v>355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</row>
    <row r="234" spans="1:14" ht="15.6">
      <c r="A234" s="27" t="s">
        <v>1373</v>
      </c>
      <c r="B234" s="25" t="s">
        <v>355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</row>
    <row r="235" spans="1:14" ht="15.6">
      <c r="A235" s="27" t="s">
        <v>1374</v>
      </c>
      <c r="B235" s="25" t="s">
        <v>355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</row>
    <row r="236" spans="1:14" ht="15.6">
      <c r="A236" s="27" t="s">
        <v>1375</v>
      </c>
      <c r="B236" s="25" t="s">
        <v>355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</row>
    <row r="237" spans="1:14" ht="15.6">
      <c r="A237" s="27" t="s">
        <v>1376</v>
      </c>
      <c r="B237" s="25" t="s">
        <v>355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</row>
    <row r="238" spans="1:14" ht="15.6">
      <c r="A238" s="27" t="s">
        <v>1377</v>
      </c>
      <c r="B238" s="25" t="s">
        <v>355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</row>
    <row r="239" spans="1:14" ht="15.6">
      <c r="A239" s="27" t="s">
        <v>1378</v>
      </c>
      <c r="B239" s="25" t="s">
        <v>355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5.6">
      <c r="A240" s="27" t="s">
        <v>1379</v>
      </c>
      <c r="B240" s="25" t="s">
        <v>355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spans="1:14" ht="15.6">
      <c r="A241" s="27" t="s">
        <v>1380</v>
      </c>
      <c r="B241" s="25" t="s">
        <v>355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</row>
    <row r="242" spans="1:14" ht="15.6">
      <c r="A242" s="27" t="s">
        <v>1381</v>
      </c>
      <c r="B242" s="25" t="s">
        <v>355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</row>
    <row r="243" spans="1:14" ht="15.6">
      <c r="A243" s="27" t="s">
        <v>1382</v>
      </c>
      <c r="B243" s="25" t="s">
        <v>355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</row>
    <row r="244" spans="1:14" ht="15.6">
      <c r="A244" s="27" t="s">
        <v>1383</v>
      </c>
      <c r="B244" s="25" t="s">
        <v>355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</row>
    <row r="245" spans="1:14" ht="15.6">
      <c r="A245" s="27" t="s">
        <v>1384</v>
      </c>
      <c r="B245" s="25" t="s">
        <v>355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</row>
    <row r="246" spans="1:14" ht="15.6">
      <c r="A246" s="27" t="s">
        <v>1385</v>
      </c>
      <c r="B246" s="25" t="s">
        <v>355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</row>
    <row r="247" spans="1:14" ht="15.6">
      <c r="A247" s="27" t="s">
        <v>1386</v>
      </c>
      <c r="B247" s="25" t="s">
        <v>355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</row>
    <row r="248" spans="1:14" ht="15.6">
      <c r="A248" s="27" t="s">
        <v>1387</v>
      </c>
      <c r="B248" s="25" t="s">
        <v>355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</row>
    <row r="249" spans="1:14" ht="15.6">
      <c r="A249" s="27" t="s">
        <v>1388</v>
      </c>
      <c r="B249" s="25" t="s">
        <v>355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</row>
    <row r="250" spans="1:14" ht="15.6">
      <c r="A250" s="27" t="s">
        <v>1389</v>
      </c>
      <c r="B250" s="25" t="s">
        <v>355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</row>
    <row r="251" spans="1:14" ht="15.6">
      <c r="A251" s="27" t="s">
        <v>1390</v>
      </c>
      <c r="B251" s="25" t="s">
        <v>355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1:14" ht="15.6">
      <c r="A252" s="27" t="s">
        <v>1391</v>
      </c>
      <c r="B252" s="25" t="s">
        <v>355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1:14" ht="15.6">
      <c r="A253" s="27" t="s">
        <v>1392</v>
      </c>
      <c r="B253" s="25" t="s">
        <v>355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1:14" ht="15.6">
      <c r="A254" s="27" t="s">
        <v>1393</v>
      </c>
      <c r="B254" s="25" t="s">
        <v>355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1:14" ht="15.6">
      <c r="A255" s="27" t="s">
        <v>1394</v>
      </c>
      <c r="B255" s="25" t="s">
        <v>355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1:14" ht="15.6">
      <c r="A256" s="27" t="s">
        <v>1395</v>
      </c>
      <c r="B256" s="25" t="s">
        <v>355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1:14" ht="15.6">
      <c r="A257" s="27" t="s">
        <v>1396</v>
      </c>
      <c r="B257" s="25" t="s">
        <v>355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1:14" ht="15.6">
      <c r="A258" s="27" t="s">
        <v>1397</v>
      </c>
      <c r="B258" s="25" t="s">
        <v>355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1:14" ht="15.6">
      <c r="A259" s="27" t="s">
        <v>1398</v>
      </c>
      <c r="B259" s="25" t="s">
        <v>355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1:14" ht="15.6">
      <c r="A260" s="27" t="s">
        <v>1399</v>
      </c>
      <c r="B260" s="25" t="s">
        <v>355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1:14" ht="15.6">
      <c r="A261" s="27" t="s">
        <v>1400</v>
      </c>
      <c r="B261" s="25" t="s">
        <v>355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1:14" ht="15.6">
      <c r="A262" s="27" t="s">
        <v>1396</v>
      </c>
      <c r="B262" s="25" t="s">
        <v>355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1:14" ht="15.6">
      <c r="A263" s="27" t="s">
        <v>1401</v>
      </c>
      <c r="B263" s="25" t="s">
        <v>355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1:14" ht="15.6">
      <c r="A264" s="27" t="s">
        <v>1402</v>
      </c>
      <c r="B264" s="25" t="s">
        <v>355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1:14" ht="15.6">
      <c r="A265" s="27" t="s">
        <v>1403</v>
      </c>
      <c r="B265" s="25" t="s">
        <v>355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1:14" ht="15.6">
      <c r="A266" s="27" t="s">
        <v>1404</v>
      </c>
      <c r="B266" s="25" t="s">
        <v>405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1:14" ht="15.6">
      <c r="A267" s="27" t="s">
        <v>1405</v>
      </c>
      <c r="B267" s="25" t="s">
        <v>405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1:14" ht="15.6">
      <c r="A268" s="27" t="s">
        <v>1406</v>
      </c>
      <c r="B268" s="25" t="s">
        <v>405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1:14" ht="15.6">
      <c r="A269" s="27" t="s">
        <v>1407</v>
      </c>
      <c r="B269" s="25" t="s">
        <v>405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1:14" ht="15.6">
      <c r="A270" s="27" t="s">
        <v>1408</v>
      </c>
      <c r="B270" s="25" t="s">
        <v>405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1:14" ht="15.6">
      <c r="A271" s="27" t="s">
        <v>1409</v>
      </c>
      <c r="B271" s="25" t="s">
        <v>405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1:14" ht="15.6">
      <c r="A272" s="27" t="s">
        <v>1410</v>
      </c>
      <c r="B272" s="25" t="s">
        <v>405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1:14" ht="15.6">
      <c r="A273" s="27" t="s">
        <v>1411</v>
      </c>
      <c r="B273" s="25" t="s">
        <v>405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1:14" ht="15.6">
      <c r="A274" s="27" t="s">
        <v>1412</v>
      </c>
      <c r="B274" s="25" t="s">
        <v>405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1:14" ht="15.6">
      <c r="A275" s="27" t="s">
        <v>1413</v>
      </c>
      <c r="B275" s="25" t="s">
        <v>405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1:14" ht="15.6">
      <c r="A276" s="27" t="s">
        <v>1414</v>
      </c>
      <c r="B276" s="25" t="s">
        <v>405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1:14" ht="15.6">
      <c r="A277" s="27" t="s">
        <v>1415</v>
      </c>
      <c r="B277" s="25" t="s">
        <v>405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1:14" ht="15.6">
      <c r="A278" s="27" t="s">
        <v>1416</v>
      </c>
      <c r="B278" s="25" t="s">
        <v>405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1:14" ht="15.6">
      <c r="A279" s="27" t="s">
        <v>1417</v>
      </c>
      <c r="B279" s="25" t="s">
        <v>405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1:14" ht="15.6">
      <c r="A280" s="27" t="s">
        <v>1418</v>
      </c>
      <c r="B280" s="25" t="s">
        <v>405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1:14" ht="15.6">
      <c r="A281" s="27" t="s">
        <v>1419</v>
      </c>
      <c r="B281" s="25" t="s">
        <v>405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1:14" ht="15.6">
      <c r="A282" s="27" t="s">
        <v>1420</v>
      </c>
      <c r="B282" s="25" t="s">
        <v>405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1:14" ht="15.6">
      <c r="A283" s="27" t="s">
        <v>1421</v>
      </c>
      <c r="B283" s="25" t="s">
        <v>405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1:14" ht="15.6">
      <c r="A284" s="27" t="s">
        <v>1422</v>
      </c>
      <c r="B284" s="25" t="s">
        <v>434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1:14" ht="15.6">
      <c r="A285" s="27" t="s">
        <v>1423</v>
      </c>
      <c r="B285" s="25" t="s">
        <v>434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1:14" ht="15.6">
      <c r="A286" s="27" t="s">
        <v>1424</v>
      </c>
      <c r="B286" s="25" t="s">
        <v>434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1:14" ht="15.6">
      <c r="A287" s="27" t="s">
        <v>1425</v>
      </c>
      <c r="B287" s="25" t="s">
        <v>434</v>
      </c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1:14" ht="15.6">
      <c r="A288" s="27" t="s">
        <v>1426</v>
      </c>
      <c r="B288" s="25" t="s">
        <v>434</v>
      </c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1:14" ht="15.6">
      <c r="A289" s="27" t="s">
        <v>1427</v>
      </c>
      <c r="B289" s="25" t="s">
        <v>434</v>
      </c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1:14" ht="15.6">
      <c r="A290" s="27" t="s">
        <v>1428</v>
      </c>
      <c r="B290" s="25" t="s">
        <v>434</v>
      </c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1:14" ht="15.6">
      <c r="A291" s="27" t="s">
        <v>1429</v>
      </c>
      <c r="B291" s="25" t="s">
        <v>434</v>
      </c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1:14" ht="15.6">
      <c r="A292" s="27" t="s">
        <v>1430</v>
      </c>
      <c r="B292" s="25" t="s">
        <v>434</v>
      </c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1:14" ht="15.6">
      <c r="A293" s="27" t="s">
        <v>1431</v>
      </c>
      <c r="B293" s="25" t="s">
        <v>434</v>
      </c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1:14" ht="15.6">
      <c r="A294" s="27" t="s">
        <v>1432</v>
      </c>
      <c r="B294" s="25" t="s">
        <v>434</v>
      </c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1:14" ht="15.6">
      <c r="A295" s="27" t="s">
        <v>1433</v>
      </c>
      <c r="B295" s="25" t="s">
        <v>434</v>
      </c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1:14" ht="15.6">
      <c r="A296" s="27" t="s">
        <v>1434</v>
      </c>
      <c r="B296" s="25" t="s">
        <v>434</v>
      </c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1:14" ht="15.6">
      <c r="A297" s="27" t="s">
        <v>1435</v>
      </c>
      <c r="B297" s="25" t="s">
        <v>434</v>
      </c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1:14" ht="15.6">
      <c r="A298" s="27" t="s">
        <v>1436</v>
      </c>
      <c r="B298" s="25" t="s">
        <v>434</v>
      </c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1:14" ht="15.6">
      <c r="A299" s="27" t="s">
        <v>1437</v>
      </c>
      <c r="B299" s="25" t="s">
        <v>434</v>
      </c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1:14" ht="15.6">
      <c r="A300" s="27" t="s">
        <v>1438</v>
      </c>
      <c r="B300" s="25" t="s">
        <v>434</v>
      </c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1:14" ht="15.6">
      <c r="A301" s="27" t="s">
        <v>1439</v>
      </c>
      <c r="B301" s="25" t="s">
        <v>465</v>
      </c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1:14" ht="15.6">
      <c r="A302" s="27" t="s">
        <v>1440</v>
      </c>
      <c r="B302" s="25" t="s">
        <v>465</v>
      </c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1:14" ht="15.6">
      <c r="A303" s="27" t="s">
        <v>1441</v>
      </c>
      <c r="B303" s="25" t="s">
        <v>465</v>
      </c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1:14" ht="15.6">
      <c r="A304" s="27" t="s">
        <v>1233</v>
      </c>
      <c r="B304" s="25" t="s">
        <v>465</v>
      </c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1:14" ht="15.6">
      <c r="A305" s="27" t="s">
        <v>1442</v>
      </c>
      <c r="B305" s="25" t="s">
        <v>465</v>
      </c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1:14" ht="15.6">
      <c r="A306" s="27" t="s">
        <v>1443</v>
      </c>
      <c r="B306" s="25" t="s">
        <v>465</v>
      </c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1:14" ht="15.6">
      <c r="A307" s="27" t="s">
        <v>1444</v>
      </c>
      <c r="B307" s="25" t="s">
        <v>465</v>
      </c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1:14" ht="15.6">
      <c r="A308" s="27" t="s">
        <v>1445</v>
      </c>
      <c r="B308" s="25" t="s">
        <v>465</v>
      </c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1:14" ht="15.6">
      <c r="A309" s="27" t="s">
        <v>1446</v>
      </c>
      <c r="B309" s="25" t="s">
        <v>465</v>
      </c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1:14" ht="15.6">
      <c r="A310" s="27" t="s">
        <v>1447</v>
      </c>
      <c r="B310" s="25" t="s">
        <v>465</v>
      </c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1:14" ht="15.6">
      <c r="A311" s="27" t="s">
        <v>1448</v>
      </c>
      <c r="B311" s="25" t="s">
        <v>465</v>
      </c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1:14" ht="15.6">
      <c r="A312" s="27" t="s">
        <v>1449</v>
      </c>
      <c r="B312" s="25" t="s">
        <v>465</v>
      </c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1:14" ht="15.6">
      <c r="A313" s="27" t="s">
        <v>1450</v>
      </c>
      <c r="B313" s="25" t="s">
        <v>465</v>
      </c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1:14" ht="15.6">
      <c r="A314" s="27" t="s">
        <v>1451</v>
      </c>
      <c r="B314" s="25" t="s">
        <v>465</v>
      </c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1:14" ht="15.6">
      <c r="A315" s="27" t="s">
        <v>1452</v>
      </c>
      <c r="B315" s="25" t="s">
        <v>465</v>
      </c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1:14" ht="15.6">
      <c r="A316" s="27" t="s">
        <v>1453</v>
      </c>
      <c r="B316" s="25" t="s">
        <v>465</v>
      </c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1:14" ht="15.6">
      <c r="A317" s="27" t="s">
        <v>1454</v>
      </c>
      <c r="B317" s="25" t="s">
        <v>489</v>
      </c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1:14" ht="15.6">
      <c r="A318" s="27" t="s">
        <v>1455</v>
      </c>
      <c r="B318" s="25" t="s">
        <v>489</v>
      </c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1:14" ht="15.6">
      <c r="A319" s="27" t="s">
        <v>1456</v>
      </c>
      <c r="B319" s="25" t="s">
        <v>489</v>
      </c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1:14" ht="15.6">
      <c r="A320" s="27" t="s">
        <v>1457</v>
      </c>
      <c r="B320" s="25" t="s">
        <v>489</v>
      </c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1:14" ht="15.6">
      <c r="A321" s="27" t="s">
        <v>1458</v>
      </c>
      <c r="B321" s="25" t="s">
        <v>489</v>
      </c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1:14" ht="15.6">
      <c r="A322" s="27" t="s">
        <v>1459</v>
      </c>
      <c r="B322" s="25" t="s">
        <v>489</v>
      </c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1:14" ht="15.6">
      <c r="A323" s="27" t="s">
        <v>1460</v>
      </c>
      <c r="B323" s="25" t="s">
        <v>489</v>
      </c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1:14" ht="15.6">
      <c r="A324" s="27" t="s">
        <v>1461</v>
      </c>
      <c r="B324" s="25" t="s">
        <v>489</v>
      </c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1:14" ht="15.6">
      <c r="A325" s="27" t="s">
        <v>1462</v>
      </c>
      <c r="B325" s="25" t="s">
        <v>489</v>
      </c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1:14" ht="15.6">
      <c r="A326" s="27" t="s">
        <v>1463</v>
      </c>
      <c r="B326" s="25" t="s">
        <v>489</v>
      </c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1:14" ht="15.6">
      <c r="A327" s="27" t="s">
        <v>1464</v>
      </c>
      <c r="B327" s="25" t="s">
        <v>489</v>
      </c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1:14" ht="15.6">
      <c r="A328" s="27" t="s">
        <v>1465</v>
      </c>
      <c r="B328" s="25" t="s">
        <v>489</v>
      </c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</row>
    <row r="329" spans="1:14" ht="15.6">
      <c r="A329" s="27" t="s">
        <v>1466</v>
      </c>
      <c r="B329" s="25" t="s">
        <v>489</v>
      </c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</row>
    <row r="330" spans="1:14" ht="15.6">
      <c r="A330" s="27" t="s">
        <v>1467</v>
      </c>
      <c r="B330" s="25" t="s">
        <v>489</v>
      </c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</row>
    <row r="331" spans="1:14" ht="15.6">
      <c r="A331" s="27" t="s">
        <v>1468</v>
      </c>
      <c r="B331" s="25" t="s">
        <v>489</v>
      </c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</row>
    <row r="332" spans="1:14" ht="15.6">
      <c r="A332" s="27" t="s">
        <v>1469</v>
      </c>
      <c r="B332" s="25" t="s">
        <v>514</v>
      </c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</row>
    <row r="333" spans="1:14" ht="15.6">
      <c r="A333" s="27" t="s">
        <v>1470</v>
      </c>
      <c r="B333" s="25" t="s">
        <v>514</v>
      </c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</row>
    <row r="334" spans="1:14" ht="15.6">
      <c r="A334" s="27" t="s">
        <v>1471</v>
      </c>
      <c r="B334" s="25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</row>
    <row r="335" spans="1:14" ht="15.6">
      <c r="A335" s="27" t="s">
        <v>1472</v>
      </c>
      <c r="B335" s="25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</row>
    <row r="336" spans="1:14" ht="15.6">
      <c r="A336" s="27" t="s">
        <v>1473</v>
      </c>
      <c r="B336" s="25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</row>
    <row r="337" spans="1:14" ht="15.6">
      <c r="A337" s="27" t="s">
        <v>1474</v>
      </c>
      <c r="B337" s="25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</row>
    <row r="338" spans="1:14" ht="15.6">
      <c r="A338" s="27" t="s">
        <v>1475</v>
      </c>
      <c r="B338" s="25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</row>
    <row r="339" spans="1:14" ht="15.6">
      <c r="A339" s="27" t="s">
        <v>1476</v>
      </c>
      <c r="B339" s="25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</row>
    <row r="340" spans="1:14" ht="15.6">
      <c r="A340" s="27" t="s">
        <v>1477</v>
      </c>
      <c r="B340" s="25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</row>
    <row r="341" spans="1:14" ht="15.6">
      <c r="A341" s="27" t="s">
        <v>1478</v>
      </c>
      <c r="B341" s="25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</row>
    <row r="342" spans="1:14" ht="15.6">
      <c r="A342" s="27" t="s">
        <v>1479</v>
      </c>
      <c r="B342" s="25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</row>
    <row r="343" spans="1:14" ht="15.6">
      <c r="A343" s="27" t="s">
        <v>1480</v>
      </c>
      <c r="B343" s="25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</row>
    <row r="344" spans="1:14" ht="15.6">
      <c r="A344" s="27" t="s">
        <v>1481</v>
      </c>
      <c r="B344" s="25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</row>
    <row r="345" spans="1:14" ht="15.6">
      <c r="A345" s="27" t="s">
        <v>1482</v>
      </c>
      <c r="B345" s="25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</row>
    <row r="346" spans="1:14" ht="15.6">
      <c r="A346" s="27" t="s">
        <v>1483</v>
      </c>
      <c r="B346" s="25" t="s">
        <v>105</v>
      </c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</row>
    <row r="347" spans="1:14" ht="15.6">
      <c r="A347" s="27" t="s">
        <v>1484</v>
      </c>
      <c r="B347" s="25" t="s">
        <v>105</v>
      </c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</row>
    <row r="348" spans="1:14" ht="15.6">
      <c r="A348" s="27" t="s">
        <v>1485</v>
      </c>
      <c r="B348" s="25" t="s">
        <v>105</v>
      </c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</row>
    <row r="349" spans="1:14" ht="15.6">
      <c r="A349" s="27" t="s">
        <v>1486</v>
      </c>
      <c r="B349" s="25" t="s">
        <v>105</v>
      </c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</row>
    <row r="350" spans="1:14" ht="15.6">
      <c r="A350" s="27" t="s">
        <v>1487</v>
      </c>
      <c r="B350" s="25" t="s">
        <v>105</v>
      </c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</row>
    <row r="351" spans="1:14" ht="15.6">
      <c r="A351" s="27" t="s">
        <v>1488</v>
      </c>
      <c r="B351" s="25" t="s">
        <v>105</v>
      </c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</row>
    <row r="352" spans="1:14" ht="15.6">
      <c r="A352" s="27" t="s">
        <v>1489</v>
      </c>
      <c r="B352" s="25" t="s">
        <v>105</v>
      </c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</row>
    <row r="353" spans="1:14" ht="15.6">
      <c r="A353" s="27" t="s">
        <v>1490</v>
      </c>
      <c r="B353" s="25" t="s">
        <v>105</v>
      </c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</row>
    <row r="354" spans="1:14" ht="15.6">
      <c r="A354" s="27" t="s">
        <v>1491</v>
      </c>
      <c r="B354" s="25" t="s">
        <v>105</v>
      </c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</row>
    <row r="355" spans="1:14" ht="15.6">
      <c r="A355" s="27" t="s">
        <v>1492</v>
      </c>
      <c r="B355" s="25" t="s">
        <v>105</v>
      </c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</row>
    <row r="356" spans="1:14" ht="15.6">
      <c r="A356" s="27" t="s">
        <v>1493</v>
      </c>
      <c r="B356" s="25" t="s">
        <v>105</v>
      </c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</row>
    <row r="357" spans="1:14" ht="15.6">
      <c r="A357" s="27" t="s">
        <v>1494</v>
      </c>
      <c r="B357" s="25" t="s">
        <v>105</v>
      </c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</row>
    <row r="358" spans="1:14" ht="15.6">
      <c r="A358" s="27" t="s">
        <v>1495</v>
      </c>
      <c r="B358" s="25" t="s">
        <v>105</v>
      </c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</row>
    <row r="359" spans="1:14" ht="15.6">
      <c r="A359" s="27" t="s">
        <v>1496</v>
      </c>
      <c r="B359" s="25" t="s">
        <v>105</v>
      </c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</row>
    <row r="360" spans="1:14" ht="15.6">
      <c r="A360" s="27" t="s">
        <v>1497</v>
      </c>
      <c r="B360" s="25" t="s">
        <v>105</v>
      </c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</row>
    <row r="361" spans="1:14" ht="15.6">
      <c r="A361" s="27" t="s">
        <v>1498</v>
      </c>
      <c r="B361" s="25" t="s">
        <v>105</v>
      </c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</row>
    <row r="362" spans="1:14" ht="15.6">
      <c r="A362" s="27" t="s">
        <v>1499</v>
      </c>
      <c r="B362" s="25" t="s">
        <v>105</v>
      </c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</row>
    <row r="363" spans="1:14" ht="15.6">
      <c r="A363" s="27" t="s">
        <v>1500</v>
      </c>
      <c r="B363" s="25" t="s">
        <v>105</v>
      </c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</row>
    <row r="364" spans="1:14" ht="15.6">
      <c r="A364" s="27" t="s">
        <v>1501</v>
      </c>
      <c r="B364" s="25" t="s">
        <v>105</v>
      </c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</row>
    <row r="365" spans="1:14" ht="15.6">
      <c r="A365" s="27" t="s">
        <v>1502</v>
      </c>
      <c r="B365" s="25" t="s">
        <v>105</v>
      </c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</row>
    <row r="366" spans="1:14" ht="15.6">
      <c r="A366" s="27" t="s">
        <v>1503</v>
      </c>
      <c r="B366" s="25" t="s">
        <v>105</v>
      </c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</row>
    <row r="367" spans="1:14" ht="15.6">
      <c r="A367" s="27" t="s">
        <v>1504</v>
      </c>
      <c r="B367" s="25" t="s">
        <v>105</v>
      </c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</row>
    <row r="368" spans="1:14" ht="15.6">
      <c r="A368" s="27" t="s">
        <v>1505</v>
      </c>
      <c r="B368" s="25" t="s">
        <v>105</v>
      </c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</row>
    <row r="369" spans="1:14" ht="15.6">
      <c r="A369" s="27" t="s">
        <v>1506</v>
      </c>
      <c r="B369" s="25" t="s">
        <v>105</v>
      </c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</row>
    <row r="370" spans="1:14" ht="15.6">
      <c r="A370" s="27" t="s">
        <v>1507</v>
      </c>
      <c r="B370" s="25" t="s">
        <v>105</v>
      </c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</row>
    <row r="371" spans="1:14" ht="15.6">
      <c r="A371" s="27" t="s">
        <v>1508</v>
      </c>
      <c r="B371" s="25" t="s">
        <v>105</v>
      </c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</row>
    <row r="372" spans="1:14" ht="15.6">
      <c r="A372" s="27" t="s">
        <v>1509</v>
      </c>
      <c r="B372" s="25" t="s">
        <v>105</v>
      </c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</row>
    <row r="373" spans="1:14" ht="15.6">
      <c r="A373" s="27" t="s">
        <v>1510</v>
      </c>
      <c r="B373" s="25" t="s">
        <v>105</v>
      </c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</row>
    <row r="374" spans="1:14" ht="15.6">
      <c r="A374" s="27" t="s">
        <v>1511</v>
      </c>
      <c r="B374" s="25" t="s">
        <v>105</v>
      </c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</row>
    <row r="375" spans="1:14" ht="15.6">
      <c r="A375" s="27" t="s">
        <v>1512</v>
      </c>
      <c r="B375" s="25" t="s">
        <v>105</v>
      </c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</row>
    <row r="376" spans="1:14" ht="15.6">
      <c r="A376" s="27" t="s">
        <v>1513</v>
      </c>
      <c r="B376" s="25" t="s">
        <v>105</v>
      </c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</row>
    <row r="377" spans="1:14" ht="15.6">
      <c r="A377" s="27" t="s">
        <v>1514</v>
      </c>
      <c r="B377" s="25" t="s">
        <v>105</v>
      </c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</row>
    <row r="378" spans="1:14" ht="15.6">
      <c r="A378" s="27" t="s">
        <v>1515</v>
      </c>
      <c r="B378" s="25" t="s">
        <v>105</v>
      </c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</row>
    <row r="379" spans="1:14" ht="15.6">
      <c r="A379" s="27" t="s">
        <v>1516</v>
      </c>
      <c r="B379" s="25" t="s">
        <v>105</v>
      </c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</row>
    <row r="380" spans="1:14" ht="15.6">
      <c r="A380" s="27" t="s">
        <v>1517</v>
      </c>
      <c r="B380" s="25" t="s">
        <v>105</v>
      </c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</row>
    <row r="381" spans="1:14" ht="15.6">
      <c r="A381" s="27" t="s">
        <v>1518</v>
      </c>
      <c r="B381" s="25" t="s">
        <v>105</v>
      </c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</row>
    <row r="382" spans="1:14" ht="15.6">
      <c r="A382" s="27" t="s">
        <v>1519</v>
      </c>
      <c r="B382" s="25" t="s">
        <v>105</v>
      </c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</row>
    <row r="383" spans="1:14" ht="15.6">
      <c r="A383" s="27" t="s">
        <v>1520</v>
      </c>
      <c r="B383" s="25" t="s">
        <v>105</v>
      </c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</row>
    <row r="384" spans="1:14" ht="15.6">
      <c r="A384" s="27" t="s">
        <v>1521</v>
      </c>
      <c r="B384" s="25" t="s">
        <v>105</v>
      </c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</row>
    <row r="385" spans="1:14" ht="15.6">
      <c r="A385" s="27" t="s">
        <v>1522</v>
      </c>
      <c r="B385" s="25" t="s">
        <v>105</v>
      </c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</row>
    <row r="386" spans="1:14" ht="15.6">
      <c r="A386" s="27" t="s">
        <v>1523</v>
      </c>
      <c r="B386" s="25" t="s">
        <v>105</v>
      </c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</row>
    <row r="387" spans="1:14" ht="15.6">
      <c r="A387" s="27" t="s">
        <v>1524</v>
      </c>
      <c r="B387" s="25" t="s">
        <v>105</v>
      </c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</row>
    <row r="388" spans="1:14" ht="15.6">
      <c r="A388" s="27" t="s">
        <v>1525</v>
      </c>
      <c r="B388" s="25" t="s">
        <v>105</v>
      </c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</row>
    <row r="389" spans="1:14" ht="15.6">
      <c r="A389" s="27" t="s">
        <v>1526</v>
      </c>
      <c r="B389" s="25" t="s">
        <v>105</v>
      </c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</row>
    <row r="390" spans="1:14" ht="15.6">
      <c r="A390" s="27" t="s">
        <v>1527</v>
      </c>
      <c r="B390" s="25" t="s">
        <v>105</v>
      </c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</row>
    <row r="391" spans="1:14" ht="15.6">
      <c r="A391" s="27" t="s">
        <v>1528</v>
      </c>
      <c r="B391" s="25" t="s">
        <v>105</v>
      </c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</row>
    <row r="392" spans="1:14" ht="15.6">
      <c r="A392" s="27" t="s">
        <v>1529</v>
      </c>
      <c r="B392" s="25" t="s">
        <v>105</v>
      </c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</row>
    <row r="393" spans="1:14" ht="15.6">
      <c r="A393" s="27" t="s">
        <v>1530</v>
      </c>
      <c r="B393" s="25" t="s">
        <v>105</v>
      </c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</row>
    <row r="394" spans="1:14" ht="15.6">
      <c r="A394" s="27" t="s">
        <v>1531</v>
      </c>
      <c r="B394" s="25" t="s">
        <v>105</v>
      </c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</row>
    <row r="395" spans="1:14" ht="15.6">
      <c r="A395" s="27" t="s">
        <v>1532</v>
      </c>
      <c r="B395" s="25" t="s">
        <v>105</v>
      </c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</row>
    <row r="396" spans="1:14" ht="15.6">
      <c r="A396" s="27" t="s">
        <v>1533</v>
      </c>
      <c r="B396" s="25" t="s">
        <v>105</v>
      </c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</row>
    <row r="397" spans="1:14" ht="15.6">
      <c r="A397" s="27" t="s">
        <v>1534</v>
      </c>
      <c r="B397" s="25" t="s">
        <v>105</v>
      </c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</row>
    <row r="398" spans="1:14" ht="15.6">
      <c r="A398" s="27" t="s">
        <v>1535</v>
      </c>
      <c r="B398" s="25" t="s">
        <v>105</v>
      </c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</row>
    <row r="399" spans="1:14" ht="15.6">
      <c r="A399" s="27" t="s">
        <v>1536</v>
      </c>
      <c r="B399" s="25" t="s">
        <v>105</v>
      </c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</row>
    <row r="400" spans="1:14" ht="15.6">
      <c r="A400" s="27" t="s">
        <v>1537</v>
      </c>
      <c r="B400" s="25" t="s">
        <v>105</v>
      </c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</row>
    <row r="401" spans="1:14" ht="15.6">
      <c r="A401" s="27" t="s">
        <v>1538</v>
      </c>
      <c r="B401" s="25" t="s">
        <v>105</v>
      </c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</row>
    <row r="402" spans="1:14" ht="15.6">
      <c r="A402" s="27" t="s">
        <v>1539</v>
      </c>
      <c r="B402" s="25" t="s">
        <v>105</v>
      </c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</row>
    <row r="403" spans="1:14" ht="15.6">
      <c r="A403" s="27" t="s">
        <v>1540</v>
      </c>
      <c r="B403" s="25" t="s">
        <v>105</v>
      </c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</row>
    <row r="404" spans="1:14" ht="15.6">
      <c r="A404" s="27" t="s">
        <v>1541</v>
      </c>
      <c r="B404" s="25" t="s">
        <v>105</v>
      </c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</row>
    <row r="405" spans="1:14" ht="15.6">
      <c r="A405" s="27" t="s">
        <v>1542</v>
      </c>
      <c r="B405" s="25" t="s">
        <v>105</v>
      </c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</row>
    <row r="406" spans="1:14" ht="15.6">
      <c r="A406" s="27" t="s">
        <v>1543</v>
      </c>
      <c r="B406" s="25" t="s">
        <v>105</v>
      </c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</row>
    <row r="407" spans="1:14" ht="15.6">
      <c r="A407" s="27" t="s">
        <v>1544</v>
      </c>
      <c r="B407" s="25" t="s">
        <v>105</v>
      </c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</row>
    <row r="408" spans="1:14" ht="15.6">
      <c r="A408" s="27" t="s">
        <v>1545</v>
      </c>
      <c r="B408" s="25" t="s">
        <v>105</v>
      </c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</row>
    <row r="409" spans="1:14" ht="15.6">
      <c r="A409" s="27" t="s">
        <v>1546</v>
      </c>
      <c r="B409" s="25" t="s">
        <v>105</v>
      </c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</row>
    <row r="410" spans="1:14" ht="15.6">
      <c r="A410" s="27" t="s">
        <v>1547</v>
      </c>
      <c r="B410" s="25" t="s">
        <v>105</v>
      </c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</row>
    <row r="411" spans="1:14" ht="15.6">
      <c r="A411" s="27" t="s">
        <v>1548</v>
      </c>
      <c r="B411" s="25" t="s">
        <v>105</v>
      </c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</row>
    <row r="412" spans="1:14" ht="15.6">
      <c r="A412" s="27" t="s">
        <v>1549</v>
      </c>
      <c r="B412" s="25" t="s">
        <v>105</v>
      </c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</row>
    <row r="413" spans="1:14" ht="15.6">
      <c r="A413" s="27" t="s">
        <v>1550</v>
      </c>
      <c r="B413" s="25" t="s">
        <v>105</v>
      </c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</row>
    <row r="414" spans="1:14" ht="15.6">
      <c r="A414" s="27" t="s">
        <v>1551</v>
      </c>
      <c r="B414" s="25" t="s">
        <v>489</v>
      </c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</row>
    <row r="415" spans="1:14" ht="15.6">
      <c r="A415" s="27" t="s">
        <v>1552</v>
      </c>
      <c r="B415" s="25" t="s">
        <v>489</v>
      </c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</row>
    <row r="416" spans="1:14" ht="15.6">
      <c r="A416" s="27" t="s">
        <v>1553</v>
      </c>
      <c r="B416" s="25" t="s">
        <v>489</v>
      </c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</row>
    <row r="417" spans="1:14" ht="15.6">
      <c r="A417" s="27" t="s">
        <v>1554</v>
      </c>
      <c r="B417" s="25" t="s">
        <v>291</v>
      </c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</row>
    <row r="418" spans="1:14" ht="15.6">
      <c r="A418" s="27" t="s">
        <v>1555</v>
      </c>
      <c r="B418" s="25" t="s">
        <v>291</v>
      </c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</row>
    <row r="419" spans="1:14" ht="15.6">
      <c r="A419" s="27" t="s">
        <v>1556</v>
      </c>
      <c r="B419" s="25" t="s">
        <v>291</v>
      </c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</row>
    <row r="420" spans="1:14" ht="15.6">
      <c r="A420" s="27" t="s">
        <v>1557</v>
      </c>
      <c r="B420" s="25" t="s">
        <v>291</v>
      </c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</row>
    <row r="421" spans="1:14" ht="15.6">
      <c r="A421" s="27" t="s">
        <v>1558</v>
      </c>
      <c r="B421" s="25" t="s">
        <v>291</v>
      </c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</row>
    <row r="422" spans="1:14" ht="15.6">
      <c r="A422" s="27" t="s">
        <v>1559</v>
      </c>
      <c r="B422" s="25" t="s">
        <v>291</v>
      </c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</row>
    <row r="423" spans="1:14" ht="15.6">
      <c r="A423" s="27" t="s">
        <v>1560</v>
      </c>
      <c r="B423" s="25" t="s">
        <v>291</v>
      </c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</row>
    <row r="424" spans="1:14" ht="15.6">
      <c r="A424" s="27" t="s">
        <v>1561</v>
      </c>
      <c r="B424" s="25" t="s">
        <v>291</v>
      </c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</row>
    <row r="425" spans="1:14" ht="15.6">
      <c r="A425" s="27" t="s">
        <v>1478</v>
      </c>
      <c r="B425" s="25" t="s">
        <v>291</v>
      </c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</row>
    <row r="426" spans="1:14" ht="15.6">
      <c r="A426" s="27" t="s">
        <v>1562</v>
      </c>
      <c r="B426" s="25" t="s">
        <v>291</v>
      </c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</row>
    <row r="427" spans="1:14" ht="15.6">
      <c r="A427" s="27" t="s">
        <v>1563</v>
      </c>
      <c r="B427" s="25" t="s">
        <v>291</v>
      </c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</row>
    <row r="428" spans="1:14" ht="15.6">
      <c r="A428" s="27" t="s">
        <v>1564</v>
      </c>
      <c r="B428" s="25" t="s">
        <v>291</v>
      </c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</row>
    <row r="429" spans="1:14" ht="15.6">
      <c r="A429" s="27" t="s">
        <v>1565</v>
      </c>
      <c r="B429" s="25" t="s">
        <v>291</v>
      </c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</row>
    <row r="430" spans="1:14" ht="15.6">
      <c r="A430" s="27" t="s">
        <v>1566</v>
      </c>
      <c r="B430" s="25" t="s">
        <v>291</v>
      </c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</row>
    <row r="431" spans="1:14" ht="15.6">
      <c r="A431" s="27" t="s">
        <v>1567</v>
      </c>
      <c r="B431" s="25" t="s">
        <v>465</v>
      </c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</row>
    <row r="432" spans="1:14" ht="15.6">
      <c r="A432" s="27" t="s">
        <v>1568</v>
      </c>
      <c r="B432" s="25" t="s">
        <v>465</v>
      </c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</row>
    <row r="433" spans="1:14" ht="15.6">
      <c r="A433" s="27" t="s">
        <v>1569</v>
      </c>
      <c r="B433" s="25" t="s">
        <v>465</v>
      </c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</row>
    <row r="434" spans="1:14" ht="15.6">
      <c r="A434" s="27" t="s">
        <v>1570</v>
      </c>
      <c r="B434" s="25" t="s">
        <v>465</v>
      </c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</row>
    <row r="435" spans="1:14" ht="15.6">
      <c r="A435" s="27" t="s">
        <v>1571</v>
      </c>
      <c r="B435" s="25" t="s">
        <v>465</v>
      </c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</row>
    <row r="436" spans="1:14" ht="15.6">
      <c r="A436" s="27" t="s">
        <v>1572</v>
      </c>
      <c r="B436" s="25" t="s">
        <v>465</v>
      </c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</row>
    <row r="437" spans="1:14" ht="15.6">
      <c r="A437" s="27" t="s">
        <v>1573</v>
      </c>
      <c r="B437" s="25" t="s">
        <v>465</v>
      </c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</row>
    <row r="438" spans="1:14" ht="15.6">
      <c r="A438" s="27" t="s">
        <v>1574</v>
      </c>
      <c r="B438" s="25" t="s">
        <v>465</v>
      </c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</row>
    <row r="439" spans="1:14" ht="15.6">
      <c r="A439" s="27" t="s">
        <v>1575</v>
      </c>
      <c r="B439" s="25" t="s">
        <v>465</v>
      </c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</row>
    <row r="440" spans="1:14" ht="15.6">
      <c r="A440" s="27" t="s">
        <v>1576</v>
      </c>
      <c r="B440" s="25" t="s">
        <v>465</v>
      </c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</row>
    <row r="441" spans="1:14" ht="15.6">
      <c r="A441" s="27" t="s">
        <v>1577</v>
      </c>
      <c r="B441" s="25" t="s">
        <v>465</v>
      </c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</row>
    <row r="442" spans="1:14" ht="15.6">
      <c r="A442" s="27" t="s">
        <v>1578</v>
      </c>
      <c r="B442" s="25" t="s">
        <v>465</v>
      </c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</row>
    <row r="443" spans="1:14" ht="15.6">
      <c r="A443" s="27" t="s">
        <v>1579</v>
      </c>
      <c r="B443" s="25" t="s">
        <v>465</v>
      </c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</row>
    <row r="444" spans="1:14" ht="15.6">
      <c r="A444" s="27" t="s">
        <v>1580</v>
      </c>
      <c r="B444" s="25" t="s">
        <v>465</v>
      </c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</row>
    <row r="445" spans="1:14" ht="15.6">
      <c r="A445" s="27" t="s">
        <v>1581</v>
      </c>
      <c r="B445" s="25" t="s">
        <v>465</v>
      </c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</row>
    <row r="446" spans="1:14" ht="15.6">
      <c r="A446" s="27" t="s">
        <v>1582</v>
      </c>
      <c r="B446" s="25" t="s">
        <v>465</v>
      </c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</row>
    <row r="447" spans="1:14" ht="15.6">
      <c r="A447" s="27" t="s">
        <v>1583</v>
      </c>
      <c r="B447" s="25" t="s">
        <v>465</v>
      </c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</row>
    <row r="448" spans="1:14" ht="15.6">
      <c r="A448" s="27" t="s">
        <v>1584</v>
      </c>
      <c r="B448" s="25" t="s">
        <v>465</v>
      </c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</row>
    <row r="449" spans="1:14" ht="15.6">
      <c r="A449" s="27" t="s">
        <v>1585</v>
      </c>
      <c r="B449" s="25" t="s">
        <v>465</v>
      </c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</row>
    <row r="450" spans="1:14" ht="15.6">
      <c r="A450" s="27" t="s">
        <v>1586</v>
      </c>
      <c r="B450" s="25" t="s">
        <v>465</v>
      </c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</row>
    <row r="451" spans="1:14" ht="15.6">
      <c r="A451" s="27" t="s">
        <v>1587</v>
      </c>
      <c r="B451" s="25" t="s">
        <v>465</v>
      </c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</row>
    <row r="452" spans="1:14" ht="15.6">
      <c r="A452" s="27" t="s">
        <v>1588</v>
      </c>
      <c r="B452" s="25" t="s">
        <v>465</v>
      </c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</row>
    <row r="453" spans="1:14" ht="15.6">
      <c r="A453" s="27" t="s">
        <v>1589</v>
      </c>
      <c r="B453" s="25" t="s">
        <v>465</v>
      </c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</row>
    <row r="454" spans="1:14" ht="15.6">
      <c r="A454" s="27" t="s">
        <v>1590</v>
      </c>
      <c r="B454" s="25" t="s">
        <v>465</v>
      </c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</row>
    <row r="455" spans="1:14" ht="15.6">
      <c r="A455" s="27" t="s">
        <v>1591</v>
      </c>
      <c r="B455" s="25" t="s">
        <v>465</v>
      </c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</row>
    <row r="456" spans="1:14" ht="15.6">
      <c r="A456" s="27" t="s">
        <v>1592</v>
      </c>
      <c r="B456" s="25" t="s">
        <v>465</v>
      </c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</row>
    <row r="457" spans="1:14" ht="15.6">
      <c r="A457" s="27" t="s">
        <v>1593</v>
      </c>
      <c r="B457" s="25" t="s">
        <v>355</v>
      </c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</row>
    <row r="458" spans="1:14" ht="15.6">
      <c r="A458" s="27" t="s">
        <v>1594</v>
      </c>
      <c r="B458" s="25" t="s">
        <v>355</v>
      </c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</row>
    <row r="459" spans="1:14" ht="15.6">
      <c r="A459" s="27" t="s">
        <v>1595</v>
      </c>
      <c r="B459" s="25" t="s">
        <v>355</v>
      </c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</row>
    <row r="460" spans="1:14" ht="15.6">
      <c r="A460" s="27" t="s">
        <v>1596</v>
      </c>
      <c r="B460" s="25" t="s">
        <v>355</v>
      </c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</row>
    <row r="461" spans="1:14" ht="15.6">
      <c r="A461" s="27" t="s">
        <v>1597</v>
      </c>
      <c r="B461" s="25" t="s">
        <v>355</v>
      </c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</row>
    <row r="462" spans="1:14" ht="15.6">
      <c r="A462" s="27" t="s">
        <v>1598</v>
      </c>
      <c r="B462" s="25" t="s">
        <v>355</v>
      </c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</row>
    <row r="463" spans="1:14" ht="15.6">
      <c r="A463" s="27" t="s">
        <v>1599</v>
      </c>
      <c r="B463" s="25" t="s">
        <v>355</v>
      </c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</row>
    <row r="464" spans="1:14" ht="15.6">
      <c r="A464" s="27" t="s">
        <v>1600</v>
      </c>
      <c r="B464" s="25" t="s">
        <v>355</v>
      </c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</row>
    <row r="465" spans="1:14" ht="15.6">
      <c r="A465" s="27" t="s">
        <v>1601</v>
      </c>
      <c r="B465" s="25" t="s">
        <v>355</v>
      </c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</row>
    <row r="466" spans="1:14" ht="15.6">
      <c r="A466" s="27" t="s">
        <v>1602</v>
      </c>
      <c r="B466" s="25" t="s">
        <v>355</v>
      </c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</row>
    <row r="467" spans="1:14" ht="15.6">
      <c r="A467" s="27" t="s">
        <v>1603</v>
      </c>
      <c r="B467" s="25" t="s">
        <v>355</v>
      </c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</row>
    <row r="468" spans="1:14" ht="15.6">
      <c r="A468" s="27" t="s">
        <v>1604</v>
      </c>
      <c r="B468" s="25" t="s">
        <v>355</v>
      </c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</row>
    <row r="469" spans="1:14" ht="15.6">
      <c r="A469" s="27" t="s">
        <v>1605</v>
      </c>
      <c r="B469" s="25" t="s">
        <v>355</v>
      </c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</row>
    <row r="470" spans="1:14" ht="15.6">
      <c r="A470" s="27" t="s">
        <v>1606</v>
      </c>
      <c r="B470" s="25" t="s">
        <v>355</v>
      </c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</row>
    <row r="471" spans="1:14" ht="15.6">
      <c r="A471" s="27" t="s">
        <v>1607</v>
      </c>
      <c r="B471" s="25" t="s">
        <v>355</v>
      </c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</row>
    <row r="472" spans="1:14" ht="15.6">
      <c r="A472" s="27" t="s">
        <v>1608</v>
      </c>
      <c r="B472" s="25" t="s">
        <v>355</v>
      </c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</row>
    <row r="473" spans="1:14" ht="15.6">
      <c r="A473" s="27" t="s">
        <v>1609</v>
      </c>
      <c r="B473" s="25" t="s">
        <v>355</v>
      </c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</row>
    <row r="474" spans="1:14" ht="15.6">
      <c r="A474" s="27" t="s">
        <v>1610</v>
      </c>
      <c r="B474" s="25" t="s">
        <v>355</v>
      </c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</row>
    <row r="475" spans="1:14" ht="15.6">
      <c r="A475" s="27" t="s">
        <v>1611</v>
      </c>
      <c r="B475" s="25" t="s">
        <v>355</v>
      </c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</row>
    <row r="476" spans="1:14" ht="15.6">
      <c r="A476" s="27" t="s">
        <v>1612</v>
      </c>
      <c r="B476" s="25" t="s">
        <v>355</v>
      </c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</row>
    <row r="477" spans="1:14" ht="15.6">
      <c r="A477" s="27" t="s">
        <v>1613</v>
      </c>
      <c r="B477" s="25" t="s">
        <v>355</v>
      </c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</row>
    <row r="478" spans="1:14" ht="15.6">
      <c r="A478" s="27" t="s">
        <v>1614</v>
      </c>
      <c r="B478" s="25" t="s">
        <v>355</v>
      </c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</row>
    <row r="479" spans="1:14" ht="15.6">
      <c r="A479" s="27" t="s">
        <v>1615</v>
      </c>
      <c r="B479" s="25" t="s">
        <v>355</v>
      </c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</row>
    <row r="480" spans="1:14" ht="15.6">
      <c r="A480" s="27" t="s">
        <v>1616</v>
      </c>
      <c r="B480" s="25" t="s">
        <v>355</v>
      </c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</row>
    <row r="481" spans="1:14" ht="15.6">
      <c r="A481" s="27" t="s">
        <v>1617</v>
      </c>
      <c r="B481" s="25" t="s">
        <v>355</v>
      </c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</row>
    <row r="482" spans="1:14" ht="15.6">
      <c r="A482" s="27" t="s">
        <v>1618</v>
      </c>
      <c r="B482" s="25" t="s">
        <v>355</v>
      </c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</row>
    <row r="483" spans="1:14" ht="15.6">
      <c r="A483" s="27" t="s">
        <v>1619</v>
      </c>
      <c r="B483" s="25" t="s">
        <v>355</v>
      </c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</row>
    <row r="484" spans="1:14" ht="15.6">
      <c r="A484" s="27" t="s">
        <v>1620</v>
      </c>
      <c r="B484" s="25" t="s">
        <v>355</v>
      </c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</row>
    <row r="485" spans="1:14" ht="15.6">
      <c r="A485" s="27" t="s">
        <v>1621</v>
      </c>
      <c r="B485" s="25" t="s">
        <v>355</v>
      </c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</row>
    <row r="486" spans="1:14" ht="15.6">
      <c r="A486" s="27" t="s">
        <v>1622</v>
      </c>
      <c r="B486" s="25" t="s">
        <v>355</v>
      </c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</row>
    <row r="487" spans="1:14" ht="15.6">
      <c r="A487" s="27" t="s">
        <v>1623</v>
      </c>
      <c r="B487" s="25" t="s">
        <v>355</v>
      </c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</row>
    <row r="488" spans="1:14" ht="15.6">
      <c r="A488" s="27" t="s">
        <v>1624</v>
      </c>
      <c r="B488" s="25" t="s">
        <v>355</v>
      </c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</row>
    <row r="489" spans="1:14" ht="15.6">
      <c r="A489" s="27" t="s">
        <v>1625</v>
      </c>
      <c r="B489" s="25" t="s">
        <v>355</v>
      </c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</row>
    <row r="490" spans="1:14" ht="15.6">
      <c r="A490" s="27" t="s">
        <v>1626</v>
      </c>
      <c r="B490" s="25" t="s">
        <v>355</v>
      </c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</row>
    <row r="491" spans="1:14" ht="15.6">
      <c r="A491" s="27" t="s">
        <v>1627</v>
      </c>
      <c r="B491" s="25" t="s">
        <v>355</v>
      </c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</row>
    <row r="492" spans="1:14" ht="15.6">
      <c r="A492" s="27" t="s">
        <v>1628</v>
      </c>
      <c r="B492" s="25" t="s">
        <v>355</v>
      </c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</row>
    <row r="493" spans="1:14" ht="15.6">
      <c r="A493" s="27" t="s">
        <v>1629</v>
      </c>
      <c r="B493" s="25" t="s">
        <v>355</v>
      </c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</row>
    <row r="494" spans="1:14" ht="15.6">
      <c r="A494" s="27" t="s">
        <v>1630</v>
      </c>
      <c r="B494" s="25" t="s">
        <v>355</v>
      </c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</row>
    <row r="495" spans="1:14" ht="15.6">
      <c r="A495" s="27" t="s">
        <v>1631</v>
      </c>
      <c r="B495" s="25" t="s">
        <v>405</v>
      </c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</row>
    <row r="496" spans="1:14" ht="15.6">
      <c r="A496" s="27" t="s">
        <v>1632</v>
      </c>
      <c r="B496" s="25" t="s">
        <v>405</v>
      </c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</row>
    <row r="497" spans="1:14" ht="15.6">
      <c r="A497" s="27" t="s">
        <v>1633</v>
      </c>
      <c r="B497" s="25" t="s">
        <v>405</v>
      </c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</row>
    <row r="498" spans="1:14" ht="15.6">
      <c r="A498" s="27" t="s">
        <v>1634</v>
      </c>
      <c r="B498" s="27" t="s">
        <v>405</v>
      </c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</row>
    <row r="499" spans="1:14" ht="15.6">
      <c r="A499" s="27" t="s">
        <v>1635</v>
      </c>
      <c r="B499" s="27" t="s">
        <v>405</v>
      </c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</row>
    <row r="500" spans="1:14" ht="15.6">
      <c r="A500" s="27" t="s">
        <v>1636</v>
      </c>
      <c r="B500" s="27" t="s">
        <v>405</v>
      </c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</row>
    <row r="501" spans="1:14" ht="15.6">
      <c r="A501" s="27" t="s">
        <v>1637</v>
      </c>
      <c r="B501" s="27" t="s">
        <v>405</v>
      </c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</row>
    <row r="502" spans="1:14" ht="15.6">
      <c r="A502" s="27" t="s">
        <v>1638</v>
      </c>
      <c r="B502" s="27" t="s">
        <v>405</v>
      </c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</row>
    <row r="503" spans="1:14" ht="15.6">
      <c r="A503" s="27" t="s">
        <v>1639</v>
      </c>
      <c r="B503" s="27" t="s">
        <v>405</v>
      </c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</row>
    <row r="504" spans="1:14" ht="15.6">
      <c r="A504" s="27" t="s">
        <v>1640</v>
      </c>
      <c r="B504" s="27" t="s">
        <v>405</v>
      </c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</row>
    <row r="505" spans="1:14" ht="15.6">
      <c r="A505" s="27" t="s">
        <v>1641</v>
      </c>
      <c r="B505" s="27" t="s">
        <v>405</v>
      </c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</row>
    <row r="506" spans="1:14" ht="15.6">
      <c r="A506" s="27" t="s">
        <v>1642</v>
      </c>
      <c r="B506" s="27" t="s">
        <v>405</v>
      </c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</row>
    <row r="507" spans="1:14" ht="15.6">
      <c r="A507" s="27" t="s">
        <v>1643</v>
      </c>
      <c r="B507" s="27" t="s">
        <v>405</v>
      </c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</row>
    <row r="508" spans="1:14" ht="15.6">
      <c r="A508" s="27" t="s">
        <v>1644</v>
      </c>
      <c r="B508" s="27" t="s">
        <v>405</v>
      </c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</row>
    <row r="509" spans="1:14" ht="15.6">
      <c r="A509" s="27" t="s">
        <v>1645</v>
      </c>
      <c r="B509" s="27" t="s">
        <v>405</v>
      </c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</row>
    <row r="510" spans="1:14" ht="15.6">
      <c r="A510" s="27" t="s">
        <v>1646</v>
      </c>
      <c r="B510" s="27" t="s">
        <v>405</v>
      </c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</row>
    <row r="511" spans="1:14" ht="15.6">
      <c r="A511" s="27" t="s">
        <v>1647</v>
      </c>
      <c r="B511" s="27" t="s">
        <v>405</v>
      </c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</row>
    <row r="512" spans="1:14" ht="15.6">
      <c r="A512" s="27" t="s">
        <v>1648</v>
      </c>
      <c r="B512" s="27" t="s">
        <v>405</v>
      </c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</row>
    <row r="513" spans="1:14" ht="15.6">
      <c r="A513" s="27" t="s">
        <v>1649</v>
      </c>
      <c r="B513" s="27" t="s">
        <v>405</v>
      </c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</row>
    <row r="514" spans="1:14" ht="15.6">
      <c r="A514" s="27" t="s">
        <v>1650</v>
      </c>
      <c r="B514" s="27" t="s">
        <v>405</v>
      </c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</row>
    <row r="515" spans="1:14" ht="15.6">
      <c r="A515" s="27" t="s">
        <v>1651</v>
      </c>
      <c r="B515" s="27" t="s">
        <v>405</v>
      </c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</row>
    <row r="516" spans="1:14" ht="15.6">
      <c r="A516" s="27" t="s">
        <v>1652</v>
      </c>
      <c r="B516" s="27" t="s">
        <v>405</v>
      </c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</row>
    <row r="517" spans="1:14" ht="15.6">
      <c r="A517" s="27" t="s">
        <v>1653</v>
      </c>
      <c r="B517" s="27" t="s">
        <v>405</v>
      </c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</row>
    <row r="518" spans="1:14" ht="15.6">
      <c r="A518" s="27" t="s">
        <v>1654</v>
      </c>
      <c r="B518" s="27" t="s">
        <v>405</v>
      </c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</row>
    <row r="519" spans="1:14" ht="15.6">
      <c r="A519" s="27" t="s">
        <v>1655</v>
      </c>
      <c r="B519" s="27" t="s">
        <v>405</v>
      </c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</row>
    <row r="520" spans="1:14" ht="15.6">
      <c r="A520" s="27" t="s">
        <v>1656</v>
      </c>
      <c r="B520" s="27" t="s">
        <v>405</v>
      </c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</row>
    <row r="521" spans="1:14" ht="15.6">
      <c r="A521" s="27" t="s">
        <v>1657</v>
      </c>
      <c r="B521" s="27" t="s">
        <v>405</v>
      </c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</row>
    <row r="522" spans="1:14" ht="15.6">
      <c r="A522" s="27" t="s">
        <v>1658</v>
      </c>
      <c r="B522" s="27" t="s">
        <v>1052</v>
      </c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</row>
    <row r="523" spans="1:14" ht="15.6">
      <c r="A523" s="27" t="s">
        <v>1659</v>
      </c>
      <c r="B523" s="27" t="s">
        <v>1052</v>
      </c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</row>
    <row r="524" spans="1:14" ht="15.6">
      <c r="A524" s="27" t="s">
        <v>1660</v>
      </c>
      <c r="B524" s="27" t="s">
        <v>1052</v>
      </c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</row>
    <row r="525" spans="1:14" ht="15.6">
      <c r="A525" s="27" t="s">
        <v>1661</v>
      </c>
      <c r="B525" s="27" t="s">
        <v>1052</v>
      </c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</row>
    <row r="526" spans="1:14" ht="15.6">
      <c r="A526" s="27" t="s">
        <v>1662</v>
      </c>
      <c r="B526" s="27" t="s">
        <v>1052</v>
      </c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</row>
    <row r="527" spans="1:14" ht="15.6">
      <c r="A527" s="27" t="s">
        <v>1663</v>
      </c>
      <c r="B527" s="27" t="s">
        <v>1052</v>
      </c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</row>
    <row r="528" spans="1:14" ht="15.6">
      <c r="A528" s="27" t="s">
        <v>1664</v>
      </c>
      <c r="B528" s="27" t="s">
        <v>1052</v>
      </c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</row>
    <row r="529" spans="1:14" ht="15.6">
      <c r="A529" s="27" t="s">
        <v>1665</v>
      </c>
      <c r="B529" s="27" t="s">
        <v>1052</v>
      </c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</row>
    <row r="530" spans="1:14" ht="15.6">
      <c r="A530" s="27" t="s">
        <v>1666</v>
      </c>
      <c r="B530" s="27" t="s">
        <v>1052</v>
      </c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</row>
    <row r="531" spans="1:14" ht="15.6">
      <c r="A531" s="27" t="s">
        <v>1667</v>
      </c>
      <c r="B531" s="27" t="s">
        <v>1052</v>
      </c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</row>
    <row r="532" spans="1:14" ht="15.6">
      <c r="A532" s="27" t="s">
        <v>1668</v>
      </c>
      <c r="B532" s="27" t="s">
        <v>1052</v>
      </c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</row>
    <row r="533" spans="1:14" ht="15.6">
      <c r="A533" s="27" t="s">
        <v>1669</v>
      </c>
      <c r="B533" s="27" t="s">
        <v>201</v>
      </c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</row>
    <row r="534" spans="1:14" ht="15.6">
      <c r="A534" s="27" t="s">
        <v>1670</v>
      </c>
      <c r="B534" s="27" t="s">
        <v>201</v>
      </c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</row>
    <row r="535" spans="1:14" ht="15.6">
      <c r="A535" s="27" t="s">
        <v>1671</v>
      </c>
      <c r="B535" s="27" t="s">
        <v>201</v>
      </c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</row>
    <row r="536" spans="1:14" ht="15.6">
      <c r="A536" s="27" t="s">
        <v>1672</v>
      </c>
      <c r="B536" s="27" t="s">
        <v>201</v>
      </c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</row>
    <row r="537" spans="1:14" ht="15.6">
      <c r="A537" s="27" t="s">
        <v>1673</v>
      </c>
      <c r="B537" s="27" t="s">
        <v>201</v>
      </c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</row>
    <row r="538" spans="1:14" ht="15.6">
      <c r="A538" s="27" t="s">
        <v>1674</v>
      </c>
      <c r="B538" s="27" t="s">
        <v>201</v>
      </c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</row>
    <row r="539" spans="1:14" ht="15.6">
      <c r="A539" s="27" t="s">
        <v>1675</v>
      </c>
      <c r="B539" s="27" t="s">
        <v>201</v>
      </c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</row>
    <row r="540" spans="1:14" ht="15.6">
      <c r="A540" s="27" t="s">
        <v>1676</v>
      </c>
      <c r="B540" s="27" t="s">
        <v>201</v>
      </c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</row>
    <row r="541" spans="1:14" ht="15.6">
      <c r="A541" s="27" t="s">
        <v>1677</v>
      </c>
      <c r="B541" s="27" t="s">
        <v>201</v>
      </c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</row>
    <row r="542" spans="1:14" ht="15.6">
      <c r="A542" s="27" t="s">
        <v>1678</v>
      </c>
      <c r="B542" s="27" t="s">
        <v>201</v>
      </c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</row>
    <row r="543" spans="1:14" ht="15.6">
      <c r="A543" s="27" t="s">
        <v>1679</v>
      </c>
      <c r="B543" s="27" t="s">
        <v>201</v>
      </c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</row>
    <row r="544" spans="1:14" ht="15.6">
      <c r="A544" s="27" t="s">
        <v>1680</v>
      </c>
      <c r="B544" s="27" t="s">
        <v>201</v>
      </c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</row>
    <row r="545" spans="1:14" ht="15.6">
      <c r="A545" s="27" t="s">
        <v>1681</v>
      </c>
      <c r="B545" s="27" t="s">
        <v>201</v>
      </c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</row>
    <row r="546" spans="1:14" ht="15.6">
      <c r="A546" s="27" t="s">
        <v>1682</v>
      </c>
      <c r="B546" s="27" t="s">
        <v>201</v>
      </c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</row>
    <row r="547" spans="1:14" ht="15.6">
      <c r="A547" s="27" t="s">
        <v>1683</v>
      </c>
      <c r="B547" s="27" t="s">
        <v>201</v>
      </c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</row>
    <row r="548" spans="1:14" ht="15.6">
      <c r="A548" s="27" t="s">
        <v>1684</v>
      </c>
      <c r="B548" s="27" t="s">
        <v>201</v>
      </c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</row>
    <row r="549" spans="1:14" ht="15.6">
      <c r="A549" s="27" t="s">
        <v>1685</v>
      </c>
      <c r="B549" s="27" t="s">
        <v>201</v>
      </c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</row>
    <row r="550" spans="1:14" ht="15.6">
      <c r="A550" s="27" t="s">
        <v>1686</v>
      </c>
      <c r="B550" s="27" t="s">
        <v>201</v>
      </c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</row>
    <row r="551" spans="1:14" ht="15.6">
      <c r="A551" s="27" t="s">
        <v>1687</v>
      </c>
      <c r="B551" s="27" t="s">
        <v>201</v>
      </c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</row>
    <row r="552" spans="1:14" ht="15.6">
      <c r="A552" s="27" t="s">
        <v>1688</v>
      </c>
      <c r="B552" s="27" t="s">
        <v>201</v>
      </c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</row>
    <row r="553" spans="1:14" ht="15.6">
      <c r="A553" s="27" t="s">
        <v>1689</v>
      </c>
      <c r="B553" s="27" t="s">
        <v>201</v>
      </c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</row>
    <row r="554" spans="1:14" ht="15.6">
      <c r="A554" s="27" t="s">
        <v>1690</v>
      </c>
      <c r="B554" s="27" t="s">
        <v>201</v>
      </c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</row>
    <row r="555" spans="1:14" ht="15.6">
      <c r="A555" s="27" t="s">
        <v>1691</v>
      </c>
      <c r="B555" s="27" t="s">
        <v>201</v>
      </c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</row>
    <row r="556" spans="1:14" ht="15.6">
      <c r="A556" s="27" t="s">
        <v>1692</v>
      </c>
      <c r="B556" s="27" t="s">
        <v>201</v>
      </c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</row>
    <row r="557" spans="1:14" ht="15.6">
      <c r="A557" s="27" t="s">
        <v>1693</v>
      </c>
      <c r="B557" s="27" t="s">
        <v>201</v>
      </c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</row>
    <row r="558" spans="1:14" ht="15.6">
      <c r="A558" s="27" t="s">
        <v>1694</v>
      </c>
      <c r="B558" s="27" t="s">
        <v>201</v>
      </c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</row>
    <row r="559" spans="1:14" ht="15.6">
      <c r="A559" s="27" t="s">
        <v>1695</v>
      </c>
      <c r="B559" s="27" t="s">
        <v>201</v>
      </c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</row>
    <row r="560" spans="1:14" ht="15.6">
      <c r="A560" s="27" t="s">
        <v>1696</v>
      </c>
      <c r="B560" s="27" t="s">
        <v>201</v>
      </c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</row>
    <row r="561" spans="1:14" ht="15.6">
      <c r="A561" s="27" t="s">
        <v>1697</v>
      </c>
      <c r="B561" s="27" t="s">
        <v>201</v>
      </c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</row>
    <row r="562" spans="1:14" ht="15.6">
      <c r="A562" s="27" t="s">
        <v>1698</v>
      </c>
      <c r="B562" s="27" t="s">
        <v>201</v>
      </c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</row>
    <row r="563" spans="1:14" ht="15.6">
      <c r="A563" s="27" t="s">
        <v>1699</v>
      </c>
      <c r="B563" s="27" t="s">
        <v>201</v>
      </c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</row>
    <row r="564" spans="1:14" ht="15.6">
      <c r="A564" s="27" t="s">
        <v>1700</v>
      </c>
      <c r="B564" s="27" t="s">
        <v>201</v>
      </c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</row>
    <row r="565" spans="1:14" ht="15.6">
      <c r="A565" s="27" t="s">
        <v>1701</v>
      </c>
      <c r="B565" s="27" t="s">
        <v>201</v>
      </c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</row>
    <row r="566" spans="1:14" ht="15.6">
      <c r="A566" s="27" t="s">
        <v>1702</v>
      </c>
      <c r="B566" s="27" t="s">
        <v>201</v>
      </c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</row>
    <row r="567" spans="1:14" ht="15.6">
      <c r="A567" s="27" t="s">
        <v>1703</v>
      </c>
      <c r="B567" s="27" t="s">
        <v>201</v>
      </c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</row>
    <row r="568" spans="1:14" ht="15.6">
      <c r="A568" s="27" t="s">
        <v>1704</v>
      </c>
      <c r="B568" s="27" t="s">
        <v>201</v>
      </c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</row>
    <row r="569" spans="1:14" ht="15.6">
      <c r="A569" s="27" t="s">
        <v>1705</v>
      </c>
      <c r="B569" s="27" t="s">
        <v>201</v>
      </c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</row>
    <row r="570" spans="1:14" ht="15.6">
      <c r="A570" s="27" t="s">
        <v>1706</v>
      </c>
      <c r="B570" s="27" t="s">
        <v>201</v>
      </c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</row>
    <row r="571" spans="1:14" ht="15.6">
      <c r="A571" s="27" t="s">
        <v>1707</v>
      </c>
      <c r="B571" s="27" t="s">
        <v>201</v>
      </c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</row>
    <row r="572" spans="1:14" ht="15.6">
      <c r="A572" s="27" t="s">
        <v>1708</v>
      </c>
      <c r="B572" s="27" t="s">
        <v>201</v>
      </c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</row>
    <row r="573" spans="1:14" ht="15.6">
      <c r="A573" s="27" t="s">
        <v>1709</v>
      </c>
      <c r="B573" s="27" t="s">
        <v>201</v>
      </c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</row>
    <row r="574" spans="1:14" ht="15.6">
      <c r="A574" s="27" t="s">
        <v>1710</v>
      </c>
      <c r="B574" s="27" t="s">
        <v>201</v>
      </c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</row>
    <row r="575" spans="1:14" ht="15.6">
      <c r="A575" s="27" t="s">
        <v>1711</v>
      </c>
      <c r="B575" s="27" t="s">
        <v>201</v>
      </c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</row>
    <row r="576" spans="1:14" ht="15.6">
      <c r="A576" s="27" t="s">
        <v>1712</v>
      </c>
      <c r="B576" s="27" t="s">
        <v>201</v>
      </c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</row>
    <row r="577" spans="1:14" ht="15.6">
      <c r="A577" s="27" t="s">
        <v>1713</v>
      </c>
      <c r="B577" s="27" t="s">
        <v>105</v>
      </c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</row>
    <row r="578" spans="1:14" ht="15.6">
      <c r="A578" s="27" t="s">
        <v>1714</v>
      </c>
      <c r="B578" s="27" t="s">
        <v>105</v>
      </c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</row>
    <row r="579" spans="1:14" ht="15.6">
      <c r="A579" s="27" t="s">
        <v>1715</v>
      </c>
      <c r="B579" s="27" t="s">
        <v>105</v>
      </c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</row>
    <row r="580" spans="1:14" ht="15.6">
      <c r="A580" s="27" t="s">
        <v>1716</v>
      </c>
      <c r="B580" s="27" t="s">
        <v>105</v>
      </c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</row>
    <row r="581" spans="1:14" ht="15.6">
      <c r="A581" s="27" t="s">
        <v>1717</v>
      </c>
      <c r="B581" s="27" t="s">
        <v>105</v>
      </c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</row>
    <row r="582" spans="1:14" ht="15.6">
      <c r="A582" s="27" t="s">
        <v>1718</v>
      </c>
      <c r="B582" s="27" t="s">
        <v>105</v>
      </c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</row>
    <row r="583" spans="1:14" ht="15.6">
      <c r="A583" s="27" t="s">
        <v>1719</v>
      </c>
      <c r="B583" s="27" t="s">
        <v>105</v>
      </c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</row>
    <row r="584" spans="1:14" ht="15.6">
      <c r="A584" s="27" t="s">
        <v>1720</v>
      </c>
      <c r="B584" s="27" t="s">
        <v>105</v>
      </c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</row>
    <row r="585" spans="1:14" ht="15.6">
      <c r="A585" s="27" t="s">
        <v>1721</v>
      </c>
      <c r="B585" s="27" t="s">
        <v>105</v>
      </c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</row>
    <row r="586" spans="1:14" ht="15.6">
      <c r="A586" s="27" t="s">
        <v>1722</v>
      </c>
      <c r="B586" s="27" t="s">
        <v>105</v>
      </c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</row>
    <row r="587" spans="1:14" ht="15.6">
      <c r="A587" s="27" t="s">
        <v>1723</v>
      </c>
      <c r="B587" s="27" t="s">
        <v>105</v>
      </c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</row>
    <row r="588" spans="1:14" ht="15.6">
      <c r="A588" s="27" t="s">
        <v>1724</v>
      </c>
      <c r="B588" s="27" t="s">
        <v>105</v>
      </c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</row>
    <row r="589" spans="1:14" ht="15.6">
      <c r="A589" s="27" t="s">
        <v>1725</v>
      </c>
      <c r="B589" s="27" t="s">
        <v>105</v>
      </c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</row>
    <row r="590" spans="1:14" ht="15.6">
      <c r="A590" s="27" t="s">
        <v>1726</v>
      </c>
      <c r="B590" s="27" t="s">
        <v>105</v>
      </c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</row>
    <row r="591" spans="1:14" ht="15.6">
      <c r="A591" s="27" t="s">
        <v>1727</v>
      </c>
      <c r="B591" s="27" t="s">
        <v>105</v>
      </c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</row>
    <row r="592" spans="1:14" ht="15.6">
      <c r="A592" s="27" t="s">
        <v>1728</v>
      </c>
      <c r="B592" s="27" t="s">
        <v>105</v>
      </c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</row>
    <row r="593" spans="1:14" ht="15.6">
      <c r="A593" s="27" t="s">
        <v>1729</v>
      </c>
      <c r="B593" s="27" t="s">
        <v>105</v>
      </c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</row>
    <row r="594" spans="1:14" ht="15.6">
      <c r="A594" s="27" t="s">
        <v>1730</v>
      </c>
      <c r="B594" s="27" t="s">
        <v>105</v>
      </c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</row>
    <row r="595" spans="1:14" ht="15.6">
      <c r="A595" s="27" t="s">
        <v>1731</v>
      </c>
      <c r="B595" s="27" t="s">
        <v>105</v>
      </c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</row>
    <row r="596" spans="1:14" ht="15.6">
      <c r="A596" s="27" t="s">
        <v>1732</v>
      </c>
      <c r="B596" s="27" t="s">
        <v>105</v>
      </c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</row>
    <row r="597" spans="1:14" ht="15.6">
      <c r="A597" s="27" t="s">
        <v>1733</v>
      </c>
      <c r="B597" s="27" t="s">
        <v>105</v>
      </c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</row>
    <row r="598" spans="1:14" ht="15.6">
      <c r="A598" s="27" t="s">
        <v>1734</v>
      </c>
      <c r="B598" s="27" t="s">
        <v>105</v>
      </c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</row>
    <row r="599" spans="1:14" ht="15.6">
      <c r="A599" s="27" t="s">
        <v>1735</v>
      </c>
      <c r="B599" s="27" t="s">
        <v>105</v>
      </c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</row>
    <row r="600" spans="1:14" ht="15.6">
      <c r="A600" s="27" t="s">
        <v>1736</v>
      </c>
      <c r="B600" s="27" t="s">
        <v>105</v>
      </c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</row>
    <row r="601" spans="1:14" ht="15.6">
      <c r="A601" s="27" t="s">
        <v>1737</v>
      </c>
      <c r="B601" s="27" t="s">
        <v>105</v>
      </c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</row>
    <row r="602" spans="1:14" ht="15.6">
      <c r="A602" s="27" t="s">
        <v>1738</v>
      </c>
      <c r="B602" s="27" t="s">
        <v>105</v>
      </c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</row>
    <row r="603" spans="1:14" ht="15.6">
      <c r="A603" s="27" t="s">
        <v>1739</v>
      </c>
      <c r="B603" s="27" t="s">
        <v>105</v>
      </c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</row>
    <row r="604" spans="1:14" ht="15.6">
      <c r="A604" s="27" t="s">
        <v>1740</v>
      </c>
      <c r="B604" s="27" t="s">
        <v>105</v>
      </c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</row>
    <row r="605" spans="1:14" ht="15.6">
      <c r="A605" s="27" t="s">
        <v>1741</v>
      </c>
      <c r="B605" s="27" t="s">
        <v>105</v>
      </c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</row>
    <row r="606" spans="1:14" ht="15.6">
      <c r="A606" s="27" t="s">
        <v>1742</v>
      </c>
      <c r="B606" s="27" t="s">
        <v>105</v>
      </c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</row>
    <row r="607" spans="1:14" ht="15.6">
      <c r="A607" s="27" t="s">
        <v>1743</v>
      </c>
      <c r="B607" s="27" t="s">
        <v>105</v>
      </c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</row>
    <row r="608" spans="1:14" ht="15.6">
      <c r="A608" s="27" t="s">
        <v>1744</v>
      </c>
      <c r="B608" s="27" t="s">
        <v>105</v>
      </c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</row>
    <row r="609" spans="1:14" ht="15.6">
      <c r="A609" s="27" t="s">
        <v>1745</v>
      </c>
      <c r="B609" s="27" t="s">
        <v>105</v>
      </c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</row>
    <row r="610" spans="1:14" ht="15.6">
      <c r="A610" s="27" t="s">
        <v>1746</v>
      </c>
      <c r="B610" s="27" t="s">
        <v>105</v>
      </c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</row>
    <row r="611" spans="1:14" ht="15.6">
      <c r="A611" s="27" t="s">
        <v>1747</v>
      </c>
      <c r="B611" s="27" t="s">
        <v>105</v>
      </c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</row>
    <row r="612" spans="1:14" ht="15.6">
      <c r="A612" s="27" t="s">
        <v>1748</v>
      </c>
      <c r="B612" s="27" t="s">
        <v>105</v>
      </c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</row>
    <row r="613" spans="1:14" ht="15.6">
      <c r="A613" s="27" t="s">
        <v>1749</v>
      </c>
      <c r="B613" s="27" t="s">
        <v>105</v>
      </c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</row>
    <row r="614" spans="1:14" ht="15.6">
      <c r="A614" s="27" t="s">
        <v>1750</v>
      </c>
      <c r="B614" s="27" t="s">
        <v>105</v>
      </c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</row>
    <row r="615" spans="1:14" ht="15.6">
      <c r="A615" s="27" t="s">
        <v>1751</v>
      </c>
      <c r="B615" s="27" t="s">
        <v>105</v>
      </c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</row>
    <row r="616" spans="1:14" ht="15.6">
      <c r="A616" s="27" t="s">
        <v>1752</v>
      </c>
      <c r="B616" s="27" t="s">
        <v>105</v>
      </c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</row>
    <row r="617" spans="1:14" ht="15.6">
      <c r="A617" s="27" t="s">
        <v>1753</v>
      </c>
      <c r="B617" s="27" t="s">
        <v>105</v>
      </c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</row>
    <row r="618" spans="1:14" ht="15.6">
      <c r="A618" s="27" t="s">
        <v>1754</v>
      </c>
      <c r="B618" s="27" t="s">
        <v>105</v>
      </c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</row>
    <row r="619" spans="1:14" ht="15.6">
      <c r="A619" s="27" t="s">
        <v>1755</v>
      </c>
      <c r="B619" s="27" t="s">
        <v>105</v>
      </c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</row>
    <row r="620" spans="1:14" ht="15.6">
      <c r="A620" s="27" t="s">
        <v>1756</v>
      </c>
      <c r="B620" s="27" t="s">
        <v>105</v>
      </c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</row>
    <row r="621" spans="1:14" ht="15.6">
      <c r="A621" s="27" t="s">
        <v>1757</v>
      </c>
      <c r="B621" s="27" t="s">
        <v>105</v>
      </c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</row>
    <row r="622" spans="1:14" ht="15.6">
      <c r="A622" s="27" t="s">
        <v>1758</v>
      </c>
      <c r="B622" s="27" t="s">
        <v>105</v>
      </c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</row>
    <row r="623" spans="1:14" ht="15.6">
      <c r="A623" s="27" t="s">
        <v>1759</v>
      </c>
      <c r="B623" s="27" t="s">
        <v>105</v>
      </c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</row>
    <row r="624" spans="1:14" ht="15.6">
      <c r="A624" s="27" t="s">
        <v>1760</v>
      </c>
      <c r="B624" s="27" t="s">
        <v>105</v>
      </c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</row>
    <row r="625" spans="1:14" ht="15.6">
      <c r="A625" s="27" t="s">
        <v>1761</v>
      </c>
      <c r="B625" s="27" t="s">
        <v>105</v>
      </c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</row>
    <row r="626" spans="1:14" ht="16.2" thickBot="1">
      <c r="A626" s="126" t="s">
        <v>1762</v>
      </c>
      <c r="B626" s="27" t="s">
        <v>105</v>
      </c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</row>
    <row r="627" spans="1:14" ht="16.2" thickBot="1">
      <c r="A627" s="126" t="s">
        <v>1763</v>
      </c>
      <c r="B627" s="27" t="s">
        <v>105</v>
      </c>
      <c r="C627" s="22"/>
      <c r="D627" s="22"/>
      <c r="E627" s="22"/>
      <c r="F627" s="22"/>
      <c r="G627" s="22"/>
      <c r="H627" s="22"/>
      <c r="I627" s="22"/>
      <c r="J627" s="22"/>
      <c r="K627" s="22"/>
      <c r="L627" s="123"/>
      <c r="M627" s="123"/>
      <c r="N627" s="123"/>
    </row>
    <row r="630" spans="1:14">
      <c r="A630" s="125"/>
    </row>
    <row r="631" spans="1:14">
      <c r="A631" s="125"/>
      <c r="B631" s="125"/>
    </row>
    <row r="632" spans="1:14">
      <c r="A632" s="125"/>
      <c r="B632" s="125"/>
    </row>
    <row r="633" spans="1:14">
      <c r="A633" s="125"/>
      <c r="B633" s="125"/>
    </row>
    <row r="634" spans="1:14">
      <c r="A634" s="125"/>
      <c r="B634" s="125"/>
    </row>
    <row r="635" spans="1:14">
      <c r="A635" s="125"/>
      <c r="B635" s="125"/>
    </row>
    <row r="636" spans="1:14">
      <c r="A636" s="125"/>
      <c r="B636" s="125"/>
    </row>
    <row r="637" spans="1:14">
      <c r="A637" s="125"/>
      <c r="B637" s="125"/>
    </row>
    <row r="638" spans="1:14">
      <c r="A638" s="125"/>
      <c r="B638" s="125"/>
    </row>
    <row r="639" spans="1:14">
      <c r="A639" s="125"/>
      <c r="B639" s="125"/>
    </row>
    <row r="640" spans="1:14">
      <c r="A640" s="125"/>
      <c r="B640" s="125"/>
    </row>
    <row r="641" spans="1:2">
      <c r="A641" s="125"/>
      <c r="B641" s="125"/>
    </row>
    <row r="642" spans="1:2">
      <c r="A642" s="125"/>
      <c r="B642" s="125"/>
    </row>
    <row r="643" spans="1:2">
      <c r="A643" s="125"/>
      <c r="B643" s="125"/>
    </row>
    <row r="644" spans="1:2">
      <c r="A644" s="125"/>
      <c r="B644" s="125"/>
    </row>
    <row r="645" spans="1:2">
      <c r="A645" s="125"/>
      <c r="B645" s="125"/>
    </row>
    <row r="646" spans="1:2">
      <c r="A646" s="125"/>
      <c r="B646" s="125"/>
    </row>
    <row r="647" spans="1:2">
      <c r="A647" s="125"/>
      <c r="B647" s="125"/>
    </row>
    <row r="648" spans="1:2">
      <c r="A648" s="125"/>
      <c r="B648" s="125"/>
    </row>
    <row r="649" spans="1:2">
      <c r="A649" s="125"/>
      <c r="B649" s="125"/>
    </row>
    <row r="650" spans="1:2">
      <c r="A650" s="125"/>
      <c r="B650" s="125"/>
    </row>
    <row r="651" spans="1:2">
      <c r="A651" s="125"/>
      <c r="B651" s="125"/>
    </row>
    <row r="652" spans="1:2">
      <c r="A652" s="125"/>
      <c r="B652" s="125"/>
    </row>
    <row r="653" spans="1:2">
      <c r="A653" s="125"/>
      <c r="B653" s="125"/>
    </row>
    <row r="654" spans="1:2">
      <c r="A654" s="125"/>
      <c r="B654" s="125"/>
    </row>
    <row r="655" spans="1:2">
      <c r="A655" s="125"/>
      <c r="B655" s="125"/>
    </row>
    <row r="656" spans="1:2">
      <c r="A656" s="125"/>
      <c r="B656" s="125"/>
    </row>
    <row r="657" spans="1:2">
      <c r="A657" s="125"/>
      <c r="B657" s="125"/>
    </row>
    <row r="658" spans="1:2">
      <c r="A658" s="125"/>
      <c r="B658" s="125"/>
    </row>
    <row r="659" spans="1:2">
      <c r="A659" s="125"/>
      <c r="B659" s="125"/>
    </row>
    <row r="660" spans="1:2">
      <c r="A660" s="125"/>
      <c r="B660" s="125"/>
    </row>
    <row r="661" spans="1:2">
      <c r="A661" s="125"/>
      <c r="B661" s="125"/>
    </row>
    <row r="662" spans="1:2">
      <c r="A662" s="125"/>
      <c r="B662" s="125"/>
    </row>
    <row r="663" spans="1:2">
      <c r="A663" s="125"/>
      <c r="B663" s="125"/>
    </row>
    <row r="664" spans="1:2">
      <c r="A664" s="125"/>
      <c r="B664" s="125"/>
    </row>
    <row r="665" spans="1:2">
      <c r="A665" s="125"/>
      <c r="B665" s="125"/>
    </row>
    <row r="666" spans="1:2">
      <c r="A666" s="125"/>
      <c r="B666" s="125"/>
    </row>
    <row r="667" spans="1:2">
      <c r="A667" s="125"/>
      <c r="B667" s="125"/>
    </row>
    <row r="668" spans="1:2">
      <c r="A668" s="125"/>
      <c r="B668" s="125"/>
    </row>
    <row r="669" spans="1:2">
      <c r="A669" s="125"/>
      <c r="B669" s="125"/>
    </row>
    <row r="670" spans="1:2">
      <c r="A670" s="125"/>
      <c r="B670" s="125"/>
    </row>
    <row r="671" spans="1:2">
      <c r="A671" s="125"/>
      <c r="B671" s="125"/>
    </row>
    <row r="672" spans="1:2">
      <c r="A672" s="125"/>
      <c r="B672" s="125"/>
    </row>
    <row r="673" spans="1:2">
      <c r="A673" s="125"/>
      <c r="B673" s="125"/>
    </row>
    <row r="674" spans="1:2">
      <c r="A674" s="125"/>
      <c r="B674" s="125"/>
    </row>
    <row r="675" spans="1:2">
      <c r="A675" s="125"/>
      <c r="B675" s="125"/>
    </row>
    <row r="676" spans="1:2">
      <c r="A676" s="125"/>
      <c r="B676" s="125"/>
    </row>
    <row r="677" spans="1:2">
      <c r="A677" s="125"/>
      <c r="B677" s="125"/>
    </row>
    <row r="678" spans="1:2">
      <c r="A678" s="125"/>
      <c r="B678" s="125"/>
    </row>
    <row r="679" spans="1:2">
      <c r="A679" s="125"/>
      <c r="B679" s="125"/>
    </row>
    <row r="680" spans="1:2">
      <c r="A680" s="125"/>
      <c r="B680" s="125"/>
    </row>
    <row r="681" spans="1:2">
      <c r="A681" s="125"/>
      <c r="B681" s="125"/>
    </row>
    <row r="682" spans="1:2">
      <c r="A682" s="125"/>
      <c r="B682" s="125"/>
    </row>
    <row r="683" spans="1:2">
      <c r="A683" s="125"/>
      <c r="B683" s="125"/>
    </row>
    <row r="684" spans="1:2">
      <c r="A684" s="125"/>
      <c r="B684" s="125"/>
    </row>
    <row r="685" spans="1:2">
      <c r="A685" s="125"/>
      <c r="B685" s="125"/>
    </row>
    <row r="686" spans="1:2">
      <c r="A686" s="125"/>
      <c r="B686" s="125"/>
    </row>
    <row r="687" spans="1:2">
      <c r="A687" s="125"/>
      <c r="B687" s="125"/>
    </row>
    <row r="688" spans="1:2">
      <c r="A688" s="125"/>
      <c r="B688" s="125"/>
    </row>
    <row r="689" spans="1:2">
      <c r="A689" s="125"/>
      <c r="B689" s="125"/>
    </row>
    <row r="690" spans="1:2">
      <c r="A690" s="125"/>
      <c r="B690" s="125"/>
    </row>
    <row r="691" spans="1:2">
      <c r="A691" s="125"/>
      <c r="B691" s="125"/>
    </row>
    <row r="692" spans="1:2">
      <c r="A692" s="125"/>
      <c r="B692" s="125"/>
    </row>
    <row r="693" spans="1:2">
      <c r="A693" s="125"/>
      <c r="B693" s="125"/>
    </row>
    <row r="694" spans="1:2">
      <c r="A694" s="125"/>
      <c r="B694" s="125"/>
    </row>
    <row r="695" spans="1:2">
      <c r="A695" s="125"/>
      <c r="B695" s="125"/>
    </row>
    <row r="696" spans="1:2">
      <c r="A696" s="125"/>
      <c r="B696" s="125"/>
    </row>
    <row r="697" spans="1:2">
      <c r="A697" s="125"/>
      <c r="B697" s="125"/>
    </row>
    <row r="698" spans="1:2">
      <c r="A698" s="125"/>
      <c r="B698" s="125"/>
    </row>
    <row r="699" spans="1:2">
      <c r="A699" s="125"/>
      <c r="B699" s="125"/>
    </row>
    <row r="700" spans="1:2">
      <c r="A700" s="125"/>
      <c r="B700" s="125"/>
    </row>
    <row r="701" spans="1:2">
      <c r="A701" s="125"/>
      <c r="B701" s="125"/>
    </row>
    <row r="702" spans="1:2">
      <c r="A702" s="125"/>
      <c r="B702" s="125"/>
    </row>
    <row r="703" spans="1:2">
      <c r="A703" s="125"/>
      <c r="B703" s="125"/>
    </row>
    <row r="704" spans="1:2">
      <c r="A704" s="125"/>
      <c r="B704" s="125"/>
    </row>
    <row r="705" spans="1:2">
      <c r="A705" s="125"/>
      <c r="B705" s="125"/>
    </row>
    <row r="706" spans="1:2">
      <c r="A706" s="125"/>
      <c r="B706" s="125"/>
    </row>
    <row r="707" spans="1:2">
      <c r="A707" s="125"/>
      <c r="B707" s="125"/>
    </row>
    <row r="708" spans="1:2">
      <c r="A708" s="125"/>
      <c r="B708" s="125"/>
    </row>
    <row r="709" spans="1:2">
      <c r="A709" s="125"/>
      <c r="B709" s="125"/>
    </row>
    <row r="710" spans="1:2">
      <c r="A710" s="125"/>
      <c r="B710" s="125"/>
    </row>
    <row r="711" spans="1:2">
      <c r="A711" s="125"/>
      <c r="B711" s="125"/>
    </row>
    <row r="712" spans="1:2">
      <c r="A712" s="125"/>
      <c r="B712" s="125"/>
    </row>
    <row r="713" spans="1:2">
      <c r="A713" s="125"/>
      <c r="B713" s="125"/>
    </row>
    <row r="714" spans="1:2">
      <c r="A714" s="125"/>
      <c r="B714" s="125"/>
    </row>
    <row r="715" spans="1:2">
      <c r="A715" s="125"/>
      <c r="B715" s="125"/>
    </row>
    <row r="716" spans="1:2">
      <c r="A716" s="125"/>
      <c r="B716" s="125"/>
    </row>
    <row r="717" spans="1:2">
      <c r="A717" s="125"/>
      <c r="B717" s="125"/>
    </row>
    <row r="718" spans="1:2">
      <c r="A718" s="125"/>
      <c r="B718" s="125"/>
    </row>
    <row r="719" spans="1:2">
      <c r="A719" s="125"/>
      <c r="B719" s="125"/>
    </row>
    <row r="720" spans="1:2">
      <c r="A720" s="125"/>
      <c r="B720" s="125"/>
    </row>
    <row r="721" spans="1:2">
      <c r="A721" s="125"/>
      <c r="B721" s="125"/>
    </row>
    <row r="722" spans="1:2">
      <c r="A722" s="125"/>
      <c r="B722" s="125"/>
    </row>
    <row r="723" spans="1:2">
      <c r="A723" s="125"/>
      <c r="B723" s="125"/>
    </row>
    <row r="724" spans="1:2">
      <c r="A724" s="125"/>
      <c r="B724" s="125"/>
    </row>
    <row r="725" spans="1:2">
      <c r="A725" s="125"/>
      <c r="B725" s="125"/>
    </row>
    <row r="726" spans="1:2">
      <c r="A726" s="125"/>
      <c r="B726" s="125"/>
    </row>
    <row r="727" spans="1:2">
      <c r="A727" s="125"/>
      <c r="B727" s="125"/>
    </row>
    <row r="728" spans="1:2">
      <c r="A728" s="125"/>
      <c r="B728" s="125"/>
    </row>
    <row r="729" spans="1:2">
      <c r="A729" s="125"/>
      <c r="B729" s="125"/>
    </row>
    <row r="730" spans="1:2">
      <c r="A730" s="125"/>
      <c r="B730" s="125"/>
    </row>
    <row r="731" spans="1:2">
      <c r="A731" s="125"/>
      <c r="B731" s="125"/>
    </row>
    <row r="732" spans="1:2">
      <c r="A732" s="125"/>
      <c r="B732" s="125"/>
    </row>
    <row r="733" spans="1:2">
      <c r="A733" s="125"/>
      <c r="B733" s="125"/>
    </row>
    <row r="734" spans="1:2">
      <c r="A734" s="125"/>
      <c r="B734" s="125"/>
    </row>
    <row r="735" spans="1:2">
      <c r="A735" s="125"/>
      <c r="B735" s="125"/>
    </row>
    <row r="736" spans="1:2">
      <c r="A736" s="125"/>
      <c r="B736" s="125"/>
    </row>
    <row r="737" spans="1:2">
      <c r="A737" s="125"/>
      <c r="B737" s="125"/>
    </row>
    <row r="738" spans="1:2">
      <c r="A738" s="125"/>
      <c r="B738" s="125"/>
    </row>
    <row r="739" spans="1:2">
      <c r="A739" s="125"/>
      <c r="B739" s="125"/>
    </row>
    <row r="740" spans="1:2">
      <c r="A740" s="125"/>
      <c r="B740" s="125"/>
    </row>
    <row r="741" spans="1:2">
      <c r="A741" s="125"/>
      <c r="B741" s="125"/>
    </row>
    <row r="742" spans="1:2">
      <c r="A742" s="125"/>
      <c r="B742" s="125"/>
    </row>
    <row r="743" spans="1:2">
      <c r="A743" s="125"/>
      <c r="B743" s="125"/>
    </row>
    <row r="744" spans="1:2">
      <c r="A744" s="125"/>
      <c r="B744" s="125"/>
    </row>
    <row r="745" spans="1:2">
      <c r="A745" s="125"/>
      <c r="B745" s="125"/>
    </row>
    <row r="746" spans="1:2">
      <c r="A746" s="125"/>
      <c r="B746" s="125"/>
    </row>
    <row r="747" spans="1:2">
      <c r="A747" s="125"/>
      <c r="B747" s="125"/>
    </row>
    <row r="748" spans="1:2">
      <c r="A748" s="125"/>
      <c r="B748" s="125"/>
    </row>
    <row r="749" spans="1:2">
      <c r="A749" s="125"/>
      <c r="B749" s="125"/>
    </row>
    <row r="750" spans="1:2">
      <c r="A750" s="125"/>
      <c r="B750" s="125"/>
    </row>
    <row r="751" spans="1:2">
      <c r="A751" s="125"/>
      <c r="B751" s="125"/>
    </row>
    <row r="752" spans="1:2">
      <c r="A752" s="125"/>
      <c r="B752" s="125"/>
    </row>
    <row r="753" spans="1:2">
      <c r="A753" s="125"/>
      <c r="B753" s="125"/>
    </row>
    <row r="754" spans="1:2">
      <c r="A754" s="125"/>
      <c r="B754" s="125"/>
    </row>
    <row r="755" spans="1:2">
      <c r="A755" s="125"/>
      <c r="B755" s="125"/>
    </row>
    <row r="756" spans="1:2">
      <c r="A756" s="125"/>
      <c r="B756" s="125"/>
    </row>
    <row r="757" spans="1:2">
      <c r="A757" s="125"/>
      <c r="B757" s="125"/>
    </row>
    <row r="758" spans="1:2">
      <c r="A758" s="125"/>
      <c r="B758" s="125"/>
    </row>
    <row r="759" spans="1:2">
      <c r="A759" s="125"/>
      <c r="B759" s="125"/>
    </row>
    <row r="760" spans="1:2">
      <c r="A760" s="125"/>
      <c r="B760" s="125"/>
    </row>
    <row r="761" spans="1:2">
      <c r="A761" s="125"/>
      <c r="B761" s="125"/>
    </row>
    <row r="762" spans="1:2">
      <c r="A762" s="125"/>
      <c r="B762" s="125"/>
    </row>
    <row r="763" spans="1:2">
      <c r="A763" s="125"/>
      <c r="B763" s="125"/>
    </row>
    <row r="764" spans="1:2">
      <c r="A764" s="125"/>
      <c r="B764" s="125"/>
    </row>
    <row r="765" spans="1:2">
      <c r="A765" s="125"/>
      <c r="B765" s="125"/>
    </row>
    <row r="766" spans="1:2">
      <c r="A766" s="125"/>
      <c r="B766" s="125"/>
    </row>
    <row r="767" spans="1:2">
      <c r="A767" s="125"/>
      <c r="B767" s="125"/>
    </row>
    <row r="768" spans="1:2">
      <c r="A768" s="125"/>
      <c r="B768" s="125"/>
    </row>
    <row r="769" spans="1:2">
      <c r="A769" s="125"/>
      <c r="B769" s="125"/>
    </row>
    <row r="770" spans="1:2">
      <c r="A770" s="125"/>
      <c r="B770" s="125"/>
    </row>
    <row r="771" spans="1:2">
      <c r="A771" s="125"/>
      <c r="B771" s="125"/>
    </row>
    <row r="772" spans="1:2">
      <c r="A772" s="125"/>
      <c r="B772" s="125"/>
    </row>
    <row r="773" spans="1:2">
      <c r="A773" s="125"/>
      <c r="B773" s="125"/>
    </row>
    <row r="774" spans="1:2">
      <c r="A774" s="125"/>
      <c r="B774" s="125"/>
    </row>
    <row r="775" spans="1:2">
      <c r="A775" s="125"/>
      <c r="B775" s="125"/>
    </row>
    <row r="776" spans="1:2">
      <c r="A776" s="125"/>
      <c r="B776" s="125"/>
    </row>
    <row r="777" spans="1:2">
      <c r="A777" s="125"/>
      <c r="B777" s="125"/>
    </row>
    <row r="778" spans="1:2">
      <c r="A778" s="125"/>
      <c r="B778" s="125"/>
    </row>
    <row r="779" spans="1:2">
      <c r="A779" s="125"/>
      <c r="B779" s="125"/>
    </row>
    <row r="780" spans="1:2">
      <c r="A780" s="125"/>
      <c r="B780" s="125"/>
    </row>
    <row r="781" spans="1:2">
      <c r="A781" s="125"/>
      <c r="B781" s="125"/>
    </row>
    <row r="782" spans="1:2">
      <c r="A782" s="125"/>
      <c r="B782" s="125"/>
    </row>
    <row r="783" spans="1:2">
      <c r="A783" s="125"/>
      <c r="B783" s="125"/>
    </row>
    <row r="784" spans="1:2">
      <c r="A784" s="125"/>
      <c r="B784" s="125"/>
    </row>
    <row r="785" spans="1:2">
      <c r="A785" s="125"/>
      <c r="B785" s="125"/>
    </row>
    <row r="786" spans="1:2">
      <c r="A786" s="125"/>
      <c r="B786" s="125"/>
    </row>
    <row r="787" spans="1:2">
      <c r="A787" s="125"/>
      <c r="B787" s="125"/>
    </row>
    <row r="788" spans="1:2">
      <c r="A788" s="125"/>
      <c r="B788" s="125"/>
    </row>
    <row r="789" spans="1:2">
      <c r="A789" s="125"/>
      <c r="B789" s="125"/>
    </row>
    <row r="790" spans="1:2">
      <c r="A790" s="125"/>
      <c r="B790" s="125"/>
    </row>
    <row r="791" spans="1:2">
      <c r="A791" s="125"/>
      <c r="B791" s="125"/>
    </row>
    <row r="792" spans="1:2">
      <c r="A792" s="125"/>
      <c r="B792" s="125"/>
    </row>
    <row r="793" spans="1:2">
      <c r="A793" s="125"/>
      <c r="B793" s="125"/>
    </row>
    <row r="794" spans="1:2">
      <c r="A794" s="125"/>
      <c r="B794" s="125"/>
    </row>
    <row r="795" spans="1:2">
      <c r="A795" s="125"/>
      <c r="B795" s="125"/>
    </row>
    <row r="796" spans="1:2">
      <c r="A796" s="125"/>
      <c r="B796" s="125"/>
    </row>
    <row r="797" spans="1:2">
      <c r="A797" s="125"/>
      <c r="B797" s="125"/>
    </row>
    <row r="798" spans="1:2">
      <c r="A798" s="125"/>
      <c r="B798" s="125"/>
    </row>
    <row r="799" spans="1:2">
      <c r="A799" s="125"/>
      <c r="B799" s="125"/>
    </row>
    <row r="800" spans="1:2">
      <c r="A800" s="125"/>
      <c r="B800" s="125"/>
    </row>
    <row r="801" spans="1:2">
      <c r="A801" s="125"/>
      <c r="B801" s="125"/>
    </row>
    <row r="802" spans="1:2">
      <c r="A802" s="125"/>
      <c r="B802" s="125"/>
    </row>
    <row r="803" spans="1:2">
      <c r="A803" s="125"/>
      <c r="B803" s="125"/>
    </row>
    <row r="804" spans="1:2">
      <c r="A804" s="125"/>
      <c r="B804" s="125"/>
    </row>
    <row r="805" spans="1:2">
      <c r="A805" s="125"/>
      <c r="B805" s="125"/>
    </row>
    <row r="806" spans="1:2">
      <c r="A806" s="125"/>
      <c r="B806" s="125"/>
    </row>
    <row r="807" spans="1:2">
      <c r="A807" s="125"/>
      <c r="B807" s="125"/>
    </row>
    <row r="808" spans="1:2">
      <c r="A808" s="125"/>
      <c r="B808" s="125"/>
    </row>
    <row r="809" spans="1:2">
      <c r="A809" s="125"/>
      <c r="B809" s="125"/>
    </row>
    <row r="810" spans="1:2">
      <c r="A810" s="125"/>
      <c r="B810" s="125"/>
    </row>
    <row r="811" spans="1:2">
      <c r="A811" s="125"/>
      <c r="B811" s="125"/>
    </row>
    <row r="812" spans="1:2">
      <c r="A812" s="125"/>
      <c r="B812" s="125"/>
    </row>
    <row r="813" spans="1:2">
      <c r="A813" s="125"/>
      <c r="B813" s="125"/>
    </row>
    <row r="814" spans="1:2">
      <c r="A814" s="125"/>
      <c r="B814" s="125"/>
    </row>
    <row r="815" spans="1:2">
      <c r="A815" s="125"/>
      <c r="B815" s="125"/>
    </row>
    <row r="816" spans="1:2">
      <c r="A816" s="125"/>
      <c r="B816" s="125"/>
    </row>
    <row r="817" spans="1:2">
      <c r="A817" s="125"/>
      <c r="B817" s="125"/>
    </row>
    <row r="818" spans="1:2">
      <c r="A818" s="125"/>
      <c r="B818" s="125"/>
    </row>
    <row r="819" spans="1:2">
      <c r="A819" s="125"/>
      <c r="B819" s="125"/>
    </row>
    <row r="820" spans="1:2">
      <c r="A820" s="125"/>
      <c r="B820" s="125"/>
    </row>
    <row r="821" spans="1:2">
      <c r="A821" s="125"/>
      <c r="B821" s="125"/>
    </row>
    <row r="822" spans="1:2">
      <c r="A822" s="125"/>
      <c r="B822" s="125"/>
    </row>
    <row r="823" spans="1:2">
      <c r="A823" s="125"/>
      <c r="B823" s="125"/>
    </row>
    <row r="824" spans="1:2">
      <c r="A824" s="125"/>
      <c r="B824" s="125"/>
    </row>
    <row r="825" spans="1:2">
      <c r="A825" s="125"/>
      <c r="B825" s="125"/>
    </row>
    <row r="826" spans="1:2">
      <c r="A826" s="125"/>
      <c r="B826" s="125"/>
    </row>
    <row r="827" spans="1:2">
      <c r="A827" s="125"/>
      <c r="B827" s="125"/>
    </row>
    <row r="828" spans="1:2">
      <c r="A828" s="125"/>
      <c r="B828" s="125"/>
    </row>
    <row r="829" spans="1:2">
      <c r="A829" s="125"/>
      <c r="B829" s="125"/>
    </row>
    <row r="830" spans="1:2">
      <c r="A830" s="125"/>
      <c r="B830" s="125"/>
    </row>
    <row r="831" spans="1:2">
      <c r="A831" s="125"/>
      <c r="B831" s="125"/>
    </row>
    <row r="832" spans="1:2">
      <c r="A832" s="125"/>
      <c r="B832" s="125"/>
    </row>
    <row r="833" spans="1:2">
      <c r="A833" s="125"/>
      <c r="B833" s="125"/>
    </row>
    <row r="834" spans="1:2">
      <c r="A834" s="125"/>
      <c r="B834" s="125"/>
    </row>
    <row r="835" spans="1:2">
      <c r="A835" s="125"/>
      <c r="B835" s="125"/>
    </row>
    <row r="836" spans="1:2">
      <c r="A836" s="125"/>
      <c r="B836" s="125"/>
    </row>
    <row r="837" spans="1:2">
      <c r="A837" s="125"/>
      <c r="B837" s="125"/>
    </row>
    <row r="838" spans="1:2">
      <c r="A838" s="125"/>
      <c r="B838" s="125"/>
    </row>
    <row r="839" spans="1:2">
      <c r="A839" s="125"/>
      <c r="B839" s="125"/>
    </row>
    <row r="840" spans="1:2">
      <c r="A840" s="125"/>
      <c r="B840" s="125"/>
    </row>
    <row r="841" spans="1:2">
      <c r="A841" s="125"/>
      <c r="B841" s="125"/>
    </row>
    <row r="842" spans="1:2">
      <c r="A842" s="125"/>
      <c r="B842" s="125"/>
    </row>
    <row r="843" spans="1:2">
      <c r="A843" s="125"/>
      <c r="B843" s="125"/>
    </row>
    <row r="844" spans="1:2">
      <c r="A844" s="125"/>
      <c r="B844" s="125"/>
    </row>
    <row r="845" spans="1:2">
      <c r="A845" s="125"/>
      <c r="B845" s="125"/>
    </row>
    <row r="846" spans="1:2">
      <c r="A846" s="125"/>
      <c r="B846" s="125"/>
    </row>
    <row r="847" spans="1:2">
      <c r="A847" s="125"/>
      <c r="B847" s="125"/>
    </row>
    <row r="848" spans="1:2">
      <c r="A848" s="125"/>
      <c r="B848" s="125"/>
    </row>
    <row r="849" spans="1:2">
      <c r="A849" s="125"/>
      <c r="B849" s="125"/>
    </row>
    <row r="850" spans="1:2">
      <c r="A850" s="125"/>
      <c r="B850" s="125"/>
    </row>
    <row r="851" spans="1:2">
      <c r="A851" s="125"/>
      <c r="B851" s="125"/>
    </row>
    <row r="852" spans="1:2">
      <c r="A852" s="125"/>
      <c r="B852" s="125"/>
    </row>
    <row r="853" spans="1:2">
      <c r="A853" s="125"/>
      <c r="B853" s="125"/>
    </row>
    <row r="854" spans="1:2">
      <c r="A854" s="125"/>
      <c r="B854" s="125"/>
    </row>
    <row r="855" spans="1:2">
      <c r="A855" s="125"/>
      <c r="B855" s="125"/>
    </row>
    <row r="856" spans="1:2">
      <c r="A856" s="125"/>
      <c r="B856" s="125"/>
    </row>
    <row r="857" spans="1:2">
      <c r="A857" s="125"/>
      <c r="B857" s="125"/>
    </row>
    <row r="858" spans="1:2">
      <c r="A858" s="125"/>
      <c r="B858" s="125"/>
    </row>
    <row r="859" spans="1:2">
      <c r="A859" s="125"/>
      <c r="B859" s="125"/>
    </row>
    <row r="860" spans="1:2">
      <c r="A860" s="125"/>
      <c r="B860" s="125"/>
    </row>
    <row r="861" spans="1:2">
      <c r="A861" s="125"/>
      <c r="B861" s="125"/>
    </row>
    <row r="862" spans="1:2">
      <c r="A862" s="125"/>
      <c r="B862" s="125"/>
    </row>
    <row r="863" spans="1:2">
      <c r="A863" s="125"/>
      <c r="B863" s="125"/>
    </row>
    <row r="864" spans="1:2">
      <c r="A864" s="125"/>
      <c r="B864" s="125"/>
    </row>
    <row r="865" spans="1:2">
      <c r="A865" s="125"/>
      <c r="B865" s="125"/>
    </row>
    <row r="866" spans="1:2">
      <c r="A866" s="125"/>
      <c r="B866" s="125"/>
    </row>
    <row r="867" spans="1:2">
      <c r="A867" s="125"/>
      <c r="B867" s="125"/>
    </row>
    <row r="868" spans="1:2">
      <c r="A868" s="125"/>
      <c r="B868" s="125"/>
    </row>
    <row r="869" spans="1:2">
      <c r="A869" s="125"/>
      <c r="B869" s="125"/>
    </row>
    <row r="870" spans="1:2">
      <c r="A870" s="125"/>
      <c r="B870" s="125"/>
    </row>
    <row r="871" spans="1:2">
      <c r="A871" s="125"/>
      <c r="B871" s="125"/>
    </row>
    <row r="872" spans="1:2">
      <c r="A872" s="125"/>
      <c r="B872" s="125"/>
    </row>
    <row r="873" spans="1:2">
      <c r="A873" s="125"/>
      <c r="B873" s="125"/>
    </row>
    <row r="874" spans="1:2">
      <c r="A874" s="125"/>
      <c r="B874" s="125"/>
    </row>
    <row r="875" spans="1:2">
      <c r="A875" s="125"/>
      <c r="B875" s="125"/>
    </row>
    <row r="876" spans="1:2">
      <c r="A876" s="125"/>
      <c r="B876" s="125"/>
    </row>
    <row r="877" spans="1:2">
      <c r="A877" s="125"/>
      <c r="B877" s="125"/>
    </row>
    <row r="878" spans="1:2">
      <c r="A878" s="125"/>
      <c r="B878" s="125"/>
    </row>
    <row r="879" spans="1:2">
      <c r="A879" s="125"/>
      <c r="B879" s="125"/>
    </row>
    <row r="880" spans="1:2">
      <c r="A880" s="125"/>
      <c r="B880" s="125"/>
    </row>
    <row r="881" spans="1:2">
      <c r="A881" s="125"/>
      <c r="B881" s="125"/>
    </row>
    <row r="882" spans="1:2">
      <c r="A882" s="125"/>
      <c r="B882" s="125"/>
    </row>
    <row r="883" spans="1:2">
      <c r="A883" s="125"/>
      <c r="B883" s="125"/>
    </row>
    <row r="884" spans="1:2">
      <c r="A884" s="125"/>
      <c r="B884" s="125"/>
    </row>
    <row r="885" spans="1:2">
      <c r="A885" s="125"/>
      <c r="B885" s="125"/>
    </row>
    <row r="886" spans="1:2">
      <c r="A886" s="125"/>
      <c r="B886" s="125"/>
    </row>
    <row r="887" spans="1:2">
      <c r="A887" s="125"/>
      <c r="B887" s="125"/>
    </row>
    <row r="888" spans="1:2">
      <c r="A888" s="125"/>
      <c r="B888" s="125"/>
    </row>
    <row r="889" spans="1:2">
      <c r="A889" s="125"/>
      <c r="B889" s="125"/>
    </row>
    <row r="890" spans="1:2">
      <c r="A890" s="125"/>
      <c r="B890" s="125"/>
    </row>
    <row r="891" spans="1:2">
      <c r="A891" s="125"/>
      <c r="B891" s="125"/>
    </row>
    <row r="892" spans="1:2">
      <c r="A892" s="125"/>
      <c r="B892" s="125"/>
    </row>
    <row r="893" spans="1:2">
      <c r="A893" s="125"/>
      <c r="B893" s="125"/>
    </row>
    <row r="894" spans="1:2">
      <c r="A894" s="125"/>
      <c r="B894" s="125"/>
    </row>
    <row r="895" spans="1:2">
      <c r="A895" s="125"/>
      <c r="B895" s="125"/>
    </row>
    <row r="896" spans="1:2">
      <c r="A896" s="125"/>
      <c r="B896" s="125"/>
    </row>
    <row r="897" spans="1:2">
      <c r="A897" s="125"/>
      <c r="B897" s="125"/>
    </row>
    <row r="898" spans="1:2">
      <c r="A898" s="125"/>
      <c r="B898" s="125"/>
    </row>
    <row r="899" spans="1:2">
      <c r="A899" s="125"/>
      <c r="B899" s="125"/>
    </row>
    <row r="900" spans="1:2">
      <c r="A900" s="125"/>
      <c r="B900" s="125"/>
    </row>
    <row r="901" spans="1:2">
      <c r="A901" s="125"/>
      <c r="B901" s="125"/>
    </row>
    <row r="902" spans="1:2">
      <c r="A902" s="125"/>
      <c r="B902" s="125"/>
    </row>
    <row r="903" spans="1:2">
      <c r="A903" s="125"/>
      <c r="B903" s="125"/>
    </row>
    <row r="904" spans="1:2">
      <c r="A904" s="125"/>
      <c r="B904" s="125"/>
    </row>
    <row r="905" spans="1:2">
      <c r="A905" s="125"/>
      <c r="B905" s="125"/>
    </row>
    <row r="906" spans="1:2">
      <c r="A906" s="125"/>
      <c r="B906" s="125"/>
    </row>
    <row r="907" spans="1:2">
      <c r="A907" s="125"/>
      <c r="B907" s="125"/>
    </row>
    <row r="908" spans="1:2">
      <c r="A908" s="125"/>
      <c r="B908" s="125"/>
    </row>
    <row r="909" spans="1:2">
      <c r="A909" s="125"/>
      <c r="B909" s="125"/>
    </row>
    <row r="910" spans="1:2">
      <c r="A910" s="125"/>
      <c r="B910" s="125"/>
    </row>
    <row r="911" spans="1:2">
      <c r="A911" s="125"/>
      <c r="B911" s="125"/>
    </row>
    <row r="912" spans="1:2">
      <c r="A912" s="125"/>
      <c r="B912" s="125"/>
    </row>
    <row r="913" spans="1:2">
      <c r="A913" s="125"/>
      <c r="B913" s="125"/>
    </row>
    <row r="914" spans="1:2">
      <c r="A914" s="125"/>
      <c r="B914" s="125"/>
    </row>
    <row r="915" spans="1:2">
      <c r="A915" s="125"/>
      <c r="B915" s="125"/>
    </row>
    <row r="916" spans="1:2">
      <c r="A916" s="125"/>
      <c r="B916" s="125"/>
    </row>
    <row r="917" spans="1:2">
      <c r="A917" s="125"/>
      <c r="B917" s="125"/>
    </row>
    <row r="918" spans="1:2">
      <c r="A918" s="125"/>
      <c r="B918" s="125"/>
    </row>
    <row r="919" spans="1:2">
      <c r="A919" s="125"/>
      <c r="B919" s="125"/>
    </row>
    <row r="920" spans="1:2">
      <c r="A920" s="125"/>
      <c r="B920" s="125"/>
    </row>
    <row r="921" spans="1:2">
      <c r="A921" s="125"/>
      <c r="B921" s="125"/>
    </row>
    <row r="922" spans="1:2">
      <c r="A922" s="125"/>
      <c r="B922" s="125"/>
    </row>
    <row r="923" spans="1:2">
      <c r="A923" s="125"/>
      <c r="B923" s="125"/>
    </row>
    <row r="924" spans="1:2">
      <c r="A924" s="125"/>
      <c r="B924" s="125"/>
    </row>
    <row r="925" spans="1:2">
      <c r="A925" s="125"/>
      <c r="B925" s="125"/>
    </row>
    <row r="926" spans="1:2">
      <c r="A926" s="125"/>
      <c r="B926" s="125"/>
    </row>
    <row r="927" spans="1:2">
      <c r="A927" s="125"/>
      <c r="B927" s="125"/>
    </row>
    <row r="928" spans="1:2">
      <c r="A928" s="125"/>
      <c r="B928" s="125"/>
    </row>
    <row r="929" spans="1:2">
      <c r="A929" s="125"/>
      <c r="B929" s="125"/>
    </row>
    <row r="930" spans="1:2">
      <c r="A930" s="125"/>
      <c r="B930" s="125"/>
    </row>
    <row r="931" spans="1:2">
      <c r="A931" s="125"/>
      <c r="B931" s="125"/>
    </row>
    <row r="932" spans="1:2">
      <c r="A932" s="125"/>
      <c r="B932" s="125"/>
    </row>
    <row r="933" spans="1:2">
      <c r="A933" s="125"/>
      <c r="B933" s="125"/>
    </row>
    <row r="934" spans="1:2">
      <c r="A934" s="125"/>
      <c r="B934" s="125"/>
    </row>
    <row r="935" spans="1:2">
      <c r="A935" s="125"/>
      <c r="B935" s="125"/>
    </row>
    <row r="936" spans="1:2">
      <c r="A936" s="125"/>
      <c r="B936" s="125"/>
    </row>
    <row r="937" spans="1:2">
      <c r="A937" s="125"/>
      <c r="B937" s="125"/>
    </row>
    <row r="938" spans="1:2">
      <c r="A938" s="125"/>
      <c r="B938" s="125"/>
    </row>
    <row r="939" spans="1:2">
      <c r="A939" s="125"/>
      <c r="B939" s="125"/>
    </row>
    <row r="940" spans="1:2">
      <c r="A940" s="125"/>
      <c r="B940" s="125"/>
    </row>
    <row r="941" spans="1:2">
      <c r="A941" s="125"/>
      <c r="B941" s="125"/>
    </row>
    <row r="942" spans="1:2">
      <c r="A942" s="125"/>
      <c r="B942" s="125"/>
    </row>
    <row r="943" spans="1:2">
      <c r="A943" s="125"/>
      <c r="B943" s="125"/>
    </row>
    <row r="944" spans="1:2">
      <c r="A944" s="125"/>
      <c r="B944" s="125"/>
    </row>
    <row r="945" spans="1:2">
      <c r="A945" s="125"/>
      <c r="B945" s="125"/>
    </row>
    <row r="946" spans="1:2">
      <c r="A946" s="125"/>
      <c r="B946" s="125"/>
    </row>
    <row r="947" spans="1:2">
      <c r="A947" s="125"/>
      <c r="B947" s="125"/>
    </row>
    <row r="948" spans="1:2">
      <c r="A948" s="125"/>
      <c r="B948" s="125"/>
    </row>
    <row r="949" spans="1:2">
      <c r="A949" s="125"/>
      <c r="B949" s="125"/>
    </row>
    <row r="950" spans="1:2">
      <c r="A950" s="125"/>
      <c r="B950" s="125"/>
    </row>
    <row r="951" spans="1:2">
      <c r="A951" s="125"/>
      <c r="B951" s="125"/>
    </row>
    <row r="952" spans="1:2">
      <c r="A952" s="125"/>
      <c r="B952" s="125"/>
    </row>
    <row r="953" spans="1:2">
      <c r="A953" s="125"/>
      <c r="B953" s="125"/>
    </row>
    <row r="954" spans="1:2">
      <c r="A954" s="125"/>
      <c r="B954" s="125"/>
    </row>
    <row r="955" spans="1:2">
      <c r="A955" s="125"/>
      <c r="B955" s="125"/>
    </row>
    <row r="956" spans="1:2">
      <c r="A956" s="125"/>
      <c r="B956" s="125"/>
    </row>
    <row r="957" spans="1:2">
      <c r="A957" s="125"/>
      <c r="B957" s="125"/>
    </row>
    <row r="958" spans="1:2">
      <c r="A958" s="125"/>
      <c r="B958" s="125"/>
    </row>
    <row r="959" spans="1:2">
      <c r="A959" s="125"/>
      <c r="B959" s="125"/>
    </row>
    <row r="960" spans="1:2">
      <c r="A960" s="125"/>
      <c r="B960" s="125"/>
    </row>
    <row r="961" spans="1:2">
      <c r="A961" s="125"/>
      <c r="B961" s="125"/>
    </row>
    <row r="962" spans="1:2">
      <c r="A962" s="125"/>
      <c r="B962" s="125"/>
    </row>
    <row r="963" spans="1:2">
      <c r="A963" s="125"/>
      <c r="B963" s="125"/>
    </row>
    <row r="964" spans="1:2">
      <c r="A964" s="125"/>
      <c r="B964" s="125"/>
    </row>
    <row r="965" spans="1:2">
      <c r="A965" s="125"/>
      <c r="B965" s="125"/>
    </row>
    <row r="966" spans="1:2">
      <c r="A966" s="125"/>
      <c r="B966" s="125"/>
    </row>
    <row r="967" spans="1:2">
      <c r="A967" s="125"/>
      <c r="B967" s="125"/>
    </row>
    <row r="968" spans="1:2">
      <c r="A968" s="125"/>
      <c r="B968" s="125"/>
    </row>
    <row r="969" spans="1:2">
      <c r="A969" s="125"/>
      <c r="B969" s="125"/>
    </row>
    <row r="970" spans="1:2">
      <c r="A970" s="125"/>
      <c r="B970" s="125"/>
    </row>
    <row r="971" spans="1:2">
      <c r="A971" s="125"/>
      <c r="B971" s="125"/>
    </row>
    <row r="972" spans="1:2">
      <c r="A972" s="125"/>
      <c r="B972" s="125"/>
    </row>
    <row r="973" spans="1:2">
      <c r="A973" s="125"/>
      <c r="B973" s="125"/>
    </row>
    <row r="974" spans="1:2">
      <c r="A974" s="125"/>
      <c r="B974" s="125"/>
    </row>
    <row r="975" spans="1:2">
      <c r="A975" s="125"/>
      <c r="B975" s="125"/>
    </row>
    <row r="976" spans="1:2">
      <c r="A976" s="125"/>
      <c r="B976" s="125"/>
    </row>
    <row r="977" spans="1:2">
      <c r="A977" s="125"/>
      <c r="B977" s="125"/>
    </row>
    <row r="978" spans="1:2">
      <c r="A978" s="125"/>
      <c r="B978" s="125"/>
    </row>
    <row r="979" spans="1:2">
      <c r="A979" s="125"/>
      <c r="B979" s="125"/>
    </row>
    <row r="980" spans="1:2">
      <c r="A980" s="125"/>
      <c r="B980" s="125"/>
    </row>
    <row r="981" spans="1:2">
      <c r="A981" s="125"/>
      <c r="B981" s="125"/>
    </row>
    <row r="982" spans="1:2">
      <c r="A982" s="125"/>
      <c r="B982" s="125"/>
    </row>
    <row r="983" spans="1:2">
      <c r="A983" s="125"/>
      <c r="B983" s="125"/>
    </row>
    <row r="984" spans="1:2">
      <c r="A984" s="125"/>
      <c r="B984" s="125"/>
    </row>
    <row r="985" spans="1:2">
      <c r="A985" s="125"/>
      <c r="B985" s="125"/>
    </row>
    <row r="986" spans="1:2">
      <c r="A986" s="125"/>
      <c r="B986" s="125"/>
    </row>
    <row r="987" spans="1:2">
      <c r="A987" s="125"/>
      <c r="B987" s="125"/>
    </row>
    <row r="988" spans="1:2">
      <c r="A988" s="125"/>
      <c r="B988" s="125"/>
    </row>
    <row r="989" spans="1:2">
      <c r="A989" s="125"/>
      <c r="B989" s="125"/>
    </row>
    <row r="990" spans="1:2">
      <c r="A990" s="125"/>
      <c r="B990" s="125"/>
    </row>
    <row r="991" spans="1:2">
      <c r="A991" s="125"/>
      <c r="B991" s="125"/>
    </row>
    <row r="992" spans="1:2">
      <c r="A992" s="125"/>
      <c r="B992" s="125"/>
    </row>
    <row r="993" spans="1:2">
      <c r="A993" s="125"/>
      <c r="B993" s="125"/>
    </row>
    <row r="994" spans="1:2">
      <c r="A994" s="125"/>
      <c r="B994" s="125"/>
    </row>
    <row r="995" spans="1:2">
      <c r="A995" s="125"/>
      <c r="B995" s="125"/>
    </row>
    <row r="996" spans="1:2">
      <c r="A996" s="125"/>
      <c r="B996" s="125"/>
    </row>
    <row r="997" spans="1:2">
      <c r="A997" s="125"/>
      <c r="B997" s="125"/>
    </row>
    <row r="998" spans="1:2">
      <c r="A998" s="125"/>
      <c r="B998" s="125"/>
    </row>
    <row r="999" spans="1:2">
      <c r="A999" s="125"/>
      <c r="B999" s="125"/>
    </row>
    <row r="1000" spans="1:2">
      <c r="A1000" s="125"/>
      <c r="B1000" s="125"/>
    </row>
    <row r="1001" spans="1:2">
      <c r="A1001" s="125"/>
      <c r="B1001" s="125"/>
    </row>
    <row r="1002" spans="1:2">
      <c r="A1002" s="125"/>
      <c r="B1002" s="125"/>
    </row>
    <row r="1003" spans="1:2">
      <c r="A1003" s="125"/>
      <c r="B1003" s="125"/>
    </row>
    <row r="1004" spans="1:2">
      <c r="A1004" s="125"/>
      <c r="B1004" s="125"/>
    </row>
    <row r="1005" spans="1:2">
      <c r="A1005" s="125"/>
      <c r="B1005" s="125"/>
    </row>
    <row r="1006" spans="1:2">
      <c r="A1006" s="125"/>
      <c r="B1006" s="125"/>
    </row>
    <row r="1007" spans="1:2">
      <c r="A1007" s="125"/>
      <c r="B1007" s="125"/>
    </row>
    <row r="1008" spans="1:2">
      <c r="A1008" s="125"/>
      <c r="B1008" s="125"/>
    </row>
    <row r="1009" spans="1:2">
      <c r="A1009" s="125"/>
      <c r="B1009" s="125"/>
    </row>
    <row r="1010" spans="1:2">
      <c r="A1010" s="125"/>
      <c r="B1010" s="125"/>
    </row>
    <row r="1011" spans="1:2">
      <c r="A1011" s="125"/>
      <c r="B1011" s="125"/>
    </row>
    <row r="1012" spans="1:2">
      <c r="A1012" s="125"/>
      <c r="B1012" s="125"/>
    </row>
    <row r="1013" spans="1:2">
      <c r="A1013" s="125"/>
      <c r="B1013" s="125"/>
    </row>
    <row r="1014" spans="1:2">
      <c r="A1014" s="125"/>
      <c r="B1014" s="125"/>
    </row>
    <row r="1015" spans="1:2">
      <c r="A1015" s="125"/>
      <c r="B1015" s="125"/>
    </row>
    <row r="1016" spans="1:2">
      <c r="A1016" s="125"/>
      <c r="B1016" s="125"/>
    </row>
    <row r="1017" spans="1:2">
      <c r="A1017" s="125"/>
      <c r="B1017" s="125"/>
    </row>
    <row r="1018" spans="1:2">
      <c r="A1018" s="125"/>
      <c r="B1018" s="125"/>
    </row>
    <row r="1019" spans="1:2">
      <c r="A1019" s="125"/>
      <c r="B1019" s="125"/>
    </row>
    <row r="1020" spans="1:2">
      <c r="A1020" s="125"/>
      <c r="B1020" s="125"/>
    </row>
    <row r="1021" spans="1:2">
      <c r="A1021" s="125"/>
      <c r="B1021" s="125"/>
    </row>
    <row r="1022" spans="1:2">
      <c r="A1022" s="125"/>
      <c r="B1022" s="125"/>
    </row>
    <row r="1023" spans="1:2">
      <c r="A1023" s="125"/>
      <c r="B1023" s="125"/>
    </row>
    <row r="1024" spans="1:2">
      <c r="A1024" s="125"/>
      <c r="B1024" s="125"/>
    </row>
    <row r="1025" spans="1:2">
      <c r="A1025" s="125"/>
      <c r="B1025" s="125"/>
    </row>
    <row r="1026" spans="1:2">
      <c r="A1026" s="125"/>
      <c r="B1026" s="125"/>
    </row>
    <row r="1027" spans="1:2">
      <c r="A1027" s="125"/>
      <c r="B1027" s="125"/>
    </row>
    <row r="1028" spans="1:2">
      <c r="A1028" s="125"/>
      <c r="B1028" s="125"/>
    </row>
    <row r="1029" spans="1:2">
      <c r="A1029" s="125"/>
      <c r="B1029" s="125"/>
    </row>
    <row r="1030" spans="1:2">
      <c r="A1030" s="125"/>
      <c r="B1030" s="125"/>
    </row>
    <row r="1031" spans="1:2">
      <c r="A1031" s="125"/>
      <c r="B1031" s="125"/>
    </row>
    <row r="1032" spans="1:2">
      <c r="A1032" s="125"/>
      <c r="B1032" s="125"/>
    </row>
    <row r="1033" spans="1:2">
      <c r="A1033" s="125"/>
      <c r="B1033" s="125"/>
    </row>
    <row r="1034" spans="1:2">
      <c r="A1034" s="125"/>
      <c r="B1034" s="125"/>
    </row>
    <row r="1035" spans="1:2">
      <c r="A1035" s="125"/>
      <c r="B1035" s="125"/>
    </row>
    <row r="1036" spans="1:2">
      <c r="A1036" s="125"/>
      <c r="B1036" s="125"/>
    </row>
    <row r="1037" spans="1:2">
      <c r="A1037" s="125"/>
      <c r="B1037" s="125"/>
    </row>
    <row r="1038" spans="1:2">
      <c r="A1038" s="125"/>
      <c r="B1038" s="125"/>
    </row>
    <row r="1039" spans="1:2">
      <c r="A1039" s="125"/>
      <c r="B1039" s="125"/>
    </row>
    <row r="1040" spans="1:2">
      <c r="A1040" s="125"/>
      <c r="B1040" s="125"/>
    </row>
    <row r="1041" spans="1:2">
      <c r="A1041" s="125"/>
      <c r="B1041" s="125"/>
    </row>
    <row r="1042" spans="1:2">
      <c r="A1042" s="125"/>
      <c r="B1042" s="125"/>
    </row>
    <row r="1043" spans="1:2">
      <c r="A1043" s="125"/>
      <c r="B1043" s="125"/>
    </row>
    <row r="1044" spans="1:2">
      <c r="A1044" s="125"/>
      <c r="B1044" s="125"/>
    </row>
    <row r="1045" spans="1:2">
      <c r="A1045" s="125"/>
      <c r="B1045" s="125"/>
    </row>
    <row r="1046" spans="1:2">
      <c r="A1046" s="125"/>
      <c r="B1046" s="125"/>
    </row>
    <row r="1047" spans="1:2">
      <c r="A1047" s="125"/>
      <c r="B1047" s="125"/>
    </row>
    <row r="1048" spans="1:2">
      <c r="A1048" s="125"/>
      <c r="B1048" s="125"/>
    </row>
    <row r="1049" spans="1:2">
      <c r="A1049" s="125"/>
      <c r="B1049" s="125"/>
    </row>
    <row r="1050" spans="1:2">
      <c r="A1050" s="125"/>
      <c r="B1050" s="125"/>
    </row>
    <row r="1051" spans="1:2">
      <c r="A1051" s="125"/>
      <c r="B1051" s="125"/>
    </row>
    <row r="1052" spans="1:2">
      <c r="A1052" s="125"/>
      <c r="B1052" s="125"/>
    </row>
    <row r="1053" spans="1:2">
      <c r="A1053" s="125"/>
      <c r="B1053" s="125"/>
    </row>
    <row r="1054" spans="1:2">
      <c r="A1054" s="125"/>
      <c r="B1054" s="125"/>
    </row>
    <row r="1055" spans="1:2">
      <c r="A1055" s="125"/>
      <c r="B1055" s="125"/>
    </row>
    <row r="1056" spans="1:2">
      <c r="A1056" s="125"/>
      <c r="B1056" s="125"/>
    </row>
    <row r="1057" spans="1:2">
      <c r="A1057" s="125"/>
      <c r="B1057" s="125"/>
    </row>
    <row r="1058" spans="1:2">
      <c r="A1058" s="125"/>
      <c r="B1058" s="125"/>
    </row>
    <row r="1059" spans="1:2">
      <c r="A1059" s="125"/>
      <c r="B1059" s="125"/>
    </row>
    <row r="1060" spans="1:2">
      <c r="A1060" s="125"/>
      <c r="B1060" s="125"/>
    </row>
    <row r="1061" spans="1:2">
      <c r="A1061" s="125"/>
      <c r="B1061" s="125"/>
    </row>
    <row r="1062" spans="1:2">
      <c r="A1062" s="125"/>
      <c r="B1062" s="125"/>
    </row>
    <row r="1063" spans="1:2">
      <c r="A1063" s="125"/>
      <c r="B1063" s="125"/>
    </row>
    <row r="1064" spans="1:2">
      <c r="A1064" s="125"/>
      <c r="B1064" s="125"/>
    </row>
    <row r="1065" spans="1:2">
      <c r="A1065" s="125"/>
      <c r="B1065" s="125"/>
    </row>
    <row r="1066" spans="1:2">
      <c r="A1066" s="125"/>
      <c r="B1066" s="125"/>
    </row>
    <row r="1067" spans="1:2">
      <c r="A1067" s="125"/>
      <c r="B1067" s="125"/>
    </row>
    <row r="1068" spans="1:2">
      <c r="A1068" s="125"/>
      <c r="B1068" s="125"/>
    </row>
    <row r="1069" spans="1:2">
      <c r="A1069" s="125"/>
      <c r="B1069" s="125"/>
    </row>
    <row r="1070" spans="1:2">
      <c r="A1070" s="125"/>
      <c r="B1070" s="125"/>
    </row>
    <row r="1071" spans="1:2">
      <c r="A1071" s="125"/>
      <c r="B1071" s="125"/>
    </row>
    <row r="1072" spans="1:2">
      <c r="A1072" s="125"/>
      <c r="B1072" s="125"/>
    </row>
    <row r="1073" spans="1:2">
      <c r="A1073" s="125"/>
      <c r="B1073" s="125"/>
    </row>
    <row r="1074" spans="1:2">
      <c r="A1074" s="125"/>
      <c r="B1074" s="125"/>
    </row>
    <row r="1075" spans="1:2">
      <c r="A1075" s="125"/>
      <c r="B1075" s="125"/>
    </row>
    <row r="1076" spans="1:2">
      <c r="A1076" s="125"/>
      <c r="B1076" s="125"/>
    </row>
    <row r="1077" spans="1:2">
      <c r="A1077" s="125"/>
      <c r="B1077" s="125"/>
    </row>
    <row r="1078" spans="1:2">
      <c r="A1078" s="125"/>
      <c r="B1078" s="125"/>
    </row>
    <row r="1079" spans="1:2">
      <c r="A1079" s="125"/>
      <c r="B1079" s="125"/>
    </row>
    <row r="1080" spans="1:2">
      <c r="A1080" s="125"/>
      <c r="B1080" s="125"/>
    </row>
    <row r="1081" spans="1:2">
      <c r="A1081" s="125"/>
      <c r="B1081" s="125"/>
    </row>
    <row r="1082" spans="1:2">
      <c r="A1082" s="125"/>
      <c r="B1082" s="125"/>
    </row>
    <row r="1083" spans="1:2">
      <c r="A1083" s="125"/>
      <c r="B1083" s="125"/>
    </row>
    <row r="1084" spans="1:2">
      <c r="A1084" s="125"/>
      <c r="B1084" s="125"/>
    </row>
    <row r="1085" spans="1:2">
      <c r="A1085" s="125"/>
      <c r="B1085" s="125"/>
    </row>
    <row r="1086" spans="1:2">
      <c r="A1086" s="125"/>
      <c r="B1086" s="125"/>
    </row>
    <row r="1087" spans="1:2">
      <c r="A1087" s="125"/>
      <c r="B1087" s="125"/>
    </row>
    <row r="1088" spans="1:2">
      <c r="A1088" s="125"/>
      <c r="B1088" s="125"/>
    </row>
    <row r="1089" spans="1:2">
      <c r="A1089" s="125"/>
      <c r="B1089" s="125"/>
    </row>
    <row r="1090" spans="1:2">
      <c r="A1090" s="125"/>
      <c r="B1090" s="125"/>
    </row>
    <row r="1091" spans="1:2">
      <c r="A1091" s="125"/>
      <c r="B1091" s="125"/>
    </row>
    <row r="1092" spans="1:2">
      <c r="A1092" s="125"/>
      <c r="B1092" s="125"/>
    </row>
    <row r="1093" spans="1:2">
      <c r="A1093" s="125"/>
      <c r="B1093" s="125"/>
    </row>
    <row r="1094" spans="1:2">
      <c r="A1094" s="125"/>
      <c r="B1094" s="125"/>
    </row>
    <row r="1095" spans="1:2">
      <c r="A1095" s="125"/>
      <c r="B1095" s="125"/>
    </row>
    <row r="1096" spans="1:2">
      <c r="A1096" s="125"/>
      <c r="B1096" s="125"/>
    </row>
    <row r="1097" spans="1:2">
      <c r="A1097" s="125"/>
      <c r="B1097" s="125"/>
    </row>
    <row r="1098" spans="1:2">
      <c r="A1098" s="125"/>
      <c r="B1098" s="125"/>
    </row>
    <row r="1099" spans="1:2">
      <c r="A1099" s="125"/>
      <c r="B1099" s="125"/>
    </row>
    <row r="1100" spans="1:2">
      <c r="A1100" s="125"/>
      <c r="B1100" s="125"/>
    </row>
    <row r="1101" spans="1:2">
      <c r="A1101" s="125"/>
      <c r="B1101" s="125"/>
    </row>
    <row r="1102" spans="1:2">
      <c r="A1102" s="125"/>
      <c r="B1102" s="125"/>
    </row>
    <row r="1103" spans="1:2">
      <c r="A1103" s="125"/>
      <c r="B1103" s="125"/>
    </row>
    <row r="1104" spans="1:2">
      <c r="A1104" s="125"/>
      <c r="B1104" s="125"/>
    </row>
    <row r="1105" spans="1:2">
      <c r="A1105" s="125"/>
      <c r="B1105" s="125"/>
    </row>
    <row r="1106" spans="1:2">
      <c r="A1106" s="125"/>
      <c r="B1106" s="125"/>
    </row>
    <row r="1107" spans="1:2">
      <c r="A1107" s="125"/>
      <c r="B1107" s="125"/>
    </row>
    <row r="1108" spans="1:2">
      <c r="A1108" s="125"/>
      <c r="B1108" s="125"/>
    </row>
    <row r="1109" spans="1:2">
      <c r="A1109" s="125"/>
      <c r="B1109" s="125"/>
    </row>
    <row r="1110" spans="1:2">
      <c r="A1110" s="125"/>
      <c r="B1110" s="125"/>
    </row>
    <row r="1111" spans="1:2">
      <c r="A1111" s="125"/>
      <c r="B1111" s="125"/>
    </row>
    <row r="1112" spans="1:2">
      <c r="A1112" s="125"/>
      <c r="B1112" s="125"/>
    </row>
    <row r="1113" spans="1:2">
      <c r="A1113" s="125"/>
      <c r="B1113" s="125"/>
    </row>
    <row r="1114" spans="1:2">
      <c r="A1114" s="125"/>
      <c r="B1114" s="125"/>
    </row>
    <row r="1115" spans="1:2">
      <c r="A1115" s="125"/>
      <c r="B1115" s="125"/>
    </row>
    <row r="1116" spans="1:2">
      <c r="A1116" s="125"/>
      <c r="B1116" s="125"/>
    </row>
    <row r="1117" spans="1:2">
      <c r="A1117" s="125"/>
      <c r="B1117" s="125"/>
    </row>
    <row r="1118" spans="1:2">
      <c r="A1118" s="125"/>
      <c r="B1118" s="125"/>
    </row>
    <row r="1119" spans="1:2">
      <c r="A1119" s="125"/>
      <c r="B1119" s="125"/>
    </row>
    <row r="1120" spans="1:2">
      <c r="A1120" s="125"/>
      <c r="B1120" s="125"/>
    </row>
    <row r="1121" spans="1:2">
      <c r="A1121" s="125"/>
      <c r="B1121" s="125"/>
    </row>
    <row r="1122" spans="1:2">
      <c r="A1122" s="125"/>
      <c r="B1122" s="125"/>
    </row>
    <row r="1123" spans="1:2">
      <c r="A1123" s="125"/>
      <c r="B1123" s="125"/>
    </row>
    <row r="1124" spans="1:2">
      <c r="A1124" s="125"/>
      <c r="B1124" s="125"/>
    </row>
    <row r="1125" spans="1:2">
      <c r="A1125" s="125"/>
      <c r="B1125" s="125"/>
    </row>
    <row r="1126" spans="1:2">
      <c r="A1126" s="125"/>
      <c r="B1126" s="125"/>
    </row>
    <row r="1127" spans="1:2">
      <c r="A1127" s="125"/>
      <c r="B1127" s="125"/>
    </row>
    <row r="1128" spans="1:2">
      <c r="A1128" s="125"/>
      <c r="B1128" s="125"/>
    </row>
    <row r="1129" spans="1:2">
      <c r="A1129" s="125"/>
      <c r="B1129" s="125"/>
    </row>
    <row r="1130" spans="1:2">
      <c r="A1130" s="125"/>
      <c r="B1130" s="125"/>
    </row>
    <row r="1131" spans="1:2">
      <c r="A1131" s="125"/>
      <c r="B1131" s="125"/>
    </row>
    <row r="1132" spans="1:2">
      <c r="A1132" s="125"/>
      <c r="B1132" s="125"/>
    </row>
    <row r="1133" spans="1:2">
      <c r="A1133" s="125"/>
      <c r="B1133" s="125"/>
    </row>
    <row r="1134" spans="1:2">
      <c r="A1134" s="125"/>
      <c r="B1134" s="125"/>
    </row>
    <row r="1135" spans="1:2">
      <c r="A1135" s="125"/>
      <c r="B1135" s="125"/>
    </row>
    <row r="1136" spans="1:2">
      <c r="A1136" s="125"/>
      <c r="B1136" s="125"/>
    </row>
    <row r="1137" spans="1:2">
      <c r="A1137" s="125"/>
      <c r="B1137" s="125"/>
    </row>
    <row r="1138" spans="1:2">
      <c r="A1138" s="125"/>
      <c r="B1138" s="125"/>
    </row>
    <row r="1139" spans="1:2">
      <c r="A1139" s="125"/>
      <c r="B1139" s="125"/>
    </row>
    <row r="1140" spans="1:2">
      <c r="A1140" s="125"/>
      <c r="B1140" s="125"/>
    </row>
    <row r="1141" spans="1:2">
      <c r="A1141" s="125"/>
      <c r="B1141" s="125"/>
    </row>
    <row r="1142" spans="1:2">
      <c r="A1142" s="125"/>
      <c r="B1142" s="125"/>
    </row>
    <row r="1143" spans="1:2">
      <c r="A1143" s="125"/>
      <c r="B1143" s="125"/>
    </row>
    <row r="1144" spans="1:2">
      <c r="A1144" s="125"/>
      <c r="B1144" s="125"/>
    </row>
    <row r="1145" spans="1:2">
      <c r="A1145" s="125"/>
      <c r="B1145" s="125"/>
    </row>
    <row r="1146" spans="1:2">
      <c r="A1146" s="125"/>
      <c r="B1146" s="125"/>
    </row>
    <row r="1147" spans="1:2">
      <c r="A1147" s="125"/>
      <c r="B1147" s="125"/>
    </row>
    <row r="1148" spans="1:2">
      <c r="A1148" s="125"/>
      <c r="B1148" s="125"/>
    </row>
    <row r="1149" spans="1:2">
      <c r="A1149" s="125"/>
      <c r="B1149" s="125"/>
    </row>
    <row r="1150" spans="1:2">
      <c r="A1150" s="125"/>
      <c r="B1150" s="125"/>
    </row>
    <row r="1151" spans="1:2">
      <c r="A1151" s="125"/>
      <c r="B1151" s="125"/>
    </row>
    <row r="1152" spans="1:2">
      <c r="A1152" s="125"/>
      <c r="B1152" s="125"/>
    </row>
    <row r="1153" spans="1:2">
      <c r="A1153" s="125"/>
      <c r="B1153" s="125"/>
    </row>
    <row r="1154" spans="1:2">
      <c r="A1154" s="125"/>
      <c r="B1154" s="125"/>
    </row>
    <row r="1155" spans="1:2">
      <c r="A1155" s="125"/>
      <c r="B1155" s="125"/>
    </row>
    <row r="1156" spans="1:2">
      <c r="A1156" s="125"/>
      <c r="B1156" s="125"/>
    </row>
    <row r="1157" spans="1:2">
      <c r="A1157" s="125"/>
      <c r="B1157" s="125"/>
    </row>
    <row r="1158" spans="1:2">
      <c r="A1158" s="125"/>
      <c r="B1158" s="125"/>
    </row>
    <row r="1159" spans="1:2">
      <c r="A1159" s="125"/>
      <c r="B1159" s="125"/>
    </row>
    <row r="1160" spans="1:2">
      <c r="A1160" s="125"/>
      <c r="B1160" s="125"/>
    </row>
    <row r="1161" spans="1:2">
      <c r="A1161" s="125"/>
      <c r="B1161" s="125"/>
    </row>
    <row r="1162" spans="1:2">
      <c r="A1162" s="125"/>
      <c r="B1162" s="125"/>
    </row>
    <row r="1163" spans="1:2">
      <c r="A1163" s="125"/>
      <c r="B1163" s="125"/>
    </row>
    <row r="1164" spans="1:2">
      <c r="A1164" s="125"/>
      <c r="B1164" s="125"/>
    </row>
    <row r="1165" spans="1:2">
      <c r="A1165" s="125"/>
      <c r="B1165" s="125"/>
    </row>
    <row r="1166" spans="1:2">
      <c r="A1166" s="125"/>
      <c r="B1166" s="125"/>
    </row>
    <row r="1167" spans="1:2">
      <c r="A1167" s="125"/>
      <c r="B1167" s="125"/>
    </row>
    <row r="1168" spans="1:2">
      <c r="A1168" s="125"/>
      <c r="B1168" s="125"/>
    </row>
    <row r="1169" spans="1:2">
      <c r="A1169" s="125"/>
      <c r="B1169" s="125"/>
    </row>
    <row r="1170" spans="1:2">
      <c r="A1170" s="125"/>
      <c r="B1170" s="125"/>
    </row>
    <row r="1171" spans="1:2">
      <c r="A1171" s="125"/>
      <c r="B1171" s="125"/>
    </row>
    <row r="1172" spans="1:2">
      <c r="A1172" s="125"/>
      <c r="B1172" s="125"/>
    </row>
    <row r="1173" spans="1:2">
      <c r="A1173" s="125"/>
      <c r="B1173" s="125"/>
    </row>
    <row r="1174" spans="1:2">
      <c r="A1174" s="125"/>
      <c r="B1174" s="125"/>
    </row>
    <row r="1175" spans="1:2">
      <c r="A1175" s="125"/>
      <c r="B1175" s="125"/>
    </row>
    <row r="1176" spans="1:2">
      <c r="A1176" s="125"/>
      <c r="B1176" s="125"/>
    </row>
    <row r="1177" spans="1:2">
      <c r="A1177" s="125"/>
      <c r="B1177" s="125"/>
    </row>
    <row r="1178" spans="1:2">
      <c r="A1178" s="125"/>
      <c r="B1178" s="125"/>
    </row>
    <row r="1179" spans="1:2">
      <c r="A1179" s="125"/>
      <c r="B1179" s="125"/>
    </row>
    <row r="1180" spans="1:2">
      <c r="A1180" s="125"/>
      <c r="B1180" s="125"/>
    </row>
    <row r="1181" spans="1:2">
      <c r="A1181" s="125"/>
      <c r="B1181" s="125"/>
    </row>
    <row r="1182" spans="1:2">
      <c r="A1182" s="125"/>
      <c r="B1182" s="125"/>
    </row>
    <row r="1183" spans="1:2">
      <c r="A1183" s="125"/>
      <c r="B1183" s="125"/>
    </row>
    <row r="1184" spans="1:2">
      <c r="A1184" s="125"/>
      <c r="B1184" s="125"/>
    </row>
    <row r="1185" spans="1:2">
      <c r="A1185" s="125"/>
      <c r="B1185" s="125"/>
    </row>
    <row r="1186" spans="1:2">
      <c r="A1186" s="125"/>
      <c r="B1186" s="125"/>
    </row>
    <row r="1187" spans="1:2">
      <c r="A1187" s="125"/>
      <c r="B1187" s="125"/>
    </row>
    <row r="1188" spans="1:2">
      <c r="A1188" s="125"/>
      <c r="B1188" s="125"/>
    </row>
    <row r="1189" spans="1:2">
      <c r="A1189" s="125"/>
      <c r="B1189" s="125"/>
    </row>
    <row r="1190" spans="1:2">
      <c r="A1190" s="125"/>
      <c r="B1190" s="125"/>
    </row>
    <row r="1191" spans="1:2">
      <c r="A1191" s="125"/>
      <c r="B1191" s="125"/>
    </row>
    <row r="1192" spans="1:2">
      <c r="A1192" s="125"/>
      <c r="B1192" s="125"/>
    </row>
    <row r="1193" spans="1:2">
      <c r="A1193" s="125"/>
      <c r="B1193" s="125"/>
    </row>
    <row r="1194" spans="1:2">
      <c r="A1194" s="125"/>
      <c r="B1194" s="125"/>
    </row>
    <row r="1195" spans="1:2">
      <c r="A1195" s="125"/>
      <c r="B1195" s="125"/>
    </row>
    <row r="1196" spans="1:2">
      <c r="A1196" s="125"/>
      <c r="B1196" s="125"/>
    </row>
    <row r="1197" spans="1:2">
      <c r="A1197" s="125"/>
      <c r="B1197" s="125"/>
    </row>
    <row r="1198" spans="1:2">
      <c r="A1198" s="125"/>
      <c r="B1198" s="125"/>
    </row>
    <row r="1199" spans="1:2">
      <c r="A1199" s="125"/>
      <c r="B1199" s="125"/>
    </row>
    <row r="1200" spans="1:2">
      <c r="A1200" s="125"/>
      <c r="B1200" s="125"/>
    </row>
    <row r="1201" spans="1:2">
      <c r="A1201" s="125"/>
      <c r="B1201" s="125"/>
    </row>
    <row r="1202" spans="1:2">
      <c r="A1202" s="125"/>
      <c r="B1202" s="125"/>
    </row>
    <row r="1203" spans="1:2">
      <c r="A1203" s="125"/>
      <c r="B1203" s="125"/>
    </row>
    <row r="1204" spans="1:2">
      <c r="A1204" s="125"/>
      <c r="B1204" s="125"/>
    </row>
    <row r="1205" spans="1:2">
      <c r="A1205" s="125"/>
      <c r="B1205" s="125"/>
    </row>
    <row r="1206" spans="1:2">
      <c r="A1206" s="125"/>
      <c r="B1206" s="125"/>
    </row>
    <row r="1207" spans="1:2">
      <c r="A1207" s="125"/>
      <c r="B1207" s="125"/>
    </row>
    <row r="1208" spans="1:2">
      <c r="A1208" s="125"/>
      <c r="B1208" s="125"/>
    </row>
    <row r="1209" spans="1:2">
      <c r="A1209" s="125"/>
      <c r="B1209" s="125"/>
    </row>
    <row r="1210" spans="1:2">
      <c r="A1210" s="125"/>
      <c r="B1210" s="125"/>
    </row>
    <row r="1211" spans="1:2">
      <c r="A1211" s="125"/>
      <c r="B1211" s="125"/>
    </row>
    <row r="1212" spans="1:2">
      <c r="A1212" s="125"/>
      <c r="B1212" s="125"/>
    </row>
    <row r="1213" spans="1:2">
      <c r="A1213" s="125"/>
      <c r="B1213" s="125"/>
    </row>
    <row r="1214" spans="1:2">
      <c r="A1214" s="125"/>
      <c r="B1214" s="125"/>
    </row>
    <row r="1215" spans="1:2">
      <c r="A1215" s="125"/>
      <c r="B1215" s="125"/>
    </row>
    <row r="1216" spans="1:2">
      <c r="A1216" s="125"/>
      <c r="B1216" s="125"/>
    </row>
    <row r="1217" spans="1:2">
      <c r="A1217" s="125"/>
      <c r="B1217" s="125"/>
    </row>
    <row r="1218" spans="1:2">
      <c r="A1218" s="125"/>
      <c r="B1218" s="125"/>
    </row>
    <row r="1219" spans="1:2">
      <c r="A1219" s="125"/>
      <c r="B1219" s="125"/>
    </row>
    <row r="1220" spans="1:2">
      <c r="A1220" s="125"/>
      <c r="B1220" s="125"/>
    </row>
    <row r="1221" spans="1:2">
      <c r="A1221" s="125"/>
      <c r="B1221" s="125"/>
    </row>
    <row r="1222" spans="1:2">
      <c r="A1222" s="125"/>
      <c r="B1222" s="125"/>
    </row>
    <row r="1223" spans="1:2">
      <c r="A1223" s="125"/>
      <c r="B1223" s="125"/>
    </row>
    <row r="1224" spans="1:2">
      <c r="A1224" s="125"/>
      <c r="B1224" s="125"/>
    </row>
    <row r="1225" spans="1:2">
      <c r="A1225" s="125"/>
      <c r="B1225" s="125"/>
    </row>
    <row r="1226" spans="1:2">
      <c r="A1226" s="125"/>
      <c r="B1226" s="125"/>
    </row>
    <row r="1227" spans="1:2">
      <c r="A1227" s="125"/>
      <c r="B1227" s="125"/>
    </row>
    <row r="1228" spans="1:2">
      <c r="A1228" s="125"/>
      <c r="B1228" s="125"/>
    </row>
    <row r="1229" spans="1:2">
      <c r="A1229" s="125"/>
      <c r="B1229" s="125"/>
    </row>
    <row r="1230" spans="1:2">
      <c r="A1230" s="125"/>
      <c r="B1230" s="125"/>
    </row>
    <row r="1231" spans="1:2">
      <c r="A1231" s="125"/>
      <c r="B1231" s="125"/>
    </row>
    <row r="1232" spans="1:2">
      <c r="A1232" s="125"/>
      <c r="B1232" s="125"/>
    </row>
    <row r="1233" spans="1:2">
      <c r="A1233" s="125"/>
      <c r="B1233" s="125"/>
    </row>
    <row r="1234" spans="1:2">
      <c r="A1234" s="125"/>
      <c r="B1234" s="125"/>
    </row>
    <row r="1235" spans="1:2">
      <c r="A1235" s="125"/>
      <c r="B1235" s="125"/>
    </row>
    <row r="1236" spans="1:2">
      <c r="A1236" s="125"/>
      <c r="B1236" s="125"/>
    </row>
    <row r="1237" spans="1:2">
      <c r="A1237" s="125"/>
      <c r="B1237" s="125"/>
    </row>
    <row r="1238" spans="1:2">
      <c r="A1238" s="125"/>
      <c r="B1238" s="125"/>
    </row>
    <row r="1239" spans="1:2">
      <c r="A1239" s="125"/>
      <c r="B1239" s="125"/>
    </row>
    <row r="1240" spans="1:2">
      <c r="A1240" s="125"/>
      <c r="B1240" s="125"/>
    </row>
    <row r="1241" spans="1:2">
      <c r="A1241" s="125"/>
      <c r="B1241" s="125"/>
    </row>
    <row r="1242" spans="1:2">
      <c r="A1242" s="125"/>
      <c r="B1242" s="125"/>
    </row>
    <row r="1243" spans="1:2">
      <c r="A1243" s="125"/>
      <c r="B1243" s="125"/>
    </row>
    <row r="1244" spans="1:2">
      <c r="A1244" s="125"/>
      <c r="B1244" s="125"/>
    </row>
    <row r="1245" spans="1:2">
      <c r="A1245" s="125"/>
      <c r="B1245" s="125"/>
    </row>
    <row r="1246" spans="1:2">
      <c r="A1246" s="125"/>
      <c r="B1246" s="125"/>
    </row>
    <row r="1247" spans="1:2">
      <c r="A1247" s="125"/>
      <c r="B1247" s="125"/>
    </row>
    <row r="1248" spans="1:2">
      <c r="A1248" s="125"/>
      <c r="B1248" s="125"/>
    </row>
    <row r="1249" spans="1:2">
      <c r="A1249" s="125"/>
      <c r="B1249" s="125"/>
    </row>
    <row r="1250" spans="1:2">
      <c r="A1250" s="125"/>
      <c r="B1250" s="125"/>
    </row>
    <row r="1251" spans="1:2">
      <c r="A1251" s="125"/>
      <c r="B1251" s="125"/>
    </row>
    <row r="1252" spans="1:2">
      <c r="A1252" s="125"/>
      <c r="B1252" s="125"/>
    </row>
    <row r="1253" spans="1:2">
      <c r="A1253" s="125"/>
      <c r="B1253" s="12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" sqref="H1"/>
    </sheetView>
  </sheetViews>
  <sheetFormatPr defaultRowHeight="14.4"/>
  <cols>
    <col min="1" max="1" width="10.5546875" bestFit="1" customWidth="1"/>
  </cols>
  <sheetData>
    <row r="1" spans="1:16">
      <c r="J1" t="s">
        <v>942</v>
      </c>
    </row>
    <row r="3" spans="1:16" s="1" customFormat="1">
      <c r="A3" s="1" t="s">
        <v>104</v>
      </c>
      <c r="C3" s="1" t="s">
        <v>27</v>
      </c>
      <c r="F3" s="1" t="s">
        <v>560</v>
      </c>
      <c r="I3" s="1" t="s">
        <v>561</v>
      </c>
      <c r="K3" s="1" t="s">
        <v>561</v>
      </c>
      <c r="N3" s="1" t="s">
        <v>561</v>
      </c>
      <c r="P3" s="1" t="s">
        <v>562</v>
      </c>
    </row>
    <row r="4" spans="1:16">
      <c r="A4" s="10">
        <v>45660</v>
      </c>
      <c r="C4" t="s">
        <v>563</v>
      </c>
      <c r="F4" t="s">
        <v>138</v>
      </c>
      <c r="I4">
        <v>130</v>
      </c>
      <c r="K4">
        <v>150</v>
      </c>
      <c r="N4">
        <v>150</v>
      </c>
      <c r="P4">
        <v>45</v>
      </c>
    </row>
    <row r="5" spans="1:16">
      <c r="A5" s="10">
        <v>45661</v>
      </c>
      <c r="C5" t="s">
        <v>564</v>
      </c>
      <c r="F5" t="s">
        <v>148</v>
      </c>
      <c r="I5">
        <v>315</v>
      </c>
      <c r="K5">
        <v>100</v>
      </c>
    </row>
    <row r="6" spans="1:16">
      <c r="A6" s="10">
        <v>45663</v>
      </c>
      <c r="C6" t="s">
        <v>566</v>
      </c>
      <c r="F6" t="s">
        <v>565</v>
      </c>
      <c r="I6">
        <v>415</v>
      </c>
    </row>
    <row r="7" spans="1:16">
      <c r="A7" s="10">
        <v>45663</v>
      </c>
      <c r="C7" s="12" t="s">
        <v>567</v>
      </c>
      <c r="F7" t="s">
        <v>568</v>
      </c>
      <c r="I7">
        <v>100</v>
      </c>
    </row>
    <row r="8" spans="1:16">
      <c r="A8" s="10">
        <v>45664</v>
      </c>
      <c r="C8" t="s">
        <v>569</v>
      </c>
      <c r="F8" t="s">
        <v>331</v>
      </c>
      <c r="I8">
        <v>25</v>
      </c>
    </row>
    <row r="9" spans="1:16">
      <c r="A9" s="10">
        <v>45664</v>
      </c>
      <c r="C9" t="s">
        <v>570</v>
      </c>
      <c r="F9" t="s">
        <v>44</v>
      </c>
      <c r="I9">
        <v>80</v>
      </c>
      <c r="K9">
        <v>160</v>
      </c>
      <c r="N9">
        <v>160</v>
      </c>
    </row>
    <row r="10" spans="1:16">
      <c r="A10" s="10">
        <v>45665</v>
      </c>
      <c r="C10" t="s">
        <v>571</v>
      </c>
      <c r="F10" t="s">
        <v>572</v>
      </c>
      <c r="I10">
        <v>130</v>
      </c>
      <c r="K10">
        <v>50</v>
      </c>
      <c r="N10">
        <v>80</v>
      </c>
    </row>
    <row r="11" spans="1:16">
      <c r="A11" s="10">
        <v>45666</v>
      </c>
      <c r="C11" t="s">
        <v>573</v>
      </c>
      <c r="F11" t="s">
        <v>138</v>
      </c>
      <c r="I11">
        <v>415</v>
      </c>
    </row>
    <row r="13" spans="1:16">
      <c r="A13" s="10">
        <v>45668</v>
      </c>
      <c r="C13" t="s">
        <v>576</v>
      </c>
      <c r="F13" t="s">
        <v>575</v>
      </c>
      <c r="I13">
        <v>110</v>
      </c>
      <c r="K13">
        <v>300</v>
      </c>
      <c r="N13">
        <v>80</v>
      </c>
    </row>
    <row r="14" spans="1:16">
      <c r="A14" s="10">
        <v>45670</v>
      </c>
      <c r="C14" t="s">
        <v>577</v>
      </c>
      <c r="F14" t="s">
        <v>148</v>
      </c>
      <c r="I14">
        <v>240</v>
      </c>
      <c r="K14">
        <v>50</v>
      </c>
    </row>
    <row r="15" spans="1:16">
      <c r="A15" s="10">
        <v>45672</v>
      </c>
      <c r="C15" t="s">
        <v>578</v>
      </c>
      <c r="F15" t="s">
        <v>579</v>
      </c>
      <c r="I15">
        <v>140</v>
      </c>
      <c r="K15">
        <v>230</v>
      </c>
      <c r="N15">
        <v>10</v>
      </c>
    </row>
    <row r="16" spans="1:16">
      <c r="A16" s="10">
        <v>45672</v>
      </c>
      <c r="C16" t="s">
        <v>580</v>
      </c>
      <c r="F16" s="12" t="s">
        <v>581</v>
      </c>
      <c r="I16">
        <v>150</v>
      </c>
      <c r="K16">
        <v>60</v>
      </c>
      <c r="N16">
        <v>200</v>
      </c>
      <c r="P16">
        <v>220</v>
      </c>
    </row>
    <row r="17" spans="1:16">
      <c r="C17" t="s">
        <v>582</v>
      </c>
      <c r="F17" t="s">
        <v>583</v>
      </c>
      <c r="I17">
        <v>40</v>
      </c>
      <c r="K17">
        <v>250</v>
      </c>
      <c r="N17">
        <v>350</v>
      </c>
      <c r="P17">
        <v>240</v>
      </c>
    </row>
    <row r="18" spans="1:16">
      <c r="A18" s="10">
        <v>45674</v>
      </c>
      <c r="C18" t="s">
        <v>584</v>
      </c>
      <c r="F18" t="s">
        <v>215</v>
      </c>
      <c r="I18">
        <v>415</v>
      </c>
    </row>
    <row r="19" spans="1:16">
      <c r="A19" s="10">
        <v>45674</v>
      </c>
      <c r="C19" t="s">
        <v>585</v>
      </c>
      <c r="I19">
        <v>415</v>
      </c>
      <c r="K19">
        <v>200</v>
      </c>
    </row>
    <row r="20" spans="1:16">
      <c r="A20" s="10">
        <v>45675</v>
      </c>
      <c r="C20" s="12" t="s">
        <v>586</v>
      </c>
      <c r="F20" t="s">
        <v>455</v>
      </c>
      <c r="I20">
        <v>20</v>
      </c>
      <c r="K20">
        <v>50</v>
      </c>
      <c r="N20">
        <v>30</v>
      </c>
    </row>
    <row r="21" spans="1:16">
      <c r="A21" s="10">
        <v>45675</v>
      </c>
      <c r="C21" t="s">
        <v>587</v>
      </c>
      <c r="F21" t="s">
        <v>365</v>
      </c>
      <c r="I21">
        <v>344</v>
      </c>
      <c r="K21">
        <v>80</v>
      </c>
    </row>
    <row r="22" spans="1:16">
      <c r="A22" s="10">
        <v>45675</v>
      </c>
      <c r="C22" t="s">
        <v>588</v>
      </c>
      <c r="F22" t="s">
        <v>52</v>
      </c>
      <c r="I22">
        <v>415</v>
      </c>
    </row>
    <row r="23" spans="1:16">
      <c r="A23" s="10">
        <v>45675</v>
      </c>
      <c r="C23" t="s">
        <v>589</v>
      </c>
      <c r="F23" t="s">
        <v>590</v>
      </c>
      <c r="I23">
        <v>415</v>
      </c>
    </row>
    <row r="24" spans="1:16">
      <c r="A24" s="10">
        <v>45677</v>
      </c>
      <c r="C24" t="s">
        <v>591</v>
      </c>
      <c r="I24">
        <v>415</v>
      </c>
    </row>
    <row r="25" spans="1:16">
      <c r="A25" s="10">
        <v>45677</v>
      </c>
      <c r="C25" t="s">
        <v>592</v>
      </c>
      <c r="F25" t="s">
        <v>238</v>
      </c>
      <c r="I25">
        <v>415</v>
      </c>
      <c r="K25">
        <v>50</v>
      </c>
    </row>
    <row r="26" spans="1:16">
      <c r="A26" s="10">
        <v>45677</v>
      </c>
      <c r="C26" t="s">
        <v>570</v>
      </c>
      <c r="F26" t="s">
        <v>221</v>
      </c>
      <c r="I26">
        <v>415</v>
      </c>
    </row>
    <row r="27" spans="1:16">
      <c r="A27" s="10">
        <v>45677</v>
      </c>
      <c r="C27" t="s">
        <v>125</v>
      </c>
      <c r="F27" t="s">
        <v>215</v>
      </c>
      <c r="I27">
        <v>200</v>
      </c>
      <c r="K27">
        <v>105</v>
      </c>
    </row>
    <row r="28" spans="1:16">
      <c r="A28" s="10"/>
      <c r="C28" s="12"/>
    </row>
    <row r="29" spans="1:16">
      <c r="A29" s="10">
        <v>45677</v>
      </c>
      <c r="C29" s="12" t="s">
        <v>595</v>
      </c>
      <c r="F29" t="s">
        <v>594</v>
      </c>
      <c r="I29">
        <v>80</v>
      </c>
      <c r="K29">
        <v>80</v>
      </c>
      <c r="N29">
        <v>80</v>
      </c>
      <c r="P29">
        <v>100</v>
      </c>
    </row>
    <row r="30" spans="1:16">
      <c r="A30" s="10">
        <v>45677</v>
      </c>
      <c r="C30" t="s">
        <v>596</v>
      </c>
      <c r="F30" t="s">
        <v>352</v>
      </c>
      <c r="I30">
        <v>200</v>
      </c>
      <c r="K30">
        <v>100</v>
      </c>
      <c r="N30">
        <v>50</v>
      </c>
    </row>
    <row r="31" spans="1:16">
      <c r="A31" s="10">
        <v>45677</v>
      </c>
      <c r="C31" t="s">
        <v>64</v>
      </c>
      <c r="F31" t="s">
        <v>597</v>
      </c>
      <c r="I31">
        <v>380</v>
      </c>
    </row>
    <row r="32" spans="1:16">
      <c r="A32" s="10">
        <v>45677</v>
      </c>
      <c r="C32" t="s">
        <v>599</v>
      </c>
      <c r="F32" t="s">
        <v>598</v>
      </c>
      <c r="I32">
        <v>200</v>
      </c>
    </row>
    <row r="33" spans="1:18">
      <c r="A33" s="10">
        <v>45678</v>
      </c>
      <c r="C33" t="s">
        <v>600</v>
      </c>
      <c r="F33" t="s">
        <v>600</v>
      </c>
      <c r="I33">
        <v>65</v>
      </c>
    </row>
    <row r="34" spans="1:18">
      <c r="A34" s="10">
        <v>45679</v>
      </c>
      <c r="C34" t="s">
        <v>601</v>
      </c>
      <c r="F34" t="s">
        <v>257</v>
      </c>
      <c r="I34">
        <v>415</v>
      </c>
      <c r="K34">
        <v>80</v>
      </c>
    </row>
    <row r="35" spans="1:18">
      <c r="A35" s="10">
        <v>45679</v>
      </c>
      <c r="C35" t="s">
        <v>602</v>
      </c>
      <c r="F35" t="s">
        <v>17</v>
      </c>
      <c r="I35">
        <v>45</v>
      </c>
      <c r="K35">
        <v>160</v>
      </c>
      <c r="N35">
        <v>300</v>
      </c>
    </row>
    <row r="36" spans="1:18">
      <c r="A36" s="10">
        <v>45679</v>
      </c>
      <c r="C36" t="s">
        <v>603</v>
      </c>
      <c r="F36" t="s">
        <v>71</v>
      </c>
      <c r="I36">
        <v>100</v>
      </c>
      <c r="K36">
        <v>100</v>
      </c>
      <c r="N36">
        <v>100</v>
      </c>
      <c r="P36">
        <v>200</v>
      </c>
      <c r="R36">
        <v>80</v>
      </c>
    </row>
    <row r="37" spans="1:18">
      <c r="A37" s="10">
        <v>45681</v>
      </c>
      <c r="C37" t="s">
        <v>604</v>
      </c>
      <c r="F37" t="s">
        <v>605</v>
      </c>
      <c r="I37">
        <v>100</v>
      </c>
      <c r="K37">
        <v>100</v>
      </c>
    </row>
    <row r="38" spans="1:18">
      <c r="A38" s="10">
        <v>45681</v>
      </c>
      <c r="C38" s="12" t="s">
        <v>606</v>
      </c>
      <c r="F38" t="s">
        <v>213</v>
      </c>
      <c r="I38">
        <v>100</v>
      </c>
      <c r="K38">
        <v>190</v>
      </c>
    </row>
    <row r="39" spans="1:18">
      <c r="A39" s="10">
        <v>45681</v>
      </c>
      <c r="C39" t="s">
        <v>607</v>
      </c>
      <c r="F39" t="s">
        <v>568</v>
      </c>
      <c r="I39">
        <v>132</v>
      </c>
      <c r="K39">
        <v>415</v>
      </c>
    </row>
    <row r="40" spans="1:18">
      <c r="A40" s="10">
        <v>45682</v>
      </c>
      <c r="C40" t="s">
        <v>274</v>
      </c>
      <c r="F40" t="s">
        <v>25</v>
      </c>
      <c r="I40">
        <v>85</v>
      </c>
    </row>
    <row r="41" spans="1:18">
      <c r="A41" s="10">
        <v>45682</v>
      </c>
      <c r="C41" t="s">
        <v>608</v>
      </c>
      <c r="F41" t="s">
        <v>605</v>
      </c>
      <c r="I41">
        <v>200</v>
      </c>
      <c r="K41">
        <v>200</v>
      </c>
      <c r="N41">
        <v>80</v>
      </c>
    </row>
    <row r="42" spans="1:18">
      <c r="A42" s="10">
        <v>45684</v>
      </c>
      <c r="C42" t="s">
        <v>609</v>
      </c>
      <c r="F42" t="s">
        <v>138</v>
      </c>
      <c r="I42">
        <v>100</v>
      </c>
    </row>
    <row r="43" spans="1:18">
      <c r="A43" s="10">
        <v>45685</v>
      </c>
      <c r="C43" t="s">
        <v>610</v>
      </c>
      <c r="F43" t="s">
        <v>611</v>
      </c>
      <c r="I43">
        <v>150</v>
      </c>
    </row>
    <row r="44" spans="1:18">
      <c r="A44" s="10">
        <v>45685</v>
      </c>
      <c r="C44" t="s">
        <v>300</v>
      </c>
      <c r="F44" t="s">
        <v>218</v>
      </c>
      <c r="I44">
        <v>45</v>
      </c>
    </row>
    <row r="45" spans="1:18">
      <c r="A45" s="10">
        <v>45686</v>
      </c>
      <c r="C45" t="s">
        <v>612</v>
      </c>
      <c r="F45" t="s">
        <v>613</v>
      </c>
      <c r="I45">
        <v>110</v>
      </c>
      <c r="K45">
        <v>240</v>
      </c>
      <c r="N45">
        <v>100</v>
      </c>
      <c r="P45">
        <v>5</v>
      </c>
    </row>
    <row r="46" spans="1:18">
      <c r="A46" s="10">
        <v>45686</v>
      </c>
      <c r="C46" t="s">
        <v>615</v>
      </c>
      <c r="F46" t="s">
        <v>614</v>
      </c>
      <c r="I46">
        <v>80</v>
      </c>
      <c r="K46">
        <v>85</v>
      </c>
    </row>
    <row r="47" spans="1:18">
      <c r="A47" s="10">
        <v>45689</v>
      </c>
      <c r="C47" t="s">
        <v>616</v>
      </c>
      <c r="F47" t="s">
        <v>454</v>
      </c>
      <c r="I47">
        <v>80</v>
      </c>
    </row>
    <row r="48" spans="1:18">
      <c r="A48" s="10">
        <v>45689</v>
      </c>
      <c r="C48" t="s">
        <v>618</v>
      </c>
      <c r="F48" t="s">
        <v>617</v>
      </c>
      <c r="I48">
        <v>240</v>
      </c>
    </row>
    <row r="49" spans="1:18">
      <c r="A49" s="10">
        <v>45691</v>
      </c>
      <c r="C49" t="s">
        <v>191</v>
      </c>
      <c r="F49" t="s">
        <v>619</v>
      </c>
      <c r="I49">
        <v>200</v>
      </c>
    </row>
    <row r="50" spans="1:18">
      <c r="A50" s="10">
        <v>45691</v>
      </c>
      <c r="C50" t="s">
        <v>620</v>
      </c>
      <c r="F50" t="s">
        <v>483</v>
      </c>
      <c r="I50">
        <v>250</v>
      </c>
    </row>
    <row r="51" spans="1:18">
      <c r="A51" s="10">
        <v>45691</v>
      </c>
      <c r="C51" t="s">
        <v>621</v>
      </c>
      <c r="F51" t="s">
        <v>84</v>
      </c>
      <c r="I51">
        <v>415</v>
      </c>
    </row>
    <row r="52" spans="1:18">
      <c r="A52" s="10">
        <v>45691</v>
      </c>
      <c r="C52" t="s">
        <v>623</v>
      </c>
      <c r="F52" t="s">
        <v>622</v>
      </c>
      <c r="I52">
        <v>80</v>
      </c>
      <c r="K52">
        <v>80</v>
      </c>
    </row>
    <row r="53" spans="1:18">
      <c r="A53" s="10">
        <v>45691</v>
      </c>
      <c r="C53" t="s">
        <v>624</v>
      </c>
      <c r="F53" t="s">
        <v>146</v>
      </c>
      <c r="I53">
        <v>80</v>
      </c>
      <c r="K53">
        <v>80</v>
      </c>
      <c r="N53">
        <v>80</v>
      </c>
      <c r="P53">
        <v>120</v>
      </c>
    </row>
    <row r="54" spans="1:18">
      <c r="A54" s="10">
        <v>45692</v>
      </c>
      <c r="C54" s="12" t="s">
        <v>626</v>
      </c>
      <c r="F54" t="s">
        <v>625</v>
      </c>
      <c r="I54">
        <v>60</v>
      </c>
      <c r="K54">
        <v>30</v>
      </c>
    </row>
    <row r="55" spans="1:18">
      <c r="A55" s="10">
        <v>45692</v>
      </c>
      <c r="C55" s="12" t="s">
        <v>627</v>
      </c>
      <c r="F55" t="s">
        <v>628</v>
      </c>
      <c r="I55">
        <v>70</v>
      </c>
      <c r="K55">
        <v>95</v>
      </c>
      <c r="N55">
        <v>200</v>
      </c>
      <c r="P55">
        <v>100</v>
      </c>
      <c r="R55">
        <v>130</v>
      </c>
    </row>
    <row r="56" spans="1:18">
      <c r="A56" s="10">
        <v>45693</v>
      </c>
      <c r="C56" s="12" t="s">
        <v>630</v>
      </c>
      <c r="F56" t="s">
        <v>629</v>
      </c>
      <c r="I56">
        <v>80</v>
      </c>
      <c r="K56">
        <v>30</v>
      </c>
      <c r="N56">
        <v>30</v>
      </c>
      <c r="P56">
        <v>30</v>
      </c>
    </row>
    <row r="57" spans="1:18">
      <c r="A57" s="10">
        <v>45693</v>
      </c>
      <c r="C57" t="s">
        <v>631</v>
      </c>
      <c r="F57" t="s">
        <v>632</v>
      </c>
      <c r="I57">
        <v>65</v>
      </c>
    </row>
    <row r="58" spans="1:18">
      <c r="A58" s="10">
        <v>45693</v>
      </c>
      <c r="C58" t="s">
        <v>634</v>
      </c>
      <c r="F58" t="s">
        <v>633</v>
      </c>
      <c r="I58">
        <v>100</v>
      </c>
    </row>
    <row r="59" spans="1:18">
      <c r="A59" s="10">
        <v>45694</v>
      </c>
      <c r="C59" s="12" t="s">
        <v>635</v>
      </c>
      <c r="D59" s="12"/>
      <c r="F59" t="s">
        <v>636</v>
      </c>
      <c r="I59">
        <v>80</v>
      </c>
    </row>
    <row r="60" spans="1:18">
      <c r="A60" s="10">
        <v>45694</v>
      </c>
      <c r="C60" t="s">
        <v>412</v>
      </c>
      <c r="F60" t="s">
        <v>185</v>
      </c>
      <c r="I60">
        <v>100</v>
      </c>
      <c r="K60">
        <v>80</v>
      </c>
      <c r="N60">
        <v>40</v>
      </c>
      <c r="P60">
        <v>80</v>
      </c>
    </row>
    <row r="61" spans="1:18">
      <c r="A61" s="10">
        <v>45696</v>
      </c>
      <c r="C61" s="12" t="s">
        <v>432</v>
      </c>
      <c r="F61" t="s">
        <v>433</v>
      </c>
      <c r="I61">
        <v>160</v>
      </c>
    </row>
    <row r="62" spans="1:18">
      <c r="A62" s="10">
        <v>45698</v>
      </c>
      <c r="C62" s="12" t="s">
        <v>637</v>
      </c>
      <c r="F62" t="s">
        <v>638</v>
      </c>
      <c r="I62">
        <v>80</v>
      </c>
      <c r="K62">
        <v>120</v>
      </c>
      <c r="N62">
        <v>80</v>
      </c>
    </row>
    <row r="63" spans="1:18">
      <c r="A63" s="10">
        <v>45698</v>
      </c>
      <c r="C63" s="12" t="s">
        <v>640</v>
      </c>
      <c r="F63" t="s">
        <v>639</v>
      </c>
      <c r="I63">
        <v>240</v>
      </c>
    </row>
    <row r="64" spans="1:18">
      <c r="A64" s="10">
        <v>45699</v>
      </c>
      <c r="C64" s="12" t="s">
        <v>641</v>
      </c>
      <c r="F64" t="s">
        <v>642</v>
      </c>
      <c r="I64">
        <v>100</v>
      </c>
      <c r="K64">
        <v>100</v>
      </c>
      <c r="N64">
        <v>40</v>
      </c>
    </row>
    <row r="65" spans="1:18">
      <c r="A65" s="10">
        <v>45700</v>
      </c>
      <c r="C65" t="s">
        <v>643</v>
      </c>
      <c r="F65" t="s">
        <v>221</v>
      </c>
      <c r="I65">
        <v>160</v>
      </c>
    </row>
    <row r="66" spans="1:18">
      <c r="A66" s="10">
        <v>45701</v>
      </c>
      <c r="C66" s="12" t="s">
        <v>645</v>
      </c>
      <c r="F66" t="s">
        <v>644</v>
      </c>
      <c r="I66">
        <v>160</v>
      </c>
      <c r="K66">
        <v>80</v>
      </c>
      <c r="N66">
        <v>80</v>
      </c>
      <c r="P66">
        <v>100</v>
      </c>
    </row>
    <row r="67" spans="1:18">
      <c r="A67" s="10">
        <v>45703</v>
      </c>
      <c r="C67" t="s">
        <v>64</v>
      </c>
      <c r="F67" t="s">
        <v>646</v>
      </c>
      <c r="I67">
        <v>312</v>
      </c>
      <c r="K67">
        <v>312</v>
      </c>
      <c r="N67">
        <v>332</v>
      </c>
    </row>
    <row r="68" spans="1:18">
      <c r="A68" s="10">
        <v>45705</v>
      </c>
      <c r="C68" t="s">
        <v>647</v>
      </c>
      <c r="F68" t="s">
        <v>362</v>
      </c>
      <c r="I68">
        <v>50</v>
      </c>
    </row>
    <row r="69" spans="1:18">
      <c r="A69" s="10">
        <v>45708</v>
      </c>
      <c r="C69" t="s">
        <v>648</v>
      </c>
      <c r="F69" t="s">
        <v>649</v>
      </c>
      <c r="I69">
        <v>150</v>
      </c>
      <c r="K69">
        <v>150</v>
      </c>
      <c r="N69">
        <v>60</v>
      </c>
    </row>
    <row r="70" spans="1:18">
      <c r="A70" s="10">
        <v>45708</v>
      </c>
      <c r="C70" s="12" t="s">
        <v>650</v>
      </c>
      <c r="F70" t="s">
        <v>651</v>
      </c>
      <c r="I70">
        <v>80</v>
      </c>
      <c r="K70">
        <v>80</v>
      </c>
      <c r="N70">
        <v>80</v>
      </c>
    </row>
    <row r="71" spans="1:18">
      <c r="A71" s="10">
        <v>45708</v>
      </c>
      <c r="C71" s="12" t="s">
        <v>652</v>
      </c>
      <c r="F71" t="s">
        <v>25</v>
      </c>
      <c r="I71">
        <v>250</v>
      </c>
      <c r="K71">
        <v>200</v>
      </c>
    </row>
    <row r="72" spans="1:18">
      <c r="A72" s="10">
        <v>45712</v>
      </c>
      <c r="C72" t="s">
        <v>653</v>
      </c>
      <c r="F72" t="s">
        <v>338</v>
      </c>
      <c r="I72">
        <v>80</v>
      </c>
      <c r="K72">
        <v>20</v>
      </c>
    </row>
    <row r="73" spans="1:18">
      <c r="A73" s="10">
        <v>45712</v>
      </c>
      <c r="C73" s="12" t="s">
        <v>655</v>
      </c>
      <c r="F73" t="s">
        <v>654</v>
      </c>
      <c r="I73">
        <v>80</v>
      </c>
    </row>
    <row r="74" spans="1:18">
      <c r="A74" s="10">
        <v>45712</v>
      </c>
      <c r="C74" t="s">
        <v>85</v>
      </c>
      <c r="F74" t="s">
        <v>455</v>
      </c>
      <c r="I74">
        <v>50</v>
      </c>
    </row>
    <row r="75" spans="1:18">
      <c r="A75" s="10">
        <v>45716</v>
      </c>
      <c r="C75" t="s">
        <v>615</v>
      </c>
      <c r="F75" t="s">
        <v>656</v>
      </c>
      <c r="I75">
        <v>80</v>
      </c>
    </row>
    <row r="76" spans="1:18">
      <c r="A76" s="10">
        <v>45719</v>
      </c>
      <c r="C76" s="12" t="s">
        <v>657</v>
      </c>
      <c r="F76" t="s">
        <v>301</v>
      </c>
      <c r="I76">
        <v>80</v>
      </c>
      <c r="K76">
        <v>80</v>
      </c>
    </row>
    <row r="77" spans="1:18">
      <c r="A77" s="10">
        <v>45721</v>
      </c>
      <c r="C77" t="s">
        <v>68</v>
      </c>
      <c r="F77" t="s">
        <v>658</v>
      </c>
      <c r="I77">
        <v>340</v>
      </c>
      <c r="K77">
        <v>75</v>
      </c>
    </row>
    <row r="78" spans="1:18">
      <c r="A78" s="10">
        <v>45722</v>
      </c>
      <c r="C78" s="12" t="s">
        <v>659</v>
      </c>
      <c r="F78" t="s">
        <v>660</v>
      </c>
      <c r="I78">
        <v>70</v>
      </c>
      <c r="L78">
        <v>70</v>
      </c>
      <c r="N78">
        <v>200</v>
      </c>
      <c r="P78">
        <v>90</v>
      </c>
      <c r="R78">
        <v>15</v>
      </c>
    </row>
    <row r="79" spans="1:18">
      <c r="A79" s="10">
        <v>45733</v>
      </c>
      <c r="C79" t="s">
        <v>661</v>
      </c>
      <c r="F79" t="s">
        <v>575</v>
      </c>
      <c r="I79">
        <v>12</v>
      </c>
    </row>
    <row r="80" spans="1:18">
      <c r="A80" s="10">
        <v>45735</v>
      </c>
      <c r="C80" t="s">
        <v>662</v>
      </c>
      <c r="F80" t="s">
        <v>663</v>
      </c>
      <c r="I80">
        <v>80</v>
      </c>
    </row>
    <row r="81" spans="1:16">
      <c r="A81" s="10">
        <v>45735</v>
      </c>
      <c r="C81" t="s">
        <v>70</v>
      </c>
      <c r="F81" t="s">
        <v>664</v>
      </c>
      <c r="I81">
        <v>25</v>
      </c>
    </row>
    <row r="82" spans="1:16">
      <c r="A82" s="10">
        <v>45736</v>
      </c>
      <c r="C82" t="s">
        <v>666</v>
      </c>
      <c r="F82" t="s">
        <v>665</v>
      </c>
      <c r="I82">
        <v>80</v>
      </c>
      <c r="L82">
        <v>80</v>
      </c>
    </row>
    <row r="83" spans="1:16">
      <c r="A83" s="10">
        <v>45737</v>
      </c>
      <c r="C83" t="s">
        <v>667</v>
      </c>
      <c r="F83" t="s">
        <v>668</v>
      </c>
      <c r="I83">
        <v>120</v>
      </c>
    </row>
    <row r="84" spans="1:16">
      <c r="A84" s="10">
        <v>45740</v>
      </c>
      <c r="C84" t="s">
        <v>546</v>
      </c>
      <c r="F84" t="s">
        <v>669</v>
      </c>
      <c r="I84">
        <v>40</v>
      </c>
    </row>
    <row r="85" spans="1:16">
      <c r="A85" s="10">
        <v>45741</v>
      </c>
      <c r="C85" s="12" t="s">
        <v>670</v>
      </c>
      <c r="F85" t="s">
        <v>167</v>
      </c>
      <c r="I85">
        <v>30</v>
      </c>
      <c r="L85">
        <v>40</v>
      </c>
      <c r="N85">
        <v>120</v>
      </c>
      <c r="P85">
        <v>170</v>
      </c>
    </row>
    <row r="86" spans="1:16">
      <c r="A86" s="10">
        <v>45742</v>
      </c>
      <c r="C86" t="s">
        <v>671</v>
      </c>
      <c r="F86" t="s">
        <v>17</v>
      </c>
      <c r="I86">
        <v>5</v>
      </c>
    </row>
    <row r="87" spans="1:16">
      <c r="A87" s="10">
        <v>45742</v>
      </c>
      <c r="C87" t="s">
        <v>672</v>
      </c>
      <c r="F87" t="s">
        <v>25</v>
      </c>
      <c r="I87">
        <v>80</v>
      </c>
    </row>
    <row r="88" spans="1:16">
      <c r="A88" s="10">
        <v>45742</v>
      </c>
      <c r="C88" t="s">
        <v>626</v>
      </c>
      <c r="F88" t="s">
        <v>625</v>
      </c>
      <c r="I88">
        <v>50</v>
      </c>
    </row>
    <row r="89" spans="1:16">
      <c r="A89" s="10">
        <v>45743</v>
      </c>
      <c r="C89" t="s">
        <v>673</v>
      </c>
      <c r="F89" s="12" t="s">
        <v>326</v>
      </c>
      <c r="I89">
        <v>240</v>
      </c>
    </row>
    <row r="90" spans="1:16">
      <c r="A90" s="10">
        <v>45743</v>
      </c>
      <c r="C90" t="s">
        <v>674</v>
      </c>
      <c r="F90" t="s">
        <v>304</v>
      </c>
      <c r="I90">
        <v>40</v>
      </c>
    </row>
    <row r="91" spans="1:16">
      <c r="A91" s="10">
        <v>45745</v>
      </c>
      <c r="C91" t="s">
        <v>190</v>
      </c>
      <c r="F91" t="s">
        <v>675</v>
      </c>
      <c r="I91">
        <v>80</v>
      </c>
      <c r="L91">
        <v>80</v>
      </c>
    </row>
    <row r="92" spans="1:16">
      <c r="A92" s="10">
        <v>45747</v>
      </c>
      <c r="C92" t="s">
        <v>677</v>
      </c>
      <c r="F92" t="s">
        <v>676</v>
      </c>
      <c r="I92">
        <v>92</v>
      </c>
    </row>
    <row r="93" spans="1:16">
      <c r="A93" s="10">
        <v>45748</v>
      </c>
      <c r="C93" s="12" t="s">
        <v>678</v>
      </c>
      <c r="F93" t="s">
        <v>679</v>
      </c>
      <c r="I93">
        <v>100</v>
      </c>
      <c r="L93">
        <v>40</v>
      </c>
      <c r="N93">
        <v>100</v>
      </c>
      <c r="P93">
        <v>110</v>
      </c>
    </row>
    <row r="94" spans="1:16">
      <c r="A94" s="10">
        <v>45749</v>
      </c>
      <c r="C94" s="12" t="s">
        <v>681</v>
      </c>
      <c r="F94" t="s">
        <v>680</v>
      </c>
      <c r="I94">
        <v>240</v>
      </c>
    </row>
    <row r="95" spans="1:16">
      <c r="A95" s="10">
        <v>45750</v>
      </c>
      <c r="C95" t="s">
        <v>350</v>
      </c>
      <c r="F95" t="s">
        <v>138</v>
      </c>
      <c r="I95">
        <v>115</v>
      </c>
      <c r="L95">
        <v>80</v>
      </c>
    </row>
    <row r="96" spans="1:16">
      <c r="A96" s="10">
        <v>45759</v>
      </c>
      <c r="C96" s="12" t="s">
        <v>682</v>
      </c>
      <c r="D96" s="12"/>
      <c r="F96" t="s">
        <v>583</v>
      </c>
      <c r="I96">
        <v>60</v>
      </c>
      <c r="L96">
        <v>150</v>
      </c>
    </row>
    <row r="97" spans="1:16">
      <c r="A97" s="10">
        <v>45761</v>
      </c>
      <c r="C97" t="s">
        <v>371</v>
      </c>
      <c r="F97" t="s">
        <v>683</v>
      </c>
      <c r="I97">
        <v>140</v>
      </c>
      <c r="L97">
        <v>200</v>
      </c>
      <c r="N97">
        <v>220</v>
      </c>
    </row>
    <row r="98" spans="1:16">
      <c r="A98" s="10">
        <v>45769</v>
      </c>
      <c r="C98" t="s">
        <v>657</v>
      </c>
      <c r="F98" t="s">
        <v>301</v>
      </c>
      <c r="I98">
        <v>80</v>
      </c>
    </row>
    <row r="99" spans="1:16">
      <c r="A99" s="10">
        <v>45771</v>
      </c>
      <c r="C99" t="s">
        <v>685</v>
      </c>
      <c r="F99" t="s">
        <v>684</v>
      </c>
      <c r="I99">
        <v>80</v>
      </c>
    </row>
    <row r="100" spans="1:16">
      <c r="A100" s="10">
        <v>45773</v>
      </c>
      <c r="C100" s="12" t="s">
        <v>687</v>
      </c>
      <c r="F100" t="s">
        <v>686</v>
      </c>
      <c r="I100">
        <v>200</v>
      </c>
      <c r="L100">
        <v>40</v>
      </c>
    </row>
    <row r="101" spans="1:16">
      <c r="A101" s="10">
        <v>45773</v>
      </c>
      <c r="C101" t="s">
        <v>688</v>
      </c>
      <c r="F101" t="s">
        <v>146</v>
      </c>
      <c r="I101">
        <v>80</v>
      </c>
      <c r="L101">
        <v>80</v>
      </c>
      <c r="N101">
        <v>155</v>
      </c>
    </row>
    <row r="102" spans="1:16">
      <c r="A102" s="10">
        <v>45776</v>
      </c>
      <c r="C102" t="s">
        <v>689</v>
      </c>
      <c r="F102" t="s">
        <v>690</v>
      </c>
      <c r="I102">
        <v>195</v>
      </c>
    </row>
    <row r="103" spans="1:16">
      <c r="A103" s="10">
        <v>45777</v>
      </c>
      <c r="C103" t="s">
        <v>164</v>
      </c>
      <c r="F103" t="s">
        <v>691</v>
      </c>
      <c r="I103">
        <v>30</v>
      </c>
      <c r="L103">
        <v>10</v>
      </c>
      <c r="N103">
        <v>30</v>
      </c>
    </row>
    <row r="104" spans="1:16">
      <c r="A104" s="10">
        <v>45777</v>
      </c>
      <c r="C104" t="s">
        <v>194</v>
      </c>
      <c r="F104" t="s">
        <v>692</v>
      </c>
      <c r="I104">
        <v>80</v>
      </c>
      <c r="L104">
        <v>80</v>
      </c>
    </row>
    <row r="105" spans="1:16">
      <c r="A105" s="10">
        <v>45779</v>
      </c>
      <c r="C105" s="12" t="s">
        <v>693</v>
      </c>
      <c r="F105" t="s">
        <v>146</v>
      </c>
      <c r="I105">
        <v>240</v>
      </c>
    </row>
    <row r="106" spans="1:16">
      <c r="A106" s="10">
        <v>45782</v>
      </c>
      <c r="C106" t="s">
        <v>694</v>
      </c>
      <c r="F106" t="s">
        <v>19</v>
      </c>
      <c r="I106">
        <v>240</v>
      </c>
      <c r="L106">
        <v>60</v>
      </c>
    </row>
    <row r="107" spans="1:16">
      <c r="A107" s="10">
        <v>45693</v>
      </c>
      <c r="C107" t="s">
        <v>695</v>
      </c>
      <c r="F107" t="s">
        <v>654</v>
      </c>
      <c r="I107">
        <v>240</v>
      </c>
    </row>
    <row r="108" spans="1:16">
      <c r="A108" s="10">
        <v>45783</v>
      </c>
      <c r="C108" s="12" t="s">
        <v>696</v>
      </c>
      <c r="D108" s="12"/>
      <c r="F108" t="s">
        <v>516</v>
      </c>
      <c r="I108">
        <v>240</v>
      </c>
      <c r="L108">
        <v>215</v>
      </c>
    </row>
    <row r="109" spans="1:16">
      <c r="A109" s="10">
        <v>45783</v>
      </c>
      <c r="C109" t="s">
        <v>697</v>
      </c>
      <c r="F109" t="s">
        <v>294</v>
      </c>
      <c r="I109">
        <v>250</v>
      </c>
    </row>
    <row r="110" spans="1:16">
      <c r="A110" s="10">
        <v>45784</v>
      </c>
      <c r="C110" s="12" t="s">
        <v>699</v>
      </c>
      <c r="F110" t="s">
        <v>698</v>
      </c>
      <c r="I110">
        <v>100</v>
      </c>
      <c r="L110">
        <v>20</v>
      </c>
      <c r="N110">
        <v>40</v>
      </c>
      <c r="P110">
        <v>40</v>
      </c>
    </row>
    <row r="111" spans="1:16">
      <c r="A111" t="s">
        <v>701</v>
      </c>
      <c r="C111" t="s">
        <v>700</v>
      </c>
      <c r="F111" t="s">
        <v>17</v>
      </c>
      <c r="I111">
        <v>67</v>
      </c>
    </row>
    <row r="112" spans="1:16">
      <c r="A112" s="10">
        <v>45786</v>
      </c>
      <c r="C112" t="s">
        <v>702</v>
      </c>
      <c r="F112" t="s">
        <v>703</v>
      </c>
      <c r="I112">
        <v>80</v>
      </c>
    </row>
    <row r="113" spans="1:14">
      <c r="A113" s="10">
        <v>45804</v>
      </c>
      <c r="C113" s="12" t="s">
        <v>704</v>
      </c>
      <c r="F113" t="s">
        <v>705</v>
      </c>
      <c r="I113">
        <v>240</v>
      </c>
      <c r="L113">
        <v>305</v>
      </c>
    </row>
    <row r="114" spans="1:14">
      <c r="A114" s="10">
        <v>45806</v>
      </c>
      <c r="C114" s="12" t="s">
        <v>706</v>
      </c>
      <c r="F114" t="s">
        <v>646</v>
      </c>
      <c r="I114">
        <v>80</v>
      </c>
    </row>
    <row r="115" spans="1:14">
      <c r="A115" s="10">
        <v>45808</v>
      </c>
      <c r="C115" s="12" t="s">
        <v>708</v>
      </c>
      <c r="F115" t="s">
        <v>707</v>
      </c>
      <c r="I115">
        <v>80</v>
      </c>
      <c r="L115">
        <v>80</v>
      </c>
      <c r="N115">
        <v>80</v>
      </c>
    </row>
    <row r="116" spans="1:14">
      <c r="A116" s="10">
        <v>45812</v>
      </c>
      <c r="C116" s="12" t="s">
        <v>709</v>
      </c>
      <c r="D116" s="12"/>
      <c r="F116" t="s">
        <v>710</v>
      </c>
      <c r="I116">
        <v>80</v>
      </c>
      <c r="L116">
        <v>80</v>
      </c>
    </row>
    <row r="117" spans="1:14">
      <c r="A117" s="10">
        <v>45820</v>
      </c>
      <c r="C117" t="s">
        <v>711</v>
      </c>
      <c r="F117" t="s">
        <v>712</v>
      </c>
      <c r="I117">
        <v>240</v>
      </c>
      <c r="L117">
        <v>220</v>
      </c>
      <c r="N117">
        <v>220</v>
      </c>
    </row>
    <row r="118" spans="1:14">
      <c r="A118" s="10">
        <v>45827</v>
      </c>
      <c r="C118" t="s">
        <v>713</v>
      </c>
      <c r="F118" t="s">
        <v>714</v>
      </c>
      <c r="I118">
        <v>100</v>
      </c>
    </row>
    <row r="119" spans="1:14">
      <c r="A119" s="10">
        <v>45834</v>
      </c>
      <c r="C119" s="12" t="s">
        <v>715</v>
      </c>
      <c r="D119" s="12"/>
      <c r="F119" t="s">
        <v>716</v>
      </c>
      <c r="I119">
        <v>80</v>
      </c>
    </row>
    <row r="120" spans="1:14">
      <c r="A120" s="10">
        <v>45834</v>
      </c>
      <c r="C120" s="12" t="s">
        <v>718</v>
      </c>
      <c r="F120" t="s">
        <v>717</v>
      </c>
      <c r="I120">
        <v>80</v>
      </c>
    </row>
    <row r="121" spans="1:14">
      <c r="A121" s="10">
        <v>45836</v>
      </c>
      <c r="C121" s="12" t="s">
        <v>719</v>
      </c>
      <c r="F121" t="s">
        <v>720</v>
      </c>
      <c r="I121">
        <v>80</v>
      </c>
    </row>
    <row r="122" spans="1:14">
      <c r="A122" s="10">
        <v>45836</v>
      </c>
      <c r="C122" s="12" t="s">
        <v>721</v>
      </c>
      <c r="D122" s="12"/>
      <c r="F122" t="s">
        <v>548</v>
      </c>
      <c r="I122">
        <v>200</v>
      </c>
    </row>
    <row r="123" spans="1:14">
      <c r="A123" s="10">
        <v>45836</v>
      </c>
      <c r="C123" t="s">
        <v>638</v>
      </c>
      <c r="F123" t="s">
        <v>637</v>
      </c>
      <c r="I123">
        <v>80</v>
      </c>
    </row>
    <row r="124" spans="1:14">
      <c r="A124" s="10">
        <v>45839</v>
      </c>
      <c r="C124" s="12" t="s">
        <v>722</v>
      </c>
      <c r="F124" t="s">
        <v>17</v>
      </c>
      <c r="I124">
        <v>100</v>
      </c>
    </row>
    <row r="125" spans="1:14">
      <c r="A125" s="10">
        <v>45847</v>
      </c>
      <c r="C125" t="s">
        <v>724</v>
      </c>
      <c r="F125" t="s">
        <v>723</v>
      </c>
      <c r="I125">
        <v>240</v>
      </c>
      <c r="L125">
        <v>250</v>
      </c>
    </row>
    <row r="126" spans="1:14">
      <c r="A126" s="10">
        <v>45847</v>
      </c>
      <c r="C126" s="12" t="s">
        <v>725</v>
      </c>
      <c r="F126" t="s">
        <v>319</v>
      </c>
      <c r="I126">
        <v>80</v>
      </c>
      <c r="L126">
        <v>80</v>
      </c>
    </row>
    <row r="127" spans="1:14">
      <c r="A127" s="10">
        <v>45847</v>
      </c>
      <c r="C127" s="12" t="s">
        <v>59</v>
      </c>
      <c r="F127" t="s">
        <v>726</v>
      </c>
      <c r="I127">
        <v>100</v>
      </c>
      <c r="L127">
        <v>140</v>
      </c>
    </row>
    <row r="128" spans="1:14">
      <c r="A128" s="10">
        <v>45847</v>
      </c>
      <c r="C128" t="s">
        <v>727</v>
      </c>
      <c r="F128" t="s">
        <v>728</v>
      </c>
      <c r="I128">
        <v>70</v>
      </c>
    </row>
    <row r="129" spans="1:14">
      <c r="A129" s="10">
        <v>45854</v>
      </c>
      <c r="C129" t="s">
        <v>729</v>
      </c>
      <c r="F129" s="12" t="s">
        <v>730</v>
      </c>
      <c r="I129">
        <v>240</v>
      </c>
    </row>
    <row r="130" spans="1:14">
      <c r="A130" s="10">
        <v>45856</v>
      </c>
      <c r="C130" s="12" t="s">
        <v>732</v>
      </c>
      <c r="F130" t="s">
        <v>731</v>
      </c>
      <c r="I130">
        <v>80</v>
      </c>
      <c r="L130">
        <v>80</v>
      </c>
      <c r="N130">
        <v>80</v>
      </c>
    </row>
    <row r="131" spans="1:14">
      <c r="A131" s="10">
        <v>45857</v>
      </c>
      <c r="C131" t="s">
        <v>733</v>
      </c>
      <c r="F131" t="s">
        <v>734</v>
      </c>
      <c r="I131">
        <v>240</v>
      </c>
      <c r="L131">
        <v>120</v>
      </c>
    </row>
    <row r="132" spans="1:14">
      <c r="A132" s="10">
        <v>45859</v>
      </c>
      <c r="C132" s="12" t="s">
        <v>735</v>
      </c>
      <c r="F132" t="s">
        <v>735</v>
      </c>
      <c r="I132">
        <v>80</v>
      </c>
    </row>
    <row r="133" spans="1:14">
      <c r="A133" s="10">
        <v>45497</v>
      </c>
      <c r="C133" t="s">
        <v>722</v>
      </c>
      <c r="F133" t="s">
        <v>17</v>
      </c>
      <c r="I133">
        <v>50</v>
      </c>
    </row>
    <row r="134" spans="1:14">
      <c r="A134" s="10">
        <v>45866</v>
      </c>
      <c r="C134" t="s">
        <v>736</v>
      </c>
      <c r="F134" t="s">
        <v>737</v>
      </c>
      <c r="I134">
        <v>240</v>
      </c>
    </row>
    <row r="135" spans="1:14">
      <c r="A135" s="10"/>
      <c r="C135" s="12"/>
    </row>
    <row r="136" spans="1:14">
      <c r="A136" s="10">
        <v>45873</v>
      </c>
      <c r="C136" t="s">
        <v>738</v>
      </c>
      <c r="F136" t="s">
        <v>739</v>
      </c>
      <c r="I136">
        <v>240</v>
      </c>
    </row>
    <row r="137" spans="1:14">
      <c r="A137" s="10">
        <v>45874</v>
      </c>
      <c r="C137" t="s">
        <v>114</v>
      </c>
      <c r="F137" t="s">
        <v>146</v>
      </c>
      <c r="I137">
        <v>240</v>
      </c>
      <c r="L137">
        <v>205</v>
      </c>
    </row>
    <row r="138" spans="1:14">
      <c r="A138" s="10">
        <v>45876</v>
      </c>
      <c r="C138" t="s">
        <v>740</v>
      </c>
      <c r="F138" t="s">
        <v>24</v>
      </c>
      <c r="I138">
        <v>240</v>
      </c>
    </row>
    <row r="139" spans="1:14">
      <c r="A139" s="10">
        <v>45877</v>
      </c>
      <c r="C139" t="s">
        <v>741</v>
      </c>
      <c r="F139" t="s">
        <v>249</v>
      </c>
      <c r="I139">
        <v>50</v>
      </c>
    </row>
    <row r="140" spans="1:14">
      <c r="A140" s="10">
        <v>45882</v>
      </c>
      <c r="C140" s="12" t="s">
        <v>742</v>
      </c>
      <c r="F140" t="s">
        <v>333</v>
      </c>
      <c r="I140">
        <v>240</v>
      </c>
    </row>
    <row r="141" spans="1:14">
      <c r="A141" s="10">
        <v>45882</v>
      </c>
      <c r="C141" t="s">
        <v>743</v>
      </c>
      <c r="F141" t="s">
        <v>251</v>
      </c>
      <c r="I141">
        <v>15</v>
      </c>
    </row>
    <row r="142" spans="1:14">
      <c r="A142" s="10">
        <v>45882</v>
      </c>
      <c r="C142" s="12" t="s">
        <v>744</v>
      </c>
      <c r="D142" s="12"/>
      <c r="F142" t="s">
        <v>745</v>
      </c>
      <c r="I142">
        <v>240</v>
      </c>
    </row>
    <row r="143" spans="1:14">
      <c r="A143" s="10">
        <v>45883</v>
      </c>
      <c r="C143" t="s">
        <v>747</v>
      </c>
      <c r="F143" t="s">
        <v>746</v>
      </c>
      <c r="I143">
        <v>80</v>
      </c>
      <c r="L143">
        <v>15</v>
      </c>
      <c r="N143">
        <v>15</v>
      </c>
    </row>
    <row r="144" spans="1:14">
      <c r="A144" s="10">
        <v>45883</v>
      </c>
      <c r="C144" t="s">
        <v>748</v>
      </c>
      <c r="F144" t="s">
        <v>215</v>
      </c>
      <c r="I144">
        <v>85</v>
      </c>
    </row>
    <row r="145" spans="1:16">
      <c r="A145" s="10">
        <v>45884</v>
      </c>
      <c r="C145" t="s">
        <v>749</v>
      </c>
      <c r="F145" t="s">
        <v>282</v>
      </c>
      <c r="I145">
        <v>240</v>
      </c>
      <c r="L145">
        <v>100</v>
      </c>
      <c r="N145">
        <v>200</v>
      </c>
      <c r="P145">
        <v>55</v>
      </c>
    </row>
    <row r="146" spans="1:16">
      <c r="A146" s="10">
        <v>45885</v>
      </c>
      <c r="C146" t="s">
        <v>750</v>
      </c>
      <c r="F146" t="s">
        <v>133</v>
      </c>
      <c r="I146">
        <v>240</v>
      </c>
      <c r="L146">
        <v>200</v>
      </c>
      <c r="N146">
        <v>220</v>
      </c>
    </row>
    <row r="147" spans="1:16">
      <c r="A147" s="10">
        <v>45885</v>
      </c>
      <c r="C147" t="s">
        <v>164</v>
      </c>
      <c r="F147" t="s">
        <v>146</v>
      </c>
      <c r="I147">
        <v>240</v>
      </c>
    </row>
    <row r="148" spans="1:16">
      <c r="A148" s="10">
        <v>45888</v>
      </c>
      <c r="C148" s="12" t="s">
        <v>751</v>
      </c>
      <c r="D148" s="12"/>
      <c r="F148" t="s">
        <v>479</v>
      </c>
      <c r="I148">
        <v>200</v>
      </c>
    </row>
    <row r="149" spans="1:16">
      <c r="A149" s="10">
        <v>45889</v>
      </c>
      <c r="C149" t="s">
        <v>752</v>
      </c>
      <c r="F149" t="s">
        <v>182</v>
      </c>
      <c r="I149">
        <v>200</v>
      </c>
    </row>
    <row r="150" spans="1:16">
      <c r="A150" s="10">
        <v>45890</v>
      </c>
      <c r="C150" t="s">
        <v>754</v>
      </c>
      <c r="F150" t="s">
        <v>753</v>
      </c>
      <c r="I150">
        <v>80</v>
      </c>
    </row>
    <row r="151" spans="1:16">
      <c r="A151" s="10">
        <v>45890</v>
      </c>
      <c r="C151" s="12" t="s">
        <v>755</v>
      </c>
      <c r="F151" t="s">
        <v>29</v>
      </c>
      <c r="I151">
        <v>50</v>
      </c>
      <c r="L151">
        <v>90</v>
      </c>
      <c r="N151">
        <v>200</v>
      </c>
    </row>
    <row r="152" spans="1:16">
      <c r="A152" s="10">
        <v>45892</v>
      </c>
      <c r="C152" t="s">
        <v>756</v>
      </c>
      <c r="F152" t="s">
        <v>757</v>
      </c>
      <c r="I152">
        <v>140</v>
      </c>
    </row>
    <row r="153" spans="1:16">
      <c r="A153" s="10">
        <v>45894</v>
      </c>
      <c r="C153" s="12" t="s">
        <v>758</v>
      </c>
      <c r="F153" t="s">
        <v>182</v>
      </c>
      <c r="I153">
        <v>30</v>
      </c>
      <c r="L153">
        <v>160</v>
      </c>
      <c r="N153">
        <v>135</v>
      </c>
    </row>
    <row r="154" spans="1:16">
      <c r="A154" s="10">
        <v>45901</v>
      </c>
      <c r="C154" s="12" t="s">
        <v>759</v>
      </c>
      <c r="F154" t="s">
        <v>760</v>
      </c>
      <c r="I154">
        <v>240</v>
      </c>
      <c r="L154">
        <v>40</v>
      </c>
    </row>
    <row r="155" spans="1:16">
      <c r="A155" s="10">
        <v>45901</v>
      </c>
      <c r="C155" s="12" t="s">
        <v>762</v>
      </c>
      <c r="F155" t="s">
        <v>761</v>
      </c>
      <c r="I155">
        <v>240</v>
      </c>
      <c r="L155">
        <v>85</v>
      </c>
    </row>
    <row r="156" spans="1:16">
      <c r="A156" s="10">
        <v>45902</v>
      </c>
      <c r="C156" t="s">
        <v>763</v>
      </c>
      <c r="F156" t="s">
        <v>764</v>
      </c>
      <c r="I156">
        <v>240</v>
      </c>
    </row>
    <row r="157" spans="1:16">
      <c r="A157" s="10">
        <v>45902</v>
      </c>
      <c r="C157" t="s">
        <v>765</v>
      </c>
      <c r="F157" t="s">
        <v>686</v>
      </c>
      <c r="I157">
        <v>240</v>
      </c>
    </row>
    <row r="158" spans="1:16">
      <c r="A158" s="10">
        <v>45903</v>
      </c>
      <c r="C158" s="12" t="s">
        <v>766</v>
      </c>
      <c r="F158" t="s">
        <v>767</v>
      </c>
      <c r="I158">
        <v>160</v>
      </c>
    </row>
    <row r="159" spans="1:16">
      <c r="A159" s="10">
        <v>45903</v>
      </c>
      <c r="C159" t="s">
        <v>606</v>
      </c>
      <c r="F159" t="s">
        <v>768</v>
      </c>
      <c r="I159">
        <v>240</v>
      </c>
      <c r="L159">
        <v>100</v>
      </c>
    </row>
    <row r="160" spans="1:16">
      <c r="A160" s="10">
        <v>45905</v>
      </c>
      <c r="C160" t="s">
        <v>769</v>
      </c>
      <c r="F160" t="s">
        <v>770</v>
      </c>
      <c r="I160">
        <v>240</v>
      </c>
    </row>
    <row r="161" spans="1:14">
      <c r="A161" s="10">
        <v>45906</v>
      </c>
      <c r="C161" t="s">
        <v>771</v>
      </c>
      <c r="F161" t="s">
        <v>213</v>
      </c>
      <c r="I161">
        <v>240</v>
      </c>
    </row>
    <row r="162" spans="1:14">
      <c r="A162" s="10">
        <v>45906</v>
      </c>
      <c r="C162" t="s">
        <v>620</v>
      </c>
      <c r="F162" t="s">
        <v>457</v>
      </c>
      <c r="I162">
        <v>80</v>
      </c>
    </row>
    <row r="163" spans="1:14">
      <c r="A163" s="10">
        <v>45909</v>
      </c>
      <c r="C163" t="s">
        <v>772</v>
      </c>
      <c r="F163" t="s">
        <v>773</v>
      </c>
      <c r="I163">
        <v>60</v>
      </c>
    </row>
    <row r="164" spans="1:14">
      <c r="A164" s="10">
        <v>45909</v>
      </c>
      <c r="C164" s="12" t="s">
        <v>774</v>
      </c>
      <c r="F164" t="s">
        <v>605</v>
      </c>
      <c r="I164">
        <v>240</v>
      </c>
    </row>
    <row r="165" spans="1:14">
      <c r="A165" s="10">
        <v>45910</v>
      </c>
      <c r="C165" t="s">
        <v>775</v>
      </c>
      <c r="F165" t="s">
        <v>776</v>
      </c>
      <c r="I165">
        <v>420</v>
      </c>
    </row>
    <row r="166" spans="1:14">
      <c r="A166" s="10">
        <v>45911</v>
      </c>
      <c r="C166" t="s">
        <v>682</v>
      </c>
      <c r="F166" t="s">
        <v>625</v>
      </c>
      <c r="I166">
        <v>150</v>
      </c>
    </row>
    <row r="167" spans="1:14">
      <c r="A167" s="10">
        <v>45911</v>
      </c>
      <c r="C167" s="12" t="s">
        <v>778</v>
      </c>
      <c r="F167" t="s">
        <v>777</v>
      </c>
      <c r="I167">
        <v>320</v>
      </c>
      <c r="L167">
        <v>240</v>
      </c>
    </row>
    <row r="168" spans="1:14">
      <c r="A168" s="10">
        <v>45911</v>
      </c>
      <c r="C168" t="s">
        <v>164</v>
      </c>
      <c r="F168" t="s">
        <v>779</v>
      </c>
      <c r="I168">
        <v>240</v>
      </c>
    </row>
    <row r="169" spans="1:14">
      <c r="A169" s="10">
        <v>45912</v>
      </c>
      <c r="C169" t="s">
        <v>780</v>
      </c>
      <c r="F169" t="s">
        <v>213</v>
      </c>
      <c r="I169">
        <v>505</v>
      </c>
      <c r="L169">
        <v>175</v>
      </c>
      <c r="N169">
        <v>65</v>
      </c>
    </row>
    <row r="170" spans="1:14">
      <c r="A170" s="10">
        <v>45912</v>
      </c>
      <c r="C170" s="12" t="s">
        <v>781</v>
      </c>
      <c r="F170" t="s">
        <v>121</v>
      </c>
      <c r="I170">
        <v>240</v>
      </c>
    </row>
    <row r="171" spans="1:14">
      <c r="A171" s="10">
        <v>45912</v>
      </c>
      <c r="C171" s="12" t="s">
        <v>783</v>
      </c>
      <c r="F171" t="s">
        <v>782</v>
      </c>
      <c r="I171">
        <v>120</v>
      </c>
    </row>
    <row r="172" spans="1:14">
      <c r="A172" s="10">
        <v>45912</v>
      </c>
      <c r="C172" t="s">
        <v>784</v>
      </c>
      <c r="F172" t="s">
        <v>785</v>
      </c>
      <c r="I172">
        <v>50</v>
      </c>
    </row>
    <row r="173" spans="1:14">
      <c r="A173" s="10">
        <v>45912</v>
      </c>
      <c r="C173" t="s">
        <v>787</v>
      </c>
      <c r="F173" t="s">
        <v>786</v>
      </c>
      <c r="I173">
        <v>120</v>
      </c>
    </row>
    <row r="174" spans="1:14">
      <c r="A174" s="10">
        <v>45912</v>
      </c>
      <c r="C174" s="12" t="s">
        <v>788</v>
      </c>
      <c r="F174" t="s">
        <v>789</v>
      </c>
      <c r="I174">
        <v>60</v>
      </c>
      <c r="L174">
        <v>240</v>
      </c>
    </row>
    <row r="175" spans="1:14">
      <c r="A175" s="10">
        <v>45912</v>
      </c>
      <c r="C175" t="s">
        <v>790</v>
      </c>
      <c r="F175" s="12" t="s">
        <v>581</v>
      </c>
      <c r="I175">
        <v>240</v>
      </c>
    </row>
    <row r="176" spans="1:14">
      <c r="A176" s="10">
        <v>45913</v>
      </c>
      <c r="C176" t="s">
        <v>791</v>
      </c>
      <c r="F176" t="s">
        <v>792</v>
      </c>
      <c r="I176">
        <v>240</v>
      </c>
    </row>
    <row r="177" spans="1:14">
      <c r="A177" s="10">
        <v>45913</v>
      </c>
      <c r="C177" s="12" t="s">
        <v>793</v>
      </c>
      <c r="F177" t="s">
        <v>148</v>
      </c>
      <c r="I177">
        <v>160</v>
      </c>
      <c r="L177">
        <v>225</v>
      </c>
      <c r="N177">
        <v>5</v>
      </c>
    </row>
    <row r="178" spans="1:14">
      <c r="A178" s="10">
        <v>45913</v>
      </c>
      <c r="C178" s="12" t="s">
        <v>794</v>
      </c>
      <c r="F178" t="s">
        <v>455</v>
      </c>
      <c r="I178">
        <v>420</v>
      </c>
      <c r="L178">
        <v>240</v>
      </c>
    </row>
    <row r="179" spans="1:14">
      <c r="A179" s="10">
        <v>45915</v>
      </c>
      <c r="C179" t="s">
        <v>567</v>
      </c>
      <c r="F179" t="s">
        <v>131</v>
      </c>
      <c r="I179">
        <v>120</v>
      </c>
      <c r="L179">
        <v>240</v>
      </c>
    </row>
    <row r="180" spans="1:14">
      <c r="A180" s="10">
        <v>45915</v>
      </c>
      <c r="C180" t="s">
        <v>796</v>
      </c>
      <c r="F180" t="s">
        <v>795</v>
      </c>
      <c r="I180">
        <v>60</v>
      </c>
      <c r="L180">
        <v>50</v>
      </c>
    </row>
    <row r="181" spans="1:14">
      <c r="A181" s="10">
        <v>45915</v>
      </c>
      <c r="C181" t="s">
        <v>797</v>
      </c>
      <c r="F181" t="s">
        <v>798</v>
      </c>
      <c r="I181">
        <v>240</v>
      </c>
    </row>
    <row r="182" spans="1:14">
      <c r="A182" s="10">
        <v>45915</v>
      </c>
      <c r="C182" t="s">
        <v>394</v>
      </c>
      <c r="F182" s="12" t="s">
        <v>799</v>
      </c>
      <c r="I182">
        <v>240</v>
      </c>
    </row>
    <row r="183" spans="1:14">
      <c r="A183" s="10">
        <v>45915</v>
      </c>
      <c r="C183" s="12" t="s">
        <v>800</v>
      </c>
      <c r="F183" t="s">
        <v>801</v>
      </c>
      <c r="I183">
        <v>15</v>
      </c>
    </row>
    <row r="184" spans="1:14">
      <c r="A184" s="10">
        <v>45915</v>
      </c>
      <c r="C184" s="12" t="s">
        <v>803</v>
      </c>
      <c r="F184" t="s">
        <v>802</v>
      </c>
      <c r="I184">
        <v>55</v>
      </c>
    </row>
    <row r="185" spans="1:14">
      <c r="A185" s="10">
        <v>45915</v>
      </c>
      <c r="C185" s="12" t="s">
        <v>804</v>
      </c>
      <c r="F185" t="s">
        <v>805</v>
      </c>
      <c r="I185">
        <v>200</v>
      </c>
    </row>
    <row r="186" spans="1:14">
      <c r="A186" s="10">
        <v>45915</v>
      </c>
      <c r="C186" t="s">
        <v>807</v>
      </c>
      <c r="F186" t="s">
        <v>806</v>
      </c>
      <c r="I186">
        <v>20</v>
      </c>
      <c r="L186">
        <v>160</v>
      </c>
    </row>
    <row r="187" spans="1:14">
      <c r="A187" s="10">
        <v>45915</v>
      </c>
      <c r="C187" t="s">
        <v>808</v>
      </c>
      <c r="F187" t="s">
        <v>799</v>
      </c>
      <c r="I187">
        <v>50</v>
      </c>
      <c r="L187">
        <v>40</v>
      </c>
    </row>
    <row r="188" spans="1:14">
      <c r="A188" s="10">
        <v>45916</v>
      </c>
      <c r="C188" s="12" t="s">
        <v>810</v>
      </c>
      <c r="F188" t="s">
        <v>809</v>
      </c>
      <c r="I188">
        <v>80</v>
      </c>
    </row>
    <row r="189" spans="1:14">
      <c r="A189" s="10">
        <v>45916</v>
      </c>
      <c r="C189" s="12" t="s">
        <v>811</v>
      </c>
      <c r="F189" t="s">
        <v>22</v>
      </c>
      <c r="I189">
        <v>200</v>
      </c>
      <c r="L189">
        <v>220</v>
      </c>
    </row>
    <row r="190" spans="1:14">
      <c r="A190" s="10">
        <v>45916</v>
      </c>
      <c r="C190" t="s">
        <v>292</v>
      </c>
      <c r="F190" t="s">
        <v>293</v>
      </c>
      <c r="I190">
        <v>240</v>
      </c>
    </row>
    <row r="191" spans="1:14">
      <c r="A191" s="10">
        <v>45916</v>
      </c>
      <c r="C191" t="s">
        <v>813</v>
      </c>
      <c r="F191" s="12" t="s">
        <v>812</v>
      </c>
      <c r="I191">
        <v>240</v>
      </c>
      <c r="L191">
        <v>45</v>
      </c>
    </row>
    <row r="192" spans="1:14">
      <c r="A192" s="10">
        <v>45916</v>
      </c>
      <c r="C192" s="12" t="s">
        <v>814</v>
      </c>
      <c r="F192" t="s">
        <v>815</v>
      </c>
      <c r="I192">
        <v>200</v>
      </c>
      <c r="L192">
        <v>500</v>
      </c>
      <c r="N192">
        <v>500</v>
      </c>
    </row>
    <row r="193" spans="1:16">
      <c r="A193" s="10">
        <v>45916</v>
      </c>
      <c r="C193" s="12" t="s">
        <v>817</v>
      </c>
      <c r="F193" t="s">
        <v>816</v>
      </c>
      <c r="I193">
        <v>240</v>
      </c>
    </row>
    <row r="194" spans="1:16">
      <c r="A194" s="10">
        <v>45916</v>
      </c>
      <c r="C194" s="12" t="s">
        <v>818</v>
      </c>
      <c r="F194" t="s">
        <v>41</v>
      </c>
      <c r="I194">
        <v>35</v>
      </c>
      <c r="L194">
        <v>240</v>
      </c>
      <c r="N194">
        <v>220</v>
      </c>
    </row>
    <row r="195" spans="1:16">
      <c r="A195" s="10">
        <v>45916</v>
      </c>
      <c r="C195" t="s">
        <v>246</v>
      </c>
      <c r="F195" t="s">
        <v>271</v>
      </c>
      <c r="I195">
        <v>100</v>
      </c>
      <c r="L195">
        <v>20</v>
      </c>
      <c r="N195">
        <v>80</v>
      </c>
      <c r="P195">
        <v>140</v>
      </c>
    </row>
    <row r="196" spans="1:16">
      <c r="A196" s="10">
        <v>45917</v>
      </c>
      <c r="C196" t="s">
        <v>819</v>
      </c>
      <c r="F196" s="12" t="s">
        <v>820</v>
      </c>
      <c r="I196">
        <v>300</v>
      </c>
      <c r="L196">
        <v>10</v>
      </c>
    </row>
    <row r="197" spans="1:16">
      <c r="A197" s="10">
        <v>45917</v>
      </c>
      <c r="C197" t="s">
        <v>821</v>
      </c>
      <c r="F197" t="s">
        <v>822</v>
      </c>
      <c r="I197">
        <v>420</v>
      </c>
    </row>
    <row r="198" spans="1:16">
      <c r="A198" s="10">
        <v>45917</v>
      </c>
      <c r="C198" t="s">
        <v>823</v>
      </c>
      <c r="F198" t="s">
        <v>138</v>
      </c>
      <c r="I198">
        <v>80</v>
      </c>
    </row>
    <row r="199" spans="1:16">
      <c r="A199" s="10">
        <v>45917</v>
      </c>
      <c r="C199" s="12" t="s">
        <v>824</v>
      </c>
      <c r="F199" t="s">
        <v>825</v>
      </c>
      <c r="I199">
        <v>240</v>
      </c>
      <c r="L199">
        <v>240</v>
      </c>
      <c r="N199">
        <v>180</v>
      </c>
    </row>
    <row r="200" spans="1:16">
      <c r="A200" s="10">
        <v>45917</v>
      </c>
      <c r="C200" t="s">
        <v>826</v>
      </c>
      <c r="F200" t="s">
        <v>146</v>
      </c>
      <c r="I200">
        <v>100</v>
      </c>
    </row>
    <row r="201" spans="1:16">
      <c r="A201" s="10">
        <v>45917</v>
      </c>
      <c r="C201" t="s">
        <v>478</v>
      </c>
      <c r="F201" t="s">
        <v>157</v>
      </c>
      <c r="I201">
        <v>240</v>
      </c>
    </row>
    <row r="202" spans="1:16">
      <c r="A202" s="10">
        <v>45917</v>
      </c>
      <c r="C202" t="s">
        <v>827</v>
      </c>
      <c r="F202" t="s">
        <v>19</v>
      </c>
      <c r="I202">
        <v>205</v>
      </c>
    </row>
    <row r="203" spans="1:16">
      <c r="A203" s="10">
        <v>45917</v>
      </c>
      <c r="C203" t="s">
        <v>828</v>
      </c>
      <c r="F203" t="s">
        <v>829</v>
      </c>
      <c r="I203">
        <v>20</v>
      </c>
    </row>
    <row r="204" spans="1:16">
      <c r="A204" s="10">
        <v>45918</v>
      </c>
      <c r="C204" s="12" t="s">
        <v>830</v>
      </c>
      <c r="F204" t="s">
        <v>455</v>
      </c>
      <c r="I204">
        <v>130</v>
      </c>
    </row>
    <row r="205" spans="1:16">
      <c r="A205" s="10">
        <v>45918</v>
      </c>
      <c r="C205" t="s">
        <v>439</v>
      </c>
      <c r="F205" t="s">
        <v>831</v>
      </c>
      <c r="I205">
        <v>180</v>
      </c>
      <c r="L205">
        <v>80</v>
      </c>
    </row>
    <row r="206" spans="1:16">
      <c r="A206" s="10">
        <v>45918</v>
      </c>
      <c r="C206" t="s">
        <v>817</v>
      </c>
      <c r="F206" t="s">
        <v>148</v>
      </c>
      <c r="I206">
        <v>240</v>
      </c>
      <c r="L206">
        <v>240</v>
      </c>
    </row>
    <row r="207" spans="1:16">
      <c r="A207" s="10">
        <v>45918</v>
      </c>
      <c r="C207" t="s">
        <v>832</v>
      </c>
      <c r="F207" t="s">
        <v>782</v>
      </c>
      <c r="I207">
        <v>220</v>
      </c>
      <c r="L207">
        <v>20</v>
      </c>
    </row>
    <row r="208" spans="1:16">
      <c r="A208" s="10">
        <v>45919</v>
      </c>
      <c r="C208" t="s">
        <v>833</v>
      </c>
      <c r="D208" s="12"/>
      <c r="F208" t="s">
        <v>17</v>
      </c>
      <c r="I208">
        <v>205</v>
      </c>
      <c r="L208">
        <v>205</v>
      </c>
    </row>
    <row r="209" spans="1:12">
      <c r="A209" s="10">
        <v>45919</v>
      </c>
      <c r="C209" s="12" t="s">
        <v>80</v>
      </c>
      <c r="F209" t="s">
        <v>227</v>
      </c>
      <c r="I209">
        <v>15</v>
      </c>
      <c r="L209">
        <v>15</v>
      </c>
    </row>
    <row r="210" spans="1:12">
      <c r="A210" s="10">
        <v>45919</v>
      </c>
      <c r="C210" t="s">
        <v>834</v>
      </c>
      <c r="F210" t="s">
        <v>271</v>
      </c>
      <c r="I210">
        <v>190</v>
      </c>
      <c r="L210">
        <v>190</v>
      </c>
    </row>
    <row r="211" spans="1:12">
      <c r="A211" s="10">
        <v>45919</v>
      </c>
      <c r="C211" t="s">
        <v>835</v>
      </c>
      <c r="F211" t="s">
        <v>215</v>
      </c>
      <c r="I211">
        <v>40</v>
      </c>
      <c r="L211">
        <v>40</v>
      </c>
    </row>
    <row r="212" spans="1:12">
      <c r="A212" s="10">
        <v>45919</v>
      </c>
      <c r="C212" s="12" t="s">
        <v>836</v>
      </c>
      <c r="F212" t="s">
        <v>837</v>
      </c>
      <c r="I212">
        <v>420</v>
      </c>
    </row>
    <row r="213" spans="1:12">
      <c r="A213" s="10">
        <v>45918</v>
      </c>
      <c r="C213" t="s">
        <v>838</v>
      </c>
      <c r="F213" t="s">
        <v>17</v>
      </c>
      <c r="I213">
        <v>245</v>
      </c>
    </row>
    <row r="214" spans="1:12">
      <c r="A214" s="10">
        <v>45919</v>
      </c>
      <c r="C214" t="s">
        <v>839</v>
      </c>
      <c r="F214" t="s">
        <v>263</v>
      </c>
      <c r="I214">
        <v>105</v>
      </c>
    </row>
    <row r="215" spans="1:12">
      <c r="A215" s="10">
        <v>45920</v>
      </c>
      <c r="C215" t="s">
        <v>840</v>
      </c>
      <c r="F215" t="s">
        <v>841</v>
      </c>
      <c r="I215">
        <v>440</v>
      </c>
    </row>
    <row r="216" spans="1:12">
      <c r="A216" s="10">
        <v>45920</v>
      </c>
      <c r="C216" s="12" t="s">
        <v>842</v>
      </c>
      <c r="F216" t="s">
        <v>244</v>
      </c>
      <c r="I216">
        <v>85</v>
      </c>
    </row>
    <row r="217" spans="1:12">
      <c r="A217" s="10">
        <v>45920</v>
      </c>
      <c r="C217" s="12" t="s">
        <v>843</v>
      </c>
      <c r="F217" t="s">
        <v>185</v>
      </c>
      <c r="I217">
        <v>190</v>
      </c>
    </row>
    <row r="218" spans="1:12">
      <c r="A218" s="10">
        <v>45920</v>
      </c>
      <c r="C218" t="s">
        <v>844</v>
      </c>
      <c r="F218" s="12" t="s">
        <v>845</v>
      </c>
      <c r="G218" s="12"/>
      <c r="I218">
        <v>240</v>
      </c>
    </row>
    <row r="219" spans="1:12">
      <c r="A219" s="10">
        <v>45920</v>
      </c>
      <c r="C219" t="s">
        <v>846</v>
      </c>
      <c r="F219" t="s">
        <v>455</v>
      </c>
      <c r="I219">
        <v>240</v>
      </c>
    </row>
    <row r="220" spans="1:12">
      <c r="A220" s="10">
        <v>45920</v>
      </c>
      <c r="C220" t="s">
        <v>847</v>
      </c>
      <c r="F220" t="s">
        <v>809</v>
      </c>
      <c r="I220">
        <v>240</v>
      </c>
    </row>
    <row r="221" spans="1:12">
      <c r="A221" t="s">
        <v>850</v>
      </c>
      <c r="C221" t="s">
        <v>849</v>
      </c>
      <c r="F221" t="s">
        <v>848</v>
      </c>
      <c r="I221">
        <v>90</v>
      </c>
    </row>
    <row r="222" spans="1:12">
      <c r="A222" s="10">
        <v>45922</v>
      </c>
      <c r="C222" t="s">
        <v>851</v>
      </c>
      <c r="F222" s="12" t="s">
        <v>852</v>
      </c>
      <c r="I222">
        <v>60</v>
      </c>
    </row>
    <row r="223" spans="1:12">
      <c r="A223" s="10">
        <v>45922</v>
      </c>
      <c r="C223" s="12" t="s">
        <v>854</v>
      </c>
      <c r="F223" t="s">
        <v>853</v>
      </c>
      <c r="I223">
        <v>75</v>
      </c>
      <c r="L223">
        <v>420</v>
      </c>
    </row>
    <row r="224" spans="1:12">
      <c r="A224" s="13">
        <v>45922</v>
      </c>
      <c r="C224" t="s">
        <v>855</v>
      </c>
      <c r="F224" t="s">
        <v>856</v>
      </c>
      <c r="I224">
        <v>240</v>
      </c>
    </row>
    <row r="225" spans="1:16">
      <c r="A225" s="10">
        <v>45922</v>
      </c>
      <c r="C225" t="s">
        <v>858</v>
      </c>
      <c r="F225" t="s">
        <v>857</v>
      </c>
      <c r="I225">
        <v>240</v>
      </c>
      <c r="L225">
        <v>20</v>
      </c>
    </row>
    <row r="226" spans="1:16">
      <c r="A226" s="10">
        <v>45922</v>
      </c>
      <c r="C226" t="s">
        <v>859</v>
      </c>
      <c r="F226" t="s">
        <v>860</v>
      </c>
      <c r="I226">
        <v>420</v>
      </c>
    </row>
    <row r="227" spans="1:16">
      <c r="A227" s="10">
        <v>45922</v>
      </c>
      <c r="C227" t="s">
        <v>861</v>
      </c>
      <c r="F227" t="s">
        <v>568</v>
      </c>
      <c r="I227">
        <v>240</v>
      </c>
      <c r="L227">
        <v>75</v>
      </c>
      <c r="N227">
        <v>45</v>
      </c>
    </row>
    <row r="228" spans="1:16">
      <c r="A228" s="10">
        <v>45922</v>
      </c>
      <c r="C228" s="12" t="s">
        <v>862</v>
      </c>
      <c r="D228" s="12"/>
      <c r="F228" t="s">
        <v>17</v>
      </c>
      <c r="I228">
        <v>90</v>
      </c>
    </row>
    <row r="229" spans="1:16">
      <c r="A229" s="10">
        <v>45923</v>
      </c>
      <c r="C229" t="s">
        <v>468</v>
      </c>
      <c r="F229" t="s">
        <v>863</v>
      </c>
      <c r="I229">
        <v>200</v>
      </c>
    </row>
    <row r="230" spans="1:16">
      <c r="A230" s="10">
        <v>45923</v>
      </c>
      <c r="C230" t="s">
        <v>864</v>
      </c>
      <c r="F230" t="s">
        <v>625</v>
      </c>
      <c r="I230">
        <v>260</v>
      </c>
    </row>
    <row r="231" spans="1:16">
      <c r="A231" s="10">
        <v>45923</v>
      </c>
      <c r="C231" s="12" t="s">
        <v>866</v>
      </c>
      <c r="F231" t="s">
        <v>865</v>
      </c>
      <c r="I231">
        <v>650</v>
      </c>
    </row>
    <row r="232" spans="1:16">
      <c r="A232" s="10">
        <v>45924</v>
      </c>
      <c r="C232" t="s">
        <v>867</v>
      </c>
      <c r="F232" t="s">
        <v>17</v>
      </c>
      <c r="I232">
        <v>180</v>
      </c>
      <c r="L232">
        <v>315</v>
      </c>
    </row>
    <row r="233" spans="1:16">
      <c r="A233" s="10">
        <v>45924</v>
      </c>
      <c r="C233" s="12" t="s">
        <v>869</v>
      </c>
      <c r="F233" t="s">
        <v>868</v>
      </c>
      <c r="I233">
        <v>170</v>
      </c>
    </row>
    <row r="234" spans="1:16">
      <c r="A234" s="10">
        <v>45924</v>
      </c>
      <c r="C234" t="s">
        <v>870</v>
      </c>
      <c r="F234" t="s">
        <v>182</v>
      </c>
      <c r="I234">
        <v>240</v>
      </c>
      <c r="L234">
        <v>200</v>
      </c>
      <c r="N234">
        <v>200</v>
      </c>
      <c r="P234">
        <v>25</v>
      </c>
    </row>
    <row r="235" spans="1:16">
      <c r="A235" s="10">
        <v>45925</v>
      </c>
      <c r="C235" t="s">
        <v>871</v>
      </c>
      <c r="F235" s="12" t="s">
        <v>872</v>
      </c>
      <c r="I235">
        <v>71</v>
      </c>
    </row>
    <row r="236" spans="1:16">
      <c r="A236" s="10">
        <v>45925</v>
      </c>
      <c r="C236" t="s">
        <v>873</v>
      </c>
      <c r="F236" s="12" t="s">
        <v>737</v>
      </c>
      <c r="I236">
        <v>140</v>
      </c>
    </row>
    <row r="237" spans="1:16">
      <c r="A237" s="10">
        <v>45925</v>
      </c>
      <c r="C237" t="s">
        <v>875</v>
      </c>
      <c r="F237" t="s">
        <v>874</v>
      </c>
      <c r="I237">
        <v>240</v>
      </c>
      <c r="L237">
        <v>390</v>
      </c>
    </row>
    <row r="238" spans="1:16">
      <c r="A238" s="10">
        <v>45925</v>
      </c>
      <c r="C238" t="s">
        <v>878</v>
      </c>
      <c r="F238" t="s">
        <v>852</v>
      </c>
      <c r="I238">
        <v>100</v>
      </c>
    </row>
    <row r="239" spans="1:16">
      <c r="A239" s="10">
        <v>45926</v>
      </c>
      <c r="C239" s="12" t="s">
        <v>877</v>
      </c>
      <c r="D239" s="12"/>
      <c r="F239" t="s">
        <v>876</v>
      </c>
      <c r="I239">
        <v>160</v>
      </c>
    </row>
    <row r="240" spans="1:16">
      <c r="A240" s="10">
        <v>45926</v>
      </c>
      <c r="C240" t="s">
        <v>682</v>
      </c>
      <c r="F240" t="s">
        <v>583</v>
      </c>
      <c r="I240">
        <v>170</v>
      </c>
    </row>
    <row r="241" spans="1:16">
      <c r="A241" s="10">
        <v>45926</v>
      </c>
      <c r="C241" t="s">
        <v>879</v>
      </c>
      <c r="F241" t="s">
        <v>153</v>
      </c>
      <c r="I241">
        <v>240</v>
      </c>
      <c r="L241">
        <v>420</v>
      </c>
    </row>
    <row r="242" spans="1:16">
      <c r="A242" s="10">
        <v>45929</v>
      </c>
      <c r="C242" s="12" t="s">
        <v>546</v>
      </c>
      <c r="F242" t="s">
        <v>880</v>
      </c>
      <c r="I242">
        <v>240</v>
      </c>
      <c r="L242">
        <v>200</v>
      </c>
      <c r="N242">
        <v>100</v>
      </c>
      <c r="P242">
        <v>120</v>
      </c>
    </row>
    <row r="243" spans="1:16">
      <c r="A243" s="10">
        <v>45929</v>
      </c>
      <c r="C243" s="12" t="s">
        <v>881</v>
      </c>
      <c r="F243" t="s">
        <v>882</v>
      </c>
      <c r="I243">
        <v>55</v>
      </c>
    </row>
    <row r="244" spans="1:16">
      <c r="A244" s="10">
        <v>45929</v>
      </c>
      <c r="C244" t="s">
        <v>883</v>
      </c>
      <c r="F244" t="s">
        <v>21</v>
      </c>
      <c r="I244">
        <v>420</v>
      </c>
      <c r="L244">
        <v>240</v>
      </c>
    </row>
    <row r="245" spans="1:16">
      <c r="A245" s="10">
        <v>45929</v>
      </c>
      <c r="C245" s="12" t="s">
        <v>884</v>
      </c>
      <c r="F245" t="s">
        <v>377</v>
      </c>
      <c r="I245">
        <v>190</v>
      </c>
      <c r="L245">
        <v>50</v>
      </c>
    </row>
    <row r="246" spans="1:16">
      <c r="A246" s="10">
        <v>45929</v>
      </c>
      <c r="C246" s="12" t="s">
        <v>885</v>
      </c>
      <c r="F246" t="s">
        <v>17</v>
      </c>
      <c r="I246">
        <v>205</v>
      </c>
    </row>
    <row r="247" spans="1:16">
      <c r="A247" s="13">
        <v>45929</v>
      </c>
      <c r="C247" t="s">
        <v>887</v>
      </c>
      <c r="F247" t="s">
        <v>886</v>
      </c>
      <c r="I247">
        <v>100</v>
      </c>
      <c r="L247">
        <v>25.54</v>
      </c>
      <c r="N247">
        <v>80</v>
      </c>
    </row>
    <row r="248" spans="1:16">
      <c r="A248" s="10">
        <v>45930</v>
      </c>
      <c r="C248" s="12" t="s">
        <v>888</v>
      </c>
      <c r="F248" t="s">
        <v>24</v>
      </c>
      <c r="I248">
        <v>141</v>
      </c>
      <c r="L248">
        <v>58.1</v>
      </c>
      <c r="N248">
        <v>28.3</v>
      </c>
      <c r="P248">
        <v>2</v>
      </c>
    </row>
    <row r="249" spans="1:16">
      <c r="A249" s="10">
        <v>45930</v>
      </c>
      <c r="C249" t="s">
        <v>889</v>
      </c>
      <c r="F249" t="s">
        <v>146</v>
      </c>
      <c r="I249">
        <v>50</v>
      </c>
    </row>
    <row r="250" spans="1:16">
      <c r="A250" s="10">
        <v>45930</v>
      </c>
      <c r="C250" t="s">
        <v>890</v>
      </c>
      <c r="F250" t="s">
        <v>646</v>
      </c>
      <c r="I250">
        <v>240</v>
      </c>
    </row>
    <row r="251" spans="1:16">
      <c r="A251" s="10">
        <v>45930</v>
      </c>
      <c r="C251" t="s">
        <v>891</v>
      </c>
      <c r="F251" t="s">
        <v>428</v>
      </c>
      <c r="I251">
        <v>295</v>
      </c>
    </row>
    <row r="252" spans="1:16">
      <c r="A252" s="10">
        <v>45931</v>
      </c>
      <c r="C252" t="s">
        <v>892</v>
      </c>
      <c r="F252" t="s">
        <v>737</v>
      </c>
      <c r="I252">
        <v>240</v>
      </c>
      <c r="L252">
        <v>120</v>
      </c>
    </row>
    <row r="253" spans="1:16">
      <c r="A253" s="10">
        <v>45931</v>
      </c>
      <c r="C253" s="12" t="s">
        <v>18</v>
      </c>
      <c r="F253" t="s">
        <v>893</v>
      </c>
      <c r="I253">
        <v>390</v>
      </c>
      <c r="L253">
        <v>40</v>
      </c>
    </row>
    <row r="254" spans="1:16">
      <c r="A254" s="10">
        <v>45931</v>
      </c>
      <c r="C254" s="12" t="s">
        <v>894</v>
      </c>
      <c r="F254" t="s">
        <v>44</v>
      </c>
      <c r="I254">
        <v>70</v>
      </c>
      <c r="L254">
        <v>80</v>
      </c>
    </row>
    <row r="255" spans="1:16">
      <c r="A255" s="10">
        <v>45932</v>
      </c>
      <c r="C255" t="s">
        <v>621</v>
      </c>
      <c r="F255" t="s">
        <v>895</v>
      </c>
      <c r="I255">
        <v>240</v>
      </c>
    </row>
    <row r="256" spans="1:16">
      <c r="A256" s="10">
        <v>45932</v>
      </c>
      <c r="C256" s="12" t="s">
        <v>896</v>
      </c>
      <c r="F256" t="s">
        <v>646</v>
      </c>
      <c r="I256">
        <v>100</v>
      </c>
      <c r="L256">
        <v>190</v>
      </c>
    </row>
    <row r="257" spans="1:14">
      <c r="A257" s="10">
        <v>45934</v>
      </c>
      <c r="C257" t="s">
        <v>220</v>
      </c>
      <c r="F257" t="s">
        <v>897</v>
      </c>
      <c r="I257">
        <v>420</v>
      </c>
    </row>
    <row r="258" spans="1:14">
      <c r="A258" s="10">
        <v>45936</v>
      </c>
      <c r="C258" s="12" t="s">
        <v>898</v>
      </c>
      <c r="F258" t="s">
        <v>737</v>
      </c>
      <c r="I258">
        <v>220</v>
      </c>
    </row>
    <row r="259" spans="1:14">
      <c r="A259" s="10">
        <v>45936</v>
      </c>
      <c r="C259" s="12" t="s">
        <v>899</v>
      </c>
      <c r="F259" t="s">
        <v>728</v>
      </c>
      <c r="I259">
        <v>241</v>
      </c>
    </row>
    <row r="260" spans="1:14">
      <c r="A260" s="10">
        <v>45936</v>
      </c>
      <c r="C260" t="s">
        <v>901</v>
      </c>
      <c r="F260" s="12" t="s">
        <v>900</v>
      </c>
      <c r="I260">
        <v>305</v>
      </c>
    </row>
    <row r="261" spans="1:14">
      <c r="A261" s="10">
        <v>45936</v>
      </c>
      <c r="C261" s="12" t="s">
        <v>902</v>
      </c>
      <c r="F261" t="s">
        <v>903</v>
      </c>
      <c r="I261">
        <v>230</v>
      </c>
      <c r="L261">
        <v>100</v>
      </c>
    </row>
    <row r="262" spans="1:14">
      <c r="A262" s="10">
        <v>45936</v>
      </c>
      <c r="C262" s="12" t="s">
        <v>905</v>
      </c>
      <c r="D262" s="12"/>
      <c r="F262" t="s">
        <v>904</v>
      </c>
      <c r="I262">
        <v>200</v>
      </c>
      <c r="L262">
        <v>170</v>
      </c>
      <c r="N262">
        <v>20</v>
      </c>
    </row>
    <row r="263" spans="1:14">
      <c r="A263" s="10">
        <v>45936</v>
      </c>
      <c r="C263" s="12" t="s">
        <v>906</v>
      </c>
      <c r="F263" t="s">
        <v>479</v>
      </c>
      <c r="I263">
        <v>90</v>
      </c>
    </row>
    <row r="264" spans="1:14">
      <c r="A264" s="10">
        <v>45938</v>
      </c>
      <c r="C264" s="12" t="s">
        <v>907</v>
      </c>
      <c r="F264" t="s">
        <v>19</v>
      </c>
      <c r="I264">
        <v>500</v>
      </c>
      <c r="L264">
        <v>115</v>
      </c>
      <c r="N264">
        <v>130</v>
      </c>
    </row>
    <row r="265" spans="1:14">
      <c r="A265" s="10">
        <v>45940</v>
      </c>
      <c r="C265" t="s">
        <v>908</v>
      </c>
      <c r="F265" t="s">
        <v>119</v>
      </c>
      <c r="I265">
        <v>80</v>
      </c>
    </row>
    <row r="266" spans="1:14">
      <c r="A266" s="10">
        <v>45943</v>
      </c>
      <c r="C266" s="12" t="s">
        <v>28</v>
      </c>
      <c r="F266" t="s">
        <v>909</v>
      </c>
      <c r="I266">
        <v>100</v>
      </c>
      <c r="L266">
        <v>285</v>
      </c>
    </row>
    <row r="267" spans="1:14">
      <c r="A267" s="10">
        <v>45943</v>
      </c>
      <c r="C267" s="12" t="s">
        <v>910</v>
      </c>
      <c r="F267" t="s">
        <v>271</v>
      </c>
      <c r="I267">
        <v>180</v>
      </c>
    </row>
    <row r="268" spans="1:14">
      <c r="A268" s="10">
        <v>45943</v>
      </c>
      <c r="C268" t="s">
        <v>911</v>
      </c>
      <c r="F268" t="s">
        <v>646</v>
      </c>
      <c r="I268">
        <v>195</v>
      </c>
    </row>
    <row r="269" spans="1:14">
      <c r="A269" s="10">
        <v>45943</v>
      </c>
      <c r="C269" t="s">
        <v>912</v>
      </c>
      <c r="F269" t="s">
        <v>876</v>
      </c>
      <c r="I269">
        <v>10</v>
      </c>
    </row>
    <row r="270" spans="1:14">
      <c r="A270" s="10">
        <v>45943</v>
      </c>
      <c r="C270" t="s">
        <v>913</v>
      </c>
      <c r="F270" t="s">
        <v>880</v>
      </c>
      <c r="I270">
        <v>100</v>
      </c>
    </row>
    <row r="272" spans="1:14">
      <c r="A272" s="10">
        <v>45950</v>
      </c>
      <c r="C272" t="s">
        <v>915</v>
      </c>
      <c r="F272" t="s">
        <v>479</v>
      </c>
      <c r="I272">
        <v>34</v>
      </c>
    </row>
    <row r="273" spans="1:12">
      <c r="A273" s="10">
        <v>45950</v>
      </c>
      <c r="C273" t="s">
        <v>916</v>
      </c>
      <c r="F273" t="s">
        <v>16</v>
      </c>
      <c r="I273">
        <v>10</v>
      </c>
    </row>
    <row r="274" spans="1:12">
      <c r="A274" s="10">
        <v>45955</v>
      </c>
      <c r="C274" t="s">
        <v>324</v>
      </c>
      <c r="F274" t="s">
        <v>917</v>
      </c>
      <c r="I274">
        <v>45</v>
      </c>
      <c r="L274">
        <v>80</v>
      </c>
    </row>
    <row r="275" spans="1:12">
      <c r="A275" s="10">
        <v>45965</v>
      </c>
      <c r="C275" t="s">
        <v>918</v>
      </c>
      <c r="F275" t="s">
        <v>919</v>
      </c>
      <c r="I275">
        <v>250</v>
      </c>
    </row>
    <row r="276" spans="1:12">
      <c r="A276" s="10">
        <v>45979</v>
      </c>
      <c r="C276" t="s">
        <v>724</v>
      </c>
      <c r="F276" t="s">
        <v>17</v>
      </c>
      <c r="I276">
        <v>300</v>
      </c>
      <c r="L276">
        <v>150</v>
      </c>
    </row>
    <row r="277" spans="1:12">
      <c r="A277" s="10">
        <v>45980</v>
      </c>
      <c r="C277" t="s">
        <v>920</v>
      </c>
      <c r="F277" t="s">
        <v>148</v>
      </c>
      <c r="I277">
        <v>80</v>
      </c>
    </row>
    <row r="278" spans="1:12">
      <c r="A278" s="10">
        <v>45999</v>
      </c>
      <c r="C278" t="s">
        <v>921</v>
      </c>
      <c r="F278" t="s">
        <v>173</v>
      </c>
      <c r="I278">
        <v>40</v>
      </c>
    </row>
    <row r="279" spans="1:12">
      <c r="A279" s="10">
        <v>46001</v>
      </c>
      <c r="C279" t="s">
        <v>923</v>
      </c>
      <c r="F279" t="s">
        <v>922</v>
      </c>
      <c r="I279">
        <v>16</v>
      </c>
    </row>
    <row r="280" spans="1:12">
      <c r="A280" s="10">
        <v>46001</v>
      </c>
      <c r="C280" t="s">
        <v>924</v>
      </c>
      <c r="F280" t="s">
        <v>271</v>
      </c>
      <c r="I280">
        <v>19</v>
      </c>
    </row>
    <row r="281" spans="1:12">
      <c r="A281" s="10"/>
      <c r="C281" s="12"/>
    </row>
    <row r="282" spans="1:12">
      <c r="A282" s="10">
        <v>46004</v>
      </c>
      <c r="C282" t="s">
        <v>925</v>
      </c>
      <c r="F282" t="s">
        <v>263</v>
      </c>
      <c r="I282">
        <v>90</v>
      </c>
    </row>
    <row r="283" spans="1:12">
      <c r="A283" s="10">
        <v>46006</v>
      </c>
      <c r="C283" t="s">
        <v>919</v>
      </c>
      <c r="F283" t="s">
        <v>918</v>
      </c>
      <c r="I283">
        <v>250</v>
      </c>
    </row>
    <row r="284" spans="1:12">
      <c r="A284" s="10">
        <v>46022</v>
      </c>
      <c r="C284" t="s">
        <v>526</v>
      </c>
      <c r="F284" t="s">
        <v>131</v>
      </c>
      <c r="I284">
        <v>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STUDENT LEDGER</vt:lpstr>
      <vt:lpstr>Sheet2</vt:lpstr>
      <vt:lpstr>Sheet1</vt:lpstr>
      <vt:lpstr>Sheet2!OLE_LINK1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MUTARE VOCATIONAL</dc:creator>
  <cp:lastModifiedBy>PC</cp:lastModifiedBy>
  <dcterms:created xsi:type="dcterms:W3CDTF">2025-06-23T10:41:00Z</dcterms:created>
  <dcterms:modified xsi:type="dcterms:W3CDTF">2026-09-11T10:02:08Z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c5c8d56633ef4ca7b0c55195da18b8f6</vt:lpwstr>
  </property>
  <property fmtid="{D5CDD505-2E9C-101B-9397-08002B2CF9AE}" pid="3" name="KSOProductBuildVer">
    <vt:lpwstr>1033-12.2.0.22222</vt:lpwstr>
  </property>
</Properties>
</file>